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Regnskab_01" sheetId="1" r:id="rId5"/>
    <sheet state="visible" name="STATISTIK_chipleader" sheetId="2" r:id="rId6"/>
    <sheet state="visible" name="d_udvikling" sheetId="3" r:id="rId7"/>
    <sheet state="visible" name="SAMLET_alle regnskab" sheetId="4" r:id="rId8"/>
    <sheet state="visible" name="STATISTIK_sandsynlighed for gev" sheetId="5" r:id="rId9"/>
    <sheet state="visible" name="SAMLET_til diagram" sheetId="6" r:id="rId10"/>
    <sheet state="visible" name="d_udvikling_TID" sheetId="7" r:id="rId11"/>
    <sheet state="visible" name="STATISTIK_01" sheetId="8" r:id="rId12"/>
    <sheet state="hidden" name="Claude Cache" sheetId="9" r:id="rId13"/>
    <sheet state="visible" name="STATISTIK_02_KR" sheetId="10" r:id="rId14"/>
    <sheet state="visible" name="STATISTIK_samlet_valgbar" sheetId="11" r:id="rId15"/>
    <sheet state="visible" name="STATISTIK_baggrund" sheetId="12" r:id="rId16"/>
    <sheet state="visible" name="TEST_STATISTIK_02_KR" sheetId="13" r:id="rId17"/>
    <sheet state="visible" name="Statistik-spørgsmål" sheetId="14" r:id="rId18"/>
    <sheet state="visible" name="01_21-06-2016" sheetId="15" r:id="rId19"/>
    <sheet state="visible" name="02_2492016" sheetId="16" r:id="rId20"/>
    <sheet state="visible" name="03_25-02-2017" sheetId="17" r:id="rId21"/>
    <sheet state="visible" name="04_Måske Berlin" sheetId="18" r:id="rId22"/>
    <sheet state="visible" name="05_22-09-2017_TOM" sheetId="19" r:id="rId23"/>
    <sheet state="visible" name="06_23-09-2017" sheetId="20" r:id="rId24"/>
    <sheet state="visible" name="07_24-09-2017" sheetId="21" r:id="rId25"/>
    <sheet state="visible" name="08_3-11-2018" sheetId="22" r:id="rId26"/>
    <sheet state="visible" name="09_26-01-2019" sheetId="23" r:id="rId27"/>
    <sheet state="visible" name="d_#09_26012019" sheetId="24" r:id="rId28"/>
    <sheet state="visible" name="10_28-06-2019" sheetId="25" r:id="rId29"/>
    <sheet state="visible" name="11_29-11-2019" sheetId="26" r:id="rId30"/>
    <sheet state="visible" name="12_21-02-2020" sheetId="27" r:id="rId31"/>
    <sheet state="visible" name="13_22-02-2020" sheetId="28" r:id="rId32"/>
    <sheet state="visible" name="14_02-10-2020" sheetId="29" r:id="rId33"/>
    <sheet state="visible" name="15_18-06-2021" sheetId="30" r:id="rId34"/>
    <sheet state="visible" name="16_18-11-2021" sheetId="31" r:id="rId35"/>
    <sheet state="visible" name="17_25-02-2022" sheetId="32" r:id="rId36"/>
    <sheet state="visible" name="18_26-02-2022" sheetId="33" r:id="rId37"/>
    <sheet state="visible" name="19a_13-01-2023_Fredag" sheetId="34" r:id="rId38"/>
    <sheet state="visible" name="19b_13-01-2023_Færge mod Tyskla" sheetId="35" r:id="rId39"/>
    <sheet state="visible" name="19c_13-01-2023_Brewdog fredag" sheetId="36" r:id="rId40"/>
    <sheet state="visible" name="20_14-01-2023_Stasi Lørdag" sheetId="37" r:id="rId41"/>
    <sheet state="visible" name="21_08-06-2023" sheetId="38" r:id="rId42"/>
    <sheet state="visible" name="22b_31-09-2023" sheetId="39" r:id="rId43"/>
    <sheet state="visible" name="22_31-09-2023_RETTET" sheetId="40" r:id="rId44"/>
    <sheet state="visible" name="23_27-06-2024" sheetId="41" r:id="rId45"/>
    <sheet state="visible" name="24_6-8-2024" sheetId="42" r:id="rId46"/>
    <sheet state="visible" name="25_29-11-2024" sheetId="43" r:id="rId47"/>
    <sheet state="visible" name="_26_30-11-2024 (lørdag i Berlin" sheetId="44" r:id="rId48"/>
    <sheet state="visible" name="26_30-11-2024" sheetId="45" r:id="rId49"/>
    <sheet state="visible" name="_skabelon" sheetId="46" r:id="rId50"/>
    <sheet state="visible" name="_27_30-11-2024 (lørdag i Berlin" sheetId="47" r:id="rId51"/>
  </sheets>
  <definedNames>
    <definedName name="s_gennemsnitspris_alle_og_melder">TEST_STATISTIK_02_KR!$B$96:$G$107</definedName>
    <definedName hidden="1" localSheetId="3" name="Z_21798E50_6015_40D0_A152_9274667AE87C_.wvu.FilterData">'SAMLET_alle regnskab'!$BH$1:$BH$530</definedName>
    <definedName hidden="1" localSheetId="22" name="Z_21798E50_6015_40D0_A152_9274667AE87C_.wvu.FilterData">'09_26-01-2019'!$L$2:$L$88</definedName>
    <definedName hidden="1" localSheetId="3" name="Z_EC738B98_73A5_4C38_80F3_33458A5EC54C_.wvu.FilterData">'SAMLET_alle regnskab'!$N$1:$N$531</definedName>
    <definedName hidden="1" localSheetId="3" name="Z_2B4004BD_AF2D_4137_A093_69D31E045B58_.wvu.FilterData">'SAMLET_alle regnskab'!$N$1:$N$531</definedName>
    <definedName hidden="1" localSheetId="3" name="Z_ACAC4120_3AD4_42A7_A84C_AEE0F5D21F53_.wvu.FilterData">'SAMLET_alle regnskab'!$N$1:$N$531</definedName>
    <definedName hidden="1" localSheetId="22" name="Z_C16C0745_71DE_4181_9F99_A06B2C935C1C_.wvu.FilterData">'09_26-01-2019'!$L$2:$L$88</definedName>
    <definedName hidden="1" localSheetId="3" name="Z_E6C22158_C2B8_4A37_818B_20C1D62FFCEC_.wvu.FilterData">'SAMLET_alle regnskab'!$N$1:$N$531</definedName>
    <definedName hidden="1" localSheetId="3" name="Z_CFF4A138_327E_4939_AA00_E1F41879CE53_.wvu.FilterData">'SAMLET_alle regnskab'!$N$1:$N$531</definedName>
    <definedName hidden="1" localSheetId="3" name="Z_5C027D68_0790_42FD_B236_8F46E790F4B0_.wvu.FilterData">'SAMLET_alle regnskab'!$N$1:$N$531</definedName>
    <definedName hidden="1" localSheetId="3" name="Z_64FE9A92_8348_43F1_8ACA_8B9F999FC2AA_.wvu.FilterData">'SAMLET_alle regnskab'!$N$1:$N$531</definedName>
    <definedName hidden="1" localSheetId="3" name="Z_5F72CD3B_7DB2_4B27_882E_A6DC1561BCB0_.wvu.FilterData">'SAMLET_alle regnskab'!$BC$1:$BC$530</definedName>
    <definedName hidden="1" localSheetId="3" name="Z_3DE8FA01_E342_4796_B0DD_004A273947C8_.wvu.FilterData">'SAMLET_alle regnskab'!$M$1:$X$526</definedName>
    <definedName hidden="1" localSheetId="3" name="Z_417EE87B_F98F_4A26_8A75_395583A589FC_.wvu.FilterData">'SAMLET_alle regnskab'!$U$1:$U$530</definedName>
    <definedName hidden="1" localSheetId="22" name="Z_417EE87B_F98F_4A26_8A75_395583A589FC_.wvu.FilterData">'09_26-01-2019'!$Z$2:$AG$44</definedName>
    <definedName hidden="1" localSheetId="3" name="Z_330811C9_D2B5_4E82_B8CD_1DC6DEBC5CE1_.wvu.FilterData">'SAMLET_alle regnskab'!$N$1:$O$531</definedName>
    <definedName hidden="1" localSheetId="3" name="Z_85DB16D7_50B0_4747_BD66_12FD8E998136_.wvu.FilterData">'SAMLET_alle regnskab'!$AQ$1:$AQ$530</definedName>
    <definedName hidden="1" localSheetId="3" name="Z_36202715_20AB_4CBA_931D_07628C0C354F_.wvu.FilterData">'SAMLET_alle regnskab'!$N$1:$N$531</definedName>
    <definedName hidden="1" localSheetId="3" name="Z_2E5949FF_CA39_4505_9B6D_D9CF5B6B69C6_.wvu.FilterData">'SAMLET_alle regnskab'!$N$1:$N$531</definedName>
    <definedName hidden="1" localSheetId="3" name="Z_BE4228F8_26F7_447E_80ED_0A25DB1CB3CB_.wvu.FilterData">'SAMLET_alle regnskab'!$N$1:$O$531</definedName>
    <definedName hidden="1" localSheetId="22" name="Z_1F920E86_4E30_496E_B844_067396839359_.wvu.FilterData">'09_26-01-2019'!$L$2:$L$88</definedName>
  </definedNames>
  <calcPr/>
  <customWorkbookViews>
    <customWorkbookView activeSheetId="0" maximized="1" windowHeight="0" windowWidth="0" guid="{5C027D68-0790-42FD-B236-8F46E790F4B0}" name="Solmeldinger – alle"/>
    <customWorkbookView activeSheetId="0" maximized="1" windowHeight="0" windowWidth="0" guid="{3DE8FA01-E342-4796-B0DD-004A273947C8}" name="melding: VIP 3."/>
    <customWorkbookView activeSheetId="0" maximized="1" windowHeight="0" windowWidth="0" guid="{BE4228F8-26F7-447E-80ED-0A25DB1CB3CB}" name="melding: VIP 2."/>
    <customWorkbookView activeSheetId="0" maximized="1" windowHeight="0" windowWidth="0" guid="{C16C0745-71DE-4181-9F99-A06B2C935C1C}" name="Halve"/>
    <customWorkbookView activeSheetId="0" maximized="1" windowHeight="0" windowWidth="0" guid="{E6C22158-C2B8-4A37-818B-20C1D62FFCEC}" name="melding: SANS"/>
    <customWorkbookView activeSheetId="0" maximized="1" windowHeight="0" windowWidth="0" guid="{330811C9-D2B5-4E82-B8CD-1DC6DEBC5CE1}" name="melding: VIP 1."/>
    <customWorkbookView activeSheetId="0" maximized="1" windowHeight="0" windowWidth="0" guid="{64FE9A92-8348-43F1-8ACA-8B9F999FC2AA}" name="melding: HALVE"/>
    <customWorkbookView activeSheetId="0" maximized="1" windowHeight="0" windowWidth="0" guid="{36202715-20AB-4CBA-931D-07628C0C354F}" name="melding: ALM"/>
    <customWorkbookView activeSheetId="0" maximized="1" windowHeight="0" windowWidth="0" guid="{85DB16D7-50B0-4747-BD66-12FD8E998136}" name="makker: PETER"/>
    <customWorkbookView activeSheetId="0" maximized="1" windowHeight="0" windowWidth="0" guid="{ACAC4120-3AD4-42A7-A84C-AEE0F5D21F53}" name="Alm, sans, halve, gode, vip"/>
    <customWorkbookView activeSheetId="0" maximized="1" windowHeight="0" windowWidth="0" guid="{21798E50-6015-40D0-A152-9274667AE87C}" name="Filter 2"/>
    <customWorkbookView activeSheetId="0" maximized="1" windowHeight="0" windowWidth="0" guid="{5F72CD3B-7DB2-4B27-882E-A6DC1561BCB0}" name="Filter 3"/>
    <customWorkbookView activeSheetId="0" maximized="1" windowHeight="0" windowWidth="0" guid="{CFF4A138-327E-4939-AA00-E1F41879CE53}" name="med linger: ALLE registrerede"/>
    <customWorkbookView activeSheetId="0" maximized="1" windowHeight="0" windowWidth="0" guid="{1F920E86-4E30-496E-B844-067396839359}" name="Sol &amp; ren sol"/>
    <customWorkbookView activeSheetId="0" maximized="1" windowHeight="0" windowWidth="0" guid="{417EE87B-F98F-4A26-8A75-395583A589FC}" name="Filter 1"/>
    <customWorkbookView activeSheetId="0" maximized="1" windowHeight="0" windowWidth="0" guid="{2E5949FF-CA39-4505-9B6D-D9CF5B6B69C6}" name="melding: GODE"/>
    <customWorkbookView activeSheetId="0" maximized="1" windowHeight="0" windowWidth="0" guid="{2B4004BD-AF2D-4137-A093-69D31E045B58}" name="Vip"/>
    <customWorkbookView activeSheetId="0" maximized="1" windowHeight="0" windowWidth="0" guid="{EC738B98-73A5-4C38-80F3-33458A5EC54C}" name="med linger: TOMM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Jeg har tre foto fra dagen (vi sidder ved det flotte lange træbord under Københavnerlamperne hos Thomas).</t>
      </text>
    </comment>
    <comment authorId="0" ref="F4">
      <text>
        <t xml:space="preserve">Her er der flere fejl i regnskabet – bl.a. forsvinder der 100 kroner fra mig fra spil 12 til 13 (jeg skulle kun tabe 4 kroner, men bliver noteret til at tabe 104)
</t>
      </text>
    </comment>
    <comment authorId="0" ref="M11">
      <text>
        <t xml:space="preserve">Foto af Peters computerskærm med regnskabet åbent i Excel. Der er to faner – både for 3/11/2018 og 26/1/2019, men i den version af filen, som jeg har fundet, er der kun regnskabet fra november 2011. Regnskabet er baseret på foto tastet ind.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Her er der felre fejl i regnskabet – bl.a. forsvinder der 100 kroner fra mig fra spil 12 til 13 (jeg skulle kun tabe 4 kroner, men bliver noteret til at tabe 104)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0">
      <text>
        <t xml:space="preserve">På færgen</t>
      </text>
    </comment>
    <comment authorId="0" ref="A168">
      <text>
        <t xml:space="preserve">I Løkken</t>
      </text>
    </comment>
    <comment authorId="0" ref="A270">
      <text>
        <t xml:space="preserve">Spil 18 er bare en kopi af resultaterne i spil #17. Der ser ikke ud til at #18 er blevet skrevet ind...</t>
      </text>
    </comment>
    <comment authorId="0" ref="B384">
      <text>
        <t xml:space="preserve">Færgen mod Tyskland
</t>
      </text>
    </comment>
    <comment authorId="0" ref="B392">
      <text>
        <t xml:space="preserve">Efter færgen
</t>
      </text>
    </comment>
    <comment authorId="0" ref="B411">
      <text>
        <t xml:space="preserve">Brewdog – ser ikke ud til, at det seneste spil (#49) er skrevet ind...? Det gentager bare scoren fra spil #48</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9">
      <text>
        <t xml:space="preserve">Fordelingen af vundne meldinger for hver person procent (vundne meldinger, ikke spil)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
      <text>
        <t xml:space="preserve">Burde være +8</t>
      </text>
    </comment>
    <comment authorId="0" ref="K10">
      <text>
        <t xml:space="preserve">Burde være +32</t>
      </text>
    </comment>
    <comment authorId="0" ref="M16">
      <text>
        <t xml:space="preserve">Burde være +4</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Burde være -8</t>
      </text>
    </comment>
    <comment authorId="0" ref="N8">
      <text>
        <t xml:space="preserve">Burde være -8</t>
      </text>
    </comment>
    <comment authorId="0" ref="K11">
      <text>
        <t xml:space="preserve">Burde nok være +32</t>
      </text>
    </comment>
    <comment authorId="0" ref="K18">
      <text>
        <t xml:space="preserve">Burde nok være -12</t>
      </text>
    </comment>
    <comment authorId="0" ref="L19">
      <text>
        <t xml:space="preserve">Burde være 8</t>
      </text>
    </comment>
    <comment authorId="0" ref="M19">
      <text>
        <t xml:space="preserve">Burde nok være +8</t>
      </text>
    </comment>
    <comment authorId="0" ref="N19">
      <text>
        <t xml:space="preserve">Burde nok være +8</t>
      </text>
    </comment>
    <comment authorId="0" ref="L25">
      <text>
        <t xml:space="preserve">Burde nok være +32</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1">
      <text>
        <t xml:space="preserve">Burde være -4</t>
      </text>
    </comment>
    <comment authorId="0" ref="L24">
      <text>
        <t xml:space="preserve">Burde være +8</t>
      </text>
    </comment>
    <comment authorId="0" ref="K25">
      <text>
        <t xml:space="preserve">Burde være +8</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X8">
      <text>
        <t xml:space="preserve">Det ser ud til, at Thomas vinder 8 kr. mens jeg kun vinder 6 kr. Og Peter taber 8 kr. og Christian taber 6 kr.</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Der er ingen udvikling her – det er bare spil 17-resultaterne, der er kopieret. Tror ikke resultatet af det sidste spil er kommet med...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0">
      <text>
        <t xml:space="preserve">Enten har Thomas meldt (det tror jeg) og jeg var makker. Eller omvendt. 
Ellers er pointene/kronerne fordelt forkert.</t>
      </text>
    </comment>
  </commentList>
</comments>
</file>

<file path=xl/sharedStrings.xml><?xml version="1.0" encoding="utf-8"?>
<sst xmlns="http://schemas.openxmlformats.org/spreadsheetml/2006/main" count="4323" uniqueCount="506">
  <si>
    <t>ok?</t>
  </si>
  <si>
    <t>Dato</t>
  </si>
  <si>
    <t>Person</t>
  </si>
  <si>
    <t>Samlet sum</t>
  </si>
  <si>
    <t>Antal spil</t>
  </si>
  <si>
    <t>Største gevinst</t>
  </si>
  <si>
    <t>Største tab</t>
  </si>
  <si>
    <t>Thomas</t>
  </si>
  <si>
    <t>Peter</t>
  </si>
  <si>
    <t>Janus</t>
  </si>
  <si>
    <t>Christian</t>
  </si>
  <si>
    <t>Regnskab</t>
  </si>
  <si>
    <t>Thomas, Vanløse</t>
  </si>
  <si>
    <t>Christians bog</t>
  </si>
  <si>
    <t>foto</t>
  </si>
  <si>
    <t>x</t>
  </si>
  <si>
    <t>Christian, Østerbro</t>
  </si>
  <si>
    <t>Messenger-tråd (billeder af snapseflasker)</t>
  </si>
  <si>
    <t>Måske 25/2/2017 hos Peter (Lundtoftevej 208)</t>
  </si>
  <si>
    <t>?</t>
  </si>
  <si>
    <t>Kunne det være første dag i Berlin? Passer ikke rigtig med Peters og Christians regnskab… Jeg har en svag erindring om, at vi nulstillede optællingen halvvejs, fordi Christian var så langt bagefter, at han havde det lidt tungt med motivationen…? Men det er nok mere sandsynligt, at det er første del af regnskabet fra Berlin-turen (fredag) og at der mangler en mellemregning fra bogen til starten i Peters regneark…</t>
  </si>
  <si>
    <t>Janus, Berlin</t>
  </si>
  <si>
    <t>Fredag er tom i regnearket, men vi starter ikke på nul, så det er nok videreført fra dagen før (J: 140 / T: -84 / P: -68 / C: 12)</t>
  </si>
  <si>
    <t>whistberlin.xlsx</t>
  </si>
  <si>
    <t>Whist Thomas.xlsx</t>
  </si>
  <si>
    <t>Peter, Lyngby</t>
  </si>
  <si>
    <t>Whist – 26-01-2019</t>
  </si>
  <si>
    <t>Foto – bl.a. af Peter, der skærer en lækker steg. Og af regnskabsbogen.</t>
  </si>
  <si>
    <t>Peter, Lyngby (Pool)</t>
  </si>
  <si>
    <t>Whist Ongoing.xlsx</t>
  </si>
  <si>
    <t>Foto bl.a. af poolen</t>
  </si>
  <si>
    <t>Dyrehaven, Vesterbro</t>
  </si>
  <si>
    <t>Foto og videoer (+ foto i WhatsApp-tråden)</t>
  </si>
  <si>
    <t>12a</t>
  </si>
  <si>
    <t>Peter, Løkken</t>
  </si>
  <si>
    <t>På samme ark som 12b (12a er fra færgen)</t>
  </si>
  <si>
    <t>12b</t>
  </si>
  <si>
    <t>Thomas, Valby</t>
  </si>
  <si>
    <t>Stempel, Vesterbro</t>
  </si>
  <si>
    <t>whistløkken2022.xlsx</t>
  </si>
  <si>
    <t>whistberlin2023.xlsx</t>
  </si>
  <si>
    <t>Færgen mod Tyskland</t>
  </si>
  <si>
    <t>Lørdag</t>
  </si>
  <si>
    <t>Kayak Bar</t>
  </si>
  <si>
    <t>whistkajakbar2023.xlsx</t>
  </si>
  <si>
    <t>På Kayak Bar</t>
  </si>
  <si>
    <t>whistLyngby2023</t>
  </si>
  <si>
    <t>Delt over i tre afdelinger</t>
  </si>
  <si>
    <t>Dyrhaven</t>
  </si>
  <si>
    <t>Peter (efter skydebanen)</t>
  </si>
  <si>
    <t>Minimum</t>
  </si>
  <si>
    <t>Gennemsnit</t>
  </si>
  <si>
    <t>Maksimum</t>
  </si>
  <si>
    <t>KUN fra runde 8</t>
  </si>
  <si>
    <t>Rang</t>
  </si>
  <si>
    <t xml:space="preserve">Thomas placerin
</t>
  </si>
  <si>
    <t>Peters</t>
  </si>
  <si>
    <t>Christian'</t>
  </si>
  <si>
    <t>PROCENT</t>
  </si>
  <si>
    <t>#</t>
  </si>
  <si>
    <t>31/09/2023</t>
  </si>
  <si>
    <t>due</t>
  </si>
  <si>
    <t>test</t>
  </si>
  <si>
    <t>DATO</t>
  </si>
  <si>
    <t>Melding</t>
  </si>
  <si>
    <t>Vundet / tabt pr. hånd</t>
  </si>
  <si>
    <t>MED MELDING</t>
  </si>
  <si>
    <t>vundet</t>
  </si>
  <si>
    <t>tabt</t>
  </si>
  <si>
    <t>VINDERE</t>
  </si>
  <si>
    <t>TABERE</t>
  </si>
  <si>
    <t>MAKKER</t>
  </si>
  <si>
    <t>STREAKS</t>
  </si>
  <si>
    <t>WIN / RUNDER</t>
  </si>
  <si>
    <t>LOOSE / RUNDER</t>
  </si>
  <si>
    <t>WIN / KR</t>
  </si>
  <si>
    <t>LOOSE / KR</t>
  </si>
  <si>
    <t>SPILLEDAGE</t>
  </si>
  <si>
    <t>spil</t>
  </si>
  <si>
    <t>Tjek</t>
  </si>
  <si>
    <t>Melder</t>
  </si>
  <si>
    <t>Makker</t>
  </si>
  <si>
    <t>giver</t>
  </si>
  <si>
    <t>Vindende melding</t>
  </si>
  <si>
    <t>Antal</t>
  </si>
  <si>
    <t>Type</t>
  </si>
  <si>
    <t>Vip</t>
  </si>
  <si>
    <t>Gode i 3.</t>
  </si>
  <si>
    <t>går med</t>
  </si>
  <si>
    <t>selvmakker</t>
  </si>
  <si>
    <t>Storslem</t>
  </si>
  <si>
    <t>Alene?</t>
  </si>
  <si>
    <t>tjek</t>
  </si>
  <si>
    <t>(til dropdown)</t>
  </si>
  <si>
    <t>Halve</t>
  </si>
  <si>
    <t>Gode</t>
  </si>
  <si>
    <t>TEST</t>
  </si>
  <si>
    <t>Ren sol</t>
  </si>
  <si>
    <t>Sans</t>
  </si>
  <si>
    <t>Sol</t>
  </si>
  <si>
    <t>Alm</t>
  </si>
  <si>
    <t>Halv bordlægger</t>
  </si>
  <si>
    <t>Janus/Christian</t>
  </si>
  <si>
    <t>Spilnummer</t>
  </si>
  <si>
    <t>c</t>
  </si>
  <si>
    <t>d</t>
  </si>
  <si>
    <t>e</t>
  </si>
  <si>
    <t>f</t>
  </si>
  <si>
    <t>SAMLET</t>
  </si>
  <si>
    <t>VUNDNE</t>
  </si>
  <si>
    <t>TABTE</t>
  </si>
  <si>
    <t>SPIL</t>
  </si>
  <si>
    <t>MAX</t>
  </si>
  <si>
    <t>MIN</t>
  </si>
  <si>
    <t>AV</t>
  </si>
  <si>
    <t>Samlet antal</t>
  </si>
  <si>
    <t>Med registrerede meldinger</t>
  </si>
  <si>
    <t>Solmeldinger (sol. ren osv.)</t>
  </si>
  <si>
    <t>Ikke-solmeldinger</t>
  </si>
  <si>
    <t>22-34?</t>
  </si>
  <si>
    <t>Tomme (ikke registreret)</t>
  </si>
  <si>
    <t>vundne spil</t>
  </si>
  <si>
    <t>pct</t>
  </si>
  <si>
    <t>tabte</t>
  </si>
  <si>
    <t>VUNDET MAX beløb</t>
  </si>
  <si>
    <t>TABT MIN beløb</t>
  </si>
  <si>
    <t>MELDINGER</t>
  </si>
  <si>
    <t>Vundne meldinger</t>
  </si>
  <si>
    <t>Tager vist ikke højde for "går med"</t>
  </si>
  <si>
    <t>v</t>
  </si>
  <si>
    <t>w</t>
  </si>
  <si>
    <t>u</t>
  </si>
  <si>
    <t>HER MÅ DER VÆRE FEJL</t>
  </si>
  <si>
    <t>TYPER</t>
  </si>
  <si>
    <t>VINDER MELDINGEN</t>
  </si>
  <si>
    <t>VUNDNE SPIL</t>
  </si>
  <si>
    <t>TABTE SPIL</t>
  </si>
  <si>
    <t>PCT VUNDNE MED MELDING</t>
  </si>
  <si>
    <t>antal</t>
  </si>
  <si>
    <t>sol</t>
  </si>
  <si>
    <t>ren sol</t>
  </si>
  <si>
    <t>halv bordlægger</t>
  </si>
  <si>
    <t>alm</t>
  </si>
  <si>
    <t>sans</t>
  </si>
  <si>
    <t>halve</t>
  </si>
  <si>
    <t>vip</t>
  </si>
  <si>
    <t>gode</t>
  </si>
  <si>
    <t>af vip</t>
  </si>
  <si>
    <t>af alle spil</t>
  </si>
  <si>
    <t>VINDER MELDINGEN – PCT</t>
  </si>
  <si>
    <t>spil uden reg</t>
  </si>
  <si>
    <t>i alt</t>
  </si>
  <si>
    <t>VIP</t>
  </si>
  <si>
    <t>STIK</t>
  </si>
  <si>
    <t>RUNDER</t>
  </si>
  <si>
    <t>8-22</t>
  </si>
  <si>
    <t>MAX i én runde</t>
  </si>
  <si>
    <t>MIN i én runde</t>
  </si>
  <si>
    <t>AVERAGE i alle runder</t>
  </si>
  <si>
    <t>SAMLET +/-</t>
  </si>
  <si>
    <t>VUNDET antal runder</t>
  </si>
  <si>
    <t>TABT antal runder</t>
  </si>
  <si>
    <t>Kun spil med makker (ikke sol-meldinger)</t>
  </si>
  <si>
    <t>MAKKER – alle spil</t>
  </si>
  <si>
    <t>MAKKER – alle spil – %</t>
  </si>
  <si>
    <t>Antal spil som makker</t>
  </si>
  <si>
    <t xml:space="preserve">af </t>
  </si>
  <si>
    <t>VUNDNE som makker</t>
  </si>
  <si>
    <t>Det er baseret på resultatet for dén, der har vundet meldingen (tabt(vundet spillet)</t>
  </si>
  <si>
    <t>tabt som makker</t>
  </si>
  <si>
    <t>MAKKER – VINDER</t>
  </si>
  <si>
    <t>MAKKER – TABER</t>
  </si>
  <si>
    <t>Spil med X som makker</t>
  </si>
  <si>
    <t>MELDER</t>
  </si>
  <si>
    <t>--</t>
  </si>
  <si>
    <t>MAKKER – af alle spil</t>
  </si>
  <si>
    <t>MAKKER – VINDER – %</t>
  </si>
  <si>
    <t>MAKKER – TABER – %</t>
  </si>
  <si>
    <t>Hmmm – det virker sært, at stort set alle vinder-procenterne er høje, og taberprocenterne lave... Må handle om, at de bliver målt i forhold til alle spil – også dem, hvor der ikke er nogen makkere (sol osv.)</t>
  </si>
  <si>
    <t>⚠️ SHEET RESERVED FOR =CLAUDE... FUNCTIONS. DO NOT EDIT! ⚠️</t>
  </si>
  <si>
    <t>Key</t>
  </si>
  <si>
    <t>Value</t>
  </si>
  <si>
    <t>Expiration</t>
  </si>
  <si>
    <t>STATISTIK 02</t>
  </si>
  <si>
    <t>Kun fra runde 8 og frem</t>
  </si>
  <si>
    <t>Alle</t>
  </si>
  <si>
    <t>Spildag</t>
  </si>
  <si>
    <t>fra/til</t>
  </si>
  <si>
    <t>alle</t>
  </si>
  <si>
    <t>HØJESTE GEVINST/TAB – og gennemsnit</t>
  </si>
  <si>
    <t>Med registerede meldinger</t>
  </si>
  <si>
    <t>HØJESTE GEVINST / PR MELDING</t>
  </si>
  <si>
    <t>STØRSTE TAB / PR MELDING</t>
  </si>
  <si>
    <t>ANTAL VUNDNE MELDINGER</t>
  </si>
  <si>
    <t>I alt</t>
  </si>
  <si>
    <t>Mest indbringende</t>
  </si>
  <si>
    <t>Pris</t>
  </si>
  <si>
    <t>PROBLEMER</t>
  </si>
  <si>
    <t>Der blev ikke registreret spiltype de første 15 spil på spilledag 8</t>
  </si>
  <si>
    <t>Spil #</t>
  </si>
  <si>
    <t>Dyreste spil</t>
  </si>
  <si>
    <t>IKKE RETTET HERFRA</t>
  </si>
  <si>
    <t>WIN streak / RUNDER</t>
  </si>
  <si>
    <t>LOOSE streak / RUNDER</t>
  </si>
  <si>
    <t>WIN streak / KR</t>
  </si>
  <si>
    <t>LOOSE streak / KR</t>
  </si>
  <si>
    <t>WIN STREAK / RUNDER</t>
  </si>
  <si>
    <t>LOOSE STREAK / RUNDER</t>
  </si>
  <si>
    <t>KRONER</t>
  </si>
  <si>
    <t>WIN STREAKS KRONER</t>
  </si>
  <si>
    <t>LOOSE STREAKS KRONER</t>
  </si>
  <si>
    <t>+/-</t>
  </si>
  <si>
    <t>300+</t>
  </si>
  <si>
    <t>PRIS</t>
  </si>
  <si>
    <t>GENNEMSNITSPRIS</t>
  </si>
  <si>
    <t>ALLE SPIL</t>
  </si>
  <si>
    <t>SOM MELDER</t>
  </si>
  <si>
    <t>ANTAL SPIL SOM MELDER</t>
  </si>
  <si>
    <t>vip #</t>
  </si>
  <si>
    <t>(tager ikke højde for spil, hvor der er duefejl)</t>
  </si>
  <si>
    <t>VUNDET / TABT</t>
  </si>
  <si>
    <t>TJEK FRA 00</t>
  </si>
  <si>
    <t>t</t>
  </si>
  <si>
    <t>p</t>
  </si>
  <si>
    <t>j</t>
  </si>
  <si>
    <t>runde 8--</t>
  </si>
  <si>
    <t xml:space="preserve">forskel </t>
  </si>
  <si>
    <t>IDEER</t>
  </si>
  <si>
    <t>Selvmakker</t>
  </si>
  <si>
    <t>Duefejl</t>
  </si>
  <si>
    <t>Går med</t>
  </si>
  <si>
    <t>Mest indbringende spiltype for hver person</t>
  </si>
  <si>
    <t>Bedste makker</t>
  </si>
  <si>
    <t>STATISTIK</t>
  </si>
  <si>
    <t>Tid</t>
  </si>
  <si>
    <t>Statistik</t>
  </si>
  <si>
    <t>TEST 01</t>
  </si>
  <si>
    <t>Gennemsnitspris (begge)</t>
  </si>
  <si>
    <t>STATISTIK – beggrund</t>
  </si>
  <si>
    <t>MENU-TEST</t>
  </si>
  <si>
    <t>Statistik 01</t>
  </si>
  <si>
    <t>Gennemsnitspris – alle spil</t>
  </si>
  <si>
    <t>Gennemsnitspris – som melder</t>
  </si>
  <si>
    <t>HØJST / LAVEST</t>
  </si>
  <si>
    <t>Tæller videre fra forrige spilledags sidste runde</t>
  </si>
  <si>
    <t>Viser den første runder, hvis der er flere med samme antal streaks</t>
  </si>
  <si>
    <t>FEJL - udregner forkert...</t>
  </si>
  <si>
    <t>runde</t>
  </si>
  <si>
    <t>dato</t>
  </si>
  <si>
    <t>MED NUL</t>
  </si>
  <si>
    <t>Samlet</t>
  </si>
  <si>
    <t>HIGH / LOW</t>
  </si>
  <si>
    <t>TID</t>
  </si>
  <si>
    <t>All time</t>
  </si>
  <si>
    <t>Seneste år</t>
  </si>
  <si>
    <t>Denne spillerunde</t>
  </si>
  <si>
    <t>Win streak – antal runder</t>
  </si>
  <si>
    <t>Win streak – kroner</t>
  </si>
  <si>
    <t>STREAK</t>
  </si>
  <si>
    <t>Loose streak – antal runder</t>
  </si>
  <si>
    <t>Loose streak – kroner</t>
  </si>
  <si>
    <t>TYPE</t>
  </si>
  <si>
    <t>Mest vindende type spil</t>
  </si>
  <si>
    <t>Mest tabende type spil</t>
  </si>
  <si>
    <t>Gennemsnitlige tab/gevinst pr. spiltype</t>
  </si>
  <si>
    <t>Mest vindende makker-kombi</t>
  </si>
  <si>
    <t>Mest vindende makker-kombi – pr. spiltype</t>
  </si>
  <si>
    <t>Mest tabende makker-kombi</t>
  </si>
  <si>
    <t>Mest tabende makker-kombi – pr. spiltype</t>
  </si>
  <si>
    <t>Bedste makker pr. spiltype</t>
  </si>
  <si>
    <t>Tendens over alle spildage</t>
  </si>
  <si>
    <t>Tendens på denne spildag</t>
  </si>
  <si>
    <t>Tendens i genngmsnit på spildage (hvornår på dagen vinder/taber X mest)</t>
  </si>
  <si>
    <t>De mest populære meldinger</t>
  </si>
  <si>
    <t>Hvem vinder flest meldinger</t>
  </si>
  <si>
    <t>Flest meldinger fordelt på spiller og spiltype</t>
  </si>
  <si>
    <t>NOTER</t>
  </si>
  <si>
    <t>Ville gerne kunne se hver spildag for sig</t>
  </si>
  <si>
    <t>Tværsum</t>
  </si>
  <si>
    <t>Tjek 2</t>
  </si>
  <si>
    <t>FRA CHRISTIANS NOTESBOG</t>
  </si>
  <si>
    <t>Her ryger jeg 100 kroner for langt ned</t>
  </si>
  <si>
    <t>Hvem vinder 20 i stedet for at miste dem? Tror det er Christian...</t>
  </si>
  <si>
    <t>ny side</t>
  </si>
  <si>
    <t>FRA PETERS BOG...</t>
  </si>
  <si>
    <t>IKKE NOGET REGNSKAB?</t>
  </si>
  <si>
    <t>janus</t>
  </si>
  <si>
    <t>thomas</t>
  </si>
  <si>
    <t>Kontrol</t>
  </si>
  <si>
    <t>Column1</t>
  </si>
  <si>
    <t>Column2</t>
  </si>
  <si>
    <t>Start</t>
  </si>
  <si>
    <t>Slut</t>
  </si>
  <si>
    <t>9 halve</t>
  </si>
  <si>
    <t>9 vip i 3.</t>
  </si>
  <si>
    <t>-----</t>
  </si>
  <si>
    <t>------</t>
  </si>
  <si>
    <t>----</t>
  </si>
  <si>
    <t>---</t>
  </si>
  <si>
    <t>9 gode</t>
  </si>
  <si>
    <t>9.  vip i 3.</t>
  </si>
  <si>
    <t>Ren Sol</t>
  </si>
  <si>
    <t>10 halve</t>
  </si>
  <si>
    <t xml:space="preserve">9. vip i 2. </t>
  </si>
  <si>
    <t>9.  gode</t>
  </si>
  <si>
    <t>9.  halve</t>
  </si>
  <si>
    <t>9 vip i 1.</t>
  </si>
  <si>
    <t>10 sol ren</t>
  </si>
  <si>
    <t>10 gode</t>
  </si>
  <si>
    <t>9. sans</t>
  </si>
  <si>
    <t>9 vip i 2.</t>
  </si>
  <si>
    <t>10 sans</t>
  </si>
  <si>
    <t>9 vip 2.</t>
  </si>
  <si>
    <t>10  halve</t>
  </si>
  <si>
    <t>10 alm</t>
  </si>
  <si>
    <t>9 vip  1.</t>
  </si>
  <si>
    <t>Spil</t>
  </si>
  <si>
    <t>FEJL</t>
  </si>
  <si>
    <t>Peter+Christian</t>
  </si>
  <si>
    <t>2 gange sol</t>
  </si>
  <si>
    <t>duestraf</t>
  </si>
  <si>
    <t>9 halve (selvmakker)</t>
  </si>
  <si>
    <t>9 vip i 3. (gode)</t>
  </si>
  <si>
    <t>9 ren</t>
  </si>
  <si>
    <t>8 gode (selvmakker)</t>
  </si>
  <si>
    <t>10 vip i 3.</t>
  </si>
  <si>
    <t>vip i ?</t>
  </si>
  <si>
    <t>med meld.</t>
  </si>
  <si>
    <t>VUNDET med melding</t>
  </si>
  <si>
    <t>TABT med melding</t>
  </si>
  <si>
    <t>MAX vundet med meld.</t>
  </si>
  <si>
    <t>MIN tabt med meld.</t>
  </si>
  <si>
    <t>Max</t>
  </si>
  <si>
    <t>Min</t>
  </si>
  <si>
    <t>ANTAL MED MELDING</t>
  </si>
  <si>
    <t>ANTAL STIK</t>
  </si>
  <si>
    <t>9 vip i 2.andet</t>
  </si>
  <si>
    <t>9 vip 1. første</t>
  </si>
  <si>
    <t xml:space="preserve"> 9 halve</t>
  </si>
  <si>
    <t>9. vip i 2.</t>
  </si>
  <si>
    <t>Sol med 2</t>
  </si>
  <si>
    <t>Thomas/Peter</t>
  </si>
  <si>
    <t>8 gode</t>
  </si>
  <si>
    <t>10 vip i 2.anden</t>
  </si>
  <si>
    <t>9. 2 vip</t>
  </si>
  <si>
    <t>9 alm</t>
  </si>
  <si>
    <t>9 2. vip</t>
  </si>
  <si>
    <t>9. halve</t>
  </si>
  <si>
    <t>10 almindelige</t>
  </si>
  <si>
    <t>8 vip</t>
  </si>
  <si>
    <t>9 sans</t>
  </si>
  <si>
    <t>9 vip  i 1.</t>
  </si>
  <si>
    <t>8 halve</t>
  </si>
  <si>
    <t>8 vip 1</t>
  </si>
  <si>
    <t>9 vip i første</t>
  </si>
  <si>
    <t>11. alm</t>
  </si>
  <si>
    <t>10 vip i 1 vip</t>
  </si>
  <si>
    <t>9 vip i 3</t>
  </si>
  <si>
    <t xml:space="preserve">Peter </t>
  </si>
  <si>
    <t>Færgen</t>
  </si>
  <si>
    <t>Sum</t>
  </si>
  <si>
    <t>Hvem</t>
  </si>
  <si>
    <t>Sommerhus</t>
  </si>
  <si>
    <t>christian</t>
  </si>
  <si>
    <t>peter</t>
  </si>
  <si>
    <t xml:space="preserve"> 9 vip i 1.</t>
  </si>
  <si>
    <t>vip i 2.</t>
  </si>
  <si>
    <t>10 sol</t>
  </si>
  <si>
    <t>9 vip i 1</t>
  </si>
  <si>
    <t>Peter/Christian</t>
  </si>
  <si>
    <t>9 vip i 3 gode</t>
  </si>
  <si>
    <t>8 vip i 3</t>
  </si>
  <si>
    <t>Thoms/Janus</t>
  </si>
  <si>
    <t>Storslem til Janus/Christian</t>
  </si>
  <si>
    <t xml:space="preserve">10 Vip i 1. </t>
  </si>
  <si>
    <t>11 alm</t>
  </si>
  <si>
    <t xml:space="preserve">11 alm </t>
  </si>
  <si>
    <t>9. vip i 3.</t>
  </si>
  <si>
    <t xml:space="preserve">9. vip i 1. </t>
  </si>
  <si>
    <t>10. Vip i 2.</t>
  </si>
  <si>
    <t>Halv bordlægning</t>
  </si>
  <si>
    <t>9. vip i 3,</t>
  </si>
  <si>
    <t>8. halve</t>
  </si>
  <si>
    <t xml:space="preserve">Christian </t>
  </si>
  <si>
    <t xml:space="preserve">Thomas </t>
  </si>
  <si>
    <t>9. vip i 3</t>
  </si>
  <si>
    <t>10- gode</t>
  </si>
  <si>
    <t>10. halve</t>
  </si>
  <si>
    <t>Christian /Janus</t>
  </si>
  <si>
    <t>10 (Rene)</t>
  </si>
  <si>
    <t>10 Alm (æg)</t>
  </si>
  <si>
    <t>10 vip 3 gode</t>
  </si>
  <si>
    <t>9 vip 1</t>
  </si>
  <si>
    <t>Giver</t>
  </si>
  <si>
    <t>hvem</t>
  </si>
  <si>
    <t>Starttidspunkt</t>
  </si>
  <si>
    <t>Sluttidspunkt</t>
  </si>
  <si>
    <t>9 vip i 1 (selvmakker)</t>
  </si>
  <si>
    <t>9 halve (selvmakker</t>
  </si>
  <si>
    <t>8 Gode</t>
  </si>
  <si>
    <t xml:space="preserve">Sol </t>
  </si>
  <si>
    <t>9 vip i 2</t>
  </si>
  <si>
    <t xml:space="preserve">Vip  1. </t>
  </si>
  <si>
    <t>10 Vip 2.</t>
  </si>
  <si>
    <t xml:space="preserve">9 halve </t>
  </si>
  <si>
    <t>8 vip 2.</t>
  </si>
  <si>
    <t>9 Vip 1</t>
  </si>
  <si>
    <t>9 vip (Due fejl)</t>
  </si>
  <si>
    <t xml:space="preserve">Ren Sol </t>
  </si>
  <si>
    <t>9 vip 2</t>
  </si>
  <si>
    <t>9 vip i 3 - gode</t>
  </si>
  <si>
    <t xml:space="preserve">halv bordlægger </t>
  </si>
  <si>
    <t>8 vip i 2 - ruder</t>
  </si>
  <si>
    <t>9 vip i 2 - spar</t>
  </si>
  <si>
    <t>9 vip i 2 - hjerte</t>
  </si>
  <si>
    <t>Efter færge</t>
  </si>
  <si>
    <t>9 vip - 1- - hjerter - selvmakker</t>
  </si>
  <si>
    <t>Rent Sol</t>
  </si>
  <si>
    <t>9 vip 3 - gode</t>
  </si>
  <si>
    <t>9 vip i 2 - selvmakker - gode es</t>
  </si>
  <si>
    <t>9 vip 1 - sol</t>
  </si>
  <si>
    <t>9 vip 1. - Ruder</t>
  </si>
  <si>
    <t>9 vip i 3. - det gode</t>
  </si>
  <si>
    <t xml:space="preserve">Janus </t>
  </si>
  <si>
    <t>Vip i 1.</t>
  </si>
  <si>
    <t>Kommentar</t>
  </si>
  <si>
    <t xml:space="preserve">9 gode </t>
  </si>
  <si>
    <t>10 vip 1 - ruder</t>
  </si>
  <si>
    <t xml:space="preserve">9 vip i 3 </t>
  </si>
  <si>
    <t>10 vip i 3</t>
  </si>
  <si>
    <t>Due straf - glemte at bytte inden vip</t>
  </si>
  <si>
    <t>Janjus</t>
  </si>
  <si>
    <t>8 alm</t>
  </si>
  <si>
    <t>Janjusz</t>
  </si>
  <si>
    <t>8 vip i 3 - ruder</t>
  </si>
  <si>
    <t>THomas</t>
  </si>
  <si>
    <t>Janiz</t>
  </si>
  <si>
    <t>9 vip  1- spar</t>
  </si>
  <si>
    <t xml:space="preserve">9 vip i 2 </t>
  </si>
  <si>
    <t>Jansicz</t>
  </si>
  <si>
    <t>9 vip 1.</t>
  </si>
  <si>
    <t>10 vip i 2.</t>
  </si>
  <si>
    <t>9 halve selvmakker ruder</t>
  </si>
  <si>
    <t xml:space="preserve">8 vip i 3. </t>
  </si>
  <si>
    <t xml:space="preserve">9 vip i 1. </t>
  </si>
  <si>
    <t>9 vip 3</t>
  </si>
  <si>
    <t>INDENDØRS</t>
  </si>
  <si>
    <t>rent sol</t>
  </si>
  <si>
    <t>WIN streak RUNDE</t>
  </si>
  <si>
    <t>LOOSE RUNDE</t>
  </si>
  <si>
    <t>WIN KR</t>
  </si>
  <si>
    <t>LOOSE KR</t>
  </si>
  <si>
    <t>FORTLØBENDE</t>
  </si>
  <si>
    <t>DEL 1</t>
  </si>
  <si>
    <t xml:space="preserve">10 Vip i 3. </t>
  </si>
  <si>
    <t>DEL 2</t>
  </si>
  <si>
    <t>Det her spil kan jeg slet ikke huske – og det ligner mig dårligt at vipper til tredje...?</t>
  </si>
  <si>
    <t>DEL 3</t>
  </si>
  <si>
    <t xml:space="preserve">11 vip 1 </t>
  </si>
  <si>
    <t>9 vip 1 (storslem)</t>
  </si>
  <si>
    <t xml:space="preserve">8 i 2 </t>
  </si>
  <si>
    <t xml:space="preserve">10 vip 1. </t>
  </si>
  <si>
    <t>10 alm (storslem)</t>
  </si>
  <si>
    <t>10 alm (duefejl</t>
  </si>
  <si>
    <t xml:space="preserve">9 vip 1 </t>
  </si>
  <si>
    <t>WIN streak</t>
  </si>
  <si>
    <t>LOOSE streak</t>
  </si>
  <si>
    <t>WIN streak KR</t>
  </si>
  <si>
    <t>LOOSE streak KR</t>
  </si>
  <si>
    <t>Jnaus</t>
  </si>
  <si>
    <t>Chrisitan</t>
  </si>
  <si>
    <t>9 gode i vip 3.</t>
  </si>
  <si>
    <t>10 vip i 2</t>
  </si>
  <si>
    <t>Ren 10</t>
  </si>
  <si>
    <t>8 vip i 3.</t>
  </si>
  <si>
    <t>Sol Peter og Janus</t>
  </si>
  <si>
    <t>10 vip i 3 gode</t>
  </si>
  <si>
    <t>I ALT</t>
  </si>
  <si>
    <t>9 ruder til klør</t>
  </si>
  <si>
    <t>9 vip i 1. Hjerte til spar</t>
  </si>
  <si>
    <t>9 vip i 3. Hjerte til spar</t>
  </si>
  <si>
    <t>10 sang til ruder es</t>
  </si>
  <si>
    <t>10 spar tul hjerter es</t>
  </si>
  <si>
    <t>9 gode til hjerter</t>
  </si>
  <si>
    <t>9 vip2</t>
  </si>
  <si>
    <t>J+T</t>
  </si>
  <si>
    <t>9 hjerter til hjerter es</t>
  </si>
  <si>
    <t>10 vip1</t>
  </si>
  <si>
    <t>Sang</t>
  </si>
  <si>
    <t>10 Alm</t>
  </si>
  <si>
    <t>9 vip 1. Ruder til hjerter</t>
  </si>
  <si>
    <t>9 Alm</t>
  </si>
  <si>
    <t>Selv makker</t>
  </si>
  <si>
    <t>10. Halve</t>
  </si>
  <si>
    <t>Pris V</t>
  </si>
  <si>
    <t>Pris T</t>
  </si>
  <si>
    <t>T j</t>
  </si>
  <si>
    <t>P j</t>
  </si>
  <si>
    <t>J j</t>
  </si>
  <si>
    <t>C j</t>
  </si>
  <si>
    <t>T</t>
  </si>
  <si>
    <t>P</t>
  </si>
  <si>
    <t>J</t>
  </si>
  <si>
    <t>C</t>
  </si>
  <si>
    <t>Halv bordlæggrer</t>
  </si>
  <si>
    <t>Vinder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</si>
</sst>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0.0"/>
    <numFmt numFmtId="167" formatCode="#,##0[$ kr.]"/>
    <numFmt numFmtId="168" formatCode="d&quot;. &quot;mmm&quot; &quot;yyyy"/>
    <numFmt numFmtId="169" formatCode="#,##0.0"/>
  </numFmts>
  <fonts count="37">
    <font>
      <sz val="10.0"/>
      <color rgb="FF000000"/>
      <name val="Arial"/>
      <scheme val="minor"/>
    </font>
    <font>
      <sz val="9.0"/>
      <color theme="1"/>
      <name val="Consolas"/>
    </font>
    <font>
      <b/>
      <color theme="1"/>
      <name val="Arial"/>
      <scheme val="minor"/>
    </font>
    <font>
      <color theme="1"/>
      <name val="Arial"/>
      <scheme val="minor"/>
    </font>
    <font>
      <color theme="1"/>
      <name val="Consolas"/>
    </font>
    <font>
      <b/>
      <sz val="10.0"/>
      <color theme="1"/>
      <name val="Arial"/>
      <scheme val="minor"/>
    </font>
    <font>
      <b/>
      <sz val="10.0"/>
      <color rgb="FFB7B7B7"/>
      <name val="Arial"/>
      <scheme val="minor"/>
    </font>
    <font>
      <color rgb="FFB7B7B7"/>
      <name val="Arial"/>
      <scheme val="minor"/>
    </font>
    <font>
      <sz val="9.0"/>
      <color rgb="FF000000"/>
      <name val="&quot;Google Sans Mono&quot;"/>
    </font>
    <font>
      <sz val="9.0"/>
      <color rgb="FF000000"/>
      <name val="Consolas"/>
    </font>
    <font>
      <sz val="9.0"/>
      <color rgb="FF000000"/>
      <name val="Arial"/>
      <scheme val="minor"/>
    </font>
    <font>
      <color rgb="FF999999"/>
      <name val="Arial"/>
      <scheme val="minor"/>
    </font>
    <font>
      <color rgb="FFD9D9D9"/>
      <name val="Arial"/>
      <scheme val="minor"/>
    </font>
    <font>
      <color theme="1"/>
      <name val="Arial"/>
    </font>
    <font>
      <color rgb="FF000000"/>
      <name val="Arial"/>
      <scheme val="minor"/>
    </font>
    <font>
      <color rgb="FFCCCCCC"/>
      <name val="Arial"/>
      <scheme val="minor"/>
    </font>
    <font>
      <color rgb="FF000000"/>
      <name val="Arial"/>
    </font>
    <font>
      <b/>
      <color rgb="FFEFEFEF"/>
      <name val="Arial"/>
      <scheme val="minor"/>
    </font>
    <font>
      <b/>
      <color rgb="FF000000"/>
      <name val="Arial"/>
      <scheme val="minor"/>
    </font>
    <font>
      <b/>
      <color theme="1"/>
      <name val="Arial"/>
    </font>
    <font>
      <b/>
      <sz val="16.0"/>
      <color rgb="FFFFFFFF"/>
      <name val="Consolas"/>
    </font>
    <font>
      <b/>
      <sz val="10.0"/>
      <color rgb="FF000000"/>
      <name val="Arial"/>
      <scheme val="minor"/>
    </font>
    <font>
      <sz val="10.0"/>
      <color theme="1"/>
      <name val="Arial"/>
      <scheme val="minor"/>
    </font>
    <font>
      <color theme="1"/>
      <name val="Calibri"/>
    </font>
    <font>
      <sz val="11.0"/>
      <color theme="1"/>
      <name val="Calibri"/>
    </font>
    <font>
      <b/>
      <sz val="11.0"/>
      <color theme="1"/>
      <name val="Calibri"/>
    </font>
    <font>
      <sz val="11.0"/>
      <color rgb="FF000000"/>
      <name val="Docs-Calibri"/>
    </font>
    <font>
      <b/>
      <sz val="11.0"/>
      <color theme="0"/>
      <name val="Calibri"/>
    </font>
    <font>
      <sz val="16.0"/>
      <color theme="1"/>
      <name val="Calibri"/>
    </font>
    <font>
      <sz val="12.0"/>
      <color theme="1"/>
      <name val="Calibri"/>
    </font>
    <font>
      <sz val="12.0"/>
      <color rgb="FF000000"/>
      <name val="Calibri"/>
    </font>
    <font>
      <b/>
      <sz val="16.0"/>
      <color rgb="FFFFFFFF"/>
      <name val="Calibri"/>
    </font>
    <font>
      <sz val="16.0"/>
      <color rgb="FF000000"/>
      <name val="Calibri"/>
    </font>
    <font>
      <sz val="9.0"/>
      <color theme="1"/>
      <name val="Calibri"/>
    </font>
    <font>
      <sz val="14.0"/>
      <color theme="1"/>
      <name val="Calibri"/>
    </font>
    <font>
      <sz val="11.0"/>
      <color rgb="FF000000"/>
      <name val="Calibri"/>
    </font>
    <font>
      <strike/>
      <color theme="1"/>
      <name val="Arial"/>
      <scheme val="minor"/>
    </font>
  </fonts>
  <fills count="16">
    <fill>
      <patternFill patternType="none"/>
    </fill>
    <fill>
      <patternFill patternType="lightGray"/>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CFE2F3"/>
        <bgColor rgb="FFCFE2F3"/>
      </patternFill>
    </fill>
    <fill>
      <patternFill patternType="solid">
        <fgColor rgb="FFFFFFFF"/>
        <bgColor rgb="FFFFFFFF"/>
      </patternFill>
    </fill>
    <fill>
      <patternFill patternType="solid">
        <fgColor rgb="FFEAD1DC"/>
        <bgColor rgb="FFEAD1DC"/>
      </patternFill>
    </fill>
    <fill>
      <patternFill patternType="solid">
        <fgColor rgb="FFFFFF00"/>
        <bgColor rgb="FFFFFF00"/>
      </patternFill>
    </fill>
    <fill>
      <patternFill patternType="solid">
        <fgColor rgb="FFD9EAD3"/>
        <bgColor rgb="FFD9EAD3"/>
      </patternFill>
    </fill>
    <fill>
      <patternFill patternType="solid">
        <fgColor rgb="FF38761D"/>
        <bgColor rgb="FF38761D"/>
      </patternFill>
    </fill>
    <fill>
      <patternFill patternType="solid">
        <fgColor rgb="FFC9DAF8"/>
        <bgColor rgb="FFC9DAF8"/>
      </patternFill>
    </fill>
    <fill>
      <patternFill patternType="solid">
        <fgColor rgb="FF3D85C6"/>
        <bgColor rgb="FF3D85C6"/>
      </patternFill>
    </fill>
    <fill>
      <patternFill patternType="solid">
        <fgColor rgb="FFD9D9D9"/>
        <bgColor rgb="FFD9D9D9"/>
      </patternFill>
    </fill>
    <fill>
      <patternFill patternType="solid">
        <fgColor theme="4"/>
        <bgColor theme="4"/>
      </patternFill>
    </fill>
    <fill>
      <patternFill patternType="solid">
        <fgColor rgb="FF4472C4"/>
        <bgColor rgb="FF4472C4"/>
      </patternFill>
    </fill>
  </fills>
  <borders count="16">
    <border/>
    <border>
      <top style="thin">
        <color rgb="FF000000"/>
      </top>
    </border>
    <border>
      <left style="thin">
        <color rgb="FF000000"/>
      </left>
    </border>
    <border>
      <left style="thick">
        <color rgb="FF3C78D8"/>
      </left>
    </border>
    <border>
      <bottom style="thin">
        <color rgb="FF000000"/>
      </bottom>
    </border>
    <border>
      <left style="thin">
        <color rgb="FF000000"/>
      </left>
      <bottom style="thin">
        <color rgb="FF000000"/>
      </bottom>
    </border>
    <border>
      <top style="double">
        <color theme="4"/>
      </top>
      <bottom style="thin">
        <color rgb="FF8EAADB"/>
      </bottom>
    </border>
    <border>
      <left style="thin">
        <color rgb="FF8EAADB"/>
      </left>
      <right/>
      <top style="thin">
        <color rgb="FF8EAADB"/>
      </top>
      <bottom style="thin">
        <color rgb="FF8EAADB"/>
      </bottom>
    </border>
    <border>
      <left/>
      <right/>
      <top style="thin">
        <color rgb="FF8EAADB"/>
      </top>
      <bottom style="thin">
        <color rgb="FF8EAADB"/>
      </bottom>
    </border>
    <border>
      <left style="thin">
        <color rgb="FF4472C4"/>
      </left>
      <right/>
      <top style="thin">
        <color rgb="FF4472C4"/>
      </top>
      <bottom/>
    </border>
    <border>
      <left/>
      <right/>
      <top style="thin">
        <color rgb="FF4472C4"/>
      </top>
      <bottom/>
    </border>
    <border>
      <left/>
      <right style="thin">
        <color rgb="FF4472C4"/>
      </right>
      <top style="thin">
        <color rgb="FF4472C4"/>
      </top>
      <bottom/>
    </border>
    <border>
      <left style="thin">
        <color rgb="FF4472C4"/>
      </left>
      <top style="thin">
        <color rgb="FF4472C4"/>
      </top>
    </border>
    <border>
      <top style="thin">
        <color rgb="FF4472C4"/>
      </top>
    </border>
    <border>
      <right style="thin">
        <color rgb="FF4472C4"/>
      </right>
      <top style="thin">
        <color rgb="FF4472C4"/>
      </top>
    </border>
    <border>
      <left style="medium">
        <color rgb="FF000000"/>
      </left>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2" fontId="1" numFmtId="3" xfId="0" applyAlignment="1" applyFill="1" applyFont="1" applyNumberFormat="1">
      <alignment readingOrder="0"/>
    </xf>
    <xf borderId="0" fillId="2" fontId="1" numFmtId="0" xfId="0" applyAlignment="1" applyFont="1">
      <alignment readingOrder="0"/>
    </xf>
    <xf borderId="0" fillId="2" fontId="1" numFmtId="164" xfId="0" applyAlignment="1" applyFont="1" applyNumberFormat="1">
      <alignment readingOrder="0"/>
    </xf>
    <xf borderId="0" fillId="2" fontId="1" numFmtId="0" xfId="0" applyFont="1"/>
    <xf borderId="0" fillId="0" fontId="1" numFmtId="3" xfId="0" applyFont="1" applyNumberFormat="1"/>
    <xf borderId="0" fillId="0" fontId="1" numFmtId="164" xfId="0" applyFont="1" applyNumberFormat="1"/>
    <xf borderId="0" fillId="0" fontId="1" numFmtId="0" xfId="0" applyAlignment="1" applyFont="1">
      <alignment readingOrder="0"/>
    </xf>
    <xf borderId="0" fillId="0" fontId="1" numFmtId="0" xfId="0" applyFont="1"/>
    <xf borderId="0" fillId="0" fontId="1" numFmtId="3" xfId="0" applyAlignment="1" applyFont="1" applyNumberFormat="1">
      <alignment readingOrder="0"/>
    </xf>
    <xf borderId="0" fillId="0" fontId="1" numFmtId="164" xfId="0" applyAlignment="1" applyFont="1" applyNumberFormat="1">
      <alignment readingOrder="0"/>
    </xf>
    <xf borderId="0" fillId="0" fontId="1" numFmtId="3" xfId="0" applyAlignment="1" applyFont="1" applyNumberFormat="1">
      <alignment horizontal="right" readingOrder="0"/>
    </xf>
    <xf borderId="0" fillId="3" fontId="1" numFmtId="3" xfId="0" applyFill="1" applyFont="1" applyNumberFormat="1"/>
    <xf borderId="0" fillId="3" fontId="1" numFmtId="164" xfId="0" applyFont="1" applyNumberFormat="1"/>
    <xf borderId="0" fillId="3" fontId="1" numFmtId="0" xfId="0" applyFont="1"/>
    <xf borderId="0" fillId="4" fontId="1" numFmtId="3" xfId="0" applyFill="1" applyFont="1" applyNumberFormat="1"/>
    <xf borderId="0" fillId="4" fontId="1" numFmtId="164" xfId="0" applyFont="1" applyNumberFormat="1"/>
    <xf borderId="1" fillId="4" fontId="1" numFmtId="164" xfId="0" applyBorder="1" applyFont="1" applyNumberFormat="1"/>
    <xf borderId="1" fillId="4" fontId="1" numFmtId="3" xfId="0" applyBorder="1" applyFont="1" applyNumberFormat="1"/>
    <xf borderId="1" fillId="4" fontId="1" numFmtId="0" xfId="0" applyBorder="1" applyFont="1"/>
    <xf borderId="1" fillId="4" fontId="1" numFmtId="1" xfId="0" applyBorder="1" applyFont="1" applyNumberFormat="1"/>
    <xf borderId="0" fillId="2" fontId="1" numFmtId="164" xfId="0" applyFont="1" applyNumberFormat="1"/>
    <xf borderId="0" fillId="0" fontId="1" numFmtId="1" xfId="0" applyFont="1" applyNumberFormat="1"/>
    <xf borderId="0" fillId="0" fontId="2" numFmtId="0" xfId="0" applyAlignment="1" applyFont="1">
      <alignment horizontal="center" readingOrder="0"/>
    </xf>
    <xf borderId="0" fillId="5" fontId="2" numFmtId="0" xfId="0" applyFill="1" applyFont="1"/>
    <xf borderId="0" fillId="0" fontId="3" numFmtId="0" xfId="0" applyAlignment="1" applyFont="1">
      <alignment readingOrder="0"/>
    </xf>
    <xf borderId="0" fillId="0" fontId="3" numFmtId="0" xfId="0" applyAlignment="1" applyFont="1">
      <alignment horizontal="center"/>
    </xf>
    <xf borderId="0" fillId="5" fontId="3" numFmtId="3" xfId="0" applyFont="1" applyNumberFormat="1"/>
    <xf borderId="0" fillId="0" fontId="3" numFmtId="0" xfId="0" applyFont="1"/>
    <xf borderId="0" fillId="0" fontId="3" numFmtId="0" xfId="0" applyAlignment="1" applyFont="1">
      <alignment horizontal="center" readingOrder="0"/>
    </xf>
    <xf borderId="0" fillId="0" fontId="3" numFmtId="2" xfId="0" applyAlignment="1" applyFont="1" applyNumberFormat="1">
      <alignment horizontal="center"/>
    </xf>
    <xf borderId="0" fillId="0" fontId="3" numFmtId="9" xfId="0" applyAlignment="1" applyFont="1" applyNumberFormat="1">
      <alignment horizontal="center"/>
    </xf>
    <xf borderId="0" fillId="5" fontId="3" numFmtId="0" xfId="0" applyFont="1"/>
    <xf borderId="0" fillId="0" fontId="4" numFmtId="0" xfId="0" applyFont="1"/>
    <xf borderId="0" fillId="0" fontId="4" numFmtId="0" xfId="0" applyAlignment="1" applyFont="1">
      <alignment readingOrder="0"/>
    </xf>
    <xf borderId="0" fillId="0" fontId="4" numFmtId="164" xfId="0" applyAlignment="1" applyFont="1" applyNumberFormat="1">
      <alignment horizontal="right"/>
    </xf>
    <xf borderId="0" fillId="0" fontId="4" numFmtId="3" xfId="0" applyFont="1" applyNumberFormat="1"/>
    <xf borderId="0" fillId="0" fontId="1" numFmtId="165" xfId="0" applyAlignment="1" applyFont="1" applyNumberFormat="1">
      <alignment readingOrder="0"/>
    </xf>
    <xf borderId="0" fillId="0" fontId="4" numFmtId="164" xfId="0" applyAlignment="1" applyFont="1" applyNumberFormat="1">
      <alignment horizontal="right" readingOrder="0"/>
    </xf>
    <xf borderId="0" fillId="0" fontId="1" numFmtId="0" xfId="0" applyAlignment="1" applyFont="1">
      <alignment horizontal="right" readingOrder="0"/>
    </xf>
    <xf borderId="0" fillId="5" fontId="5" numFmtId="3" xfId="0" applyAlignment="1" applyFont="1" applyNumberFormat="1">
      <alignment shrinkToFit="0" wrapText="0"/>
    </xf>
    <xf borderId="2" fillId="5" fontId="5" numFmtId="164" xfId="0" applyAlignment="1" applyBorder="1" applyFont="1" applyNumberFormat="1">
      <alignment shrinkToFit="0" wrapText="0"/>
    </xf>
    <xf borderId="0" fillId="5" fontId="5" numFmtId="0" xfId="0" applyAlignment="1" applyFont="1">
      <alignment shrinkToFit="0" wrapText="0"/>
    </xf>
    <xf borderId="0" fillId="5" fontId="6" numFmtId="0" xfId="0" applyAlignment="1" applyFont="1">
      <alignment shrinkToFit="0" wrapText="0"/>
    </xf>
    <xf borderId="0" fillId="3" fontId="5" numFmtId="0" xfId="0" applyAlignment="1" applyFont="1">
      <alignment shrinkToFit="0" wrapText="0"/>
    </xf>
    <xf borderId="0" fillId="5" fontId="5" numFmtId="0" xfId="0" applyAlignment="1" applyFont="1">
      <alignment readingOrder="0" shrinkToFit="0" wrapText="0"/>
    </xf>
    <xf borderId="0" fillId="3" fontId="3" numFmtId="0" xfId="0" applyAlignment="1" applyFont="1">
      <alignment readingOrder="0"/>
    </xf>
    <xf borderId="3" fillId="5" fontId="2" numFmtId="0" xfId="0" applyAlignment="1" applyBorder="1" applyFont="1">
      <alignment readingOrder="0"/>
    </xf>
    <xf borderId="0" fillId="5" fontId="3" numFmtId="0" xfId="0" applyAlignment="1" applyFont="1">
      <alignment readingOrder="0"/>
    </xf>
    <xf borderId="0" fillId="5" fontId="1" numFmtId="0" xfId="0" applyAlignment="1" applyFont="1">
      <alignment readingOrder="0"/>
    </xf>
    <xf borderId="0" fillId="4" fontId="3" numFmtId="164" xfId="0" applyAlignment="1" applyFont="1" applyNumberFormat="1">
      <alignment readingOrder="0"/>
    </xf>
    <xf borderId="0" fillId="5" fontId="3" numFmtId="3" xfId="0" applyAlignment="1" applyFont="1" applyNumberFormat="1">
      <alignment readingOrder="0"/>
    </xf>
    <xf borderId="0" fillId="5" fontId="3" numFmtId="0" xfId="0" applyAlignment="1" applyFont="1">
      <alignment horizontal="right" readingOrder="0"/>
    </xf>
    <xf borderId="0" fillId="0" fontId="3" numFmtId="3" xfId="0" applyAlignment="1" applyFont="1" applyNumberFormat="1">
      <alignment readingOrder="0"/>
    </xf>
    <xf borderId="2" fillId="0" fontId="3" numFmtId="0" xfId="0" applyAlignment="1" applyBorder="1" applyFont="1">
      <alignment readingOrder="0"/>
    </xf>
    <xf borderId="0" fillId="0" fontId="7" numFmtId="0" xfId="0" applyAlignment="1" applyFont="1">
      <alignment readingOrder="0"/>
    </xf>
    <xf borderId="0" fillId="3" fontId="3" numFmtId="0" xfId="0" applyFont="1"/>
    <xf borderId="3" fillId="0" fontId="2" numFmtId="0" xfId="0" applyAlignment="1" applyBorder="1" applyFont="1">
      <alignment readingOrder="0"/>
    </xf>
    <xf borderId="0" fillId="4" fontId="3" numFmtId="164" xfId="0" applyFont="1" applyNumberFormat="1"/>
    <xf borderId="0" fillId="0" fontId="3" numFmtId="0" xfId="0" applyAlignment="1" applyFont="1">
      <alignment horizontal="right" readingOrder="0"/>
    </xf>
    <xf borderId="3" fillId="0" fontId="3" numFmtId="0" xfId="0" applyAlignment="1" applyBorder="1" applyFont="1">
      <alignment readingOrder="0"/>
    </xf>
    <xf borderId="0" fillId="3" fontId="3" numFmtId="3" xfId="0" applyAlignment="1" applyFont="1" applyNumberFormat="1">
      <alignment readingOrder="0"/>
    </xf>
    <xf borderId="2" fillId="3" fontId="3" numFmtId="3" xfId="0" applyAlignment="1" applyBorder="1" applyFont="1" applyNumberFormat="1">
      <alignment readingOrder="0"/>
    </xf>
    <xf borderId="0" fillId="3" fontId="7" numFmtId="0" xfId="0" applyFont="1"/>
    <xf borderId="3" fillId="3" fontId="3" numFmtId="0" xfId="0" applyBorder="1" applyFont="1"/>
    <xf borderId="0" fillId="3" fontId="3" numFmtId="164" xfId="0" applyFont="1" applyNumberFormat="1"/>
    <xf borderId="0" fillId="3" fontId="3" numFmtId="3" xfId="0" applyFont="1" applyNumberFormat="1"/>
    <xf borderId="0" fillId="3" fontId="3" numFmtId="0" xfId="0" applyAlignment="1" applyFont="1">
      <alignment horizontal="right"/>
    </xf>
    <xf borderId="0" fillId="3" fontId="8" numFmtId="0" xfId="0" applyAlignment="1" applyFont="1">
      <alignment horizontal="left"/>
    </xf>
    <xf borderId="2" fillId="5" fontId="3" numFmtId="0" xfId="0" applyBorder="1" applyFont="1"/>
    <xf borderId="0" fillId="5" fontId="7" numFmtId="0" xfId="0" applyFont="1"/>
    <xf borderId="3" fillId="5" fontId="3" numFmtId="0" xfId="0" applyBorder="1" applyFont="1"/>
    <xf borderId="0" fillId="5" fontId="8" numFmtId="0" xfId="0" applyAlignment="1" applyFont="1">
      <alignment horizontal="left"/>
    </xf>
    <xf borderId="0" fillId="0" fontId="9" numFmtId="0" xfId="0" applyAlignment="1" applyFont="1">
      <alignment horizontal="left"/>
    </xf>
    <xf borderId="0" fillId="0" fontId="10" numFmtId="0" xfId="0" applyAlignment="1" applyFont="1">
      <alignment horizontal="right"/>
    </xf>
    <xf borderId="2" fillId="0" fontId="3" numFmtId="0" xfId="0" applyBorder="1" applyFont="1"/>
    <xf borderId="0" fillId="0" fontId="7" numFmtId="0" xfId="0" applyFont="1"/>
    <xf borderId="3" fillId="0" fontId="3" numFmtId="0" xfId="0" applyBorder="1" applyFont="1"/>
    <xf borderId="0" fillId="0" fontId="8" numFmtId="0" xfId="0" applyAlignment="1" applyFont="1">
      <alignment horizontal="left"/>
    </xf>
    <xf borderId="0" fillId="6" fontId="3" numFmtId="0" xfId="0" applyFill="1" applyFont="1"/>
    <xf borderId="0" fillId="0" fontId="3" numFmtId="3" xfId="0" applyFont="1" applyNumberFormat="1"/>
    <xf borderId="0" fillId="7" fontId="3" numFmtId="0" xfId="0" applyFill="1" applyFont="1"/>
    <xf borderId="0" fillId="8" fontId="3" numFmtId="0" xfId="0" applyFill="1" applyFont="1"/>
    <xf borderId="0" fillId="9" fontId="3" numFmtId="3" xfId="0" applyAlignment="1" applyFill="1" applyFont="1" applyNumberFormat="1">
      <alignment readingOrder="0"/>
    </xf>
    <xf borderId="0" fillId="9" fontId="3" numFmtId="0" xfId="0" applyFont="1"/>
    <xf borderId="2" fillId="9" fontId="3" numFmtId="0" xfId="0" applyBorder="1" applyFont="1"/>
    <xf borderId="0" fillId="9" fontId="7" numFmtId="0" xfId="0" applyFont="1"/>
    <xf borderId="0" fillId="9" fontId="3" numFmtId="0" xfId="0" applyAlignment="1" applyFont="1">
      <alignment readingOrder="0"/>
    </xf>
    <xf borderId="3" fillId="9" fontId="3" numFmtId="0" xfId="0" applyBorder="1" applyFont="1"/>
    <xf borderId="4" fillId="9" fontId="3" numFmtId="3" xfId="0" applyAlignment="1" applyBorder="1" applyFont="1" applyNumberFormat="1">
      <alignment readingOrder="0"/>
    </xf>
    <xf borderId="4" fillId="9" fontId="3" numFmtId="0" xfId="0" applyBorder="1" applyFont="1"/>
    <xf borderId="5" fillId="9" fontId="3" numFmtId="0" xfId="0" applyBorder="1" applyFont="1"/>
    <xf borderId="4" fillId="9" fontId="7" numFmtId="0" xfId="0" applyBorder="1" applyFont="1"/>
    <xf borderId="0" fillId="9" fontId="8" numFmtId="0" xfId="0" applyAlignment="1" applyFont="1">
      <alignment horizontal="left"/>
    </xf>
    <xf borderId="0" fillId="9" fontId="1" numFmtId="0" xfId="0" applyFont="1"/>
    <xf borderId="0" fillId="9" fontId="9" numFmtId="0" xfId="0" applyAlignment="1" applyFont="1">
      <alignment horizontal="left"/>
    </xf>
    <xf borderId="0" fillId="9" fontId="3" numFmtId="164" xfId="0" applyFont="1" applyNumberFormat="1"/>
    <xf borderId="0" fillId="9" fontId="3" numFmtId="3" xfId="0" applyFont="1" applyNumberFormat="1"/>
    <xf borderId="0" fillId="9" fontId="10" numFmtId="0" xfId="0" applyAlignment="1" applyFont="1">
      <alignment horizontal="right"/>
    </xf>
    <xf borderId="4" fillId="0" fontId="3" numFmtId="3" xfId="0" applyAlignment="1" applyBorder="1" applyFont="1" applyNumberFormat="1">
      <alignment readingOrder="0"/>
    </xf>
    <xf borderId="4" fillId="0" fontId="3" numFmtId="0" xfId="0" applyBorder="1" applyFont="1"/>
    <xf borderId="4" fillId="0" fontId="7" numFmtId="0" xfId="0" applyBorder="1" applyFont="1"/>
    <xf borderId="1" fillId="0" fontId="3" numFmtId="3" xfId="0" applyAlignment="1" applyBorder="1" applyFont="1" applyNumberFormat="1">
      <alignment readingOrder="0"/>
    </xf>
    <xf borderId="1" fillId="0" fontId="3" numFmtId="0" xfId="0" applyBorder="1" applyFont="1"/>
    <xf borderId="1" fillId="0" fontId="7" numFmtId="0" xfId="0" applyBorder="1" applyFont="1"/>
    <xf borderId="1" fillId="3" fontId="3" numFmtId="0" xfId="0" applyBorder="1" applyFont="1"/>
    <xf borderId="1" fillId="0" fontId="3" numFmtId="0" xfId="0" applyAlignment="1" applyBorder="1" applyFont="1">
      <alignment readingOrder="0"/>
    </xf>
    <xf borderId="3" fillId="5" fontId="3" numFmtId="3" xfId="0" applyBorder="1" applyFont="1" applyNumberFormat="1"/>
    <xf borderId="0" fillId="5" fontId="1" numFmtId="3" xfId="0" applyFont="1" applyNumberFormat="1"/>
    <xf borderId="0" fillId="5" fontId="9" numFmtId="0" xfId="0" applyAlignment="1" applyFont="1">
      <alignment horizontal="left"/>
    </xf>
    <xf borderId="0" fillId="0" fontId="10" numFmtId="3" xfId="0" applyAlignment="1" applyFont="1" applyNumberFormat="1">
      <alignment horizontal="right"/>
    </xf>
    <xf borderId="3" fillId="0" fontId="3" numFmtId="3" xfId="0" applyBorder="1" applyFont="1" applyNumberFormat="1"/>
    <xf borderId="3" fillId="9" fontId="3" numFmtId="3" xfId="0" applyBorder="1" applyFont="1" applyNumberFormat="1"/>
    <xf borderId="0" fillId="9" fontId="1" numFmtId="3" xfId="0" applyFont="1" applyNumberFormat="1"/>
    <xf borderId="0" fillId="5" fontId="1" numFmtId="0" xfId="0" applyFont="1"/>
    <xf borderId="0" fillId="5" fontId="2" numFmtId="3" xfId="0" applyAlignment="1" applyFont="1" applyNumberFormat="1">
      <alignment readingOrder="0"/>
    </xf>
    <xf borderId="3" fillId="8" fontId="3" numFmtId="0" xfId="0" applyBorder="1" applyFont="1"/>
    <xf borderId="0" fillId="0" fontId="2" numFmtId="0" xfId="0" applyAlignment="1" applyFont="1">
      <alignment readingOrder="0"/>
    </xf>
    <xf borderId="0" fillId="0" fontId="2" numFmtId="0" xfId="0" applyFont="1"/>
    <xf borderId="0" fillId="0" fontId="3" numFmtId="164" xfId="0" applyFont="1" applyNumberFormat="1"/>
    <xf borderId="0" fillId="0" fontId="11" numFmtId="0" xfId="0" applyFont="1"/>
    <xf borderId="0" fillId="0" fontId="12" numFmtId="0" xfId="0" applyAlignment="1" applyFont="1">
      <alignment horizontal="center" readingOrder="0"/>
    </xf>
    <xf borderId="0" fillId="8" fontId="3" numFmtId="0" xfId="0" applyAlignment="1" applyFont="1">
      <alignment readingOrder="0"/>
    </xf>
    <xf borderId="0" fillId="0" fontId="3" numFmtId="166" xfId="0" applyFont="1" applyNumberFormat="1"/>
    <xf borderId="0" fillId="2" fontId="3" numFmtId="0" xfId="0" applyAlignment="1" applyFont="1">
      <alignment readingOrder="0"/>
    </xf>
    <xf borderId="0" fillId="0" fontId="13" numFmtId="0" xfId="0" applyAlignment="1" applyFont="1">
      <alignment shrinkToFit="0" vertical="bottom" wrapText="0"/>
    </xf>
    <xf borderId="0" fillId="0" fontId="14" numFmtId="0" xfId="0" applyFont="1"/>
    <xf borderId="0" fillId="0" fontId="13" numFmtId="0" xfId="0" applyAlignment="1" applyFont="1">
      <alignment horizontal="right" readingOrder="0" vertical="bottom"/>
    </xf>
    <xf borderId="0" fillId="0" fontId="3" numFmtId="9" xfId="0" applyFont="1" applyNumberFormat="1"/>
    <xf borderId="0" fillId="0" fontId="13" numFmtId="0" xfId="0" applyAlignment="1" applyFont="1">
      <alignment vertical="bottom"/>
    </xf>
    <xf borderId="0" fillId="0" fontId="13" numFmtId="0" xfId="0" applyAlignment="1" applyFont="1">
      <alignment readingOrder="0" shrinkToFit="0" vertical="bottom" wrapText="0"/>
    </xf>
    <xf borderId="0" fillId="0" fontId="13" numFmtId="0" xfId="0" applyAlignment="1" applyFont="1">
      <alignment readingOrder="0" vertical="bottom"/>
    </xf>
    <xf borderId="0" fillId="0" fontId="3" numFmtId="9" xfId="0" applyAlignment="1" applyFont="1" applyNumberFormat="1">
      <alignment horizontal="right"/>
    </xf>
    <xf borderId="0" fillId="0" fontId="11" numFmtId="0" xfId="0" applyAlignment="1" applyFont="1">
      <alignment horizontal="right" readingOrder="0"/>
    </xf>
    <xf borderId="0" fillId="0" fontId="11" numFmtId="0" xfId="0" applyAlignment="1" applyFont="1">
      <alignment horizontal="right"/>
    </xf>
    <xf borderId="0" fillId="0" fontId="3" numFmtId="1" xfId="0" applyFont="1" applyNumberFormat="1"/>
    <xf borderId="0" fillId="0" fontId="15" numFmtId="0" xfId="0" applyFont="1"/>
    <xf borderId="0" fillId="0" fontId="3" numFmtId="3" xfId="0" applyAlignment="1" applyFont="1" applyNumberFormat="1">
      <alignment horizontal="right"/>
    </xf>
    <xf borderId="0" fillId="0" fontId="3" numFmtId="0" xfId="0" applyAlignment="1" applyFont="1">
      <alignment horizontal="right"/>
    </xf>
    <xf borderId="0" fillId="0" fontId="13" numFmtId="0" xfId="0" applyAlignment="1" applyFont="1">
      <alignment horizontal="right" vertical="bottom"/>
    </xf>
    <xf borderId="0" fillId="2" fontId="3" numFmtId="0" xfId="0" applyAlignment="1" applyFont="1">
      <alignment horizontal="right" readingOrder="0"/>
    </xf>
    <xf borderId="0" fillId="6" fontId="16" numFmtId="0" xfId="0" applyAlignment="1" applyFont="1">
      <alignment horizontal="left" readingOrder="0"/>
    </xf>
    <xf borderId="0" fillId="0" fontId="2" numFmtId="0" xfId="0" applyAlignment="1" applyFont="1">
      <alignment horizontal="left" shrinkToFit="0" wrapText="1"/>
    </xf>
    <xf borderId="0" fillId="0" fontId="2" numFmtId="0" xfId="0" applyAlignment="1" applyFont="1">
      <alignment horizontal="left" readingOrder="0" shrinkToFit="0" wrapText="1"/>
    </xf>
    <xf borderId="0" fillId="0" fontId="3" numFmtId="0" xfId="0" applyAlignment="1" applyFont="1">
      <alignment horizontal="left" shrinkToFit="0" wrapText="1"/>
    </xf>
    <xf borderId="0" fillId="10" fontId="17" numFmtId="0" xfId="0" applyAlignment="1" applyFill="1" applyFont="1">
      <alignment readingOrder="0"/>
    </xf>
    <xf borderId="0" fillId="10" fontId="17" numFmtId="0" xfId="0" applyFont="1"/>
    <xf borderId="0" fillId="8" fontId="18" numFmtId="0" xfId="0" applyFont="1"/>
    <xf borderId="0" fillId="8" fontId="18" numFmtId="0" xfId="0" applyAlignment="1" applyFont="1">
      <alignment readingOrder="0"/>
    </xf>
    <xf borderId="0" fillId="11" fontId="3" numFmtId="0" xfId="0" applyAlignment="1" applyFill="1" applyFont="1">
      <alignment readingOrder="0"/>
    </xf>
    <xf borderId="0" fillId="11" fontId="3" numFmtId="164" xfId="0" applyFont="1" applyNumberFormat="1"/>
    <xf borderId="0" fillId="11" fontId="3" numFmtId="0" xfId="0" applyAlignment="1" applyFont="1">
      <alignment horizontal="right" readingOrder="0"/>
    </xf>
    <xf borderId="0" fillId="11" fontId="3" numFmtId="0" xfId="0" applyFont="1"/>
    <xf borderId="0" fillId="4" fontId="3" numFmtId="0" xfId="0" applyAlignment="1" applyFont="1">
      <alignment readingOrder="0"/>
    </xf>
    <xf borderId="0" fillId="4" fontId="3" numFmtId="0" xfId="0" applyFont="1"/>
    <xf borderId="0" fillId="0" fontId="2" numFmtId="0" xfId="0" applyAlignment="1" applyFont="1">
      <alignment horizontal="center"/>
    </xf>
    <xf borderId="0" fillId="3" fontId="16" numFmtId="0" xfId="0" applyAlignment="1" applyFont="1">
      <alignment horizontal="left" readingOrder="0"/>
    </xf>
    <xf borderId="0" fillId="3" fontId="2" numFmtId="0" xfId="0" applyAlignment="1" applyFont="1">
      <alignment horizontal="right" readingOrder="0"/>
    </xf>
    <xf borderId="0" fillId="3" fontId="2" numFmtId="0" xfId="0" applyFont="1"/>
    <xf borderId="0" fillId="0" fontId="15" numFmtId="0" xfId="0" applyAlignment="1" applyFont="1">
      <alignment readingOrder="0"/>
    </xf>
    <xf borderId="4" fillId="0" fontId="2" numFmtId="0" xfId="0" applyAlignment="1" applyBorder="1" applyFont="1">
      <alignment horizontal="center"/>
    </xf>
    <xf borderId="0" fillId="0" fontId="2" numFmtId="167" xfId="0" applyAlignment="1" applyFont="1" applyNumberFormat="1">
      <alignment horizontal="center"/>
    </xf>
    <xf borderId="0" fillId="0" fontId="3" numFmtId="3" xfId="0" applyAlignment="1" applyFont="1" applyNumberFormat="1">
      <alignment horizontal="center"/>
    </xf>
    <xf borderId="0" fillId="0" fontId="3" numFmtId="168" xfId="0" applyAlignment="1" applyFont="1" applyNumberFormat="1">
      <alignment horizontal="center"/>
    </xf>
    <xf borderId="4" fillId="0" fontId="2" numFmtId="0" xfId="0" applyAlignment="1" applyBorder="1" applyFont="1">
      <alignment horizontal="center" readingOrder="0"/>
    </xf>
    <xf borderId="0" fillId="0" fontId="19" numFmtId="0" xfId="0" applyAlignment="1" applyFont="1">
      <alignment horizontal="center" vertical="bottom"/>
    </xf>
    <xf borderId="0" fillId="0" fontId="13" numFmtId="3" xfId="0" applyAlignment="1" applyFont="1" applyNumberFormat="1">
      <alignment horizontal="center" vertical="bottom"/>
    </xf>
    <xf borderId="0" fillId="0" fontId="13" numFmtId="0" xfId="0" applyAlignment="1" applyFont="1">
      <alignment horizontal="center" vertical="bottom"/>
    </xf>
    <xf borderId="0" fillId="0" fontId="3" numFmtId="164" xfId="0" applyAlignment="1" applyFont="1" applyNumberFormat="1">
      <alignment horizontal="center" vertical="bottom"/>
    </xf>
    <xf borderId="0" fillId="0" fontId="13" numFmtId="164" xfId="0" applyAlignment="1" applyFont="1" applyNumberFormat="1">
      <alignment horizontal="center" vertical="bottom"/>
    </xf>
    <xf borderId="0" fillId="0" fontId="13" numFmtId="167" xfId="0" applyAlignment="1" applyFont="1" applyNumberFormat="1">
      <alignment horizontal="center" vertical="bottom"/>
    </xf>
    <xf borderId="0" fillId="0" fontId="3" numFmtId="167" xfId="0" applyAlignment="1" applyFont="1" applyNumberFormat="1">
      <alignment horizontal="center"/>
    </xf>
    <xf quotePrefix="1" borderId="0" fillId="0" fontId="3" numFmtId="0" xfId="0" applyAlignment="1" applyFont="1">
      <alignment readingOrder="0"/>
    </xf>
    <xf borderId="0" fillId="0" fontId="3" numFmtId="0" xfId="0" applyAlignment="1" applyFont="1">
      <alignment horizontal="left" readingOrder="0"/>
    </xf>
    <xf borderId="0" fillId="0" fontId="10" numFmtId="166" xfId="0" applyAlignment="1" applyFont="1" applyNumberFormat="1">
      <alignment horizontal="right"/>
    </xf>
    <xf borderId="0" fillId="0" fontId="10" numFmtId="166" xfId="0" applyAlignment="1" applyFont="1" applyNumberFormat="1">
      <alignment horizontal="right" readingOrder="0"/>
    </xf>
    <xf borderId="0" fillId="0" fontId="3" numFmtId="169" xfId="0" applyFont="1" applyNumberFormat="1"/>
    <xf borderId="0" fillId="0" fontId="3" numFmtId="169" xfId="0" applyAlignment="1" applyFont="1" applyNumberFormat="1">
      <alignment horizontal="right"/>
    </xf>
    <xf borderId="0" fillId="0" fontId="3" numFmtId="169" xfId="0" applyAlignment="1" applyFont="1" applyNumberFormat="1">
      <alignment readingOrder="0"/>
    </xf>
    <xf borderId="0" fillId="2" fontId="3" numFmtId="0" xfId="0" applyFont="1"/>
    <xf borderId="0" fillId="4" fontId="11" numFmtId="0" xfId="0" applyFont="1"/>
    <xf borderId="0" fillId="12" fontId="20" numFmtId="0" xfId="0" applyAlignment="1" applyFill="1" applyFont="1">
      <alignment readingOrder="0"/>
    </xf>
    <xf borderId="0" fillId="12" fontId="20" numFmtId="0" xfId="0" applyFont="1"/>
    <xf borderId="0" fillId="0" fontId="18" numFmtId="167" xfId="0" applyAlignment="1" applyFont="1" applyNumberFormat="1">
      <alignment horizontal="center"/>
    </xf>
    <xf borderId="0" fillId="0" fontId="21" numFmtId="167" xfId="0" applyAlignment="1" applyFont="1" applyNumberFormat="1">
      <alignment horizontal="center" readingOrder="0"/>
    </xf>
    <xf borderId="0" fillId="0" fontId="14" numFmtId="0" xfId="0" applyAlignment="1" applyFont="1">
      <alignment horizontal="center"/>
    </xf>
    <xf borderId="0" fillId="0" fontId="14" numFmtId="168" xfId="0" applyAlignment="1" applyFont="1" applyNumberFormat="1">
      <alignment horizontal="center"/>
    </xf>
    <xf borderId="0" fillId="0" fontId="14" numFmtId="3" xfId="0" applyAlignment="1" applyFont="1" applyNumberFormat="1">
      <alignment horizontal="center"/>
    </xf>
    <xf borderId="4" fillId="0" fontId="19" numFmtId="0" xfId="0" applyAlignment="1" applyBorder="1" applyFont="1">
      <alignment horizontal="center" vertical="bottom"/>
    </xf>
    <xf borderId="0" fillId="0" fontId="3" numFmtId="3" xfId="0" applyAlignment="1" applyFont="1" applyNumberFormat="1">
      <alignment horizontal="center" vertical="bottom"/>
    </xf>
    <xf borderId="0" fillId="0" fontId="22" numFmtId="3" xfId="0" applyAlignment="1" applyFont="1" applyNumberFormat="1">
      <alignment horizontal="center" readingOrder="0" vertical="bottom"/>
    </xf>
    <xf borderId="0" fillId="0" fontId="22" numFmtId="164" xfId="0" applyAlignment="1" applyFont="1" applyNumberFormat="1">
      <alignment horizontal="center" readingOrder="0" vertical="bottom"/>
    </xf>
    <xf borderId="0" fillId="4" fontId="3" numFmtId="0" xfId="0" applyAlignment="1" applyFont="1">
      <alignment horizontal="right" readingOrder="0"/>
    </xf>
    <xf borderId="0" fillId="5" fontId="5" numFmtId="164" xfId="0" applyAlignment="1" applyFont="1" applyNumberFormat="1">
      <alignment shrinkToFit="0" wrapText="0"/>
    </xf>
    <xf borderId="0" fillId="0" fontId="5" numFmtId="0" xfId="0" applyAlignment="1" applyFont="1">
      <alignment shrinkToFit="0" wrapText="0"/>
    </xf>
    <xf borderId="0" fillId="13" fontId="3" numFmtId="0" xfId="0" applyAlignment="1" applyFill="1" applyFont="1">
      <alignment readingOrder="0"/>
    </xf>
    <xf borderId="0" fillId="13" fontId="3" numFmtId="0" xfId="0" applyFont="1"/>
    <xf borderId="0" fillId="0" fontId="23" numFmtId="0" xfId="0" applyFont="1"/>
    <xf borderId="0" fillId="0" fontId="23" numFmtId="0" xfId="0" applyFont="1"/>
    <xf borderId="0" fillId="0" fontId="23" numFmtId="0" xfId="0" applyAlignment="1" applyFont="1">
      <alignment readingOrder="0"/>
    </xf>
    <xf borderId="0" fillId="3" fontId="23" numFmtId="0" xfId="0" applyAlignment="1" applyFont="1">
      <alignment readingOrder="0"/>
    </xf>
    <xf borderId="0" fillId="0" fontId="24" numFmtId="20" xfId="0" applyFont="1" applyNumberFormat="1"/>
    <xf borderId="0" fillId="3" fontId="23" numFmtId="0" xfId="0" applyFont="1"/>
    <xf borderId="0" fillId="0" fontId="24" numFmtId="0" xfId="0" applyFont="1"/>
    <xf borderId="0" fillId="0" fontId="24" numFmtId="0" xfId="0" applyAlignment="1" applyFont="1">
      <alignment readingOrder="0"/>
    </xf>
    <xf borderId="6" fillId="0" fontId="25" numFmtId="0" xfId="0" applyBorder="1" applyFont="1"/>
    <xf borderId="0" fillId="0" fontId="23" numFmtId="0" xfId="0" applyAlignment="1" applyFont="1">
      <alignment readingOrder="0"/>
    </xf>
    <xf borderId="0" fillId="6" fontId="26" numFmtId="0" xfId="0" applyAlignment="1" applyFont="1">
      <alignment horizontal="left" readingOrder="0"/>
    </xf>
    <xf borderId="0" fillId="3" fontId="25" numFmtId="0" xfId="0" applyAlignment="1" applyFont="1">
      <alignment readingOrder="0"/>
    </xf>
    <xf borderId="7" fillId="14" fontId="27" numFmtId="0" xfId="0" applyBorder="1" applyFill="1" applyFont="1"/>
    <xf borderId="8" fillId="14" fontId="27" numFmtId="0" xfId="0" applyBorder="1" applyFont="1"/>
    <xf borderId="0" fillId="0" fontId="24" numFmtId="20" xfId="0" applyFont="1" applyNumberFormat="1"/>
    <xf borderId="0" fillId="2" fontId="23" numFmtId="0" xfId="0" applyFont="1"/>
    <xf borderId="0" fillId="5" fontId="19" numFmtId="3" xfId="0" applyAlignment="1" applyFont="1" applyNumberFormat="1">
      <alignment horizontal="right" vertical="bottom"/>
    </xf>
    <xf borderId="0" fillId="5" fontId="19" numFmtId="164" xfId="0" applyAlignment="1" applyFont="1" applyNumberFormat="1">
      <alignment horizontal="right" vertical="bottom"/>
    </xf>
    <xf borderId="0" fillId="5" fontId="19" numFmtId="0" xfId="0" applyAlignment="1" applyFont="1">
      <alignment horizontal="right" vertical="bottom"/>
    </xf>
    <xf borderId="0" fillId="5" fontId="19" numFmtId="0" xfId="0" applyAlignment="1" applyFont="1">
      <alignment vertical="bottom"/>
    </xf>
    <xf borderId="0" fillId="5" fontId="13" numFmtId="0" xfId="0" applyAlignment="1" applyFont="1">
      <alignment shrinkToFit="0" vertical="bottom" wrapText="0"/>
    </xf>
    <xf borderId="0" fillId="5" fontId="13" numFmtId="0" xfId="0" applyAlignment="1" applyFont="1">
      <alignment vertical="bottom"/>
    </xf>
    <xf borderId="0" fillId="5" fontId="13" numFmtId="0" xfId="0" applyAlignment="1" applyFont="1">
      <alignment vertical="bottom"/>
    </xf>
    <xf borderId="0" fillId="5" fontId="19" numFmtId="3" xfId="0" applyAlignment="1" applyFont="1" applyNumberFormat="1">
      <alignment vertical="bottom"/>
    </xf>
    <xf borderId="0" fillId="5" fontId="19" numFmtId="164" xfId="0" applyAlignment="1" applyFont="1" applyNumberFormat="1">
      <alignment vertical="bottom"/>
    </xf>
    <xf borderId="0" fillId="5" fontId="13" numFmtId="0" xfId="0" applyAlignment="1" applyFont="1">
      <alignment shrinkToFit="0" vertical="bottom" wrapText="0"/>
    </xf>
    <xf borderId="0" fillId="0" fontId="28" numFmtId="0" xfId="0" applyFont="1"/>
    <xf borderId="0" fillId="0" fontId="28" numFmtId="0" xfId="0" applyAlignment="1" applyFont="1">
      <alignment readingOrder="0"/>
    </xf>
    <xf borderId="0" fillId="0" fontId="29" numFmtId="20" xfId="0" applyFont="1" applyNumberFormat="1"/>
    <xf borderId="0" fillId="0" fontId="30" numFmtId="0" xfId="0" applyFont="1"/>
    <xf borderId="0" fillId="15" fontId="31" numFmtId="0" xfId="0" applyFill="1" applyFont="1"/>
    <xf borderId="9" fillId="15" fontId="31" numFmtId="0" xfId="0" applyBorder="1" applyFont="1"/>
    <xf borderId="10" fillId="15" fontId="31" numFmtId="0" xfId="0" applyBorder="1" applyFont="1"/>
    <xf borderId="11" fillId="15" fontId="31" numFmtId="0" xfId="0" applyBorder="1" applyFont="1"/>
    <xf borderId="0" fillId="0" fontId="32" numFmtId="0" xfId="0" applyAlignment="1" applyFont="1">
      <alignment readingOrder="0"/>
    </xf>
    <xf borderId="12" fillId="0" fontId="32" numFmtId="0" xfId="0" applyBorder="1" applyFont="1"/>
    <xf borderId="13" fillId="0" fontId="32" numFmtId="0" xfId="0" applyBorder="1" applyFont="1"/>
    <xf borderId="14" fillId="0" fontId="32" numFmtId="0" xfId="0" applyBorder="1" applyFont="1"/>
    <xf borderId="0" fillId="0" fontId="30" numFmtId="20" xfId="0" applyFont="1" applyNumberFormat="1"/>
    <xf borderId="0" fillId="0" fontId="32" numFmtId="0" xfId="0" applyFont="1"/>
    <xf borderId="0" fillId="0" fontId="28" numFmtId="0" xfId="0" applyFont="1"/>
    <xf borderId="0" fillId="0" fontId="33" numFmtId="0" xfId="0" applyFont="1"/>
    <xf borderId="0" fillId="0" fontId="34" numFmtId="0" xfId="0" applyFont="1"/>
    <xf borderId="0" fillId="0" fontId="35" numFmtId="0" xfId="0" applyFont="1"/>
    <xf borderId="1" fillId="0" fontId="24" numFmtId="0" xfId="0" applyAlignment="1" applyBorder="1" applyFont="1">
      <alignment horizontal="right" vertical="bottom"/>
    </xf>
    <xf borderId="0" fillId="0" fontId="24" numFmtId="0" xfId="0" applyAlignment="1" applyFont="1">
      <alignment horizontal="right" vertical="bottom"/>
    </xf>
    <xf borderId="0" fillId="5" fontId="19" numFmtId="0" xfId="0" applyAlignment="1" applyFont="1">
      <alignment horizontal="left" vertical="bottom"/>
    </xf>
    <xf borderId="0" fillId="8" fontId="24" numFmtId="0" xfId="0" applyAlignment="1" applyFont="1">
      <alignment readingOrder="0" vertical="bottom"/>
    </xf>
    <xf borderId="0" fillId="0" fontId="24" numFmtId="0" xfId="0" applyAlignment="1" applyFont="1">
      <alignment readingOrder="0" vertical="bottom"/>
    </xf>
    <xf borderId="0" fillId="0" fontId="24" numFmtId="0" xfId="0" applyAlignment="1" applyFont="1">
      <alignment horizontal="left" readingOrder="0" vertical="bottom"/>
    </xf>
    <xf borderId="0" fillId="0" fontId="24" numFmtId="0" xfId="0" applyAlignment="1" applyFont="1">
      <alignment vertical="bottom"/>
    </xf>
    <xf borderId="0" fillId="0" fontId="24" numFmtId="3" xfId="0" applyAlignment="1" applyFont="1" applyNumberFormat="1">
      <alignment horizontal="right" readingOrder="0" vertical="bottom"/>
    </xf>
    <xf borderId="0" fillId="0" fontId="24" numFmtId="3" xfId="0" applyAlignment="1" applyFont="1" applyNumberFormat="1">
      <alignment horizontal="left" readingOrder="0" vertical="bottom"/>
    </xf>
    <xf borderId="0" fillId="0" fontId="24" numFmtId="3" xfId="0" applyAlignment="1" applyFont="1" applyNumberFormat="1">
      <alignment horizontal="right" vertical="bottom"/>
    </xf>
    <xf borderId="0" fillId="0" fontId="8" numFmtId="3" xfId="0" applyAlignment="1" applyFont="1" applyNumberFormat="1">
      <alignment horizontal="left"/>
    </xf>
    <xf borderId="4" fillId="2" fontId="24" numFmtId="3" xfId="0" applyAlignment="1" applyBorder="1" applyFont="1" applyNumberFormat="1">
      <alignment horizontal="right" vertical="bottom"/>
    </xf>
    <xf borderId="4" fillId="2" fontId="24" numFmtId="3" xfId="0" applyAlignment="1" applyBorder="1" applyFont="1" applyNumberFormat="1">
      <alignment horizontal="right" readingOrder="0" vertical="bottom"/>
    </xf>
    <xf borderId="4" fillId="2" fontId="24" numFmtId="3" xfId="0" applyAlignment="1" applyBorder="1" applyFont="1" applyNumberFormat="1">
      <alignment horizontal="left" readingOrder="0" vertical="bottom"/>
    </xf>
    <xf borderId="4" fillId="3" fontId="3" numFmtId="0" xfId="0" applyBorder="1" applyFont="1"/>
    <xf borderId="4" fillId="0" fontId="24" numFmtId="3" xfId="0" applyAlignment="1" applyBorder="1" applyFont="1" applyNumberFormat="1">
      <alignment horizontal="right" vertical="bottom"/>
    </xf>
    <xf borderId="4" fillId="2" fontId="24" numFmtId="3" xfId="0" applyAlignment="1" applyBorder="1" applyFont="1" applyNumberFormat="1">
      <alignment vertical="bottom"/>
    </xf>
    <xf borderId="4" fillId="2" fontId="24" numFmtId="0" xfId="0" applyAlignment="1" applyBorder="1" applyFont="1">
      <alignment vertical="bottom"/>
    </xf>
    <xf borderId="4" fillId="0" fontId="3" numFmtId="0" xfId="0" applyAlignment="1" applyBorder="1" applyFont="1">
      <alignment readingOrder="0"/>
    </xf>
    <xf borderId="1" fillId="0" fontId="24" numFmtId="3" xfId="0" applyAlignment="1" applyBorder="1" applyFont="1" applyNumberFormat="1">
      <alignment horizontal="right" vertical="bottom"/>
    </xf>
    <xf borderId="1" fillId="0" fontId="24" numFmtId="0" xfId="0" applyAlignment="1" applyBorder="1" applyFont="1">
      <alignment vertical="bottom"/>
    </xf>
    <xf borderId="0" fillId="2" fontId="24" numFmtId="3" xfId="0" applyAlignment="1" applyFont="1" applyNumberFormat="1">
      <alignment horizontal="right" vertical="bottom"/>
    </xf>
    <xf borderId="0" fillId="2" fontId="24" numFmtId="3" xfId="0" applyAlignment="1" applyFont="1" applyNumberFormat="1">
      <alignment horizontal="right" readingOrder="0" vertical="bottom"/>
    </xf>
    <xf borderId="0" fillId="2" fontId="24" numFmtId="3" xfId="0" applyAlignment="1" applyFont="1" applyNumberFormat="1">
      <alignment horizontal="left" readingOrder="0" vertical="bottom"/>
    </xf>
    <xf borderId="4" fillId="0" fontId="24" numFmtId="3" xfId="0" applyAlignment="1" applyBorder="1" applyFont="1" applyNumberFormat="1">
      <alignment horizontal="right" readingOrder="0" vertical="bottom"/>
    </xf>
    <xf borderId="4" fillId="0" fontId="24" numFmtId="3" xfId="0" applyAlignment="1" applyBorder="1" applyFont="1" applyNumberFormat="1">
      <alignment horizontal="left" readingOrder="0" vertical="bottom"/>
    </xf>
    <xf borderId="4" fillId="0" fontId="24" numFmtId="0" xfId="0" applyAlignment="1" applyBorder="1" applyFont="1">
      <alignment vertical="bottom"/>
    </xf>
    <xf borderId="4" fillId="0" fontId="3" numFmtId="3" xfId="0" applyBorder="1" applyFont="1" applyNumberFormat="1"/>
    <xf borderId="4" fillId="0" fontId="8" numFmtId="3" xfId="0" applyAlignment="1" applyBorder="1" applyFont="1" applyNumberFormat="1">
      <alignment horizontal="left"/>
    </xf>
    <xf borderId="4" fillId="0" fontId="8" numFmtId="0" xfId="0" applyAlignment="1" applyBorder="1" applyFont="1">
      <alignment horizontal="left"/>
    </xf>
    <xf borderId="1" fillId="0" fontId="24" numFmtId="3" xfId="0" applyAlignment="1" applyBorder="1" applyFont="1" applyNumberFormat="1">
      <alignment horizontal="right" readingOrder="0" vertical="bottom"/>
    </xf>
    <xf borderId="0" fillId="9" fontId="24" numFmtId="0" xfId="0" applyAlignment="1" applyFont="1">
      <alignment horizontal="right" vertical="bottom"/>
    </xf>
    <xf borderId="0" fillId="9" fontId="24" numFmtId="0" xfId="0" applyAlignment="1" applyFont="1">
      <alignment horizontal="left" vertical="bottom"/>
    </xf>
    <xf borderId="0" fillId="9" fontId="24" numFmtId="0" xfId="0" applyAlignment="1" applyFont="1">
      <alignment vertical="bottom"/>
    </xf>
    <xf borderId="0" fillId="0" fontId="3" numFmtId="0" xfId="0" applyAlignment="1" applyFont="1">
      <alignment horizontal="left"/>
    </xf>
    <xf borderId="0" fillId="5" fontId="3" numFmtId="0" xfId="0" applyAlignment="1" applyFont="1">
      <alignment horizontal="left"/>
    </xf>
    <xf borderId="0" fillId="0" fontId="3" numFmtId="3" xfId="0" applyAlignment="1" applyFont="1" applyNumberFormat="1">
      <alignment horizontal="left"/>
    </xf>
    <xf borderId="0" fillId="0" fontId="36" numFmtId="3" xfId="0" applyFont="1" applyNumberFormat="1"/>
    <xf borderId="0" fillId="0" fontId="36" numFmtId="0" xfId="0" applyAlignment="1" applyFont="1">
      <alignment readingOrder="0"/>
    </xf>
    <xf borderId="0" fillId="3" fontId="5" numFmtId="3" xfId="0" applyAlignment="1" applyFont="1" applyNumberFormat="1">
      <alignment shrinkToFit="0" wrapText="0"/>
    </xf>
    <xf borderId="0" fillId="3" fontId="13" numFmtId="0" xfId="0" applyAlignment="1" applyFont="1">
      <alignment vertical="bottom"/>
    </xf>
    <xf borderId="0" fillId="8" fontId="13" numFmtId="0" xfId="0" applyAlignment="1" applyFont="1">
      <alignment horizontal="right" vertical="bottom"/>
    </xf>
    <xf borderId="15" fillId="5" fontId="5" numFmtId="0" xfId="0" applyAlignment="1" applyBorder="1" applyFont="1">
      <alignment shrinkToFit="0" wrapText="0"/>
    </xf>
    <xf borderId="2" fillId="5" fontId="5" numFmtId="0" xfId="0" applyAlignment="1" applyBorder="1" applyFont="1">
      <alignment shrinkToFit="0" wrapText="0"/>
    </xf>
    <xf borderId="15" fillId="3" fontId="3" numFmtId="0" xfId="0" applyAlignment="1" applyBorder="1" applyFont="1">
      <alignment readingOrder="0"/>
    </xf>
    <xf borderId="2" fillId="3" fontId="2" numFmtId="0" xfId="0" applyAlignment="1" applyBorder="1" applyFont="1">
      <alignment readingOrder="0"/>
    </xf>
    <xf borderId="0" fillId="3" fontId="2" numFmtId="0" xfId="0" applyAlignment="1" applyFont="1">
      <alignment readingOrder="0"/>
    </xf>
    <xf borderId="0" fillId="3" fontId="13" numFmtId="0" xfId="0" applyAlignment="1" applyFont="1">
      <alignment readingOrder="0" vertical="bottom"/>
    </xf>
    <xf borderId="15" fillId="3" fontId="13" numFmtId="0" xfId="0" applyAlignment="1" applyBorder="1" applyFont="1">
      <alignment readingOrder="0" vertical="bottom"/>
    </xf>
    <xf borderId="0" fillId="3" fontId="19" numFmtId="0" xfId="0" applyAlignment="1" applyFont="1">
      <alignment readingOrder="0" vertical="bottom"/>
    </xf>
    <xf borderId="2" fillId="3" fontId="19" numFmtId="0" xfId="0" applyAlignment="1" applyBorder="1" applyFont="1">
      <alignment readingOrder="0" vertical="bottom"/>
    </xf>
    <xf borderId="15" fillId="0" fontId="3" numFmtId="0" xfId="0" applyAlignment="1" applyBorder="1" applyFont="1">
      <alignment readingOrder="0"/>
    </xf>
    <xf borderId="15" fillId="0" fontId="2" numFmtId="0" xfId="0" applyAlignment="1" applyBorder="1" applyFont="1">
      <alignment readingOrder="0"/>
    </xf>
    <xf borderId="15" fillId="0" fontId="3" numFmtId="0" xfId="0" applyBorder="1" applyFont="1"/>
    <xf borderId="15" fillId="3" fontId="3" numFmtId="0" xfId="0" applyBorder="1" applyFont="1"/>
    <xf borderId="2" fillId="3" fontId="3" numFmtId="0" xfId="0" applyBorder="1" applyFont="1"/>
  </cellXfs>
  <cellStyles count="1">
    <cellStyle xfId="0" name="Normal" builtinId="0"/>
  </cellStyles>
  <dxfs count="15">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
      <font>
        <color rgb="FFFFFFFF"/>
      </font>
      <fill>
        <patternFill patternType="solid">
          <fgColor rgb="FF38761D"/>
          <bgColor rgb="FF38761D"/>
        </patternFill>
      </fill>
      <border/>
    </dxf>
    <dxf>
      <font>
        <color rgb="FFFFFFFF"/>
      </font>
      <fill>
        <patternFill patternType="solid">
          <fgColor rgb="FFE06666"/>
          <bgColor rgb="FFE06666"/>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A9999"/>
          <bgColor rgb="FFEA9999"/>
        </patternFill>
      </fill>
      <border/>
    </dxf>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
      <font/>
      <fill>
        <patternFill patternType="solid">
          <fgColor rgb="FFB4C6E7"/>
          <bgColor rgb="FFB4C6E7"/>
        </patternFill>
      </fill>
      <border/>
    </dxf>
    <dxf>
      <font/>
      <fill>
        <patternFill patternType="solid">
          <fgColor rgb="FFF4CCCC"/>
          <bgColor rgb="FFF4CCCC"/>
        </patternFill>
      </fill>
      <border/>
    </dxf>
    <dxf>
      <font/>
      <fill>
        <patternFill patternType="solid">
          <fgColor rgb="FFFFF2CC"/>
          <bgColor rgb="FFFFF2CC"/>
        </patternFill>
      </fill>
      <border/>
    </dxf>
  </dxfs>
  <tableStyles count="2">
    <tableStyle count="4" pivot="0" name="08_3-11-2018-style">
      <tableStyleElement dxfId="9" type="headerRow"/>
      <tableStyleElement dxfId="10" type="firstRowStripe"/>
      <tableStyleElement dxfId="10" type="secondRowStripe"/>
      <tableStyleElement dxfId="11" type="totalRow"/>
    </tableStyle>
    <tableStyle count="3" pivot="0" name="17_25-02-2022-style">
      <tableStyleElement dxfId="9" type="headerRow"/>
      <tableStyleElement dxfId="12" type="firstRowStripe"/>
      <tableStyleElement dxfId="10"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5.xml"/><Relationship Id="rId42" Type="http://schemas.openxmlformats.org/officeDocument/2006/relationships/worksheet" Target="worksheets/sheet37.xml"/><Relationship Id="rId41" Type="http://schemas.openxmlformats.org/officeDocument/2006/relationships/worksheet" Target="worksheets/sheet36.xml"/><Relationship Id="rId44" Type="http://schemas.openxmlformats.org/officeDocument/2006/relationships/worksheet" Target="worksheets/sheet39.xml"/><Relationship Id="rId43" Type="http://schemas.openxmlformats.org/officeDocument/2006/relationships/worksheet" Target="worksheets/sheet38.xml"/><Relationship Id="rId46" Type="http://schemas.openxmlformats.org/officeDocument/2006/relationships/worksheet" Target="worksheets/sheet41.xml"/><Relationship Id="rId45" Type="http://schemas.openxmlformats.org/officeDocument/2006/relationships/worksheet" Target="worksheets/sheet4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3.xml"/><Relationship Id="rId47" Type="http://schemas.openxmlformats.org/officeDocument/2006/relationships/worksheet" Target="worksheets/sheet42.xml"/><Relationship Id="rId49" Type="http://schemas.openxmlformats.org/officeDocument/2006/relationships/worksheet" Target="worksheets/sheet4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6.xml"/><Relationship Id="rId30" Type="http://schemas.openxmlformats.org/officeDocument/2006/relationships/worksheet" Target="worksheets/sheet25.xml"/><Relationship Id="rId33" Type="http://schemas.openxmlformats.org/officeDocument/2006/relationships/worksheet" Target="worksheets/sheet28.xml"/><Relationship Id="rId32" Type="http://schemas.openxmlformats.org/officeDocument/2006/relationships/worksheet" Target="worksheets/sheet27.xml"/><Relationship Id="rId35" Type="http://schemas.openxmlformats.org/officeDocument/2006/relationships/worksheet" Target="worksheets/sheet30.xml"/><Relationship Id="rId34" Type="http://schemas.openxmlformats.org/officeDocument/2006/relationships/worksheet" Target="worksheets/sheet29.xml"/><Relationship Id="rId37" Type="http://schemas.openxmlformats.org/officeDocument/2006/relationships/worksheet" Target="worksheets/sheet32.xml"/><Relationship Id="rId36" Type="http://schemas.openxmlformats.org/officeDocument/2006/relationships/worksheet" Target="worksheets/sheet31.xml"/><Relationship Id="rId39" Type="http://schemas.openxmlformats.org/officeDocument/2006/relationships/worksheet" Target="worksheets/sheet34.xml"/><Relationship Id="rId38" Type="http://schemas.openxmlformats.org/officeDocument/2006/relationships/worksheet" Target="worksheets/sheet3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chartsheet" Target="chartsheets/sheet1.xml"/><Relationship Id="rId27" Type="http://schemas.openxmlformats.org/officeDocument/2006/relationships/worksheet" Target="worksheets/sheet23.xml"/><Relationship Id="rId29" Type="http://schemas.openxmlformats.org/officeDocument/2006/relationships/worksheet" Target="worksheets/sheet24.xml"/><Relationship Id="rId51" Type="http://schemas.openxmlformats.org/officeDocument/2006/relationships/worksheet" Target="worksheets/sheet46.xml"/><Relationship Id="rId50" Type="http://schemas.openxmlformats.org/officeDocument/2006/relationships/worksheet" Target="worksheets/sheet4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Udvikling – runde 8-22</a:t>
            </a:r>
          </a:p>
        </c:rich>
      </c:tx>
      <c:overlay val="0"/>
    </c:title>
    <c:plotArea>
      <c:layout/>
      <c:lineChart>
        <c:ser>
          <c:idx val="0"/>
          <c:order val="0"/>
          <c:tx>
            <c:strRef>
              <c:f>'SAMLET_til diagram'!$I$1</c:f>
            </c:strRef>
          </c:tx>
          <c:spPr>
            <a:ln cmpd="sng">
              <a:solidFill>
                <a:srgbClr val="4472C4"/>
              </a:solidFill>
            </a:ln>
          </c:spPr>
          <c:marker>
            <c:symbol val="none"/>
          </c:marker>
          <c:cat>
            <c:strRef>
              <c:f>'SAMLET_til diagram'!$H$2:$H$502</c:f>
            </c:strRef>
          </c:cat>
          <c:val>
            <c:numRef>
              <c:f>'SAMLET_til diagram'!$I$2:$I$502</c:f>
              <c:numCache/>
            </c:numRef>
          </c:val>
          <c:smooth val="0"/>
        </c:ser>
        <c:ser>
          <c:idx val="1"/>
          <c:order val="1"/>
          <c:tx>
            <c:strRef>
              <c:f>'SAMLET_til diagram'!$J$1</c:f>
            </c:strRef>
          </c:tx>
          <c:spPr>
            <a:ln cmpd="sng">
              <a:solidFill>
                <a:srgbClr val="ED7D31"/>
              </a:solidFill>
            </a:ln>
          </c:spPr>
          <c:marker>
            <c:symbol val="none"/>
          </c:marker>
          <c:cat>
            <c:strRef>
              <c:f>'SAMLET_til diagram'!$H$2:$H$502</c:f>
            </c:strRef>
          </c:cat>
          <c:val>
            <c:numRef>
              <c:f>'SAMLET_til diagram'!$J$2:$J$502</c:f>
              <c:numCache/>
            </c:numRef>
          </c:val>
          <c:smooth val="0"/>
        </c:ser>
        <c:ser>
          <c:idx val="2"/>
          <c:order val="2"/>
          <c:tx>
            <c:strRef>
              <c:f>'SAMLET_til diagram'!$K$1</c:f>
            </c:strRef>
          </c:tx>
          <c:spPr>
            <a:ln cmpd="sng">
              <a:solidFill>
                <a:srgbClr val="A5A5A5"/>
              </a:solidFill>
            </a:ln>
          </c:spPr>
          <c:marker>
            <c:symbol val="none"/>
          </c:marker>
          <c:cat>
            <c:strRef>
              <c:f>'SAMLET_til diagram'!$H$2:$H$502</c:f>
            </c:strRef>
          </c:cat>
          <c:val>
            <c:numRef>
              <c:f>'SAMLET_til diagram'!$K$2:$K$502</c:f>
              <c:numCache/>
            </c:numRef>
          </c:val>
          <c:smooth val="0"/>
        </c:ser>
        <c:ser>
          <c:idx val="3"/>
          <c:order val="3"/>
          <c:tx>
            <c:strRef>
              <c:f>'SAMLET_til diagram'!$L$1</c:f>
            </c:strRef>
          </c:tx>
          <c:spPr>
            <a:ln cmpd="sng">
              <a:solidFill>
                <a:srgbClr val="FFC000"/>
              </a:solidFill>
            </a:ln>
          </c:spPr>
          <c:marker>
            <c:symbol val="none"/>
          </c:marker>
          <c:cat>
            <c:strRef>
              <c:f>'SAMLET_til diagram'!$H$2:$H$502</c:f>
            </c:strRef>
          </c:cat>
          <c:val>
            <c:numRef>
              <c:f>'SAMLET_til diagram'!$L$2:$L$502</c:f>
              <c:numCache/>
            </c:numRef>
          </c:val>
          <c:smooth val="0"/>
        </c:ser>
        <c:axId val="155746100"/>
        <c:axId val="1300647590"/>
      </c:lineChart>
      <c:catAx>
        <c:axId val="1557461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
                </a:r>
              </a:p>
            </c:rich>
          </c:tx>
          <c:overlay val="0"/>
        </c:title>
        <c:numFmt formatCode="General" sourceLinked="1"/>
        <c:majorTickMark val="none"/>
        <c:minorTickMark val="none"/>
        <c:spPr/>
        <c:txPr>
          <a:bodyPr/>
          <a:lstStyle/>
          <a:p>
            <a:pPr lvl="0">
              <a:defRPr b="0">
                <a:solidFill>
                  <a:srgbClr val="000000"/>
                </a:solidFill>
                <a:latin typeface="+mn-lt"/>
              </a:defRPr>
            </a:pPr>
          </a:p>
        </c:txPr>
        <c:crossAx val="1300647590"/>
      </c:catAx>
      <c:valAx>
        <c:axId val="13006475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74610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Udvikling – runde 1-22</a:t>
            </a:r>
          </a:p>
        </c:rich>
      </c:tx>
      <c:overlay val="0"/>
    </c:title>
    <c:plotArea>
      <c:layout/>
      <c:lineChart>
        <c:ser>
          <c:idx val="0"/>
          <c:order val="0"/>
          <c:tx>
            <c:strRef>
              <c:f>'SAMLET_til diagram'!$U$1</c:f>
            </c:strRef>
          </c:tx>
          <c:spPr>
            <a:ln cmpd="sng">
              <a:solidFill>
                <a:srgbClr val="4472C4"/>
              </a:solidFill>
            </a:ln>
          </c:spPr>
          <c:marker>
            <c:symbol val="none"/>
          </c:marker>
          <c:cat>
            <c:strRef>
              <c:f>'SAMLET_til diagram'!$T$2:$T$520</c:f>
            </c:strRef>
          </c:cat>
          <c:val>
            <c:numRef>
              <c:f>'SAMLET_til diagram'!$U$2:$U$520</c:f>
              <c:numCache/>
            </c:numRef>
          </c:val>
          <c:smooth val="0"/>
        </c:ser>
        <c:ser>
          <c:idx val="1"/>
          <c:order val="1"/>
          <c:tx>
            <c:strRef>
              <c:f>'SAMLET_til diagram'!$V$1</c:f>
            </c:strRef>
          </c:tx>
          <c:spPr>
            <a:ln cmpd="sng">
              <a:solidFill>
                <a:srgbClr val="ED7D31"/>
              </a:solidFill>
            </a:ln>
          </c:spPr>
          <c:marker>
            <c:symbol val="none"/>
          </c:marker>
          <c:cat>
            <c:strRef>
              <c:f>'SAMLET_til diagram'!$T$2:$T$520</c:f>
            </c:strRef>
          </c:cat>
          <c:val>
            <c:numRef>
              <c:f>'SAMLET_til diagram'!$V$2:$V$520</c:f>
              <c:numCache/>
            </c:numRef>
          </c:val>
          <c:smooth val="0"/>
        </c:ser>
        <c:ser>
          <c:idx val="2"/>
          <c:order val="2"/>
          <c:tx>
            <c:strRef>
              <c:f>'SAMLET_til diagram'!$W$1</c:f>
            </c:strRef>
          </c:tx>
          <c:spPr>
            <a:ln cmpd="sng">
              <a:solidFill>
                <a:srgbClr val="A5A5A5"/>
              </a:solidFill>
            </a:ln>
          </c:spPr>
          <c:marker>
            <c:symbol val="none"/>
          </c:marker>
          <c:cat>
            <c:strRef>
              <c:f>'SAMLET_til diagram'!$T$2:$T$520</c:f>
            </c:strRef>
          </c:cat>
          <c:val>
            <c:numRef>
              <c:f>'SAMLET_til diagram'!$W$2:$W$520</c:f>
              <c:numCache/>
            </c:numRef>
          </c:val>
          <c:smooth val="0"/>
        </c:ser>
        <c:ser>
          <c:idx val="3"/>
          <c:order val="3"/>
          <c:tx>
            <c:strRef>
              <c:f>'SAMLET_til diagram'!$X$1</c:f>
            </c:strRef>
          </c:tx>
          <c:spPr>
            <a:ln cmpd="sng">
              <a:solidFill>
                <a:srgbClr val="FFC000"/>
              </a:solidFill>
            </a:ln>
          </c:spPr>
          <c:marker>
            <c:symbol val="none"/>
          </c:marker>
          <c:cat>
            <c:strRef>
              <c:f>'SAMLET_til diagram'!$T$2:$T$520</c:f>
            </c:strRef>
          </c:cat>
          <c:val>
            <c:numRef>
              <c:f>'SAMLET_til diagram'!$X$2:$X$520</c:f>
              <c:numCache/>
            </c:numRef>
          </c:val>
          <c:smooth val="0"/>
        </c:ser>
        <c:axId val="19630533"/>
        <c:axId val="1676342299"/>
      </c:lineChart>
      <c:catAx>
        <c:axId val="196305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76342299"/>
      </c:catAx>
      <c:valAx>
        <c:axId val="16763422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3053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Runde #2 – 24/9/2016 hos Christian</a:t>
            </a:r>
          </a:p>
        </c:rich>
      </c:tx>
      <c:overlay val="0"/>
    </c:title>
    <c:plotArea>
      <c:layout/>
      <c:lineChart>
        <c:ser>
          <c:idx val="0"/>
          <c:order val="0"/>
          <c:tx>
            <c:strRef>
              <c:f>'02_2492016'!$B$2</c:f>
            </c:strRef>
          </c:tx>
          <c:spPr>
            <a:ln cmpd="sng">
              <a:solidFill>
                <a:srgbClr val="4472C4"/>
              </a:solidFill>
            </a:ln>
          </c:spPr>
          <c:marker>
            <c:symbol val="none"/>
          </c:marker>
          <c:cat>
            <c:strRef>
              <c:f>'02_2492016'!$A$3:$A$48</c:f>
            </c:strRef>
          </c:cat>
          <c:val>
            <c:numRef>
              <c:f>'02_2492016'!$B$3:$B$48</c:f>
              <c:numCache/>
            </c:numRef>
          </c:val>
          <c:smooth val="0"/>
        </c:ser>
        <c:ser>
          <c:idx val="1"/>
          <c:order val="1"/>
          <c:tx>
            <c:strRef>
              <c:f>'02_2492016'!$C$2</c:f>
            </c:strRef>
          </c:tx>
          <c:spPr>
            <a:ln cmpd="sng">
              <a:solidFill>
                <a:srgbClr val="ED7D31"/>
              </a:solidFill>
            </a:ln>
          </c:spPr>
          <c:marker>
            <c:symbol val="none"/>
          </c:marker>
          <c:cat>
            <c:strRef>
              <c:f>'02_2492016'!$A$3:$A$48</c:f>
            </c:strRef>
          </c:cat>
          <c:val>
            <c:numRef>
              <c:f>'02_2492016'!$C$3:$C$48</c:f>
              <c:numCache/>
            </c:numRef>
          </c:val>
          <c:smooth val="0"/>
        </c:ser>
        <c:ser>
          <c:idx val="2"/>
          <c:order val="2"/>
          <c:tx>
            <c:strRef>
              <c:f>'02_2492016'!$D$2</c:f>
            </c:strRef>
          </c:tx>
          <c:spPr>
            <a:ln cmpd="sng">
              <a:solidFill>
                <a:srgbClr val="A5A5A5"/>
              </a:solidFill>
            </a:ln>
          </c:spPr>
          <c:marker>
            <c:symbol val="none"/>
          </c:marker>
          <c:cat>
            <c:strRef>
              <c:f>'02_2492016'!$A$3:$A$48</c:f>
            </c:strRef>
          </c:cat>
          <c:val>
            <c:numRef>
              <c:f>'02_2492016'!$D$3:$D$48</c:f>
              <c:numCache/>
            </c:numRef>
          </c:val>
          <c:smooth val="0"/>
        </c:ser>
        <c:ser>
          <c:idx val="3"/>
          <c:order val="3"/>
          <c:tx>
            <c:strRef>
              <c:f>'02_2492016'!$E$2</c:f>
            </c:strRef>
          </c:tx>
          <c:spPr>
            <a:ln cmpd="sng">
              <a:solidFill>
                <a:srgbClr val="FFC000"/>
              </a:solidFill>
            </a:ln>
          </c:spPr>
          <c:marker>
            <c:symbol val="none"/>
          </c:marker>
          <c:cat>
            <c:strRef>
              <c:f>'02_2492016'!$A$3:$A$48</c:f>
            </c:strRef>
          </c:cat>
          <c:val>
            <c:numRef>
              <c:f>'02_2492016'!$E$3:$E$48</c:f>
              <c:numCache/>
            </c:numRef>
          </c:val>
          <c:smooth val="0"/>
        </c:ser>
        <c:axId val="2119841326"/>
        <c:axId val="1588241712"/>
      </c:lineChart>
      <c:catAx>
        <c:axId val="21198413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spil</a:t>
                </a:r>
              </a:p>
            </c:rich>
          </c:tx>
          <c:overlay val="0"/>
        </c:title>
        <c:numFmt formatCode="General" sourceLinked="1"/>
        <c:majorTickMark val="none"/>
        <c:minorTickMark val="none"/>
        <c:spPr/>
        <c:txPr>
          <a:bodyPr/>
          <a:lstStyle/>
          <a:p>
            <a:pPr lvl="0">
              <a:defRPr b="0">
                <a:solidFill>
                  <a:srgbClr val="000000"/>
                </a:solidFill>
                <a:latin typeface="+mn-lt"/>
              </a:defRPr>
            </a:pPr>
          </a:p>
        </c:txPr>
        <c:crossAx val="1588241712"/>
      </c:catAx>
      <c:valAx>
        <c:axId val="15882417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984132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'09_26-01-2019'!$B$3</c:f>
            </c:strRef>
          </c:tx>
          <c:spPr>
            <a:ln cmpd="sng">
              <a:solidFill>
                <a:srgbClr val="4472C4"/>
              </a:solidFill>
            </a:ln>
          </c:spPr>
          <c:marker>
            <c:symbol val="none"/>
          </c:marker>
          <c:val>
            <c:numRef>
              <c:f>'09_26-01-2019'!$B$4:$B$44</c:f>
              <c:numCache/>
            </c:numRef>
          </c:val>
          <c:smooth val="0"/>
        </c:ser>
        <c:ser>
          <c:idx val="1"/>
          <c:order val="1"/>
          <c:tx>
            <c:strRef>
              <c:f>'09_26-01-2019'!$C$3</c:f>
            </c:strRef>
          </c:tx>
          <c:spPr>
            <a:ln cmpd="sng">
              <a:solidFill>
                <a:srgbClr val="ED7D31"/>
              </a:solidFill>
            </a:ln>
          </c:spPr>
          <c:marker>
            <c:symbol val="none"/>
          </c:marker>
          <c:val>
            <c:numRef>
              <c:f>'09_26-01-2019'!$C$4:$C$44</c:f>
              <c:numCache/>
            </c:numRef>
          </c:val>
          <c:smooth val="0"/>
        </c:ser>
        <c:ser>
          <c:idx val="2"/>
          <c:order val="2"/>
          <c:tx>
            <c:strRef>
              <c:f>'09_26-01-2019'!$D$3</c:f>
            </c:strRef>
          </c:tx>
          <c:spPr>
            <a:ln cmpd="sng">
              <a:solidFill>
                <a:srgbClr val="A5A5A5"/>
              </a:solidFill>
            </a:ln>
          </c:spPr>
          <c:marker>
            <c:symbol val="none"/>
          </c:marker>
          <c:val>
            <c:numRef>
              <c:f>'09_26-01-2019'!$D$4:$D$44</c:f>
              <c:numCache/>
            </c:numRef>
          </c:val>
          <c:smooth val="0"/>
        </c:ser>
        <c:ser>
          <c:idx val="3"/>
          <c:order val="3"/>
          <c:tx>
            <c:strRef>
              <c:f>'09_26-01-2019'!$E$3</c:f>
            </c:strRef>
          </c:tx>
          <c:spPr>
            <a:ln cmpd="sng">
              <a:solidFill>
                <a:srgbClr val="FFC000"/>
              </a:solidFill>
            </a:ln>
          </c:spPr>
          <c:marker>
            <c:symbol val="none"/>
          </c:marker>
          <c:val>
            <c:numRef>
              <c:f>'09_26-01-2019'!$E$4:$E$44</c:f>
              <c:numCache/>
            </c:numRef>
          </c:val>
          <c:smooth val="0"/>
        </c:ser>
        <c:axId val="1251029125"/>
        <c:axId val="626860971"/>
      </c:lineChart>
      <c:catAx>
        <c:axId val="12510291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26860971"/>
      </c:catAx>
      <c:valAx>
        <c:axId val="6268609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1029125"/>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4.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285750</xdr:colOff>
      <xdr:row>25</xdr:row>
      <xdr:rowOff>114300</xdr:rowOff>
    </xdr:from>
    <xdr:ext cx="9791700" cy="6048375"/>
    <xdr:pic>
      <xdr:nvPicPr>
        <xdr:cNvPr id="1188192844" name="Chart1" title="Diagram">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657225</xdr:colOff>
      <xdr:row>19</xdr:row>
      <xdr:rowOff>152400</xdr:rowOff>
    </xdr:from>
    <xdr:ext cx="9096375" cy="5629275"/>
    <xdr:graphicFrame>
      <xdr:nvGraphicFramePr>
        <xdr:cNvPr id="2" name="Chart 2"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895350</xdr:colOff>
      <xdr:row>11</xdr:row>
      <xdr:rowOff>66675</xdr:rowOff>
    </xdr:from>
    <xdr:ext cx="5715000" cy="3533775"/>
    <xdr:graphicFrame>
      <xdr:nvGraphicFramePr>
        <xdr:cNvPr id="3" name="Chart 3"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019581476" name="Chart4" title="Diagram">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absolute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542925</xdr:colOff>
      <xdr:row>23</xdr:row>
      <xdr:rowOff>9525</xdr:rowOff>
    </xdr:from>
    <xdr:ext cx="5715000" cy="3533775"/>
    <xdr:graphicFrame>
      <xdr:nvGraphicFramePr>
        <xdr:cNvPr id="5" name="Chart 5"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6" name="Chart 6" title="Diagra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2:K8" displayName="Table_1" name="Table_1" id="1">
  <tableColumns count="11">
    <tableColumn totalsRowFunction="custom" name="spil" id="1"/>
    <tableColumn totalsRowFunction="custom" name="Thomas" id="2"/>
    <tableColumn totalsRowFunction="custom" name="Janus" id="3"/>
    <tableColumn totalsRowFunction="custom" name="Peter" id="4"/>
    <tableColumn totalsRowFunction="custom" name="Christian" id="5"/>
    <tableColumn totalsRowFunction="custom" name="Tværsum" id="6"/>
    <tableColumn totalsRowLabel="Peter" name="Melding" id="7"/>
    <tableColumn totalsRowLabel="Thomas" name="giver" id="8"/>
    <tableColumn name="Vindende melding" id="9"/>
    <tableColumn name="Column1" id="10"/>
    <tableColumn name="Column2" id="11"/>
  </tableColumns>
  <tableStyleInfo name="08_3-11-2018-style" showColumnStripes="0" showFirstColumn="1" showLastColumn="1" showRowStripes="1"/>
</table>
</file>

<file path=xl/tables/table2.xml><?xml version="1.0" encoding="utf-8"?>
<table xmlns="http://schemas.openxmlformats.org/spreadsheetml/2006/main" headerRowCount="0" ref="A2:I30"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7_25-02-2022-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5.xml"/><Relationship Id="rId3"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7.xml"/><Relationship Id="rId3"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8.xml"/><Relationship Id="rId3"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3.xml"/><Relationship Id="rId3"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30.xml"/><Relationship Id="rId3" Type="http://schemas.openxmlformats.org/officeDocument/2006/relationships/vmlDrawing" Target="../drawings/vmlDrawing9.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39.xml"/><Relationship Id="rId3" Type="http://schemas.openxmlformats.org/officeDocument/2006/relationships/vmlDrawing" Target="../drawings/vmlDrawing10.v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5.13"/>
    <col customWidth="1" min="2" max="2" width="3.75"/>
    <col customWidth="1" min="3" max="3" width="13.63"/>
    <col customWidth="1" min="4" max="4" width="7.88"/>
    <col customWidth="1" min="5" max="5" width="7.5"/>
    <col customWidth="1" min="6" max="7" width="7.88"/>
    <col customWidth="1" min="8" max="8" width="10.5"/>
    <col customWidth="1" min="10" max="10" width="14.0"/>
    <col customWidth="1" min="12" max="12" width="20.13"/>
    <col customWidth="1" min="13" max="13" width="16.38"/>
    <col customWidth="1" min="14" max="14" width="151.75"/>
  </cols>
  <sheetData>
    <row r="1">
      <c r="A1" s="1"/>
      <c r="B1" s="2" t="s">
        <v>0</v>
      </c>
      <c r="C1" s="3" t="s">
        <v>1</v>
      </c>
      <c r="D1" s="2" t="s">
        <v>2</v>
      </c>
      <c r="E1" s="4"/>
      <c r="F1" s="4"/>
      <c r="G1" s="4"/>
      <c r="H1" s="2" t="s">
        <v>3</v>
      </c>
      <c r="I1" s="2" t="s">
        <v>4</v>
      </c>
      <c r="J1" s="2" t="s">
        <v>5</v>
      </c>
      <c r="K1" s="2" t="s">
        <v>6</v>
      </c>
      <c r="L1" s="2"/>
      <c r="M1" s="2"/>
      <c r="N1" s="2"/>
    </row>
    <row r="2">
      <c r="A2" s="5"/>
      <c r="B2" s="6"/>
      <c r="C2" s="6"/>
      <c r="D2" s="7" t="s">
        <v>7</v>
      </c>
      <c r="E2" s="7" t="s">
        <v>8</v>
      </c>
      <c r="F2" s="7" t="s">
        <v>9</v>
      </c>
      <c r="G2" s="7" t="s">
        <v>10</v>
      </c>
      <c r="H2" s="8"/>
      <c r="I2" s="8"/>
      <c r="J2" s="8"/>
      <c r="K2" s="8"/>
      <c r="L2" s="8"/>
      <c r="M2" s="7" t="s">
        <v>11</v>
      </c>
      <c r="N2" s="7"/>
    </row>
    <row r="3">
      <c r="A3" s="9">
        <v>1.0</v>
      </c>
      <c r="B3" s="7"/>
      <c r="C3" s="10">
        <v>42542.0</v>
      </c>
      <c r="D3" s="9">
        <v>-230.0</v>
      </c>
      <c r="E3" s="9">
        <v>-166.0</v>
      </c>
      <c r="F3" s="9">
        <v>370.0</v>
      </c>
      <c r="G3" s="9">
        <v>8.0</v>
      </c>
      <c r="H3" s="5">
        <f t="shared" ref="H3:H6" si="1">sum(D3+F3+E3+G3)</f>
        <v>-18</v>
      </c>
      <c r="I3" s="7">
        <v>24.0</v>
      </c>
      <c r="J3" s="7"/>
      <c r="K3" s="7"/>
      <c r="L3" s="7" t="s">
        <v>12</v>
      </c>
      <c r="M3" s="7" t="s">
        <v>13</v>
      </c>
      <c r="N3" s="7" t="s">
        <v>14</v>
      </c>
    </row>
    <row r="4">
      <c r="A4" s="9">
        <v>2.0</v>
      </c>
      <c r="B4" s="7" t="s">
        <v>15</v>
      </c>
      <c r="C4" s="10">
        <v>42637.0</v>
      </c>
      <c r="D4" s="9">
        <v>544.0</v>
      </c>
      <c r="E4" s="9">
        <v>-872.0</v>
      </c>
      <c r="F4" s="9">
        <v>472.0</v>
      </c>
      <c r="G4" s="9">
        <v>-258.0</v>
      </c>
      <c r="H4" s="5">
        <f t="shared" si="1"/>
        <v>-114</v>
      </c>
      <c r="I4" s="7">
        <v>46.0</v>
      </c>
      <c r="J4" s="7"/>
      <c r="K4" s="7"/>
      <c r="L4" s="7" t="s">
        <v>16</v>
      </c>
      <c r="M4" s="7" t="s">
        <v>13</v>
      </c>
      <c r="N4" s="7" t="s">
        <v>17</v>
      </c>
    </row>
    <row r="5">
      <c r="A5" s="9">
        <v>3.0</v>
      </c>
      <c r="B5" s="7"/>
      <c r="C5" s="10">
        <v>42791.0</v>
      </c>
      <c r="D5" s="9">
        <v>54.0</v>
      </c>
      <c r="E5" s="9">
        <v>234.0</v>
      </c>
      <c r="F5" s="9">
        <v>148.0</v>
      </c>
      <c r="G5" s="9">
        <v>-404.0</v>
      </c>
      <c r="H5" s="5">
        <f t="shared" si="1"/>
        <v>32</v>
      </c>
      <c r="I5" s="7">
        <v>23.0</v>
      </c>
      <c r="J5" s="7"/>
      <c r="K5" s="7"/>
      <c r="L5" s="7" t="s">
        <v>18</v>
      </c>
      <c r="M5" s="7" t="s">
        <v>13</v>
      </c>
      <c r="N5" s="7"/>
    </row>
    <row r="6">
      <c r="A6" s="9">
        <v>4.0</v>
      </c>
      <c r="B6" s="7"/>
      <c r="C6" s="10" t="s">
        <v>19</v>
      </c>
      <c r="D6" s="9">
        <v>-72.0</v>
      </c>
      <c r="E6" s="9">
        <v>-256.0</v>
      </c>
      <c r="F6" s="9">
        <v>138.0</v>
      </c>
      <c r="G6" s="9">
        <v>186.0</v>
      </c>
      <c r="H6" s="5">
        <f t="shared" si="1"/>
        <v>-4</v>
      </c>
      <c r="I6" s="7">
        <v>30.0</v>
      </c>
      <c r="J6" s="7"/>
      <c r="K6" s="7"/>
      <c r="L6" s="7" t="s">
        <v>19</v>
      </c>
      <c r="M6" s="7" t="s">
        <v>13</v>
      </c>
      <c r="N6" s="7" t="s">
        <v>20</v>
      </c>
    </row>
    <row r="7">
      <c r="A7" s="9">
        <v>5.0</v>
      </c>
      <c r="B7" s="7"/>
      <c r="C7" s="10">
        <v>43000.0</v>
      </c>
      <c r="D7" s="5"/>
      <c r="E7" s="5"/>
      <c r="F7" s="5"/>
      <c r="G7" s="5"/>
      <c r="H7" s="8"/>
      <c r="I7" s="8"/>
      <c r="J7" s="8"/>
      <c r="K7" s="8"/>
      <c r="L7" s="7" t="s">
        <v>21</v>
      </c>
      <c r="M7" s="7"/>
      <c r="N7" s="7" t="s">
        <v>22</v>
      </c>
    </row>
    <row r="8">
      <c r="A8" s="9">
        <v>6.0</v>
      </c>
      <c r="B8" s="7" t="s">
        <v>15</v>
      </c>
      <c r="C8" s="10">
        <v>43001.0</v>
      </c>
      <c r="D8" s="9">
        <v>-398.0</v>
      </c>
      <c r="E8" s="9">
        <v>106.0</v>
      </c>
      <c r="F8" s="9">
        <v>554.0</v>
      </c>
      <c r="G8" s="9">
        <v>-262.0</v>
      </c>
      <c r="H8" s="5">
        <f t="shared" ref="H8:H31" si="2">sum(D8+F8+E8+G8)</f>
        <v>0</v>
      </c>
      <c r="I8" s="7">
        <v>26.0</v>
      </c>
      <c r="J8" s="7"/>
      <c r="K8" s="7"/>
      <c r="L8" s="7" t="s">
        <v>21</v>
      </c>
      <c r="M8" s="7" t="s">
        <v>23</v>
      </c>
      <c r="N8" s="7"/>
    </row>
    <row r="9">
      <c r="A9" s="9">
        <v>7.0</v>
      </c>
      <c r="B9" s="7" t="s">
        <v>15</v>
      </c>
      <c r="C9" s="10">
        <v>43002.0</v>
      </c>
      <c r="D9" s="9">
        <v>-56.0</v>
      </c>
      <c r="E9" s="9">
        <v>-8.0</v>
      </c>
      <c r="F9" s="9">
        <v>32.0</v>
      </c>
      <c r="G9" s="9">
        <v>32.0</v>
      </c>
      <c r="H9" s="5">
        <f t="shared" si="2"/>
        <v>0</v>
      </c>
      <c r="I9" s="7">
        <v>11.0</v>
      </c>
      <c r="J9" s="7"/>
      <c r="K9" s="7"/>
      <c r="L9" s="7" t="s">
        <v>21</v>
      </c>
      <c r="M9" s="7" t="s">
        <v>23</v>
      </c>
      <c r="N9" s="7"/>
    </row>
    <row r="10">
      <c r="A10" s="9">
        <v>8.0</v>
      </c>
      <c r="B10" s="7" t="s">
        <v>15</v>
      </c>
      <c r="C10" s="10">
        <v>43407.0</v>
      </c>
      <c r="D10" s="9">
        <v>-92.0</v>
      </c>
      <c r="E10" s="9">
        <v>-84.0</v>
      </c>
      <c r="F10" s="9">
        <v>-180.0</v>
      </c>
      <c r="G10" s="9">
        <v>356.0</v>
      </c>
      <c r="H10" s="5">
        <f t="shared" si="2"/>
        <v>0</v>
      </c>
      <c r="I10" s="7">
        <v>51.0</v>
      </c>
      <c r="J10" s="7"/>
      <c r="K10" s="7"/>
      <c r="L10" s="7" t="s">
        <v>7</v>
      </c>
      <c r="M10" s="7" t="s">
        <v>24</v>
      </c>
      <c r="N10" s="7"/>
    </row>
    <row r="11">
      <c r="A11" s="9">
        <v>9.0</v>
      </c>
      <c r="B11" s="7" t="s">
        <v>15</v>
      </c>
      <c r="C11" s="10">
        <v>43491.0</v>
      </c>
      <c r="D11" s="9">
        <v>-132.0</v>
      </c>
      <c r="E11" s="9">
        <v>-160.0</v>
      </c>
      <c r="F11" s="9">
        <v>282.0</v>
      </c>
      <c r="G11" s="9">
        <v>10.0</v>
      </c>
      <c r="H11" s="5">
        <f t="shared" si="2"/>
        <v>0</v>
      </c>
      <c r="I11" s="7">
        <v>41.0</v>
      </c>
      <c r="J11" s="7"/>
      <c r="K11" s="7"/>
      <c r="L11" s="7" t="s">
        <v>25</v>
      </c>
      <c r="M11" s="7" t="s">
        <v>26</v>
      </c>
      <c r="N11" s="7" t="s">
        <v>27</v>
      </c>
    </row>
    <row r="12">
      <c r="A12" s="9">
        <v>10.0</v>
      </c>
      <c r="B12" s="7" t="s">
        <v>15</v>
      </c>
      <c r="C12" s="10">
        <v>43644.0</v>
      </c>
      <c r="D12" s="9">
        <v>320.0</v>
      </c>
      <c r="E12" s="9">
        <v>-64.0</v>
      </c>
      <c r="F12" s="9">
        <v>-152.0</v>
      </c>
      <c r="G12" s="9">
        <v>-104.0</v>
      </c>
      <c r="H12" s="5">
        <f t="shared" si="2"/>
        <v>0</v>
      </c>
      <c r="I12" s="7">
        <v>32.0</v>
      </c>
      <c r="J12" s="8"/>
      <c r="K12" s="8"/>
      <c r="L12" s="7" t="s">
        <v>28</v>
      </c>
      <c r="M12" s="7" t="s">
        <v>29</v>
      </c>
      <c r="N12" s="7" t="s">
        <v>30</v>
      </c>
    </row>
    <row r="13">
      <c r="A13" s="9">
        <v>11.0</v>
      </c>
      <c r="B13" s="7" t="s">
        <v>15</v>
      </c>
      <c r="C13" s="10">
        <v>43798.0</v>
      </c>
      <c r="D13" s="9">
        <v>226.0</v>
      </c>
      <c r="E13" s="9">
        <v>-222.0</v>
      </c>
      <c r="F13" s="9">
        <v>6.0</v>
      </c>
      <c r="G13" s="9">
        <v>-10.0</v>
      </c>
      <c r="H13" s="5">
        <f t="shared" si="2"/>
        <v>0</v>
      </c>
      <c r="I13" s="7">
        <v>26.0</v>
      </c>
      <c r="J13" s="8"/>
      <c r="K13" s="8"/>
      <c r="L13" s="7" t="s">
        <v>31</v>
      </c>
      <c r="M13" s="7" t="s">
        <v>29</v>
      </c>
      <c r="N13" s="7" t="s">
        <v>32</v>
      </c>
    </row>
    <row r="14">
      <c r="A14" s="11" t="s">
        <v>33</v>
      </c>
      <c r="B14" s="7" t="s">
        <v>15</v>
      </c>
      <c r="C14" s="10">
        <v>43882.0</v>
      </c>
      <c r="D14" s="9">
        <v>0.0</v>
      </c>
      <c r="E14" s="9">
        <v>-8.0</v>
      </c>
      <c r="F14" s="9">
        <v>48.0</v>
      </c>
      <c r="G14" s="9">
        <v>-40.0</v>
      </c>
      <c r="H14" s="5">
        <f t="shared" si="2"/>
        <v>0</v>
      </c>
      <c r="I14" s="7">
        <v>8.0</v>
      </c>
      <c r="J14" s="8"/>
      <c r="K14" s="8"/>
      <c r="L14" s="7" t="s">
        <v>34</v>
      </c>
      <c r="M14" s="7" t="s">
        <v>29</v>
      </c>
      <c r="N14" s="7" t="s">
        <v>35</v>
      </c>
    </row>
    <row r="15">
      <c r="A15" s="11" t="s">
        <v>36</v>
      </c>
      <c r="B15" s="7" t="s">
        <v>15</v>
      </c>
      <c r="C15" s="10">
        <v>43882.0</v>
      </c>
      <c r="D15" s="9">
        <v>104.0</v>
      </c>
      <c r="E15" s="9">
        <v>-88.0</v>
      </c>
      <c r="F15" s="9">
        <v>-32.0</v>
      </c>
      <c r="G15" s="9">
        <v>16.0</v>
      </c>
      <c r="H15" s="5">
        <f t="shared" si="2"/>
        <v>0</v>
      </c>
      <c r="I15" s="7">
        <v>27.0</v>
      </c>
      <c r="J15" s="8"/>
      <c r="K15" s="8"/>
      <c r="L15" s="7" t="s">
        <v>34</v>
      </c>
      <c r="M15" s="7" t="s">
        <v>29</v>
      </c>
      <c r="N15" s="7"/>
    </row>
    <row r="16">
      <c r="A16" s="9">
        <v>13.0</v>
      </c>
      <c r="B16" s="7" t="s">
        <v>15</v>
      </c>
      <c r="C16" s="10">
        <v>43883.0</v>
      </c>
      <c r="D16" s="9">
        <v>178.0</v>
      </c>
      <c r="E16" s="9">
        <v>-134.0</v>
      </c>
      <c r="F16" s="9">
        <v>142.0</v>
      </c>
      <c r="G16" s="9">
        <v>-186.0</v>
      </c>
      <c r="H16" s="5">
        <f t="shared" si="2"/>
        <v>0</v>
      </c>
      <c r="I16" s="7">
        <v>31.0</v>
      </c>
      <c r="J16" s="8"/>
      <c r="K16" s="8"/>
      <c r="L16" s="7" t="s">
        <v>34</v>
      </c>
      <c r="M16" s="7" t="s">
        <v>29</v>
      </c>
      <c r="N16" s="7"/>
    </row>
    <row r="17">
      <c r="A17" s="9">
        <v>14.0</v>
      </c>
      <c r="B17" s="7" t="s">
        <v>15</v>
      </c>
      <c r="C17" s="10">
        <v>44106.0</v>
      </c>
      <c r="D17" s="9">
        <v>-72.0</v>
      </c>
      <c r="E17" s="9">
        <v>-40.0</v>
      </c>
      <c r="F17" s="9">
        <v>224.0</v>
      </c>
      <c r="G17" s="9">
        <v>-112.0</v>
      </c>
      <c r="H17" s="5">
        <f t="shared" si="2"/>
        <v>0</v>
      </c>
      <c r="I17" s="7">
        <v>27.0</v>
      </c>
      <c r="J17" s="8"/>
      <c r="K17" s="8"/>
      <c r="L17" s="7" t="s">
        <v>16</v>
      </c>
      <c r="M17" s="7" t="s">
        <v>29</v>
      </c>
      <c r="N17" s="8"/>
    </row>
    <row r="18">
      <c r="A18" s="9">
        <v>15.0</v>
      </c>
      <c r="B18" s="7" t="s">
        <v>15</v>
      </c>
      <c r="C18" s="10">
        <v>44365.0</v>
      </c>
      <c r="D18" s="9">
        <v>8.0</v>
      </c>
      <c r="E18" s="9">
        <v>128.0</v>
      </c>
      <c r="F18" s="9">
        <v>-176.0</v>
      </c>
      <c r="G18" s="9">
        <v>40.0</v>
      </c>
      <c r="H18" s="5">
        <f t="shared" si="2"/>
        <v>0</v>
      </c>
      <c r="I18" s="7">
        <v>18.0</v>
      </c>
      <c r="J18" s="7"/>
      <c r="K18" s="7"/>
      <c r="L18" s="7" t="s">
        <v>37</v>
      </c>
      <c r="M18" s="7" t="s">
        <v>29</v>
      </c>
      <c r="N18" s="7"/>
    </row>
    <row r="19">
      <c r="A19" s="9">
        <v>16.0</v>
      </c>
      <c r="B19" s="7" t="s">
        <v>15</v>
      </c>
      <c r="C19" s="10">
        <v>44518.0</v>
      </c>
      <c r="D19" s="9">
        <v>-300.0</v>
      </c>
      <c r="E19" s="9">
        <v>-20.0</v>
      </c>
      <c r="F19" s="9">
        <v>12.0</v>
      </c>
      <c r="G19" s="9">
        <v>308.0</v>
      </c>
      <c r="H19" s="5">
        <f t="shared" si="2"/>
        <v>0</v>
      </c>
      <c r="I19" s="7">
        <v>27.0</v>
      </c>
      <c r="J19" s="8"/>
      <c r="K19" s="8"/>
      <c r="L19" s="7" t="s">
        <v>38</v>
      </c>
      <c r="M19" s="7" t="s">
        <v>29</v>
      </c>
      <c r="N19" s="7"/>
    </row>
    <row r="20">
      <c r="A20" s="9">
        <v>17.0</v>
      </c>
      <c r="B20" s="7" t="s">
        <v>15</v>
      </c>
      <c r="C20" s="10">
        <v>44617.0</v>
      </c>
      <c r="D20" s="9">
        <v>96.0</v>
      </c>
      <c r="E20" s="9">
        <v>-304.0</v>
      </c>
      <c r="F20" s="9">
        <v>368.0</v>
      </c>
      <c r="G20" s="9">
        <v>-160.0</v>
      </c>
      <c r="H20" s="5">
        <f t="shared" si="2"/>
        <v>0</v>
      </c>
      <c r="I20" s="7">
        <v>25.0</v>
      </c>
      <c r="J20" s="8"/>
      <c r="K20" s="8"/>
      <c r="L20" s="7" t="s">
        <v>34</v>
      </c>
      <c r="M20" s="7" t="s">
        <v>39</v>
      </c>
      <c r="N20" s="8"/>
    </row>
    <row r="21">
      <c r="A21" s="9">
        <v>18.0</v>
      </c>
      <c r="B21" s="7" t="s">
        <v>15</v>
      </c>
      <c r="C21" s="10">
        <v>44618.0</v>
      </c>
      <c r="D21" s="9">
        <v>286.0</v>
      </c>
      <c r="E21" s="9">
        <v>-282.0</v>
      </c>
      <c r="F21" s="9">
        <v>30.0</v>
      </c>
      <c r="G21" s="9">
        <v>-34.0</v>
      </c>
      <c r="H21" s="5">
        <f t="shared" si="2"/>
        <v>0</v>
      </c>
      <c r="I21" s="7">
        <v>40.0</v>
      </c>
      <c r="J21" s="8"/>
      <c r="K21" s="8"/>
      <c r="L21" s="7" t="s">
        <v>34</v>
      </c>
      <c r="M21" s="7" t="s">
        <v>39</v>
      </c>
      <c r="N21" s="8"/>
    </row>
    <row r="22">
      <c r="A22" s="9">
        <v>19.0</v>
      </c>
      <c r="B22" s="7" t="s">
        <v>15</v>
      </c>
      <c r="C22" s="10">
        <v>44939.0</v>
      </c>
      <c r="D22" s="9">
        <v>104.0</v>
      </c>
      <c r="E22" s="9">
        <v>-248.0</v>
      </c>
      <c r="F22" s="9">
        <v>68.0</v>
      </c>
      <c r="G22" s="9">
        <v>76.0</v>
      </c>
      <c r="H22" s="5">
        <f t="shared" si="2"/>
        <v>0</v>
      </c>
      <c r="I22" s="7">
        <v>8.0</v>
      </c>
      <c r="J22" s="8"/>
      <c r="K22" s="8"/>
      <c r="L22" s="7" t="s">
        <v>21</v>
      </c>
      <c r="M22" s="7" t="s">
        <v>40</v>
      </c>
      <c r="N22" s="7" t="s">
        <v>41</v>
      </c>
    </row>
    <row r="23">
      <c r="A23" s="9">
        <v>20.0</v>
      </c>
      <c r="B23" s="7" t="s">
        <v>15</v>
      </c>
      <c r="C23" s="10">
        <v>44940.0</v>
      </c>
      <c r="D23" s="9">
        <v>312.0</v>
      </c>
      <c r="E23" s="9">
        <v>-100.0</v>
      </c>
      <c r="F23" s="9">
        <v>-136.0</v>
      </c>
      <c r="G23" s="9">
        <v>-76.0</v>
      </c>
      <c r="H23" s="5">
        <f t="shared" si="2"/>
        <v>0</v>
      </c>
      <c r="I23" s="7">
        <v>30.0</v>
      </c>
      <c r="J23" s="8"/>
      <c r="K23" s="8"/>
      <c r="L23" s="7" t="s">
        <v>21</v>
      </c>
      <c r="M23" s="7" t="s">
        <v>40</v>
      </c>
      <c r="N23" s="7" t="s">
        <v>42</v>
      </c>
    </row>
    <row r="24">
      <c r="A24" s="9">
        <v>21.0</v>
      </c>
      <c r="B24" s="7"/>
      <c r="C24" s="10">
        <v>45085.0</v>
      </c>
      <c r="D24" s="9">
        <v>-80.0</v>
      </c>
      <c r="E24" s="9">
        <v>-168.0</v>
      </c>
      <c r="F24" s="9">
        <v>88.0</v>
      </c>
      <c r="G24" s="9">
        <v>160.0</v>
      </c>
      <c r="H24" s="5">
        <f t="shared" si="2"/>
        <v>0</v>
      </c>
      <c r="I24" s="7">
        <v>22.0</v>
      </c>
      <c r="J24" s="8"/>
      <c r="K24" s="8"/>
      <c r="L24" s="7" t="s">
        <v>43</v>
      </c>
      <c r="M24" s="7" t="s">
        <v>44</v>
      </c>
      <c r="N24" s="7" t="s">
        <v>45</v>
      </c>
    </row>
    <row r="25">
      <c r="A25" s="9">
        <v>22.0</v>
      </c>
      <c r="B25" s="6"/>
      <c r="C25" s="10">
        <v>45199.0</v>
      </c>
      <c r="D25" s="9">
        <v>-326.0</v>
      </c>
      <c r="E25" s="9">
        <v>-330.0</v>
      </c>
      <c r="F25" s="9">
        <v>282.0</v>
      </c>
      <c r="G25" s="9">
        <v>374.0</v>
      </c>
      <c r="H25" s="5">
        <f t="shared" si="2"/>
        <v>0</v>
      </c>
      <c r="I25" s="7">
        <v>39.0</v>
      </c>
      <c r="J25" s="8"/>
      <c r="K25" s="8"/>
      <c r="L25" s="7" t="s">
        <v>25</v>
      </c>
      <c r="M25" s="7" t="s">
        <v>46</v>
      </c>
      <c r="N25" s="7" t="s">
        <v>47</v>
      </c>
    </row>
    <row r="26">
      <c r="A26" s="9">
        <v>23.0</v>
      </c>
      <c r="B26" s="6"/>
      <c r="C26" s="10">
        <v>45470.0</v>
      </c>
      <c r="D26" s="9">
        <v>-294.0</v>
      </c>
      <c r="E26" s="9">
        <v>-286.0</v>
      </c>
      <c r="F26" s="9">
        <v>366.0</v>
      </c>
      <c r="G26" s="9">
        <v>214.0</v>
      </c>
      <c r="H26" s="5">
        <f t="shared" si="2"/>
        <v>0</v>
      </c>
      <c r="I26" s="7">
        <v>19.0</v>
      </c>
      <c r="J26" s="8"/>
      <c r="K26" s="8"/>
      <c r="L26" s="7" t="s">
        <v>43</v>
      </c>
      <c r="M26" s="7"/>
      <c r="N26" s="7"/>
    </row>
    <row r="27">
      <c r="A27" s="9">
        <v>24.0</v>
      </c>
      <c r="B27" s="6"/>
      <c r="C27" s="10">
        <v>45510.0</v>
      </c>
      <c r="D27" s="9">
        <v>366.0</v>
      </c>
      <c r="E27" s="9">
        <v>-858.0</v>
      </c>
      <c r="F27" s="9">
        <v>2.0</v>
      </c>
      <c r="G27" s="9">
        <v>490.0</v>
      </c>
      <c r="H27" s="5">
        <f t="shared" si="2"/>
        <v>0</v>
      </c>
      <c r="I27" s="7">
        <v>17.0</v>
      </c>
      <c r="J27" s="8"/>
      <c r="K27" s="8"/>
      <c r="L27" s="7" t="s">
        <v>37</v>
      </c>
      <c r="M27" s="7"/>
      <c r="N27" s="7"/>
    </row>
    <row r="28">
      <c r="A28" s="9">
        <v>25.0</v>
      </c>
      <c r="B28" s="6"/>
      <c r="C28" s="10">
        <v>45625.0</v>
      </c>
      <c r="D28" s="9">
        <v>224.0</v>
      </c>
      <c r="E28" s="9">
        <v>168.0</v>
      </c>
      <c r="F28" s="9">
        <v>-56.0</v>
      </c>
      <c r="G28" s="9">
        <v>-336.0</v>
      </c>
      <c r="H28" s="5">
        <f t="shared" si="2"/>
        <v>0</v>
      </c>
      <c r="I28" s="7">
        <v>20.0</v>
      </c>
      <c r="J28" s="8"/>
      <c r="K28" s="8"/>
      <c r="L28" s="7" t="s">
        <v>21</v>
      </c>
      <c r="M28" s="7"/>
      <c r="N28" s="7"/>
    </row>
    <row r="29">
      <c r="A29" s="9">
        <v>26.0</v>
      </c>
      <c r="B29" s="6"/>
      <c r="C29" s="10">
        <v>45626.0</v>
      </c>
      <c r="D29" s="9">
        <v>184.0</v>
      </c>
      <c r="E29" s="9">
        <v>-32.0</v>
      </c>
      <c r="F29" s="9">
        <v>-96.0</v>
      </c>
      <c r="G29" s="9">
        <v>-56.0</v>
      </c>
      <c r="H29" s="5">
        <f t="shared" si="2"/>
        <v>0</v>
      </c>
      <c r="I29" s="7">
        <v>29.0</v>
      </c>
      <c r="J29" s="8"/>
      <c r="K29" s="8"/>
      <c r="L29" s="7" t="s">
        <v>21</v>
      </c>
      <c r="M29" s="7"/>
      <c r="N29" s="7"/>
    </row>
    <row r="30">
      <c r="A30" s="9">
        <v>27.0</v>
      </c>
      <c r="B30" s="6"/>
      <c r="C30" s="10">
        <v>45744.0</v>
      </c>
      <c r="D30" s="9">
        <v>-12.0</v>
      </c>
      <c r="E30" s="9">
        <v>-76.0</v>
      </c>
      <c r="F30" s="9">
        <v>164.0</v>
      </c>
      <c r="G30" s="9">
        <v>-72.0</v>
      </c>
      <c r="H30" s="5">
        <f t="shared" si="2"/>
        <v>4</v>
      </c>
      <c r="I30" s="7"/>
      <c r="J30" s="8"/>
      <c r="K30" s="8"/>
      <c r="L30" s="7" t="s">
        <v>48</v>
      </c>
      <c r="M30" s="7"/>
      <c r="N30" s="7"/>
    </row>
    <row r="31">
      <c r="A31" s="9">
        <v>28.0</v>
      </c>
      <c r="B31" s="6"/>
      <c r="C31" s="10">
        <v>45822.0</v>
      </c>
      <c r="D31" s="9">
        <v>285.0</v>
      </c>
      <c r="E31" s="9">
        <v>-123.0</v>
      </c>
      <c r="F31" s="9">
        <v>39.0</v>
      </c>
      <c r="G31" s="9">
        <v>-201.0</v>
      </c>
      <c r="H31" s="5">
        <f t="shared" si="2"/>
        <v>0</v>
      </c>
      <c r="I31" s="7"/>
      <c r="J31" s="8"/>
      <c r="K31" s="8"/>
      <c r="L31" s="7" t="s">
        <v>49</v>
      </c>
      <c r="M31" s="7"/>
      <c r="N31" s="7"/>
    </row>
    <row r="32">
      <c r="A32" s="12"/>
      <c r="B32" s="13"/>
      <c r="C32" s="13"/>
      <c r="D32" s="12"/>
      <c r="E32" s="12"/>
      <c r="F32" s="12"/>
      <c r="G32" s="12"/>
      <c r="H32" s="14"/>
      <c r="I32" s="14"/>
      <c r="J32" s="14"/>
      <c r="K32" s="14"/>
      <c r="L32" s="14"/>
      <c r="M32" s="14"/>
      <c r="N32" s="14"/>
    </row>
    <row r="33">
      <c r="A33" s="9"/>
      <c r="B33" s="7"/>
      <c r="C33" s="10" t="s">
        <v>50</v>
      </c>
      <c r="D33" s="5">
        <f t="shared" ref="D33:G33" si="3">MIN(D3:D32)</f>
        <v>-398</v>
      </c>
      <c r="E33" s="5">
        <f t="shared" si="3"/>
        <v>-872</v>
      </c>
      <c r="F33" s="5">
        <f t="shared" si="3"/>
        <v>-180</v>
      </c>
      <c r="G33" s="5">
        <f t="shared" si="3"/>
        <v>-404</v>
      </c>
      <c r="H33" s="8"/>
      <c r="I33" s="5">
        <f>MIN(I3:I32)</f>
        <v>8</v>
      </c>
      <c r="J33" s="8"/>
      <c r="K33" s="8"/>
      <c r="L33" s="8"/>
      <c r="M33" s="8"/>
      <c r="N33" s="8"/>
    </row>
    <row r="34">
      <c r="A34" s="9"/>
      <c r="B34" s="7"/>
      <c r="C34" s="10" t="s">
        <v>51</v>
      </c>
      <c r="D34" s="5">
        <f t="shared" ref="D34:G34" si="4">AVERAGE(D3:D32)</f>
        <v>43.82142857</v>
      </c>
      <c r="E34" s="5">
        <f t="shared" si="4"/>
        <v>-153.3214286</v>
      </c>
      <c r="F34" s="5">
        <f t="shared" si="4"/>
        <v>107.3928571</v>
      </c>
      <c r="G34" s="5">
        <f t="shared" si="4"/>
        <v>-1.464285714</v>
      </c>
      <c r="H34" s="8"/>
      <c r="I34" s="5">
        <f>AVERAGE(I3:I32)</f>
        <v>26.80769231</v>
      </c>
      <c r="J34" s="8"/>
      <c r="K34" s="8"/>
      <c r="L34" s="8"/>
      <c r="M34" s="8"/>
      <c r="N34" s="8"/>
    </row>
    <row r="35">
      <c r="A35" s="9"/>
      <c r="B35" s="7"/>
      <c r="C35" s="10" t="s">
        <v>52</v>
      </c>
      <c r="D35" s="5">
        <f t="shared" ref="D35:G35" si="5">MAX(D3:D32)</f>
        <v>544</v>
      </c>
      <c r="E35" s="5">
        <f t="shared" si="5"/>
        <v>234</v>
      </c>
      <c r="F35" s="5">
        <f t="shared" si="5"/>
        <v>554</v>
      </c>
      <c r="G35" s="5">
        <f t="shared" si="5"/>
        <v>490</v>
      </c>
      <c r="H35" s="8"/>
      <c r="I35" s="8">
        <f>MAX(I3:I32)</f>
        <v>51</v>
      </c>
      <c r="J35" s="8"/>
      <c r="K35" s="8"/>
      <c r="L35" s="8"/>
      <c r="M35" s="8"/>
      <c r="N35" s="8"/>
    </row>
    <row r="36">
      <c r="A36" s="15"/>
      <c r="B36" s="16"/>
      <c r="C36" s="17"/>
      <c r="D36" s="18">
        <f t="shared" ref="D36:G36" si="6">sum(D3:D32)</f>
        <v>1227</v>
      </c>
      <c r="E36" s="18">
        <f t="shared" si="6"/>
        <v>-4293</v>
      </c>
      <c r="F36" s="18">
        <f t="shared" si="6"/>
        <v>3007</v>
      </c>
      <c r="G36" s="18">
        <f t="shared" si="6"/>
        <v>-41</v>
      </c>
      <c r="H36" s="19"/>
      <c r="I36" s="20">
        <f>sum(I3:I32)</f>
        <v>697</v>
      </c>
      <c r="J36" s="19"/>
      <c r="K36" s="19"/>
      <c r="L36" s="19"/>
      <c r="M36" s="19"/>
      <c r="N36" s="19"/>
    </row>
    <row r="37">
      <c r="A37" s="1" t="s">
        <v>53</v>
      </c>
      <c r="B37" s="21"/>
      <c r="C37" s="21"/>
      <c r="D37" s="8"/>
      <c r="E37" s="8"/>
      <c r="F37" s="8"/>
      <c r="G37" s="8"/>
      <c r="H37" s="8"/>
      <c r="I37" s="22"/>
      <c r="J37" s="8"/>
      <c r="K37" s="8"/>
      <c r="L37" s="8"/>
      <c r="M37" s="8"/>
      <c r="N37" s="8"/>
    </row>
    <row r="38">
      <c r="B38" s="6"/>
      <c r="C38" s="10" t="s">
        <v>50</v>
      </c>
      <c r="D38" s="5">
        <f t="shared" ref="D38:G38" si="7">MIN(D10:D27)</f>
        <v>-326</v>
      </c>
      <c r="E38" s="5">
        <f t="shared" si="7"/>
        <v>-858</v>
      </c>
      <c r="F38" s="5">
        <f t="shared" si="7"/>
        <v>-180</v>
      </c>
      <c r="G38" s="5">
        <f t="shared" si="7"/>
        <v>-186</v>
      </c>
      <c r="H38" s="8"/>
      <c r="I38" s="22"/>
      <c r="J38" s="8"/>
      <c r="K38" s="8"/>
      <c r="L38" s="8"/>
      <c r="M38" s="8"/>
      <c r="N38" s="8"/>
    </row>
    <row r="39">
      <c r="A39" s="5"/>
      <c r="B39" s="6"/>
      <c r="C39" s="10" t="s">
        <v>51</v>
      </c>
      <c r="D39" s="5">
        <f t="shared" ref="D39:G39" si="8">AVERAGE(D10:D27)</f>
        <v>39.11111111</v>
      </c>
      <c r="E39" s="5">
        <f t="shared" si="8"/>
        <v>-181.5555556</v>
      </c>
      <c r="F39" s="5">
        <f t="shared" si="8"/>
        <v>69</v>
      </c>
      <c r="G39" s="5">
        <f t="shared" si="8"/>
        <v>73.44444444</v>
      </c>
      <c r="H39" s="8"/>
      <c r="I39" s="22"/>
      <c r="J39" s="8"/>
      <c r="K39" s="8"/>
      <c r="L39" s="8"/>
      <c r="M39" s="8"/>
      <c r="N39" s="8"/>
    </row>
    <row r="40">
      <c r="A40" s="5"/>
      <c r="B40" s="6"/>
      <c r="C40" s="10" t="s">
        <v>52</v>
      </c>
      <c r="D40" s="5">
        <f t="shared" ref="D40:G40" si="9">MAX(D10:D27)</f>
        <v>366</v>
      </c>
      <c r="E40" s="5">
        <f t="shared" si="9"/>
        <v>128</v>
      </c>
      <c r="F40" s="5">
        <f t="shared" si="9"/>
        <v>368</v>
      </c>
      <c r="G40" s="5">
        <f t="shared" si="9"/>
        <v>490</v>
      </c>
      <c r="H40" s="8"/>
      <c r="I40" s="22"/>
      <c r="J40" s="8"/>
      <c r="K40" s="8"/>
      <c r="L40" s="8"/>
      <c r="M40" s="8"/>
      <c r="N40" s="8"/>
    </row>
    <row r="41">
      <c r="A41" s="5"/>
      <c r="B41" s="6"/>
      <c r="C41" s="10"/>
      <c r="D41" s="18">
        <f t="shared" ref="D41:G41" si="10">sum(D10:D27)</f>
        <v>704</v>
      </c>
      <c r="E41" s="18">
        <f t="shared" si="10"/>
        <v>-3268</v>
      </c>
      <c r="F41" s="18">
        <f t="shared" si="10"/>
        <v>1242</v>
      </c>
      <c r="G41" s="18">
        <f t="shared" si="10"/>
        <v>1322</v>
      </c>
      <c r="H41" s="8"/>
      <c r="I41" s="22"/>
      <c r="J41" s="8"/>
      <c r="K41" s="8"/>
      <c r="L41" s="8"/>
      <c r="M41" s="8"/>
      <c r="N41" s="8"/>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54</v>
      </c>
      <c r="B1" s="23" t="s">
        <v>7</v>
      </c>
      <c r="C1" s="23" t="s">
        <v>8</v>
      </c>
      <c r="D1" s="23" t="s">
        <v>9</v>
      </c>
      <c r="E1" s="23" t="s">
        <v>10</v>
      </c>
      <c r="G1" s="24" t="str">
        <f> '00_Regnskab_01'!D2</f>
        <v>Thomas</v>
      </c>
      <c r="H1" s="24" t="str">
        <f> '00_Regnskab_01'!E2</f>
        <v>Peter</v>
      </c>
      <c r="I1" s="24" t="str">
        <f> '00_Regnskab_01'!F2</f>
        <v>Janus</v>
      </c>
      <c r="J1" s="24" t="str">
        <f> '00_Regnskab_01'!G2</f>
        <v>Christian</v>
      </c>
      <c r="K1" s="25" t="s">
        <v>55</v>
      </c>
      <c r="L1" s="25" t="s">
        <v>56</v>
      </c>
      <c r="M1" s="25" t="s">
        <v>9</v>
      </c>
      <c r="N1" s="25" t="s">
        <v>57</v>
      </c>
    </row>
    <row r="2">
      <c r="A2" s="25">
        <v>1.0</v>
      </c>
      <c r="B2" s="26">
        <f t="shared" ref="B2:E2" si="1">COUNTIF(K2:K31, 1)</f>
        <v>11</v>
      </c>
      <c r="C2" s="26">
        <f t="shared" si="1"/>
        <v>2</v>
      </c>
      <c r="D2" s="26">
        <f t="shared" si="1"/>
        <v>9</v>
      </c>
      <c r="E2" s="26">
        <f t="shared" si="1"/>
        <v>7</v>
      </c>
      <c r="G2" s="27">
        <f> '00_Regnskab_01'!D3</f>
        <v>-230</v>
      </c>
      <c r="H2" s="27">
        <f> '00_Regnskab_01'!E3</f>
        <v>-166</v>
      </c>
      <c r="I2" s="27">
        <f> '00_Regnskab_01'!F3</f>
        <v>370</v>
      </c>
      <c r="J2" s="27">
        <f> '00_Regnskab_01'!G3</f>
        <v>8</v>
      </c>
      <c r="K2" s="28">
        <f t="shared" ref="K2:K36" si="3">_xlfn.RANK.EQ(G2, G2:J2, FALSE)</f>
        <v>4</v>
      </c>
      <c r="L2" s="28">
        <f t="shared" ref="L2:L36" si="4">_xlfn.RANK.EQ(H2, G2:J2, FALSE)</f>
        <v>3</v>
      </c>
      <c r="M2" s="28">
        <f t="shared" ref="M2:M36" si="5">_xlfn.RANK.EQ(I2, G2:J2, FALSE)</f>
        <v>1</v>
      </c>
      <c r="N2" s="28">
        <f t="shared" ref="N2:N36" si="6">_xlfn.RANK.EQ(J2, G2:J2, FALSE)</f>
        <v>2</v>
      </c>
    </row>
    <row r="3">
      <c r="A3" s="25">
        <v>2.0</v>
      </c>
      <c r="B3" s="29">
        <f t="shared" ref="B3:D3" si="2">COUNTIF(K2:K31, 2)</f>
        <v>4</v>
      </c>
      <c r="C3" s="26">
        <f t="shared" si="2"/>
        <v>6</v>
      </c>
      <c r="D3" s="26">
        <f t="shared" si="2"/>
        <v>10</v>
      </c>
      <c r="E3" s="26">
        <f>COUNTIF(N3:N32, 2)</f>
        <v>6</v>
      </c>
      <c r="G3" s="27">
        <f> '00_Regnskab_01'!D4</f>
        <v>544</v>
      </c>
      <c r="H3" s="27">
        <f> '00_Regnskab_01'!E4</f>
        <v>-872</v>
      </c>
      <c r="I3" s="27">
        <f> '00_Regnskab_01'!F4</f>
        <v>472</v>
      </c>
      <c r="J3" s="27">
        <f> '00_Regnskab_01'!G4</f>
        <v>-258</v>
      </c>
      <c r="K3" s="28">
        <f t="shared" si="3"/>
        <v>1</v>
      </c>
      <c r="L3" s="28">
        <f t="shared" si="4"/>
        <v>4</v>
      </c>
      <c r="M3" s="28">
        <f t="shared" si="5"/>
        <v>2</v>
      </c>
      <c r="N3" s="28">
        <f t="shared" si="6"/>
        <v>3</v>
      </c>
    </row>
    <row r="4">
      <c r="A4" s="25">
        <v>3.0</v>
      </c>
      <c r="B4" s="26">
        <f t="shared" ref="B4:D4" si="7">COUNTIF(K2:K31, 3)</f>
        <v>8</v>
      </c>
      <c r="C4" s="26">
        <f t="shared" si="7"/>
        <v>8</v>
      </c>
      <c r="D4" s="26">
        <f t="shared" si="7"/>
        <v>4</v>
      </c>
      <c r="E4" s="26">
        <f>COUNTIF(N4:N33, 3)</f>
        <v>9</v>
      </c>
      <c r="G4" s="27">
        <f> '00_Regnskab_01'!D5</f>
        <v>54</v>
      </c>
      <c r="H4" s="27">
        <f> '00_Regnskab_01'!E5</f>
        <v>234</v>
      </c>
      <c r="I4" s="27">
        <f> '00_Regnskab_01'!F5</f>
        <v>148</v>
      </c>
      <c r="J4" s="27">
        <f> '00_Regnskab_01'!G5</f>
        <v>-404</v>
      </c>
      <c r="K4" s="28">
        <f t="shared" si="3"/>
        <v>3</v>
      </c>
      <c r="L4" s="28">
        <f t="shared" si="4"/>
        <v>1</v>
      </c>
      <c r="M4" s="28">
        <f t="shared" si="5"/>
        <v>2</v>
      </c>
      <c r="N4" s="28">
        <f t="shared" si="6"/>
        <v>4</v>
      </c>
    </row>
    <row r="5">
      <c r="A5" s="25">
        <v>4.0</v>
      </c>
      <c r="B5" s="26">
        <f t="shared" ref="B5:D5" si="8">COUNTIF(K2:K31, 4)</f>
        <v>5</v>
      </c>
      <c r="C5" s="26">
        <f t="shared" si="8"/>
        <v>12</v>
      </c>
      <c r="D5" s="26">
        <f t="shared" si="8"/>
        <v>5</v>
      </c>
      <c r="E5" s="26">
        <f>COUNTIF(N5:N34, 4)</f>
        <v>5</v>
      </c>
      <c r="G5" s="27">
        <f> '00_Regnskab_01'!D6</f>
        <v>-72</v>
      </c>
      <c r="H5" s="27">
        <f> '00_Regnskab_01'!E6</f>
        <v>-256</v>
      </c>
      <c r="I5" s="27">
        <f> '00_Regnskab_01'!F6</f>
        <v>138</v>
      </c>
      <c r="J5" s="27">
        <f> '00_Regnskab_01'!G6</f>
        <v>186</v>
      </c>
      <c r="K5" s="28">
        <f t="shared" si="3"/>
        <v>3</v>
      </c>
      <c r="L5" s="28">
        <f t="shared" si="4"/>
        <v>4</v>
      </c>
      <c r="M5" s="28">
        <f t="shared" si="5"/>
        <v>2</v>
      </c>
      <c r="N5" s="28">
        <f t="shared" si="6"/>
        <v>1</v>
      </c>
    </row>
    <row r="6">
      <c r="B6" s="26"/>
      <c r="C6" s="26"/>
      <c r="D6" s="26"/>
      <c r="E6" s="26"/>
      <c r="G6" s="27" t="str">
        <f> '00_Regnskab_01'!D7</f>
        <v/>
      </c>
      <c r="H6" s="27" t="str">
        <f> '00_Regnskab_01'!E7</f>
        <v/>
      </c>
      <c r="I6" s="27" t="str">
        <f> '00_Regnskab_01'!F7</f>
        <v/>
      </c>
      <c r="J6" s="27" t="str">
        <f> '00_Regnskab_01'!G7</f>
        <v/>
      </c>
      <c r="K6" s="28" t="str">
        <f t="shared" si="3"/>
        <v>#N/A</v>
      </c>
      <c r="L6" s="28" t="str">
        <f t="shared" si="4"/>
        <v>#N/A</v>
      </c>
      <c r="M6" s="28" t="str">
        <f t="shared" si="5"/>
        <v>#N/A</v>
      </c>
      <c r="N6" s="28" t="str">
        <f t="shared" si="6"/>
        <v>#N/A</v>
      </c>
    </row>
    <row r="7">
      <c r="A7" s="25" t="s">
        <v>51</v>
      </c>
      <c r="B7" s="30">
        <f t="shared" ref="B7:E7" si="9">(1*B2 + 2*B3 + 3*B4 + 4*B5) / SUM(B2:B5)</f>
        <v>2.25</v>
      </c>
      <c r="C7" s="30">
        <f t="shared" si="9"/>
        <v>3.071428571</v>
      </c>
      <c r="D7" s="30">
        <f t="shared" si="9"/>
        <v>2.178571429</v>
      </c>
      <c r="E7" s="30">
        <f t="shared" si="9"/>
        <v>2.444444444</v>
      </c>
      <c r="G7" s="27">
        <f> '00_Regnskab_01'!D8</f>
        <v>-398</v>
      </c>
      <c r="H7" s="27">
        <f> '00_Regnskab_01'!E8</f>
        <v>106</v>
      </c>
      <c r="I7" s="27">
        <f> '00_Regnskab_01'!F8</f>
        <v>554</v>
      </c>
      <c r="J7" s="27">
        <f> '00_Regnskab_01'!G8</f>
        <v>-262</v>
      </c>
      <c r="K7" s="28">
        <f t="shared" si="3"/>
        <v>4</v>
      </c>
      <c r="L7" s="28">
        <f t="shared" si="4"/>
        <v>2</v>
      </c>
      <c r="M7" s="28">
        <f t="shared" si="5"/>
        <v>1</v>
      </c>
      <c r="N7" s="28">
        <f t="shared" si="6"/>
        <v>3</v>
      </c>
    </row>
    <row r="8">
      <c r="B8" s="26"/>
      <c r="C8" s="26"/>
      <c r="D8" s="26"/>
      <c r="E8" s="26"/>
      <c r="G8" s="27">
        <f> '00_Regnskab_01'!D9</f>
        <v>-56</v>
      </c>
      <c r="H8" s="27">
        <f> '00_Regnskab_01'!E9</f>
        <v>-8</v>
      </c>
      <c r="I8" s="27">
        <f> '00_Regnskab_01'!F9</f>
        <v>32</v>
      </c>
      <c r="J8" s="27">
        <f> '00_Regnskab_01'!G9</f>
        <v>32</v>
      </c>
      <c r="K8" s="28">
        <f t="shared" si="3"/>
        <v>4</v>
      </c>
      <c r="L8" s="28">
        <f t="shared" si="4"/>
        <v>3</v>
      </c>
      <c r="M8" s="28">
        <f t="shared" si="5"/>
        <v>1</v>
      </c>
      <c r="N8" s="28">
        <f t="shared" si="6"/>
        <v>1</v>
      </c>
    </row>
    <row r="9">
      <c r="A9" s="25" t="s">
        <v>58</v>
      </c>
      <c r="B9" s="26"/>
      <c r="C9" s="26"/>
      <c r="D9" s="26"/>
      <c r="E9" s="26"/>
      <c r="G9" s="27">
        <f> '00_Regnskab_01'!D10</f>
        <v>-92</v>
      </c>
      <c r="H9" s="27">
        <f> '00_Regnskab_01'!E10</f>
        <v>-84</v>
      </c>
      <c r="I9" s="27">
        <f> '00_Regnskab_01'!F10</f>
        <v>-180</v>
      </c>
      <c r="J9" s="27">
        <f> '00_Regnskab_01'!G10</f>
        <v>356</v>
      </c>
      <c r="K9" s="28">
        <f t="shared" si="3"/>
        <v>3</v>
      </c>
      <c r="L9" s="28">
        <f t="shared" si="4"/>
        <v>2</v>
      </c>
      <c r="M9" s="28">
        <f t="shared" si="5"/>
        <v>4</v>
      </c>
      <c r="N9" s="28">
        <f t="shared" si="6"/>
        <v>1</v>
      </c>
    </row>
    <row r="10">
      <c r="A10" s="25">
        <v>1.0</v>
      </c>
      <c r="B10" s="31">
        <f t="shared" ref="B10:E10" si="10">B2 / SUM(B$2:B$5)</f>
        <v>0.3928571429</v>
      </c>
      <c r="C10" s="31">
        <f t="shared" si="10"/>
        <v>0.07142857143</v>
      </c>
      <c r="D10" s="31">
        <f t="shared" si="10"/>
        <v>0.3214285714</v>
      </c>
      <c r="E10" s="31">
        <f t="shared" si="10"/>
        <v>0.2592592593</v>
      </c>
      <c r="G10" s="27">
        <f> '00_Regnskab_01'!D11</f>
        <v>-132</v>
      </c>
      <c r="H10" s="27">
        <f> '00_Regnskab_01'!E11</f>
        <v>-160</v>
      </c>
      <c r="I10" s="27">
        <f> '00_Regnskab_01'!F11</f>
        <v>282</v>
      </c>
      <c r="J10" s="27">
        <f> '00_Regnskab_01'!G11</f>
        <v>10</v>
      </c>
      <c r="K10" s="28">
        <f t="shared" si="3"/>
        <v>3</v>
      </c>
      <c r="L10" s="28">
        <f t="shared" si="4"/>
        <v>4</v>
      </c>
      <c r="M10" s="28">
        <f t="shared" si="5"/>
        <v>1</v>
      </c>
      <c r="N10" s="28">
        <f t="shared" si="6"/>
        <v>2</v>
      </c>
    </row>
    <row r="11">
      <c r="A11" s="25">
        <v>2.0</v>
      </c>
      <c r="B11" s="31">
        <f t="shared" ref="B11:E11" si="11">B3 / SUM(B$2:B$5)</f>
        <v>0.1428571429</v>
      </c>
      <c r="C11" s="31">
        <f t="shared" si="11"/>
        <v>0.2142857143</v>
      </c>
      <c r="D11" s="31">
        <f t="shared" si="11"/>
        <v>0.3571428571</v>
      </c>
      <c r="E11" s="31">
        <f t="shared" si="11"/>
        <v>0.2222222222</v>
      </c>
      <c r="G11" s="27">
        <f> '00_Regnskab_01'!D12</f>
        <v>320</v>
      </c>
      <c r="H11" s="27">
        <f> '00_Regnskab_01'!E12</f>
        <v>-64</v>
      </c>
      <c r="I11" s="27">
        <f> '00_Regnskab_01'!F12</f>
        <v>-152</v>
      </c>
      <c r="J11" s="27">
        <f> '00_Regnskab_01'!G12</f>
        <v>-104</v>
      </c>
      <c r="K11" s="28">
        <f t="shared" si="3"/>
        <v>1</v>
      </c>
      <c r="L11" s="28">
        <f t="shared" si="4"/>
        <v>2</v>
      </c>
      <c r="M11" s="28">
        <f t="shared" si="5"/>
        <v>4</v>
      </c>
      <c r="N11" s="28">
        <f t="shared" si="6"/>
        <v>3</v>
      </c>
    </row>
    <row r="12">
      <c r="A12" s="25">
        <v>3.0</v>
      </c>
      <c r="B12" s="31">
        <f t="shared" ref="B12:E12" si="12">B4 / SUM(B$2:B$5)</f>
        <v>0.2857142857</v>
      </c>
      <c r="C12" s="31">
        <f t="shared" si="12"/>
        <v>0.2857142857</v>
      </c>
      <c r="D12" s="31">
        <f t="shared" si="12"/>
        <v>0.1428571429</v>
      </c>
      <c r="E12" s="31">
        <f t="shared" si="12"/>
        <v>0.3333333333</v>
      </c>
      <c r="G12" s="27">
        <f> '00_Regnskab_01'!D13</f>
        <v>226</v>
      </c>
      <c r="H12" s="27">
        <f> '00_Regnskab_01'!E13</f>
        <v>-222</v>
      </c>
      <c r="I12" s="27">
        <f> '00_Regnskab_01'!F13</f>
        <v>6</v>
      </c>
      <c r="J12" s="27">
        <f> '00_Regnskab_01'!G13</f>
        <v>-10</v>
      </c>
      <c r="K12" s="28">
        <f t="shared" si="3"/>
        <v>1</v>
      </c>
      <c r="L12" s="28">
        <f t="shared" si="4"/>
        <v>4</v>
      </c>
      <c r="M12" s="28">
        <f t="shared" si="5"/>
        <v>2</v>
      </c>
      <c r="N12" s="28">
        <f t="shared" si="6"/>
        <v>3</v>
      </c>
    </row>
    <row r="13">
      <c r="A13" s="25">
        <v>4.0</v>
      </c>
      <c r="B13" s="31">
        <f t="shared" ref="B13:E13" si="13">B5 / SUM(B$2:B$5)</f>
        <v>0.1785714286</v>
      </c>
      <c r="C13" s="31">
        <f t="shared" si="13"/>
        <v>0.4285714286</v>
      </c>
      <c r="D13" s="31">
        <f t="shared" si="13"/>
        <v>0.1785714286</v>
      </c>
      <c r="E13" s="31">
        <f t="shared" si="13"/>
        <v>0.1851851852</v>
      </c>
      <c r="G13" s="27">
        <f> '00_Regnskab_01'!D14</f>
        <v>0</v>
      </c>
      <c r="H13" s="27">
        <f> '00_Regnskab_01'!E14</f>
        <v>-8</v>
      </c>
      <c r="I13" s="27">
        <f> '00_Regnskab_01'!F14</f>
        <v>48</v>
      </c>
      <c r="J13" s="27">
        <f> '00_Regnskab_01'!G14</f>
        <v>-40</v>
      </c>
      <c r="K13" s="28">
        <f t="shared" si="3"/>
        <v>2</v>
      </c>
      <c r="L13" s="28">
        <f t="shared" si="4"/>
        <v>3</v>
      </c>
      <c r="M13" s="28">
        <f t="shared" si="5"/>
        <v>1</v>
      </c>
      <c r="N13" s="28">
        <f t="shared" si="6"/>
        <v>4</v>
      </c>
    </row>
    <row r="14">
      <c r="B14" s="26"/>
      <c r="C14" s="26"/>
      <c r="D14" s="26"/>
      <c r="E14" s="26"/>
      <c r="G14" s="27">
        <f> '00_Regnskab_01'!D15</f>
        <v>104</v>
      </c>
      <c r="H14" s="27">
        <f> '00_Regnskab_01'!E15</f>
        <v>-88</v>
      </c>
      <c r="I14" s="27">
        <f> '00_Regnskab_01'!F15</f>
        <v>-32</v>
      </c>
      <c r="J14" s="27">
        <f> '00_Regnskab_01'!G15</f>
        <v>16</v>
      </c>
      <c r="K14" s="28">
        <f t="shared" si="3"/>
        <v>1</v>
      </c>
      <c r="L14" s="28">
        <f t="shared" si="4"/>
        <v>4</v>
      </c>
      <c r="M14" s="28">
        <f t="shared" si="5"/>
        <v>3</v>
      </c>
      <c r="N14" s="28">
        <f t="shared" si="6"/>
        <v>2</v>
      </c>
    </row>
    <row r="15">
      <c r="B15" s="26"/>
      <c r="C15" s="26"/>
      <c r="D15" s="26"/>
      <c r="E15" s="26"/>
      <c r="G15" s="27">
        <f> '00_Regnskab_01'!D16</f>
        <v>178</v>
      </c>
      <c r="H15" s="27">
        <f> '00_Regnskab_01'!E16</f>
        <v>-134</v>
      </c>
      <c r="I15" s="27">
        <f> '00_Regnskab_01'!F16</f>
        <v>142</v>
      </c>
      <c r="J15" s="27">
        <f> '00_Regnskab_01'!G16</f>
        <v>-186</v>
      </c>
      <c r="K15" s="28">
        <f t="shared" si="3"/>
        <v>1</v>
      </c>
      <c r="L15" s="28">
        <f t="shared" si="4"/>
        <v>3</v>
      </c>
      <c r="M15" s="28">
        <f t="shared" si="5"/>
        <v>2</v>
      </c>
      <c r="N15" s="28">
        <f t="shared" si="6"/>
        <v>4</v>
      </c>
    </row>
    <row r="16">
      <c r="B16" s="26"/>
      <c r="C16" s="26"/>
      <c r="D16" s="26"/>
      <c r="E16" s="26"/>
      <c r="G16" s="27">
        <f> '00_Regnskab_01'!D17</f>
        <v>-72</v>
      </c>
      <c r="H16" s="27">
        <f> '00_Regnskab_01'!E17</f>
        <v>-40</v>
      </c>
      <c r="I16" s="27">
        <f> '00_Regnskab_01'!F17</f>
        <v>224</v>
      </c>
      <c r="J16" s="27">
        <f> '00_Regnskab_01'!G17</f>
        <v>-112</v>
      </c>
      <c r="K16" s="28">
        <f t="shared" si="3"/>
        <v>3</v>
      </c>
      <c r="L16" s="28">
        <f t="shared" si="4"/>
        <v>2</v>
      </c>
      <c r="M16" s="28">
        <f t="shared" si="5"/>
        <v>1</v>
      </c>
      <c r="N16" s="28">
        <f t="shared" si="6"/>
        <v>4</v>
      </c>
    </row>
    <row r="17">
      <c r="B17" s="26"/>
      <c r="C17" s="26"/>
      <c r="D17" s="26"/>
      <c r="E17" s="26"/>
      <c r="G17" s="27">
        <f> '00_Regnskab_01'!D18</f>
        <v>8</v>
      </c>
      <c r="H17" s="27">
        <f> '00_Regnskab_01'!E18</f>
        <v>128</v>
      </c>
      <c r="I17" s="27">
        <f> '00_Regnskab_01'!F18</f>
        <v>-176</v>
      </c>
      <c r="J17" s="27">
        <f> '00_Regnskab_01'!G18</f>
        <v>40</v>
      </c>
      <c r="K17" s="28">
        <f t="shared" si="3"/>
        <v>3</v>
      </c>
      <c r="L17" s="28">
        <f t="shared" si="4"/>
        <v>1</v>
      </c>
      <c r="M17" s="28">
        <f t="shared" si="5"/>
        <v>4</v>
      </c>
      <c r="N17" s="28">
        <f t="shared" si="6"/>
        <v>2</v>
      </c>
    </row>
    <row r="18">
      <c r="B18" s="26"/>
      <c r="C18" s="26"/>
      <c r="D18" s="26"/>
      <c r="E18" s="26"/>
      <c r="G18" s="27">
        <f> '00_Regnskab_01'!D19</f>
        <v>-300</v>
      </c>
      <c r="H18" s="27">
        <f> '00_Regnskab_01'!E19</f>
        <v>-20</v>
      </c>
      <c r="I18" s="27">
        <f> '00_Regnskab_01'!F19</f>
        <v>12</v>
      </c>
      <c r="J18" s="27">
        <f> '00_Regnskab_01'!G19</f>
        <v>308</v>
      </c>
      <c r="K18" s="28">
        <f t="shared" si="3"/>
        <v>4</v>
      </c>
      <c r="L18" s="28">
        <f t="shared" si="4"/>
        <v>3</v>
      </c>
      <c r="M18" s="28">
        <f t="shared" si="5"/>
        <v>2</v>
      </c>
      <c r="N18" s="28">
        <f t="shared" si="6"/>
        <v>1</v>
      </c>
    </row>
    <row r="19">
      <c r="B19" s="26"/>
      <c r="C19" s="26"/>
      <c r="D19" s="26"/>
      <c r="E19" s="26"/>
      <c r="G19" s="27">
        <f> '00_Regnskab_01'!D20</f>
        <v>96</v>
      </c>
      <c r="H19" s="27">
        <f> '00_Regnskab_01'!E20</f>
        <v>-304</v>
      </c>
      <c r="I19" s="27">
        <f> '00_Regnskab_01'!F20</f>
        <v>368</v>
      </c>
      <c r="J19" s="27">
        <f> '00_Regnskab_01'!G20</f>
        <v>-160</v>
      </c>
      <c r="K19" s="28">
        <f t="shared" si="3"/>
        <v>2</v>
      </c>
      <c r="L19" s="28">
        <f t="shared" si="4"/>
        <v>4</v>
      </c>
      <c r="M19" s="28">
        <f t="shared" si="5"/>
        <v>1</v>
      </c>
      <c r="N19" s="28">
        <f t="shared" si="6"/>
        <v>3</v>
      </c>
    </row>
    <row r="20">
      <c r="B20" s="26"/>
      <c r="C20" s="26"/>
      <c r="D20" s="26"/>
      <c r="E20" s="26"/>
      <c r="G20" s="27">
        <f> '00_Regnskab_01'!D21</f>
        <v>286</v>
      </c>
      <c r="H20" s="27">
        <f> '00_Regnskab_01'!E21</f>
        <v>-282</v>
      </c>
      <c r="I20" s="27">
        <f> '00_Regnskab_01'!F21</f>
        <v>30</v>
      </c>
      <c r="J20" s="27">
        <f> '00_Regnskab_01'!G21</f>
        <v>-34</v>
      </c>
      <c r="K20" s="28">
        <f t="shared" si="3"/>
        <v>1</v>
      </c>
      <c r="L20" s="28">
        <f t="shared" si="4"/>
        <v>4</v>
      </c>
      <c r="M20" s="28">
        <f t="shared" si="5"/>
        <v>2</v>
      </c>
      <c r="N20" s="28">
        <f t="shared" si="6"/>
        <v>3</v>
      </c>
    </row>
    <row r="21">
      <c r="B21" s="26"/>
      <c r="C21" s="26"/>
      <c r="D21" s="26"/>
      <c r="E21" s="26"/>
      <c r="G21" s="27">
        <f> '00_Regnskab_01'!D22</f>
        <v>104</v>
      </c>
      <c r="H21" s="27">
        <f> '00_Regnskab_01'!E22</f>
        <v>-248</v>
      </c>
      <c r="I21" s="27">
        <f> '00_Regnskab_01'!F22</f>
        <v>68</v>
      </c>
      <c r="J21" s="27">
        <f> '00_Regnskab_01'!G22</f>
        <v>76</v>
      </c>
      <c r="K21" s="28">
        <f t="shared" si="3"/>
        <v>1</v>
      </c>
      <c r="L21" s="28">
        <f t="shared" si="4"/>
        <v>4</v>
      </c>
      <c r="M21" s="28">
        <f t="shared" si="5"/>
        <v>3</v>
      </c>
      <c r="N21" s="28">
        <f t="shared" si="6"/>
        <v>2</v>
      </c>
    </row>
    <row r="22">
      <c r="B22" s="26"/>
      <c r="C22" s="26"/>
      <c r="D22" s="26"/>
      <c r="E22" s="26"/>
      <c r="G22" s="27">
        <f> '00_Regnskab_01'!D23</f>
        <v>312</v>
      </c>
      <c r="H22" s="27">
        <f> '00_Regnskab_01'!E23</f>
        <v>-100</v>
      </c>
      <c r="I22" s="27">
        <f> '00_Regnskab_01'!F23</f>
        <v>-136</v>
      </c>
      <c r="J22" s="27">
        <f> '00_Regnskab_01'!G23</f>
        <v>-76</v>
      </c>
      <c r="K22" s="28">
        <f t="shared" si="3"/>
        <v>1</v>
      </c>
      <c r="L22" s="28">
        <f t="shared" si="4"/>
        <v>3</v>
      </c>
      <c r="M22" s="28">
        <f t="shared" si="5"/>
        <v>4</v>
      </c>
      <c r="N22" s="28">
        <f t="shared" si="6"/>
        <v>2</v>
      </c>
    </row>
    <row r="23">
      <c r="B23" s="26"/>
      <c r="C23" s="26"/>
      <c r="D23" s="26"/>
      <c r="E23" s="26"/>
      <c r="G23" s="27">
        <f> '00_Regnskab_01'!D24</f>
        <v>-80</v>
      </c>
      <c r="H23" s="27">
        <f> '00_Regnskab_01'!E24</f>
        <v>-168</v>
      </c>
      <c r="I23" s="27">
        <f> '00_Regnskab_01'!F24</f>
        <v>88</v>
      </c>
      <c r="J23" s="27">
        <f> '00_Regnskab_01'!G24</f>
        <v>160</v>
      </c>
      <c r="K23" s="28">
        <f t="shared" si="3"/>
        <v>3</v>
      </c>
      <c r="L23" s="28">
        <f t="shared" si="4"/>
        <v>4</v>
      </c>
      <c r="M23" s="28">
        <f t="shared" si="5"/>
        <v>2</v>
      </c>
      <c r="N23" s="28">
        <f t="shared" si="6"/>
        <v>1</v>
      </c>
    </row>
    <row r="24">
      <c r="B24" s="26"/>
      <c r="C24" s="26"/>
      <c r="D24" s="26"/>
      <c r="E24" s="26"/>
      <c r="G24" s="27">
        <f> '00_Regnskab_01'!D25</f>
        <v>-326</v>
      </c>
      <c r="H24" s="27">
        <f> '00_Regnskab_01'!E25</f>
        <v>-330</v>
      </c>
      <c r="I24" s="27">
        <f> '00_Regnskab_01'!F25</f>
        <v>282</v>
      </c>
      <c r="J24" s="27">
        <f> '00_Regnskab_01'!G25</f>
        <v>374</v>
      </c>
      <c r="K24" s="28">
        <f t="shared" si="3"/>
        <v>3</v>
      </c>
      <c r="L24" s="28">
        <f t="shared" si="4"/>
        <v>4</v>
      </c>
      <c r="M24" s="28">
        <f t="shared" si="5"/>
        <v>2</v>
      </c>
      <c r="N24" s="28">
        <f t="shared" si="6"/>
        <v>1</v>
      </c>
    </row>
    <row r="25">
      <c r="B25" s="26"/>
      <c r="C25" s="26"/>
      <c r="D25" s="26"/>
      <c r="E25" s="26"/>
      <c r="G25" s="27">
        <f> '00_Regnskab_01'!D26</f>
        <v>-294</v>
      </c>
      <c r="H25" s="27">
        <f> '00_Regnskab_01'!E26</f>
        <v>-286</v>
      </c>
      <c r="I25" s="27">
        <f> '00_Regnskab_01'!F26</f>
        <v>366</v>
      </c>
      <c r="J25" s="27">
        <f> '00_Regnskab_01'!G26</f>
        <v>214</v>
      </c>
      <c r="K25" s="28">
        <f t="shared" si="3"/>
        <v>4</v>
      </c>
      <c r="L25" s="28">
        <f t="shared" si="4"/>
        <v>3</v>
      </c>
      <c r="M25" s="28">
        <f t="shared" si="5"/>
        <v>1</v>
      </c>
      <c r="N25" s="28">
        <f t="shared" si="6"/>
        <v>2</v>
      </c>
    </row>
    <row r="26">
      <c r="B26" s="26"/>
      <c r="C26" s="26"/>
      <c r="D26" s="26"/>
      <c r="E26" s="26"/>
      <c r="G26" s="27">
        <f> '00_Regnskab_01'!D27</f>
        <v>366</v>
      </c>
      <c r="H26" s="27">
        <f> '00_Regnskab_01'!E27</f>
        <v>-858</v>
      </c>
      <c r="I26" s="27">
        <f> '00_Regnskab_01'!F27</f>
        <v>2</v>
      </c>
      <c r="J26" s="27">
        <f> '00_Regnskab_01'!G27</f>
        <v>490</v>
      </c>
      <c r="K26" s="28">
        <f t="shared" si="3"/>
        <v>2</v>
      </c>
      <c r="L26" s="28">
        <f t="shared" si="4"/>
        <v>4</v>
      </c>
      <c r="M26" s="28">
        <f t="shared" si="5"/>
        <v>3</v>
      </c>
      <c r="N26" s="28">
        <f t="shared" si="6"/>
        <v>1</v>
      </c>
    </row>
    <row r="27">
      <c r="B27" s="26"/>
      <c r="C27" s="26"/>
      <c r="D27" s="26"/>
      <c r="E27" s="26"/>
      <c r="G27" s="27">
        <f> '00_Regnskab_01'!D28</f>
        <v>224</v>
      </c>
      <c r="H27" s="27">
        <f> '00_Regnskab_01'!E28</f>
        <v>168</v>
      </c>
      <c r="I27" s="27">
        <f> '00_Regnskab_01'!F28</f>
        <v>-56</v>
      </c>
      <c r="J27" s="27">
        <f> '00_Regnskab_01'!G28</f>
        <v>-336</v>
      </c>
      <c r="K27" s="28">
        <f t="shared" si="3"/>
        <v>1</v>
      </c>
      <c r="L27" s="28">
        <f t="shared" si="4"/>
        <v>2</v>
      </c>
      <c r="M27" s="28">
        <f t="shared" si="5"/>
        <v>3</v>
      </c>
      <c r="N27" s="28">
        <f t="shared" si="6"/>
        <v>4</v>
      </c>
    </row>
    <row r="28">
      <c r="B28" s="26"/>
      <c r="C28" s="26"/>
      <c r="D28" s="26"/>
      <c r="E28" s="26"/>
      <c r="G28" s="27">
        <f> '00_Regnskab_01'!D29</f>
        <v>184</v>
      </c>
      <c r="H28" s="27">
        <f> '00_Regnskab_01'!E29</f>
        <v>-32</v>
      </c>
      <c r="I28" s="27">
        <f> '00_Regnskab_01'!F29</f>
        <v>-96</v>
      </c>
      <c r="J28" s="27">
        <f> '00_Regnskab_01'!G29</f>
        <v>-56</v>
      </c>
      <c r="K28" s="28">
        <f t="shared" si="3"/>
        <v>1</v>
      </c>
      <c r="L28" s="28">
        <f t="shared" si="4"/>
        <v>2</v>
      </c>
      <c r="M28" s="28">
        <f t="shared" si="5"/>
        <v>4</v>
      </c>
      <c r="N28" s="28">
        <f t="shared" si="6"/>
        <v>3</v>
      </c>
    </row>
    <row r="29">
      <c r="B29" s="26"/>
      <c r="C29" s="26"/>
      <c r="D29" s="26"/>
      <c r="E29" s="26"/>
      <c r="G29" s="27">
        <f> '00_Regnskab_01'!D30</f>
        <v>-12</v>
      </c>
      <c r="H29" s="27">
        <f> '00_Regnskab_01'!E30</f>
        <v>-76</v>
      </c>
      <c r="I29" s="27">
        <f> '00_Regnskab_01'!F30</f>
        <v>164</v>
      </c>
      <c r="J29" s="27">
        <f> '00_Regnskab_01'!G30</f>
        <v>-72</v>
      </c>
      <c r="K29" s="28">
        <f t="shared" si="3"/>
        <v>2</v>
      </c>
      <c r="L29" s="28">
        <f t="shared" si="4"/>
        <v>4</v>
      </c>
      <c r="M29" s="28">
        <f t="shared" si="5"/>
        <v>1</v>
      </c>
      <c r="N29" s="28">
        <f t="shared" si="6"/>
        <v>3</v>
      </c>
    </row>
    <row r="30">
      <c r="B30" s="26"/>
      <c r="C30" s="26"/>
      <c r="D30" s="26"/>
      <c r="E30" s="26"/>
      <c r="G30" s="27">
        <f> '00_Regnskab_01'!D31</f>
        <v>285</v>
      </c>
      <c r="H30" s="27">
        <f> '00_Regnskab_01'!E31</f>
        <v>-123</v>
      </c>
      <c r="I30" s="27">
        <f> '00_Regnskab_01'!F31</f>
        <v>39</v>
      </c>
      <c r="J30" s="27">
        <f> '00_Regnskab_01'!G31</f>
        <v>-201</v>
      </c>
      <c r="K30" s="28">
        <f t="shared" si="3"/>
        <v>1</v>
      </c>
      <c r="L30" s="28">
        <f t="shared" si="4"/>
        <v>3</v>
      </c>
      <c r="M30" s="28">
        <f t="shared" si="5"/>
        <v>2</v>
      </c>
      <c r="N30" s="28">
        <f t="shared" si="6"/>
        <v>4</v>
      </c>
    </row>
    <row r="31">
      <c r="B31" s="26"/>
      <c r="C31" s="26"/>
      <c r="D31" s="26"/>
      <c r="E31" s="26"/>
      <c r="G31" s="27" t="str">
        <f> '00_Regnskab_01'!D32</f>
        <v/>
      </c>
      <c r="H31" s="27" t="str">
        <f> '00_Regnskab_01'!E32</f>
        <v/>
      </c>
      <c r="I31" s="27" t="str">
        <f> '00_Regnskab_01'!F32</f>
        <v/>
      </c>
      <c r="J31" s="27" t="str">
        <f> '00_Regnskab_01'!G32</f>
        <v/>
      </c>
      <c r="K31" s="28" t="str">
        <f t="shared" si="3"/>
        <v>#N/A</v>
      </c>
      <c r="L31" s="28" t="str">
        <f t="shared" si="4"/>
        <v>#N/A</v>
      </c>
      <c r="M31" s="28" t="str">
        <f t="shared" si="5"/>
        <v>#N/A</v>
      </c>
      <c r="N31" s="28" t="str">
        <f t="shared" si="6"/>
        <v>#N/A</v>
      </c>
    </row>
    <row r="32">
      <c r="B32" s="26"/>
      <c r="C32" s="26"/>
      <c r="D32" s="26"/>
      <c r="E32" s="26"/>
      <c r="G32" s="27">
        <f> '00_Regnskab_01'!D33</f>
        <v>-398</v>
      </c>
      <c r="H32" s="27">
        <f> '00_Regnskab_01'!E33</f>
        <v>-872</v>
      </c>
      <c r="I32" s="27">
        <f> '00_Regnskab_01'!F33</f>
        <v>-180</v>
      </c>
      <c r="J32" s="27">
        <f> '00_Regnskab_01'!G33</f>
        <v>-404</v>
      </c>
      <c r="K32" s="28">
        <f t="shared" si="3"/>
        <v>2</v>
      </c>
      <c r="L32" s="28">
        <f t="shared" si="4"/>
        <v>4</v>
      </c>
      <c r="M32" s="28">
        <f t="shared" si="5"/>
        <v>1</v>
      </c>
      <c r="N32" s="28">
        <f t="shared" si="6"/>
        <v>3</v>
      </c>
    </row>
    <row r="33">
      <c r="B33" s="26"/>
      <c r="C33" s="26"/>
      <c r="D33" s="26"/>
      <c r="E33" s="26"/>
      <c r="G33" s="27">
        <f> '00_Regnskab_01'!D34</f>
        <v>43.82142857</v>
      </c>
      <c r="H33" s="27">
        <f> '00_Regnskab_01'!E34</f>
        <v>-153.3214286</v>
      </c>
      <c r="I33" s="27">
        <f> '00_Regnskab_01'!F34</f>
        <v>107.3928571</v>
      </c>
      <c r="J33" s="27">
        <f> '00_Regnskab_01'!G34</f>
        <v>-1.464285714</v>
      </c>
      <c r="K33" s="28">
        <f t="shared" si="3"/>
        <v>2</v>
      </c>
      <c r="L33" s="28">
        <f t="shared" si="4"/>
        <v>4</v>
      </c>
      <c r="M33" s="28">
        <f t="shared" si="5"/>
        <v>1</v>
      </c>
      <c r="N33" s="28">
        <f t="shared" si="6"/>
        <v>3</v>
      </c>
    </row>
    <row r="34">
      <c r="B34" s="26"/>
      <c r="C34" s="26"/>
      <c r="D34" s="26"/>
      <c r="E34" s="26"/>
      <c r="G34" s="27">
        <f> '00_Regnskab_01'!D35</f>
        <v>544</v>
      </c>
      <c r="H34" s="27">
        <f> '00_Regnskab_01'!E35</f>
        <v>234</v>
      </c>
      <c r="I34" s="27">
        <f> '00_Regnskab_01'!F35</f>
        <v>554</v>
      </c>
      <c r="J34" s="27">
        <f> '00_Regnskab_01'!G35</f>
        <v>490</v>
      </c>
      <c r="K34" s="28">
        <f t="shared" si="3"/>
        <v>2</v>
      </c>
      <c r="L34" s="28">
        <f t="shared" si="4"/>
        <v>4</v>
      </c>
      <c r="M34" s="28">
        <f t="shared" si="5"/>
        <v>1</v>
      </c>
      <c r="N34" s="28">
        <f t="shared" si="6"/>
        <v>3</v>
      </c>
    </row>
    <row r="35">
      <c r="B35" s="26"/>
      <c r="C35" s="26"/>
      <c r="D35" s="26"/>
      <c r="E35" s="26"/>
      <c r="G35" s="27">
        <f> '00_Regnskab_01'!D36</f>
        <v>1227</v>
      </c>
      <c r="H35" s="27">
        <f> '00_Regnskab_01'!E36</f>
        <v>-4293</v>
      </c>
      <c r="I35" s="27">
        <f> '00_Regnskab_01'!F36</f>
        <v>3007</v>
      </c>
      <c r="J35" s="27">
        <f> '00_Regnskab_01'!G36</f>
        <v>-41</v>
      </c>
      <c r="K35" s="28">
        <f t="shared" si="3"/>
        <v>2</v>
      </c>
      <c r="L35" s="28">
        <f t="shared" si="4"/>
        <v>4</v>
      </c>
      <c r="M35" s="28">
        <f t="shared" si="5"/>
        <v>1</v>
      </c>
      <c r="N35" s="28">
        <f t="shared" si="6"/>
        <v>3</v>
      </c>
    </row>
    <row r="36">
      <c r="B36" s="26"/>
      <c r="C36" s="26"/>
      <c r="D36" s="26"/>
      <c r="E36" s="26"/>
      <c r="G36" s="32" t="str">
        <f> '00_Regnskab_01'!D37</f>
        <v/>
      </c>
      <c r="H36" s="32" t="str">
        <f> '00_Regnskab_01'!E37</f>
        <v/>
      </c>
      <c r="I36" s="32" t="str">
        <f> '00_Regnskab_01'!F37</f>
        <v/>
      </c>
      <c r="J36" s="32" t="str">
        <f> '00_Regnskab_01'!G37</f>
        <v/>
      </c>
      <c r="K36" s="28" t="str">
        <f t="shared" si="3"/>
        <v>#N/A</v>
      </c>
      <c r="L36" s="28" t="str">
        <f t="shared" si="4"/>
        <v>#N/A</v>
      </c>
      <c r="M36" s="28" t="str">
        <f t="shared" si="5"/>
        <v>#N/A</v>
      </c>
      <c r="N36" s="28" t="str">
        <f t="shared" si="6"/>
        <v>#N/A</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3" width="7.88"/>
  </cols>
  <sheetData>
    <row r="1">
      <c r="A1" s="7"/>
      <c r="B1" s="10"/>
      <c r="C1" s="7" t="s">
        <v>7</v>
      </c>
      <c r="D1" s="7" t="s">
        <v>9</v>
      </c>
      <c r="E1" s="7" t="s">
        <v>8</v>
      </c>
      <c r="F1" s="7" t="s">
        <v>10</v>
      </c>
      <c r="G1" s="33"/>
      <c r="H1" s="34" t="s">
        <v>59</v>
      </c>
      <c r="I1" s="35"/>
      <c r="J1" s="7" t="s">
        <v>7</v>
      </c>
      <c r="K1" s="7" t="s">
        <v>9</v>
      </c>
      <c r="L1" s="7" t="s">
        <v>8</v>
      </c>
      <c r="M1" s="7" t="s">
        <v>10</v>
      </c>
      <c r="N1" s="33"/>
    </row>
    <row r="2">
      <c r="A2" s="7">
        <v>1.0</v>
      </c>
      <c r="B2" s="10">
        <v>42542.0</v>
      </c>
      <c r="C2" s="9">
        <v>-230.0</v>
      </c>
      <c r="D2" s="9">
        <v>370.0</v>
      </c>
      <c r="E2" s="9">
        <v>-166.0</v>
      </c>
      <c r="F2" s="9">
        <v>8.0</v>
      </c>
      <c r="G2" s="33"/>
      <c r="H2" s="33">
        <f t="shared" ref="H2:M2" si="1">A2</f>
        <v>1</v>
      </c>
      <c r="I2" s="35">
        <f t="shared" si="1"/>
        <v>42542</v>
      </c>
      <c r="J2" s="36">
        <f t="shared" si="1"/>
        <v>-230</v>
      </c>
      <c r="K2" s="36">
        <f t="shared" si="1"/>
        <v>370</v>
      </c>
      <c r="L2" s="36">
        <f t="shared" si="1"/>
        <v>-166</v>
      </c>
      <c r="M2" s="36">
        <f t="shared" si="1"/>
        <v>8</v>
      </c>
      <c r="N2" s="33"/>
    </row>
    <row r="3">
      <c r="A3" s="7">
        <v>2.0</v>
      </c>
      <c r="B3" s="10">
        <v>42637.0</v>
      </c>
      <c r="C3" s="9">
        <v>544.0</v>
      </c>
      <c r="D3" s="9">
        <v>472.0</v>
      </c>
      <c r="E3" s="9">
        <v>-872.0</v>
      </c>
      <c r="F3" s="9">
        <v>-258.0</v>
      </c>
      <c r="G3" s="33"/>
      <c r="H3" s="33">
        <f t="shared" ref="H3:I3" si="2">A3</f>
        <v>2</v>
      </c>
      <c r="I3" s="35">
        <f t="shared" si="2"/>
        <v>42637</v>
      </c>
      <c r="J3" s="36">
        <f t="shared" ref="J3:M3" si="3">sum(C3+J2)</f>
        <v>314</v>
      </c>
      <c r="K3" s="36">
        <f t="shared" si="3"/>
        <v>842</v>
      </c>
      <c r="L3" s="36">
        <f t="shared" si="3"/>
        <v>-1038</v>
      </c>
      <c r="M3" s="36">
        <f t="shared" si="3"/>
        <v>-250</v>
      </c>
      <c r="N3" s="33"/>
    </row>
    <row r="4">
      <c r="A4" s="7">
        <v>3.0</v>
      </c>
      <c r="B4" s="37">
        <v>42791.0</v>
      </c>
      <c r="C4" s="9">
        <v>54.0</v>
      </c>
      <c r="D4" s="9">
        <v>148.0</v>
      </c>
      <c r="E4" s="9">
        <v>234.0</v>
      </c>
      <c r="F4" s="9">
        <v>-404.0</v>
      </c>
      <c r="G4" s="33"/>
      <c r="H4" s="33">
        <f t="shared" ref="H4:I4" si="4">A4</f>
        <v>3</v>
      </c>
      <c r="I4" s="35">
        <f t="shared" si="4"/>
        <v>42791</v>
      </c>
      <c r="J4" s="36">
        <f t="shared" ref="J4:M4" si="5">sum(C4+J3)</f>
        <v>368</v>
      </c>
      <c r="K4" s="36">
        <f t="shared" si="5"/>
        <v>990</v>
      </c>
      <c r="L4" s="36">
        <f t="shared" si="5"/>
        <v>-804</v>
      </c>
      <c r="M4" s="36">
        <f t="shared" si="5"/>
        <v>-654</v>
      </c>
      <c r="N4" s="33"/>
    </row>
    <row r="5">
      <c r="A5" s="7">
        <v>4.0</v>
      </c>
      <c r="B5" s="7" t="s">
        <v>19</v>
      </c>
      <c r="C5" s="9">
        <v>-72.0</v>
      </c>
      <c r="D5" s="9">
        <v>138.0</v>
      </c>
      <c r="E5" s="9">
        <v>-256.0</v>
      </c>
      <c r="F5" s="9">
        <v>186.0</v>
      </c>
      <c r="G5" s="33"/>
      <c r="H5" s="33">
        <f t="shared" ref="H5:H23" si="7">A5</f>
        <v>4</v>
      </c>
      <c r="I5" s="38">
        <v>42887.0</v>
      </c>
      <c r="J5" s="36">
        <f t="shared" ref="J5:M5" si="6">sum(C5+J4)</f>
        <v>296</v>
      </c>
      <c r="K5" s="36">
        <f t="shared" si="6"/>
        <v>1128</v>
      </c>
      <c r="L5" s="36">
        <f t="shared" si="6"/>
        <v>-1060</v>
      </c>
      <c r="M5" s="36">
        <f t="shared" si="6"/>
        <v>-468</v>
      </c>
      <c r="N5" s="33"/>
    </row>
    <row r="6">
      <c r="A6" s="7">
        <v>6.0</v>
      </c>
      <c r="B6" s="10">
        <v>43001.0</v>
      </c>
      <c r="C6" s="9">
        <v>-398.0</v>
      </c>
      <c r="D6" s="9">
        <v>554.0</v>
      </c>
      <c r="E6" s="9">
        <v>106.0</v>
      </c>
      <c r="F6" s="9">
        <v>-262.0</v>
      </c>
      <c r="G6" s="33"/>
      <c r="H6" s="33">
        <f t="shared" si="7"/>
        <v>6</v>
      </c>
      <c r="I6" s="35">
        <f t="shared" ref="I6:I24" si="9">B6</f>
        <v>43001</v>
      </c>
      <c r="J6" s="36">
        <f t="shared" ref="J6:M6" si="8">sum(C6+J5)</f>
        <v>-102</v>
      </c>
      <c r="K6" s="36">
        <f t="shared" si="8"/>
        <v>1682</v>
      </c>
      <c r="L6" s="36">
        <f t="shared" si="8"/>
        <v>-954</v>
      </c>
      <c r="M6" s="36">
        <f t="shared" si="8"/>
        <v>-730</v>
      </c>
      <c r="N6" s="33"/>
    </row>
    <row r="7">
      <c r="A7" s="7">
        <v>7.0</v>
      </c>
      <c r="B7" s="10">
        <v>43002.0</v>
      </c>
      <c r="C7" s="9">
        <v>-56.0</v>
      </c>
      <c r="D7" s="9">
        <v>32.0</v>
      </c>
      <c r="E7" s="9">
        <v>-8.0</v>
      </c>
      <c r="F7" s="9">
        <v>32.0</v>
      </c>
      <c r="G7" s="33"/>
      <c r="H7" s="33">
        <f t="shared" si="7"/>
        <v>7</v>
      </c>
      <c r="I7" s="35">
        <f t="shared" si="9"/>
        <v>43002</v>
      </c>
      <c r="J7" s="36">
        <f t="shared" ref="J7:M7" si="10">sum(C7+J6)</f>
        <v>-158</v>
      </c>
      <c r="K7" s="36">
        <f t="shared" si="10"/>
        <v>1714</v>
      </c>
      <c r="L7" s="36">
        <f t="shared" si="10"/>
        <v>-962</v>
      </c>
      <c r="M7" s="36">
        <f t="shared" si="10"/>
        <v>-698</v>
      </c>
      <c r="N7" s="33"/>
    </row>
    <row r="8">
      <c r="A8" s="7">
        <v>8.0</v>
      </c>
      <c r="B8" s="10">
        <v>43407.0</v>
      </c>
      <c r="C8" s="9">
        <v>-92.0</v>
      </c>
      <c r="D8" s="9">
        <v>-180.0</v>
      </c>
      <c r="E8" s="9">
        <v>-84.0</v>
      </c>
      <c r="F8" s="9">
        <v>356.0</v>
      </c>
      <c r="G8" s="33"/>
      <c r="H8" s="33">
        <f t="shared" si="7"/>
        <v>8</v>
      </c>
      <c r="I8" s="35">
        <f t="shared" si="9"/>
        <v>43407</v>
      </c>
      <c r="J8" s="36">
        <f t="shared" ref="J8:M8" si="11">sum(C8+J7)</f>
        <v>-250</v>
      </c>
      <c r="K8" s="36">
        <f t="shared" si="11"/>
        <v>1534</v>
      </c>
      <c r="L8" s="36">
        <f t="shared" si="11"/>
        <v>-1046</v>
      </c>
      <c r="M8" s="36">
        <f t="shared" si="11"/>
        <v>-342</v>
      </c>
      <c r="N8" s="33"/>
    </row>
    <row r="9">
      <c r="A9" s="7">
        <v>9.0</v>
      </c>
      <c r="B9" s="10">
        <v>43491.0</v>
      </c>
      <c r="C9" s="9">
        <v>-132.0</v>
      </c>
      <c r="D9" s="9">
        <v>282.0</v>
      </c>
      <c r="E9" s="9">
        <v>-160.0</v>
      </c>
      <c r="F9" s="9">
        <v>10.0</v>
      </c>
      <c r="G9" s="33"/>
      <c r="H9" s="33">
        <f t="shared" si="7"/>
        <v>9</v>
      </c>
      <c r="I9" s="35">
        <f t="shared" si="9"/>
        <v>43491</v>
      </c>
      <c r="J9" s="36">
        <f t="shared" ref="J9:M9" si="12">sum(C9+J8)</f>
        <v>-382</v>
      </c>
      <c r="K9" s="36">
        <f t="shared" si="12"/>
        <v>1816</v>
      </c>
      <c r="L9" s="36">
        <f t="shared" si="12"/>
        <v>-1206</v>
      </c>
      <c r="M9" s="36">
        <f t="shared" si="12"/>
        <v>-332</v>
      </c>
      <c r="N9" s="33"/>
    </row>
    <row r="10">
      <c r="A10" s="7">
        <v>10.0</v>
      </c>
      <c r="B10" s="10">
        <v>43644.0</v>
      </c>
      <c r="C10" s="9">
        <v>320.0</v>
      </c>
      <c r="D10" s="9">
        <v>-152.0</v>
      </c>
      <c r="E10" s="9">
        <v>-64.0</v>
      </c>
      <c r="F10" s="9">
        <v>-104.0</v>
      </c>
      <c r="G10" s="33"/>
      <c r="H10" s="33">
        <f t="shared" si="7"/>
        <v>10</v>
      </c>
      <c r="I10" s="35">
        <f t="shared" si="9"/>
        <v>43644</v>
      </c>
      <c r="J10" s="36">
        <f t="shared" ref="J10:M10" si="13">sum(C10+J9)</f>
        <v>-62</v>
      </c>
      <c r="K10" s="36">
        <f t="shared" si="13"/>
        <v>1664</v>
      </c>
      <c r="L10" s="36">
        <f t="shared" si="13"/>
        <v>-1270</v>
      </c>
      <c r="M10" s="36">
        <f t="shared" si="13"/>
        <v>-436</v>
      </c>
      <c r="N10" s="33"/>
    </row>
    <row r="11">
      <c r="A11" s="7">
        <v>11.0</v>
      </c>
      <c r="B11" s="10">
        <v>43798.0</v>
      </c>
      <c r="C11" s="9">
        <v>226.0</v>
      </c>
      <c r="D11" s="9">
        <v>6.0</v>
      </c>
      <c r="E11" s="9">
        <v>-222.0</v>
      </c>
      <c r="F11" s="9">
        <v>-10.0</v>
      </c>
      <c r="G11" s="33"/>
      <c r="H11" s="33">
        <f t="shared" si="7"/>
        <v>11</v>
      </c>
      <c r="I11" s="35">
        <f t="shared" si="9"/>
        <v>43798</v>
      </c>
      <c r="J11" s="36">
        <f t="shared" ref="J11:M11" si="14">sum(C11+J10)</f>
        <v>164</v>
      </c>
      <c r="K11" s="36">
        <f t="shared" si="14"/>
        <v>1670</v>
      </c>
      <c r="L11" s="36">
        <f t="shared" si="14"/>
        <v>-1492</v>
      </c>
      <c r="M11" s="36">
        <f t="shared" si="14"/>
        <v>-446</v>
      </c>
      <c r="N11" s="33"/>
    </row>
    <row r="12">
      <c r="A12" s="39" t="s">
        <v>33</v>
      </c>
      <c r="B12" s="10">
        <v>43882.0</v>
      </c>
      <c r="C12" s="9">
        <v>0.0</v>
      </c>
      <c r="D12" s="9">
        <v>48.0</v>
      </c>
      <c r="E12" s="9">
        <v>-8.0</v>
      </c>
      <c r="F12" s="9">
        <v>-40.0</v>
      </c>
      <c r="G12" s="33"/>
      <c r="H12" s="33" t="str">
        <f t="shared" si="7"/>
        <v>12a</v>
      </c>
      <c r="I12" s="35">
        <f t="shared" si="9"/>
        <v>43882</v>
      </c>
      <c r="J12" s="36">
        <f t="shared" ref="J12:M12" si="15">sum(C12+J11)</f>
        <v>164</v>
      </c>
      <c r="K12" s="36">
        <f t="shared" si="15"/>
        <v>1718</v>
      </c>
      <c r="L12" s="36">
        <f t="shared" si="15"/>
        <v>-1500</v>
      </c>
      <c r="M12" s="36">
        <f t="shared" si="15"/>
        <v>-486</v>
      </c>
      <c r="N12" s="33"/>
    </row>
    <row r="13">
      <c r="A13" s="39" t="s">
        <v>36</v>
      </c>
      <c r="B13" s="10">
        <v>43882.0</v>
      </c>
      <c r="C13" s="9">
        <v>104.0</v>
      </c>
      <c r="D13" s="9">
        <v>-32.0</v>
      </c>
      <c r="E13" s="9">
        <v>-88.0</v>
      </c>
      <c r="F13" s="9">
        <v>16.0</v>
      </c>
      <c r="G13" s="33"/>
      <c r="H13" s="33" t="str">
        <f t="shared" si="7"/>
        <v>12b</v>
      </c>
      <c r="I13" s="35">
        <f t="shared" si="9"/>
        <v>43882</v>
      </c>
      <c r="J13" s="36">
        <f t="shared" ref="J13:M13" si="16">sum(C13+J12)</f>
        <v>268</v>
      </c>
      <c r="K13" s="36">
        <f t="shared" si="16"/>
        <v>1686</v>
      </c>
      <c r="L13" s="36">
        <f t="shared" si="16"/>
        <v>-1588</v>
      </c>
      <c r="M13" s="36">
        <f t="shared" si="16"/>
        <v>-470</v>
      </c>
      <c r="N13" s="33"/>
    </row>
    <row r="14">
      <c r="A14" s="7">
        <v>13.0</v>
      </c>
      <c r="B14" s="10">
        <v>43883.0</v>
      </c>
      <c r="C14" s="9">
        <v>178.0</v>
      </c>
      <c r="D14" s="9">
        <v>142.0</v>
      </c>
      <c r="E14" s="9">
        <v>-134.0</v>
      </c>
      <c r="F14" s="9">
        <v>-186.0</v>
      </c>
      <c r="G14" s="33"/>
      <c r="H14" s="33">
        <f t="shared" si="7"/>
        <v>13</v>
      </c>
      <c r="I14" s="35">
        <f t="shared" si="9"/>
        <v>43883</v>
      </c>
      <c r="J14" s="36">
        <f t="shared" ref="J14:M14" si="17">sum(C14+J13)</f>
        <v>446</v>
      </c>
      <c r="K14" s="36">
        <f t="shared" si="17"/>
        <v>1828</v>
      </c>
      <c r="L14" s="36">
        <f t="shared" si="17"/>
        <v>-1722</v>
      </c>
      <c r="M14" s="36">
        <f t="shared" si="17"/>
        <v>-656</v>
      </c>
      <c r="N14" s="33"/>
    </row>
    <row r="15">
      <c r="A15" s="7">
        <v>14.0</v>
      </c>
      <c r="B15" s="10">
        <v>44106.0</v>
      </c>
      <c r="C15" s="9">
        <v>-72.0</v>
      </c>
      <c r="D15" s="9">
        <v>224.0</v>
      </c>
      <c r="E15" s="9">
        <v>-40.0</v>
      </c>
      <c r="F15" s="9">
        <v>-112.0</v>
      </c>
      <c r="G15" s="33"/>
      <c r="H15" s="33">
        <f t="shared" si="7"/>
        <v>14</v>
      </c>
      <c r="I15" s="35">
        <f t="shared" si="9"/>
        <v>44106</v>
      </c>
      <c r="J15" s="36">
        <f t="shared" ref="J15:M15" si="18">sum(C15+J14)</f>
        <v>374</v>
      </c>
      <c r="K15" s="36">
        <f t="shared" si="18"/>
        <v>2052</v>
      </c>
      <c r="L15" s="36">
        <f t="shared" si="18"/>
        <v>-1762</v>
      </c>
      <c r="M15" s="36">
        <f t="shared" si="18"/>
        <v>-768</v>
      </c>
      <c r="N15" s="33"/>
    </row>
    <row r="16">
      <c r="A16" s="7">
        <v>15.0</v>
      </c>
      <c r="B16" s="10">
        <v>44365.0</v>
      </c>
      <c r="C16" s="9">
        <v>8.0</v>
      </c>
      <c r="D16" s="9">
        <v>-176.0</v>
      </c>
      <c r="E16" s="9">
        <v>128.0</v>
      </c>
      <c r="F16" s="9">
        <v>40.0</v>
      </c>
      <c r="G16" s="33"/>
      <c r="H16" s="33">
        <f t="shared" si="7"/>
        <v>15</v>
      </c>
      <c r="I16" s="35">
        <f t="shared" si="9"/>
        <v>44365</v>
      </c>
      <c r="J16" s="36">
        <f t="shared" ref="J16:M16" si="19">sum(C16+J15)</f>
        <v>382</v>
      </c>
      <c r="K16" s="36">
        <f t="shared" si="19"/>
        <v>1876</v>
      </c>
      <c r="L16" s="36">
        <f t="shared" si="19"/>
        <v>-1634</v>
      </c>
      <c r="M16" s="36">
        <f t="shared" si="19"/>
        <v>-728</v>
      </c>
      <c r="N16" s="33"/>
    </row>
    <row r="17">
      <c r="A17" s="7">
        <v>16.0</v>
      </c>
      <c r="B17" s="10">
        <v>44518.0</v>
      </c>
      <c r="C17" s="9">
        <v>-300.0</v>
      </c>
      <c r="D17" s="9">
        <v>12.0</v>
      </c>
      <c r="E17" s="9">
        <v>-20.0</v>
      </c>
      <c r="F17" s="9">
        <v>308.0</v>
      </c>
      <c r="G17" s="33"/>
      <c r="H17" s="33">
        <f t="shared" si="7"/>
        <v>16</v>
      </c>
      <c r="I17" s="35">
        <f t="shared" si="9"/>
        <v>44518</v>
      </c>
      <c r="J17" s="36">
        <f t="shared" ref="J17:M17" si="20">sum(C17+J16)</f>
        <v>82</v>
      </c>
      <c r="K17" s="36">
        <f t="shared" si="20"/>
        <v>1888</v>
      </c>
      <c r="L17" s="36">
        <f t="shared" si="20"/>
        <v>-1654</v>
      </c>
      <c r="M17" s="36">
        <f t="shared" si="20"/>
        <v>-420</v>
      </c>
      <c r="N17" s="33"/>
    </row>
    <row r="18">
      <c r="A18" s="7">
        <v>17.0</v>
      </c>
      <c r="B18" s="10">
        <v>44617.0</v>
      </c>
      <c r="C18" s="9">
        <v>96.0</v>
      </c>
      <c r="D18" s="9">
        <v>368.0</v>
      </c>
      <c r="E18" s="9">
        <v>-304.0</v>
      </c>
      <c r="F18" s="9">
        <v>-160.0</v>
      </c>
      <c r="G18" s="33"/>
      <c r="H18" s="33">
        <f t="shared" si="7"/>
        <v>17</v>
      </c>
      <c r="I18" s="35">
        <f t="shared" si="9"/>
        <v>44617</v>
      </c>
      <c r="J18" s="36">
        <f t="shared" ref="J18:M18" si="21">sum(C18+J17)</f>
        <v>178</v>
      </c>
      <c r="K18" s="36">
        <f t="shared" si="21"/>
        <v>2256</v>
      </c>
      <c r="L18" s="36">
        <f t="shared" si="21"/>
        <v>-1958</v>
      </c>
      <c r="M18" s="36">
        <f t="shared" si="21"/>
        <v>-580</v>
      </c>
      <c r="N18" s="33"/>
    </row>
    <row r="19">
      <c r="A19" s="7">
        <v>18.0</v>
      </c>
      <c r="B19" s="10">
        <v>44618.0</v>
      </c>
      <c r="C19" s="9">
        <v>286.0</v>
      </c>
      <c r="D19" s="9">
        <v>30.0</v>
      </c>
      <c r="E19" s="9">
        <v>-34.0</v>
      </c>
      <c r="F19" s="9">
        <v>-282.0</v>
      </c>
      <c r="G19" s="33"/>
      <c r="H19" s="33">
        <f t="shared" si="7"/>
        <v>18</v>
      </c>
      <c r="I19" s="35">
        <f t="shared" si="9"/>
        <v>44618</v>
      </c>
      <c r="J19" s="36">
        <f t="shared" ref="J19:M19" si="22">sum(C19+J18)</f>
        <v>464</v>
      </c>
      <c r="K19" s="36">
        <f t="shared" si="22"/>
        <v>2286</v>
      </c>
      <c r="L19" s="36">
        <f t="shared" si="22"/>
        <v>-1992</v>
      </c>
      <c r="M19" s="36">
        <f t="shared" si="22"/>
        <v>-862</v>
      </c>
      <c r="N19" s="33"/>
    </row>
    <row r="20">
      <c r="A20" s="7">
        <v>19.0</v>
      </c>
      <c r="B20" s="10">
        <v>44939.0</v>
      </c>
      <c r="C20" s="9">
        <v>26.0</v>
      </c>
      <c r="D20" s="9">
        <v>86.0</v>
      </c>
      <c r="E20" s="9">
        <v>102.0</v>
      </c>
      <c r="F20" s="9">
        <v>-214.0</v>
      </c>
      <c r="G20" s="33"/>
      <c r="H20" s="33">
        <f t="shared" si="7"/>
        <v>19</v>
      </c>
      <c r="I20" s="35">
        <f t="shared" si="9"/>
        <v>44939</v>
      </c>
      <c r="J20" s="36">
        <f t="shared" ref="J20:M20" si="23">sum(C20+J19)</f>
        <v>490</v>
      </c>
      <c r="K20" s="36">
        <f t="shared" si="23"/>
        <v>2372</v>
      </c>
      <c r="L20" s="36">
        <f t="shared" si="23"/>
        <v>-1890</v>
      </c>
      <c r="M20" s="36">
        <f t="shared" si="23"/>
        <v>-1076</v>
      </c>
      <c r="N20" s="33"/>
    </row>
    <row r="21">
      <c r="A21" s="7">
        <v>20.0</v>
      </c>
      <c r="B21" s="10">
        <v>44939.0</v>
      </c>
      <c r="C21" s="9">
        <v>104.0</v>
      </c>
      <c r="D21" s="9">
        <v>68.0</v>
      </c>
      <c r="E21" s="9">
        <v>-248.0</v>
      </c>
      <c r="F21" s="9">
        <v>76.0</v>
      </c>
      <c r="G21" s="33"/>
      <c r="H21" s="33">
        <f t="shared" si="7"/>
        <v>20</v>
      </c>
      <c r="I21" s="35">
        <f t="shared" si="9"/>
        <v>44939</v>
      </c>
      <c r="J21" s="36">
        <f t="shared" ref="J21:M21" si="24">sum(C21+J20)</f>
        <v>594</v>
      </c>
      <c r="K21" s="36">
        <f t="shared" si="24"/>
        <v>2440</v>
      </c>
      <c r="L21" s="36">
        <f t="shared" si="24"/>
        <v>-2138</v>
      </c>
      <c r="M21" s="36">
        <f t="shared" si="24"/>
        <v>-1000</v>
      </c>
      <c r="N21" s="33"/>
    </row>
    <row r="22">
      <c r="A22" s="7">
        <v>21.0</v>
      </c>
      <c r="B22" s="10">
        <v>44940.0</v>
      </c>
      <c r="C22" s="9">
        <v>312.0</v>
      </c>
      <c r="D22" s="9">
        <v>-136.0</v>
      </c>
      <c r="E22" s="9">
        <v>-100.0</v>
      </c>
      <c r="F22" s="9">
        <v>-76.0</v>
      </c>
      <c r="G22" s="33"/>
      <c r="H22" s="33">
        <f t="shared" si="7"/>
        <v>21</v>
      </c>
      <c r="I22" s="35">
        <f t="shared" si="9"/>
        <v>44940</v>
      </c>
      <c r="J22" s="36">
        <f t="shared" ref="J22:M22" si="25">sum(C22+J21)</f>
        <v>906</v>
      </c>
      <c r="K22" s="36">
        <f t="shared" si="25"/>
        <v>2304</v>
      </c>
      <c r="L22" s="36">
        <f t="shared" si="25"/>
        <v>-2238</v>
      </c>
      <c r="M22" s="36">
        <f t="shared" si="25"/>
        <v>-1076</v>
      </c>
      <c r="N22" s="33"/>
    </row>
    <row r="23">
      <c r="A23" s="7">
        <v>22.0</v>
      </c>
      <c r="B23" s="10">
        <v>45085.0</v>
      </c>
      <c r="C23" s="9">
        <v>-80.0</v>
      </c>
      <c r="D23" s="9">
        <v>88.0</v>
      </c>
      <c r="E23" s="9">
        <v>-168.0</v>
      </c>
      <c r="F23" s="9">
        <v>160.0</v>
      </c>
      <c r="G23" s="33"/>
      <c r="H23" s="33">
        <f t="shared" si="7"/>
        <v>22</v>
      </c>
      <c r="I23" s="35">
        <f t="shared" si="9"/>
        <v>45085</v>
      </c>
      <c r="J23" s="36">
        <f t="shared" ref="J23:M23" si="26">sum(C23+J22)</f>
        <v>826</v>
      </c>
      <c r="K23" s="36">
        <f t="shared" si="26"/>
        <v>2392</v>
      </c>
      <c r="L23" s="36">
        <f t="shared" si="26"/>
        <v>-2406</v>
      </c>
      <c r="M23" s="36">
        <f t="shared" si="26"/>
        <v>-916</v>
      </c>
      <c r="N23" s="33"/>
    </row>
    <row r="24">
      <c r="A24" s="7">
        <v>23.0</v>
      </c>
      <c r="B24" s="39" t="s">
        <v>60</v>
      </c>
      <c r="C24" s="5">
        <v>-22.0</v>
      </c>
      <c r="D24" s="5">
        <v>294.0</v>
      </c>
      <c r="E24" s="5">
        <v>-670.0</v>
      </c>
      <c r="F24" s="5">
        <v>398.0</v>
      </c>
      <c r="G24" s="33"/>
      <c r="H24" s="7">
        <v>23.0</v>
      </c>
      <c r="I24" s="35" t="str">
        <f t="shared" si="9"/>
        <v>31/09/2023</v>
      </c>
      <c r="J24" s="36">
        <f t="shared" ref="J24:M24" si="27">sum(C24+J23)</f>
        <v>804</v>
      </c>
      <c r="K24" s="36">
        <f t="shared" si="27"/>
        <v>2686</v>
      </c>
      <c r="L24" s="36">
        <f t="shared" si="27"/>
        <v>-3076</v>
      </c>
      <c r="M24" s="36">
        <f t="shared" si="27"/>
        <v>-518</v>
      </c>
      <c r="N24" s="33"/>
    </row>
    <row r="25">
      <c r="A25" s="33"/>
      <c r="B25" s="33"/>
      <c r="C25" s="33"/>
      <c r="D25" s="33"/>
      <c r="E25" s="33"/>
      <c r="F25" s="33"/>
      <c r="G25" s="33"/>
      <c r="H25" s="33"/>
      <c r="I25" s="35"/>
      <c r="J25" s="33"/>
      <c r="K25" s="33"/>
      <c r="L25" s="33"/>
      <c r="M25" s="33"/>
      <c r="N25" s="33"/>
    </row>
    <row r="26">
      <c r="A26" s="33"/>
      <c r="B26" s="33"/>
      <c r="C26" s="33"/>
      <c r="D26" s="33"/>
      <c r="E26" s="33"/>
      <c r="F26" s="33"/>
      <c r="G26" s="33"/>
      <c r="H26" s="33"/>
      <c r="I26" s="35"/>
      <c r="J26" s="33"/>
      <c r="K26" s="33"/>
      <c r="L26" s="33"/>
      <c r="M26" s="33"/>
      <c r="N26" s="33"/>
    </row>
    <row r="27">
      <c r="A27" s="33"/>
      <c r="B27" s="33"/>
      <c r="C27" s="33"/>
      <c r="D27" s="33"/>
      <c r="E27" s="33"/>
      <c r="F27" s="33"/>
      <c r="G27" s="33"/>
      <c r="H27" s="33"/>
      <c r="I27" s="35"/>
      <c r="J27" s="33"/>
      <c r="K27" s="33"/>
      <c r="L27" s="33"/>
      <c r="M27" s="33"/>
      <c r="N27" s="33"/>
    </row>
    <row r="28">
      <c r="A28" s="7"/>
      <c r="B28" s="7"/>
      <c r="C28" s="9"/>
      <c r="D28" s="9"/>
      <c r="E28" s="9"/>
      <c r="F28" s="9"/>
      <c r="G28" s="33"/>
      <c r="H28" s="33"/>
      <c r="I28" s="35"/>
      <c r="J28" s="33"/>
      <c r="K28" s="33"/>
      <c r="L28" s="33"/>
      <c r="M28" s="33"/>
      <c r="N28" s="33"/>
    </row>
    <row r="29">
      <c r="A29" s="33"/>
      <c r="B29" s="33"/>
      <c r="C29" s="33"/>
      <c r="D29" s="33"/>
      <c r="E29" s="33"/>
      <c r="F29" s="33"/>
      <c r="G29" s="33"/>
      <c r="H29" s="33"/>
      <c r="I29" s="35"/>
      <c r="J29" s="33"/>
      <c r="K29" s="33"/>
      <c r="L29" s="33"/>
      <c r="M29" s="33"/>
      <c r="N29" s="33"/>
    </row>
    <row r="30">
      <c r="A30" s="33"/>
      <c r="B30" s="33"/>
      <c r="C30" s="33"/>
      <c r="D30" s="33"/>
      <c r="E30" s="33"/>
      <c r="F30" s="33"/>
      <c r="G30" s="33"/>
      <c r="H30" s="33"/>
      <c r="I30" s="35"/>
      <c r="J30" s="33"/>
      <c r="K30" s="33"/>
      <c r="L30" s="33"/>
      <c r="M30" s="33"/>
      <c r="N30" s="33"/>
    </row>
    <row r="31">
      <c r="A31" s="33"/>
      <c r="B31" s="33"/>
      <c r="C31" s="33"/>
      <c r="D31" s="33"/>
      <c r="E31" s="33"/>
      <c r="F31" s="33"/>
      <c r="G31" s="33"/>
      <c r="H31" s="33"/>
      <c r="I31" s="35"/>
      <c r="J31" s="33"/>
      <c r="K31" s="33"/>
      <c r="L31" s="33"/>
      <c r="M31" s="33"/>
      <c r="N31" s="33"/>
    </row>
    <row r="32">
      <c r="A32" s="33"/>
      <c r="B32" s="33"/>
      <c r="C32" s="33"/>
      <c r="D32" s="33"/>
      <c r="E32" s="33"/>
      <c r="F32" s="33"/>
      <c r="G32" s="33"/>
      <c r="H32" s="33"/>
      <c r="I32" s="35"/>
      <c r="J32" s="33"/>
      <c r="K32" s="33"/>
      <c r="L32" s="33"/>
      <c r="M32" s="33"/>
      <c r="N32" s="33"/>
    </row>
    <row r="33">
      <c r="A33" s="33"/>
      <c r="B33" s="33"/>
      <c r="C33" s="33"/>
      <c r="D33" s="33"/>
      <c r="E33" s="33"/>
      <c r="F33" s="33"/>
      <c r="G33" s="33"/>
      <c r="H33" s="33"/>
      <c r="I33" s="35"/>
      <c r="J33" s="33"/>
      <c r="K33" s="33"/>
      <c r="L33" s="33"/>
      <c r="M33" s="33"/>
      <c r="N33" s="33"/>
    </row>
    <row r="34">
      <c r="A34" s="33"/>
      <c r="B34" s="33"/>
      <c r="C34" s="33"/>
      <c r="D34" s="33"/>
      <c r="E34" s="33"/>
      <c r="F34" s="33"/>
      <c r="G34" s="33"/>
      <c r="H34" s="33"/>
      <c r="I34" s="35"/>
      <c r="J34" s="33"/>
      <c r="K34" s="33"/>
      <c r="L34" s="33"/>
      <c r="M34" s="33"/>
      <c r="N34" s="33"/>
    </row>
    <row r="35">
      <c r="A35" s="33"/>
      <c r="B35" s="33"/>
      <c r="C35" s="33"/>
      <c r="D35" s="33"/>
      <c r="E35" s="33"/>
      <c r="F35" s="33"/>
      <c r="G35" s="33"/>
      <c r="H35" s="33"/>
      <c r="I35" s="35"/>
      <c r="J35" s="33"/>
      <c r="K35" s="33"/>
      <c r="L35" s="33"/>
      <c r="M35" s="33"/>
      <c r="N35" s="33"/>
    </row>
    <row r="36">
      <c r="A36" s="33"/>
      <c r="B36" s="33"/>
      <c r="C36" s="33"/>
      <c r="D36" s="33"/>
      <c r="E36" s="33"/>
      <c r="F36" s="33"/>
      <c r="G36" s="33"/>
      <c r="H36" s="33"/>
      <c r="I36" s="35"/>
      <c r="J36" s="33"/>
      <c r="K36" s="33"/>
      <c r="L36" s="33"/>
      <c r="M36" s="33"/>
      <c r="N36" s="33"/>
    </row>
    <row r="37">
      <c r="A37" s="33"/>
      <c r="B37" s="33"/>
      <c r="C37" s="33"/>
      <c r="D37" s="33"/>
      <c r="E37" s="33"/>
      <c r="F37" s="33"/>
      <c r="G37" s="33"/>
      <c r="H37" s="33"/>
      <c r="I37" s="35"/>
      <c r="J37" s="33"/>
      <c r="K37" s="33"/>
      <c r="L37" s="33"/>
      <c r="M37" s="33"/>
      <c r="N37" s="33"/>
    </row>
    <row r="38">
      <c r="A38" s="33"/>
      <c r="B38" s="33"/>
      <c r="C38" s="33"/>
      <c r="D38" s="33"/>
      <c r="E38" s="33"/>
      <c r="F38" s="33"/>
      <c r="G38" s="33"/>
      <c r="H38" s="33"/>
      <c r="I38" s="35"/>
      <c r="J38" s="33"/>
      <c r="K38" s="33"/>
      <c r="L38" s="33"/>
      <c r="M38" s="33"/>
      <c r="N38" s="33"/>
    </row>
    <row r="39">
      <c r="A39" s="33"/>
      <c r="B39" s="33"/>
      <c r="C39" s="33"/>
      <c r="D39" s="33"/>
      <c r="E39" s="33"/>
      <c r="F39" s="33"/>
      <c r="G39" s="33"/>
      <c r="H39" s="33"/>
      <c r="I39" s="35"/>
      <c r="J39" s="33"/>
      <c r="K39" s="33"/>
      <c r="L39" s="33"/>
      <c r="M39" s="33"/>
      <c r="N39" s="33"/>
    </row>
    <row r="40">
      <c r="A40" s="33"/>
      <c r="B40" s="33"/>
      <c r="C40" s="33"/>
      <c r="D40" s="33"/>
      <c r="E40" s="33"/>
      <c r="F40" s="33"/>
      <c r="G40" s="33"/>
      <c r="H40" s="33"/>
      <c r="I40" s="35"/>
      <c r="J40" s="33"/>
      <c r="K40" s="33"/>
      <c r="L40" s="33"/>
      <c r="M40" s="33"/>
      <c r="N40" s="33"/>
    </row>
    <row r="41">
      <c r="A41" s="33"/>
      <c r="B41" s="33"/>
      <c r="C41" s="33"/>
      <c r="D41" s="33"/>
      <c r="E41" s="33"/>
      <c r="F41" s="33"/>
      <c r="G41" s="33"/>
      <c r="H41" s="33"/>
      <c r="I41" s="35"/>
      <c r="J41" s="33"/>
      <c r="K41" s="33"/>
      <c r="L41" s="33"/>
      <c r="M41" s="33"/>
      <c r="N41" s="33"/>
    </row>
    <row r="42">
      <c r="A42" s="33"/>
      <c r="B42" s="33"/>
      <c r="C42" s="33"/>
      <c r="D42" s="33"/>
      <c r="E42" s="33"/>
      <c r="F42" s="33"/>
      <c r="G42" s="33"/>
      <c r="H42" s="33"/>
      <c r="I42" s="35"/>
      <c r="J42" s="33"/>
      <c r="K42" s="33"/>
      <c r="L42" s="33"/>
      <c r="M42" s="33"/>
      <c r="N42" s="33"/>
    </row>
    <row r="43">
      <c r="A43" s="33"/>
      <c r="B43" s="33"/>
      <c r="C43" s="33"/>
      <c r="D43" s="33"/>
      <c r="E43" s="33"/>
      <c r="F43" s="33"/>
      <c r="G43" s="33"/>
      <c r="H43" s="33"/>
      <c r="I43" s="35"/>
      <c r="J43" s="33"/>
      <c r="K43" s="33"/>
      <c r="L43" s="33"/>
      <c r="M43" s="33"/>
      <c r="N43" s="33"/>
    </row>
    <row r="44">
      <c r="A44" s="33"/>
      <c r="B44" s="33"/>
      <c r="C44" s="33"/>
      <c r="D44" s="33"/>
      <c r="E44" s="33"/>
      <c r="F44" s="33"/>
      <c r="G44" s="33"/>
      <c r="H44" s="33"/>
      <c r="I44" s="35"/>
      <c r="J44" s="33"/>
      <c r="K44" s="33"/>
      <c r="L44" s="33"/>
      <c r="M44" s="33"/>
      <c r="N44" s="33"/>
    </row>
    <row r="45">
      <c r="A45" s="33"/>
      <c r="B45" s="33"/>
      <c r="C45" s="33"/>
      <c r="D45" s="33"/>
      <c r="E45" s="33"/>
      <c r="F45" s="33"/>
      <c r="G45" s="33"/>
      <c r="H45" s="33"/>
      <c r="I45" s="35"/>
      <c r="J45" s="33"/>
      <c r="K45" s="33"/>
      <c r="L45" s="33"/>
      <c r="M45" s="33"/>
      <c r="N45" s="33"/>
    </row>
    <row r="46">
      <c r="A46" s="33"/>
      <c r="B46" s="33"/>
      <c r="C46" s="33"/>
      <c r="D46" s="33"/>
      <c r="E46" s="33"/>
      <c r="F46" s="33"/>
      <c r="G46" s="33"/>
      <c r="H46" s="33"/>
      <c r="I46" s="35"/>
      <c r="J46" s="33"/>
      <c r="K46" s="33"/>
      <c r="L46" s="33"/>
      <c r="M46" s="33"/>
      <c r="N46" s="33"/>
    </row>
    <row r="47">
      <c r="A47" s="33"/>
      <c r="B47" s="33"/>
      <c r="C47" s="33"/>
      <c r="D47" s="33"/>
      <c r="E47" s="33"/>
      <c r="F47" s="33"/>
      <c r="G47" s="33"/>
      <c r="H47" s="33"/>
      <c r="I47" s="35"/>
      <c r="J47" s="33"/>
      <c r="K47" s="33"/>
      <c r="L47" s="33"/>
      <c r="M47" s="33"/>
      <c r="N47" s="33"/>
    </row>
    <row r="48">
      <c r="A48" s="33"/>
      <c r="B48" s="33"/>
      <c r="C48" s="33"/>
      <c r="D48" s="33"/>
      <c r="E48" s="33"/>
      <c r="F48" s="33"/>
      <c r="G48" s="33"/>
      <c r="H48" s="33"/>
      <c r="I48" s="35"/>
      <c r="J48" s="33"/>
      <c r="K48" s="33"/>
      <c r="L48" s="33"/>
      <c r="M48" s="33"/>
      <c r="N48" s="33"/>
    </row>
    <row r="49">
      <c r="A49" s="33"/>
      <c r="B49" s="33"/>
      <c r="C49" s="33"/>
      <c r="D49" s="33"/>
      <c r="E49" s="33"/>
      <c r="F49" s="33"/>
      <c r="G49" s="33"/>
      <c r="H49" s="33"/>
      <c r="I49" s="35"/>
      <c r="J49" s="33"/>
      <c r="K49" s="33"/>
      <c r="L49" s="33"/>
      <c r="M49" s="33"/>
      <c r="N49" s="33"/>
    </row>
    <row r="50">
      <c r="A50" s="33"/>
      <c r="B50" s="33"/>
      <c r="C50" s="33"/>
      <c r="D50" s="33"/>
      <c r="E50" s="33"/>
      <c r="F50" s="33"/>
      <c r="G50" s="33"/>
      <c r="H50" s="33"/>
      <c r="I50" s="35"/>
      <c r="J50" s="33"/>
      <c r="K50" s="33"/>
      <c r="L50" s="33"/>
      <c r="M50" s="33"/>
      <c r="N50" s="33"/>
    </row>
    <row r="51">
      <c r="A51" s="33"/>
      <c r="B51" s="33"/>
      <c r="C51" s="33"/>
      <c r="D51" s="33"/>
      <c r="E51" s="33"/>
      <c r="F51" s="33"/>
      <c r="G51" s="33"/>
      <c r="H51" s="33"/>
      <c r="I51" s="35"/>
      <c r="J51" s="33"/>
      <c r="K51" s="33"/>
      <c r="L51" s="33"/>
      <c r="M51" s="33"/>
      <c r="N51" s="33"/>
    </row>
    <row r="52">
      <c r="A52" s="33"/>
      <c r="B52" s="33"/>
      <c r="C52" s="33"/>
      <c r="D52" s="33"/>
      <c r="E52" s="33"/>
      <c r="F52" s="33"/>
      <c r="G52" s="33"/>
      <c r="H52" s="33"/>
      <c r="I52" s="35"/>
      <c r="J52" s="33"/>
      <c r="K52" s="33"/>
      <c r="L52" s="33"/>
      <c r="M52" s="33"/>
      <c r="N52" s="33"/>
    </row>
    <row r="53">
      <c r="A53" s="33"/>
      <c r="B53" s="33"/>
      <c r="C53" s="33"/>
      <c r="D53" s="33"/>
      <c r="E53" s="33"/>
      <c r="F53" s="33"/>
      <c r="G53" s="33"/>
      <c r="H53" s="33"/>
      <c r="I53" s="35"/>
      <c r="J53" s="33"/>
      <c r="K53" s="33"/>
      <c r="L53" s="33"/>
      <c r="M53" s="33"/>
      <c r="N53" s="33"/>
    </row>
    <row r="54">
      <c r="A54" s="33"/>
      <c r="B54" s="33"/>
      <c r="C54" s="33"/>
      <c r="D54" s="33"/>
      <c r="E54" s="33"/>
      <c r="F54" s="33"/>
      <c r="G54" s="33"/>
      <c r="H54" s="33"/>
      <c r="I54" s="35"/>
      <c r="J54" s="33"/>
      <c r="K54" s="33"/>
      <c r="L54" s="33"/>
      <c r="M54" s="33"/>
      <c r="N54" s="33"/>
    </row>
    <row r="55">
      <c r="A55" s="33"/>
      <c r="B55" s="33"/>
      <c r="C55" s="33"/>
      <c r="D55" s="33"/>
      <c r="E55" s="33"/>
      <c r="F55" s="33"/>
      <c r="G55" s="33"/>
      <c r="H55" s="33"/>
      <c r="I55" s="35"/>
      <c r="J55" s="33"/>
      <c r="K55" s="33"/>
      <c r="L55" s="33"/>
      <c r="M55" s="33"/>
      <c r="N55" s="33"/>
    </row>
    <row r="56">
      <c r="A56" s="33"/>
      <c r="B56" s="33"/>
      <c r="C56" s="33"/>
      <c r="D56" s="33"/>
      <c r="E56" s="33"/>
      <c r="F56" s="33"/>
      <c r="G56" s="33"/>
      <c r="H56" s="33"/>
      <c r="I56" s="35"/>
      <c r="J56" s="33"/>
      <c r="K56" s="33"/>
      <c r="L56" s="33"/>
      <c r="M56" s="33"/>
      <c r="N56" s="33"/>
    </row>
    <row r="57">
      <c r="A57" s="33"/>
      <c r="B57" s="33"/>
      <c r="C57" s="33"/>
      <c r="D57" s="33"/>
      <c r="E57" s="33"/>
      <c r="F57" s="33"/>
      <c r="G57" s="33"/>
      <c r="H57" s="33"/>
      <c r="I57" s="35"/>
      <c r="J57" s="33"/>
      <c r="K57" s="33"/>
      <c r="L57" s="33"/>
      <c r="M57" s="33"/>
      <c r="N57" s="33"/>
    </row>
    <row r="58">
      <c r="A58" s="33"/>
      <c r="B58" s="33"/>
      <c r="C58" s="33"/>
      <c r="D58" s="33"/>
      <c r="E58" s="33"/>
      <c r="F58" s="33"/>
      <c r="G58" s="33"/>
      <c r="H58" s="33"/>
      <c r="I58" s="35"/>
      <c r="J58" s="33"/>
      <c r="K58" s="33"/>
      <c r="L58" s="33"/>
      <c r="M58" s="33"/>
      <c r="N58" s="3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2" width="5.0"/>
    <col customWidth="1" min="3" max="6" width="7.63"/>
    <col customWidth="1" min="7" max="7" width="6.88"/>
    <col customWidth="1" min="8" max="8" width="9.75"/>
    <col customWidth="1" min="9" max="10" width="6.88"/>
    <col customWidth="1" min="12" max="12" width="3.13"/>
    <col customWidth="1" min="13" max="13" width="5.38"/>
    <col customWidth="1" min="14" max="14" width="13.5"/>
    <col customWidth="1" min="15" max="15" width="4.0"/>
    <col customWidth="1" min="16" max="16" width="7.75"/>
    <col customWidth="1" min="17" max="17" width="7.13"/>
    <col customWidth="1" min="18" max="19" width="8.88"/>
    <col customWidth="1" min="20" max="20" width="3.0"/>
    <col customWidth="1" min="21" max="24" width="7.38"/>
    <col customWidth="1" min="25" max="25" width="3.25"/>
    <col customWidth="1" min="27" max="27" width="3.75"/>
    <col customWidth="1" min="28" max="31" width="6.5"/>
    <col customWidth="1" min="32" max="33" width="4.0"/>
    <col customWidth="1" min="34" max="36" width="6.25"/>
    <col customWidth="1" min="37" max="40" width="9.5"/>
    <col customWidth="1" min="41" max="41" width="2.5"/>
    <col customWidth="1" min="42" max="43" width="8.5"/>
    <col customWidth="1" min="44" max="44" width="1.63"/>
    <col customWidth="1" min="45" max="48" width="7.75"/>
    <col customWidth="1" min="49" max="49" width="1.88"/>
    <col customWidth="1" min="50" max="50" width="7.88"/>
    <col customWidth="1" min="51" max="53" width="10.25"/>
    <col customWidth="1" min="54" max="54" width="12.5"/>
    <col customWidth="1" min="55" max="55" width="10.25"/>
    <col customWidth="1" min="56" max="56" width="9.38"/>
    <col customWidth="1" min="57" max="60" width="7.13"/>
    <col customWidth="1" min="61" max="61" width="2.75"/>
    <col customWidth="1" min="62" max="75" width="7.5"/>
    <col customWidth="1" min="76" max="77" width="10.25"/>
  </cols>
  <sheetData>
    <row r="1">
      <c r="A1" s="40"/>
      <c r="B1" s="40">
        <f>'00_Regnskab_01'!A11</f>
        <v>9</v>
      </c>
      <c r="C1" s="41">
        <f>'00_Regnskab_01'!C11</f>
        <v>43491</v>
      </c>
      <c r="D1" s="42"/>
      <c r="E1" s="42" t="str">
        <f>'00_Regnskab_01'!L11</f>
        <v>Peter, Lyngby</v>
      </c>
      <c r="F1" s="42"/>
      <c r="G1" s="42"/>
      <c r="H1" s="42"/>
      <c r="I1" s="42"/>
      <c r="J1" s="43"/>
      <c r="K1" s="42"/>
      <c r="L1" s="44"/>
      <c r="M1" s="42"/>
      <c r="N1" s="45"/>
      <c r="O1" s="42"/>
      <c r="P1" s="32"/>
      <c r="Q1" s="32"/>
      <c r="R1" s="32"/>
      <c r="S1" s="32"/>
      <c r="T1" s="46" t="s">
        <v>61</v>
      </c>
      <c r="U1" s="47"/>
      <c r="V1" s="32"/>
      <c r="W1" s="32"/>
      <c r="X1" s="32"/>
      <c r="Y1" s="32"/>
      <c r="Z1" s="32"/>
      <c r="AA1" s="32"/>
      <c r="AB1" s="48"/>
      <c r="AC1" s="32"/>
      <c r="AD1" s="32"/>
      <c r="AE1" s="32"/>
      <c r="AF1" s="25"/>
      <c r="AG1" s="25"/>
      <c r="AH1" s="48"/>
      <c r="AI1" s="48"/>
      <c r="AJ1" s="48"/>
      <c r="AK1" s="48"/>
      <c r="AL1" s="48"/>
      <c r="AM1" s="48"/>
      <c r="AN1" s="48"/>
      <c r="AO1" s="46"/>
      <c r="AP1" s="49"/>
      <c r="AQ1" s="49"/>
      <c r="AR1" s="46"/>
      <c r="AS1" s="25"/>
      <c r="AT1" s="25"/>
      <c r="AU1" s="25"/>
      <c r="AV1" s="25"/>
      <c r="AW1" s="46"/>
      <c r="AX1" s="48"/>
      <c r="AY1" s="48"/>
      <c r="AZ1" s="48"/>
      <c r="BA1" s="48"/>
      <c r="BB1" s="48" t="s">
        <v>62</v>
      </c>
      <c r="BC1" s="50" t="s">
        <v>63</v>
      </c>
      <c r="BD1" s="48"/>
      <c r="BE1" s="51"/>
      <c r="BF1" s="48"/>
      <c r="BG1" s="48"/>
      <c r="BH1" s="48"/>
      <c r="BI1" s="48"/>
      <c r="BJ1" s="48"/>
      <c r="BK1" s="48"/>
      <c r="BL1" s="48"/>
      <c r="BM1" s="48"/>
      <c r="BN1" s="48"/>
      <c r="BO1" s="52"/>
      <c r="BP1" s="52"/>
      <c r="BQ1" s="52"/>
      <c r="BR1" s="52"/>
      <c r="BS1" s="48"/>
      <c r="BT1" s="48"/>
      <c r="BU1" s="48"/>
      <c r="BV1" s="48"/>
      <c r="BW1" s="48"/>
      <c r="BX1" s="48"/>
      <c r="BY1" s="48"/>
    </row>
    <row r="2">
      <c r="A2" s="53"/>
      <c r="B2" s="25"/>
      <c r="C2" s="54"/>
      <c r="D2" s="25"/>
      <c r="E2" s="25"/>
      <c r="F2" s="25"/>
      <c r="G2" s="25"/>
      <c r="H2" s="25"/>
      <c r="I2" s="25"/>
      <c r="J2" s="55"/>
      <c r="K2" s="25"/>
      <c r="L2" s="56"/>
      <c r="M2" s="25" t="s">
        <v>64</v>
      </c>
      <c r="T2" s="56"/>
      <c r="U2" s="57" t="s">
        <v>65</v>
      </c>
      <c r="AB2" s="25" t="s">
        <v>66</v>
      </c>
      <c r="AF2" s="25"/>
      <c r="AG2" s="25"/>
      <c r="AH2" s="25" t="s">
        <v>67</v>
      </c>
      <c r="AI2" s="25" t="s">
        <v>68</v>
      </c>
      <c r="AJ2" s="25"/>
      <c r="AK2" s="25" t="s">
        <v>69</v>
      </c>
      <c r="AL2" s="25"/>
      <c r="AM2" s="25"/>
      <c r="AN2" s="25"/>
      <c r="AO2" s="46"/>
      <c r="AP2" s="7"/>
      <c r="AQ2" s="7"/>
      <c r="AR2" s="46"/>
      <c r="AS2" s="25" t="s">
        <v>70</v>
      </c>
      <c r="AT2" s="25"/>
      <c r="AU2" s="25"/>
      <c r="AV2" s="25"/>
      <c r="AW2" s="46"/>
      <c r="AX2" s="25" t="s">
        <v>71</v>
      </c>
      <c r="AY2" s="25"/>
      <c r="AZ2" s="25"/>
      <c r="BA2" s="25"/>
      <c r="BB2" s="25"/>
      <c r="BC2" s="58"/>
      <c r="BD2" s="25" t="s">
        <v>72</v>
      </c>
      <c r="BE2" s="53" t="s">
        <v>73</v>
      </c>
      <c r="BF2" s="25"/>
      <c r="BG2" s="25"/>
      <c r="BH2" s="25"/>
      <c r="BI2" s="25"/>
      <c r="BJ2" s="25" t="s">
        <v>74</v>
      </c>
      <c r="BK2" s="25"/>
      <c r="BL2" s="25"/>
      <c r="BM2" s="25"/>
      <c r="BN2" s="25"/>
      <c r="BO2" s="59" t="s">
        <v>75</v>
      </c>
      <c r="BP2" s="59"/>
      <c r="BQ2" s="59"/>
      <c r="BR2" s="59"/>
      <c r="BS2" s="25"/>
      <c r="BT2" s="25" t="s">
        <v>76</v>
      </c>
      <c r="BU2" s="25"/>
      <c r="BV2" s="25"/>
      <c r="BW2" s="25"/>
      <c r="BX2" s="25"/>
      <c r="BY2" s="25" t="s">
        <v>77</v>
      </c>
    </row>
    <row r="3">
      <c r="A3" s="53" t="s">
        <v>59</v>
      </c>
      <c r="B3" s="25" t="s">
        <v>78</v>
      </c>
      <c r="C3" s="54" t="s">
        <v>7</v>
      </c>
      <c r="D3" s="25" t="s">
        <v>8</v>
      </c>
      <c r="E3" s="25" t="s">
        <v>9</v>
      </c>
      <c r="F3" s="25" t="s">
        <v>10</v>
      </c>
      <c r="G3" s="25" t="s">
        <v>79</v>
      </c>
      <c r="H3" s="25" t="s">
        <v>80</v>
      </c>
      <c r="I3" s="25" t="s">
        <v>81</v>
      </c>
      <c r="J3" s="55" t="s">
        <v>82</v>
      </c>
      <c r="K3" s="25" t="s">
        <v>83</v>
      </c>
      <c r="L3" s="56"/>
      <c r="M3" s="25" t="s">
        <v>84</v>
      </c>
      <c r="N3" s="25" t="s">
        <v>85</v>
      </c>
      <c r="O3" s="25" t="s">
        <v>86</v>
      </c>
      <c r="P3" s="25" t="s">
        <v>87</v>
      </c>
      <c r="Q3" s="25" t="s">
        <v>88</v>
      </c>
      <c r="R3" s="25" t="s">
        <v>89</v>
      </c>
      <c r="S3" s="25" t="s">
        <v>90</v>
      </c>
      <c r="T3" s="46"/>
      <c r="U3" s="60" t="str">
        <f t="shared" ref="U3:X3" si="1">C3</f>
        <v>Thomas</v>
      </c>
      <c r="V3" s="25" t="str">
        <f t="shared" si="1"/>
        <v>Peter</v>
      </c>
      <c r="W3" s="25" t="str">
        <f t="shared" si="1"/>
        <v>Janus</v>
      </c>
      <c r="X3" s="25" t="str">
        <f t="shared" si="1"/>
        <v>Christian</v>
      </c>
      <c r="Z3" s="25" t="s">
        <v>91</v>
      </c>
      <c r="AB3" s="25" t="str">
        <f t="shared" ref="AB3:AE3" si="2">U3</f>
        <v>Thomas</v>
      </c>
      <c r="AC3" s="25" t="str">
        <f t="shared" si="2"/>
        <v>Peter</v>
      </c>
      <c r="AD3" s="25" t="str">
        <f t="shared" si="2"/>
        <v>Janus</v>
      </c>
      <c r="AE3" s="25" t="str">
        <f t="shared" si="2"/>
        <v>Christian</v>
      </c>
      <c r="AF3" s="25"/>
      <c r="AG3" s="25"/>
      <c r="AH3" s="25">
        <f>countif(AH4:AH596, "&gt;0")</f>
        <v>325</v>
      </c>
      <c r="AI3" s="25">
        <f>countif(AI4:AI596, "&lt;0")</f>
        <v>215</v>
      </c>
      <c r="AJ3" s="25"/>
      <c r="AK3" s="25" t="str">
        <f t="shared" ref="AK3:AN3" si="3">C3</f>
        <v>Thomas</v>
      </c>
      <c r="AL3" s="25" t="str">
        <f t="shared" si="3"/>
        <v>Peter</v>
      </c>
      <c r="AM3" s="25" t="str">
        <f t="shared" si="3"/>
        <v>Janus</v>
      </c>
      <c r="AN3" s="25" t="str">
        <f t="shared" si="3"/>
        <v>Christian</v>
      </c>
      <c r="AO3" s="46"/>
      <c r="AP3" s="7" t="s">
        <v>64</v>
      </c>
      <c r="AQ3" s="7" t="s">
        <v>81</v>
      </c>
      <c r="AR3" s="46"/>
      <c r="AS3" s="25" t="str">
        <f t="shared" ref="AS3:AV3" si="4">AK3</f>
        <v>Thomas</v>
      </c>
      <c r="AT3" s="25" t="str">
        <f t="shared" si="4"/>
        <v>Peter</v>
      </c>
      <c r="AU3" s="25" t="str">
        <f t="shared" si="4"/>
        <v>Janus</v>
      </c>
      <c r="AV3" s="25" t="str">
        <f t="shared" si="4"/>
        <v>Christian</v>
      </c>
      <c r="AW3" s="46"/>
      <c r="AX3" s="25" t="s">
        <v>92</v>
      </c>
      <c r="AY3" s="25" t="str">
        <f t="shared" ref="AY3:BB3" si="5">U3</f>
        <v>Thomas</v>
      </c>
      <c r="AZ3" s="25" t="str">
        <f t="shared" si="5"/>
        <v>Peter</v>
      </c>
      <c r="BA3" s="25" t="str">
        <f t="shared" si="5"/>
        <v>Janus</v>
      </c>
      <c r="BB3" s="25" t="str">
        <f t="shared" si="5"/>
        <v>Christian</v>
      </c>
      <c r="BC3" s="58"/>
      <c r="BE3" s="53" t="str">
        <f t="shared" ref="BE3:BH3" si="6">C3</f>
        <v>Thomas</v>
      </c>
      <c r="BF3" s="25" t="str">
        <f t="shared" si="6"/>
        <v>Peter</v>
      </c>
      <c r="BG3" s="25" t="str">
        <f t="shared" si="6"/>
        <v>Janus</v>
      </c>
      <c r="BH3" s="25" t="str">
        <f t="shared" si="6"/>
        <v>Christian</v>
      </c>
      <c r="BI3" s="25"/>
      <c r="BJ3" s="25" t="str">
        <f t="shared" ref="BJ3:BM3" si="7">C3</f>
        <v>Thomas</v>
      </c>
      <c r="BK3" s="25" t="str">
        <f t="shared" si="7"/>
        <v>Peter</v>
      </c>
      <c r="BL3" s="25" t="str">
        <f t="shared" si="7"/>
        <v>Janus</v>
      </c>
      <c r="BM3" s="25" t="str">
        <f t="shared" si="7"/>
        <v>Christian</v>
      </c>
      <c r="BN3" s="25"/>
      <c r="BO3" s="59" t="str">
        <f t="shared" ref="BO3:BR3" si="8">C3</f>
        <v>Thomas</v>
      </c>
      <c r="BP3" s="59" t="str">
        <f t="shared" si="8"/>
        <v>Peter</v>
      </c>
      <c r="BQ3" s="59" t="str">
        <f t="shared" si="8"/>
        <v>Janus</v>
      </c>
      <c r="BR3" s="59" t="str">
        <f t="shared" si="8"/>
        <v>Christian</v>
      </c>
      <c r="BS3" s="25"/>
      <c r="BT3" s="25" t="str">
        <f t="shared" ref="BT3:BW3" si="9">C3</f>
        <v>Thomas</v>
      </c>
      <c r="BU3" s="25" t="str">
        <f t="shared" si="9"/>
        <v>Peter</v>
      </c>
      <c r="BV3" s="25" t="str">
        <f t="shared" si="9"/>
        <v>Janus</v>
      </c>
      <c r="BW3" s="25" t="str">
        <f t="shared" si="9"/>
        <v>Christian</v>
      </c>
      <c r="BX3" s="25"/>
      <c r="BY3" s="25" t="s">
        <v>93</v>
      </c>
    </row>
    <row r="4">
      <c r="A4" s="61">
        <v>1.0</v>
      </c>
      <c r="B4" s="56"/>
      <c r="C4" s="62">
        <f>'00_Regnskab_01'!D3</f>
        <v>-230</v>
      </c>
      <c r="D4" s="61">
        <f>'00_Regnskab_01'!E3</f>
        <v>-166</v>
      </c>
      <c r="E4" s="61">
        <f>'00_Regnskab_01'!F3</f>
        <v>370</v>
      </c>
      <c r="F4" s="61">
        <f>'00_Regnskab_01'!G3</f>
        <v>8</v>
      </c>
      <c r="G4" s="56"/>
      <c r="H4" s="56"/>
      <c r="I4" s="56"/>
      <c r="J4" s="63"/>
      <c r="K4" s="56"/>
      <c r="L4" s="56"/>
      <c r="M4" s="56"/>
      <c r="N4" s="56"/>
      <c r="O4" s="56"/>
      <c r="P4" s="56"/>
      <c r="Q4" s="56"/>
      <c r="R4" s="56"/>
      <c r="S4" s="56"/>
      <c r="T4" s="56"/>
      <c r="U4" s="64"/>
      <c r="V4" s="56"/>
      <c r="W4" s="56"/>
      <c r="X4" s="56"/>
      <c r="Y4" s="56"/>
      <c r="Z4" s="56"/>
      <c r="AA4" s="56"/>
      <c r="AB4" s="56"/>
      <c r="AC4" s="56"/>
      <c r="AD4" s="56"/>
      <c r="AE4" s="56"/>
      <c r="AF4" s="56"/>
      <c r="AG4" s="56"/>
      <c r="AH4" s="56"/>
      <c r="AI4" s="56"/>
      <c r="AJ4" s="56"/>
      <c r="AK4" s="56"/>
      <c r="AL4" s="56"/>
      <c r="AM4" s="56"/>
      <c r="AN4" s="56"/>
      <c r="AO4" s="56"/>
      <c r="AP4" s="14"/>
      <c r="AQ4" s="14"/>
      <c r="AR4" s="56"/>
      <c r="AS4" s="56"/>
      <c r="AT4" s="56"/>
      <c r="AU4" s="56"/>
      <c r="AV4" s="56"/>
      <c r="AW4" s="56"/>
      <c r="AX4" s="56"/>
      <c r="AY4" s="56"/>
      <c r="AZ4" s="56"/>
      <c r="BA4" s="56"/>
      <c r="BB4" s="56"/>
      <c r="BC4" s="65">
        <f>OFFSET('00_Regnskab_01'!$A$1,MATCH(A4,'00_Regnskab_01'!$A$1:$A$25)-1,2)</f>
        <v>42542</v>
      </c>
      <c r="BD4" s="56"/>
      <c r="BE4" s="66"/>
      <c r="BF4" s="56"/>
      <c r="BG4" s="56"/>
      <c r="BH4" s="56"/>
      <c r="BI4" s="56"/>
      <c r="BJ4" s="56"/>
      <c r="BK4" s="56"/>
      <c r="BL4" s="56"/>
      <c r="BM4" s="56"/>
      <c r="BN4" s="56"/>
      <c r="BO4" s="67"/>
      <c r="BP4" s="67"/>
      <c r="BQ4" s="67"/>
      <c r="BR4" s="67"/>
      <c r="BS4" s="56"/>
      <c r="BT4" s="56"/>
      <c r="BU4" s="56"/>
      <c r="BV4" s="56"/>
      <c r="BW4" s="56"/>
      <c r="BX4" s="56"/>
      <c r="BY4" s="66">
        <f t="array" ref="BY4:BY30">UNIQUE(A4:A596)</f>
        <v>1</v>
      </c>
    </row>
    <row r="5">
      <c r="A5" s="61">
        <v>2.0</v>
      </c>
      <c r="B5" s="56"/>
      <c r="C5" s="62">
        <f>'00_Regnskab_01'!D4</f>
        <v>544</v>
      </c>
      <c r="D5" s="61">
        <f>'00_Regnskab_01'!E4</f>
        <v>-872</v>
      </c>
      <c r="E5" s="61">
        <f>'00_Regnskab_01'!F4</f>
        <v>472</v>
      </c>
      <c r="F5" s="61">
        <f>'00_Regnskab_01'!G4</f>
        <v>-258</v>
      </c>
      <c r="G5" s="56"/>
      <c r="H5" s="56"/>
      <c r="I5" s="56"/>
      <c r="J5" s="63"/>
      <c r="K5" s="56"/>
      <c r="L5" s="56"/>
      <c r="M5" s="56"/>
      <c r="N5" s="56"/>
      <c r="O5" s="56"/>
      <c r="P5" s="56"/>
      <c r="Q5" s="56"/>
      <c r="R5" s="56"/>
      <c r="S5" s="56"/>
      <c r="T5" s="56"/>
      <c r="U5" s="64"/>
      <c r="V5" s="56"/>
      <c r="W5" s="56"/>
      <c r="X5" s="56"/>
      <c r="Y5" s="56"/>
      <c r="Z5" s="56"/>
      <c r="AA5" s="56"/>
      <c r="AB5" s="56"/>
      <c r="AC5" s="56"/>
      <c r="AD5" s="56"/>
      <c r="AE5" s="56"/>
      <c r="AF5" s="56"/>
      <c r="AG5" s="56"/>
      <c r="AH5" s="56"/>
      <c r="AI5" s="56"/>
      <c r="AJ5" s="56"/>
      <c r="AK5" s="56"/>
      <c r="AL5" s="56"/>
      <c r="AM5" s="56"/>
      <c r="AN5" s="56"/>
      <c r="AO5" s="56"/>
      <c r="AP5" s="14"/>
      <c r="AQ5" s="14"/>
      <c r="AR5" s="56"/>
      <c r="AS5" s="56"/>
      <c r="AT5" s="56"/>
      <c r="AU5" s="56"/>
      <c r="AV5" s="56"/>
      <c r="AW5" s="56"/>
      <c r="AX5" s="56"/>
      <c r="AY5" s="56"/>
      <c r="AZ5" s="56"/>
      <c r="BA5" s="56"/>
      <c r="BB5" s="56"/>
      <c r="BC5" s="65">
        <f>OFFSET('00_Regnskab_01'!$A$1,MATCH(A5,'00_Regnskab_01'!$A$1:$A$25)-1,2)</f>
        <v>42637</v>
      </c>
      <c r="BD5" s="56"/>
      <c r="BE5" s="66"/>
      <c r="BF5" s="56"/>
      <c r="BG5" s="56"/>
      <c r="BH5" s="56"/>
      <c r="BI5" s="56"/>
      <c r="BJ5" s="56"/>
      <c r="BK5" s="56"/>
      <c r="BL5" s="56"/>
      <c r="BM5" s="56"/>
      <c r="BN5" s="56"/>
      <c r="BO5" s="67"/>
      <c r="BP5" s="67"/>
      <c r="BQ5" s="67"/>
      <c r="BR5" s="67"/>
      <c r="BS5" s="56"/>
      <c r="BT5" s="56"/>
      <c r="BU5" s="56"/>
      <c r="BV5" s="56"/>
      <c r="BW5" s="56"/>
      <c r="BX5" s="56"/>
      <c r="BY5" s="66">
        <v>2.0</v>
      </c>
    </row>
    <row r="6">
      <c r="A6" s="61">
        <v>3.0</v>
      </c>
      <c r="B6" s="56"/>
      <c r="C6" s="62">
        <f>'00_Regnskab_01'!D5</f>
        <v>54</v>
      </c>
      <c r="D6" s="61">
        <f>'00_Regnskab_01'!E5</f>
        <v>234</v>
      </c>
      <c r="E6" s="61">
        <f>'00_Regnskab_01'!F5</f>
        <v>148</v>
      </c>
      <c r="F6" s="61">
        <f>'00_Regnskab_01'!G5</f>
        <v>-404</v>
      </c>
      <c r="G6" s="56"/>
      <c r="H6" s="56"/>
      <c r="I6" s="56"/>
      <c r="J6" s="63"/>
      <c r="K6" s="56"/>
      <c r="L6" s="56"/>
      <c r="M6" s="56"/>
      <c r="N6" s="56"/>
      <c r="O6" s="56"/>
      <c r="P6" s="56"/>
      <c r="Q6" s="56"/>
      <c r="R6" s="56"/>
      <c r="S6" s="56"/>
      <c r="T6" s="56"/>
      <c r="U6" s="64"/>
      <c r="V6" s="56"/>
      <c r="W6" s="56"/>
      <c r="X6" s="56"/>
      <c r="Y6" s="56"/>
      <c r="Z6" s="56"/>
      <c r="AA6" s="56"/>
      <c r="AB6" s="56"/>
      <c r="AC6" s="56"/>
      <c r="AD6" s="56"/>
      <c r="AE6" s="56"/>
      <c r="AF6" s="56"/>
      <c r="AG6" s="56"/>
      <c r="AH6" s="56"/>
      <c r="AI6" s="56"/>
      <c r="AJ6" s="56"/>
      <c r="AK6" s="56"/>
      <c r="AL6" s="56"/>
      <c r="AM6" s="56"/>
      <c r="AN6" s="56"/>
      <c r="AO6" s="56"/>
      <c r="AP6" s="14"/>
      <c r="AQ6" s="14"/>
      <c r="AR6" s="56"/>
      <c r="AS6" s="56"/>
      <c r="AT6" s="56"/>
      <c r="AU6" s="56"/>
      <c r="AV6" s="56"/>
      <c r="AW6" s="56"/>
      <c r="AX6" s="56"/>
      <c r="AY6" s="56"/>
      <c r="AZ6" s="56"/>
      <c r="BA6" s="56"/>
      <c r="BB6" s="56"/>
      <c r="BC6" s="65">
        <f>OFFSET('00_Regnskab_01'!$A$1,MATCH(A6,'00_Regnskab_01'!$A$1:$A$25)-1,2)</f>
        <v>42791</v>
      </c>
      <c r="BD6" s="56"/>
      <c r="BE6" s="66"/>
      <c r="BF6" s="56"/>
      <c r="BG6" s="56"/>
      <c r="BH6" s="56"/>
      <c r="BI6" s="56"/>
      <c r="BJ6" s="56"/>
      <c r="BK6" s="56"/>
      <c r="BL6" s="56"/>
      <c r="BM6" s="56"/>
      <c r="BN6" s="56"/>
      <c r="BO6" s="67"/>
      <c r="BP6" s="67"/>
      <c r="BQ6" s="67"/>
      <c r="BR6" s="67"/>
      <c r="BS6" s="56"/>
      <c r="BT6" s="56"/>
      <c r="BU6" s="56"/>
      <c r="BV6" s="56"/>
      <c r="BW6" s="56"/>
      <c r="BX6" s="56"/>
      <c r="BY6" s="66">
        <v>3.0</v>
      </c>
    </row>
    <row r="7">
      <c r="A7" s="61">
        <v>4.0</v>
      </c>
      <c r="B7" s="56"/>
      <c r="C7" s="62">
        <f>'00_Regnskab_01'!D6</f>
        <v>-72</v>
      </c>
      <c r="D7" s="61">
        <f>'00_Regnskab_01'!E6</f>
        <v>-256</v>
      </c>
      <c r="E7" s="61">
        <f>'00_Regnskab_01'!F6</f>
        <v>138</v>
      </c>
      <c r="F7" s="61">
        <f>'00_Regnskab_01'!G6</f>
        <v>186</v>
      </c>
      <c r="G7" s="56"/>
      <c r="H7" s="56"/>
      <c r="I7" s="56"/>
      <c r="J7" s="63"/>
      <c r="K7" s="56"/>
      <c r="L7" s="56"/>
      <c r="M7" s="56"/>
      <c r="N7" s="56"/>
      <c r="O7" s="56"/>
      <c r="P7" s="56"/>
      <c r="Q7" s="56"/>
      <c r="R7" s="56"/>
      <c r="S7" s="56"/>
      <c r="T7" s="56"/>
      <c r="U7" s="64"/>
      <c r="V7" s="56"/>
      <c r="W7" s="56"/>
      <c r="X7" s="56"/>
      <c r="Y7" s="56"/>
      <c r="Z7" s="56"/>
      <c r="AA7" s="56"/>
      <c r="AB7" s="56"/>
      <c r="AC7" s="56"/>
      <c r="AD7" s="56"/>
      <c r="AE7" s="56"/>
      <c r="AF7" s="56"/>
      <c r="AG7" s="56"/>
      <c r="AH7" s="56"/>
      <c r="AI7" s="56"/>
      <c r="AJ7" s="56"/>
      <c r="AK7" s="56"/>
      <c r="AL7" s="56"/>
      <c r="AM7" s="56"/>
      <c r="AN7" s="56"/>
      <c r="AO7" s="56"/>
      <c r="AP7" s="14"/>
      <c r="AQ7" s="14"/>
      <c r="AR7" s="56"/>
      <c r="AS7" s="56"/>
      <c r="AT7" s="56"/>
      <c r="AU7" s="56"/>
      <c r="AV7" s="56"/>
      <c r="AW7" s="56"/>
      <c r="AX7" s="56"/>
      <c r="AY7" s="56"/>
      <c r="AZ7" s="56"/>
      <c r="BA7" s="56"/>
      <c r="BB7" s="56"/>
      <c r="BC7" s="65" t="str">
        <f>OFFSET('00_Regnskab_01'!$A$1,MATCH(A7,'00_Regnskab_01'!$A$1:$A$25)-1,2)</f>
        <v>?</v>
      </c>
      <c r="BD7" s="56"/>
      <c r="BE7" s="66"/>
      <c r="BF7" s="56"/>
      <c r="BG7" s="56"/>
      <c r="BH7" s="56"/>
      <c r="BI7" s="56"/>
      <c r="BJ7" s="56"/>
      <c r="BK7" s="56"/>
      <c r="BL7" s="56"/>
      <c r="BM7" s="56"/>
      <c r="BN7" s="56"/>
      <c r="BO7" s="67"/>
      <c r="BP7" s="67"/>
      <c r="BQ7" s="67"/>
      <c r="BR7" s="67"/>
      <c r="BS7" s="56"/>
      <c r="BT7" s="56"/>
      <c r="BU7" s="56"/>
      <c r="BV7" s="56"/>
      <c r="BW7" s="56"/>
      <c r="BX7" s="56"/>
      <c r="BY7" s="66">
        <v>4.0</v>
      </c>
    </row>
    <row r="8">
      <c r="A8" s="61">
        <v>5.0</v>
      </c>
      <c r="B8" s="56"/>
      <c r="C8" s="62">
        <f t="shared" ref="C8:F8" si="10">C7</f>
        <v>-72</v>
      </c>
      <c r="D8" s="61">
        <f t="shared" si="10"/>
        <v>-256</v>
      </c>
      <c r="E8" s="61">
        <f t="shared" si="10"/>
        <v>138</v>
      </c>
      <c r="F8" s="61">
        <f t="shared" si="10"/>
        <v>186</v>
      </c>
      <c r="G8" s="56"/>
      <c r="H8" s="56"/>
      <c r="I8" s="56"/>
      <c r="J8" s="63"/>
      <c r="K8" s="56"/>
      <c r="L8" s="56"/>
      <c r="M8" s="56"/>
      <c r="N8" s="56"/>
      <c r="O8" s="56"/>
      <c r="P8" s="56"/>
      <c r="Q8" s="56"/>
      <c r="R8" s="56"/>
      <c r="S8" s="56"/>
      <c r="T8" s="56"/>
      <c r="U8" s="64"/>
      <c r="V8" s="56"/>
      <c r="W8" s="56"/>
      <c r="X8" s="56"/>
      <c r="Y8" s="56"/>
      <c r="Z8" s="56"/>
      <c r="AA8" s="56"/>
      <c r="AB8" s="56"/>
      <c r="AC8" s="56"/>
      <c r="AD8" s="56"/>
      <c r="AE8" s="56"/>
      <c r="AF8" s="56"/>
      <c r="AG8" s="56"/>
      <c r="AH8" s="56"/>
      <c r="AI8" s="56"/>
      <c r="AJ8" s="56"/>
      <c r="AK8" s="56"/>
      <c r="AL8" s="56"/>
      <c r="AM8" s="56"/>
      <c r="AN8" s="56"/>
      <c r="AO8" s="56"/>
      <c r="AP8" s="14"/>
      <c r="AQ8" s="14"/>
      <c r="AR8" s="56"/>
      <c r="AS8" s="56"/>
      <c r="AT8" s="56"/>
      <c r="AU8" s="56"/>
      <c r="AV8" s="56"/>
      <c r="AW8" s="56"/>
      <c r="AX8" s="56"/>
      <c r="AY8" s="56"/>
      <c r="AZ8" s="56"/>
      <c r="BA8" s="56"/>
      <c r="BB8" s="56"/>
      <c r="BC8" s="65">
        <f>OFFSET('00_Regnskab_01'!$A$1,MATCH(A8,'00_Regnskab_01'!$A$1:$A$25)-1,2)</f>
        <v>43000</v>
      </c>
      <c r="BD8" s="56"/>
      <c r="BE8" s="66"/>
      <c r="BF8" s="56"/>
      <c r="BG8" s="56"/>
      <c r="BH8" s="56"/>
      <c r="BI8" s="56"/>
      <c r="BJ8" s="56"/>
      <c r="BK8" s="56"/>
      <c r="BL8" s="56"/>
      <c r="BM8" s="56"/>
      <c r="BN8" s="56"/>
      <c r="BO8" s="67"/>
      <c r="BP8" s="67"/>
      <c r="BQ8" s="67"/>
      <c r="BR8" s="67"/>
      <c r="BS8" s="56"/>
      <c r="BT8" s="56"/>
      <c r="BU8" s="56"/>
      <c r="BV8" s="56"/>
      <c r="BW8" s="56"/>
      <c r="BX8" s="56"/>
      <c r="BY8" s="66">
        <v>5.0</v>
      </c>
    </row>
    <row r="9">
      <c r="A9" s="61">
        <v>6.0</v>
      </c>
      <c r="B9" s="56"/>
      <c r="C9" s="62">
        <f>'00_Regnskab_01'!D8</f>
        <v>-398</v>
      </c>
      <c r="D9" s="61">
        <f>'00_Regnskab_01'!E8</f>
        <v>106</v>
      </c>
      <c r="E9" s="61">
        <f>'00_Regnskab_01'!F8</f>
        <v>554</v>
      </c>
      <c r="F9" s="61">
        <f>'00_Regnskab_01'!G8</f>
        <v>-262</v>
      </c>
      <c r="G9" s="56"/>
      <c r="H9" s="56"/>
      <c r="I9" s="56"/>
      <c r="J9" s="63"/>
      <c r="K9" s="56"/>
      <c r="L9" s="56"/>
      <c r="M9" s="56"/>
      <c r="N9" s="56"/>
      <c r="O9" s="56"/>
      <c r="P9" s="56"/>
      <c r="Q9" s="56"/>
      <c r="R9" s="56"/>
      <c r="S9" s="56"/>
      <c r="T9" s="56"/>
      <c r="U9" s="64"/>
      <c r="V9" s="56"/>
      <c r="W9" s="56"/>
      <c r="X9" s="56"/>
      <c r="Y9" s="56"/>
      <c r="Z9" s="56"/>
      <c r="AA9" s="56"/>
      <c r="AB9" s="56"/>
      <c r="AC9" s="56"/>
      <c r="AD9" s="56"/>
      <c r="AE9" s="56"/>
      <c r="AF9" s="56"/>
      <c r="AG9" s="56"/>
      <c r="AH9" s="56"/>
      <c r="AI9" s="56"/>
      <c r="AJ9" s="56"/>
      <c r="AK9" s="56"/>
      <c r="AL9" s="56"/>
      <c r="AM9" s="56"/>
      <c r="AN9" s="56"/>
      <c r="AO9" s="56"/>
      <c r="AP9" s="14"/>
      <c r="AQ9" s="14"/>
      <c r="AR9" s="56"/>
      <c r="AS9" s="56"/>
      <c r="AT9" s="56"/>
      <c r="AU9" s="56"/>
      <c r="AV9" s="56"/>
      <c r="AW9" s="56"/>
      <c r="AX9" s="68"/>
      <c r="AY9" s="56"/>
      <c r="AZ9" s="56"/>
      <c r="BA9" s="56"/>
      <c r="BB9" s="56"/>
      <c r="BC9" s="65">
        <f>OFFSET('00_Regnskab_01'!$A$1,MATCH(A9,'00_Regnskab_01'!$A$1:$A$25)-1,2)</f>
        <v>43001</v>
      </c>
      <c r="BD9" s="56"/>
      <c r="BE9" s="66"/>
      <c r="BF9" s="56"/>
      <c r="BG9" s="56"/>
      <c r="BH9" s="56"/>
      <c r="BI9" s="56"/>
      <c r="BJ9" s="56"/>
      <c r="BK9" s="56"/>
      <c r="BL9" s="56"/>
      <c r="BM9" s="56"/>
      <c r="BN9" s="56"/>
      <c r="BO9" s="67"/>
      <c r="BP9" s="67"/>
      <c r="BQ9" s="67"/>
      <c r="BR9" s="67"/>
      <c r="BS9" s="56"/>
      <c r="BT9" s="56"/>
      <c r="BU9" s="56"/>
      <c r="BV9" s="56"/>
      <c r="BW9" s="56"/>
      <c r="BX9" s="56"/>
      <c r="BY9" s="66">
        <v>6.0</v>
      </c>
    </row>
    <row r="10">
      <c r="A10" s="61">
        <v>7.0</v>
      </c>
      <c r="B10" s="56"/>
      <c r="C10" s="62">
        <f>'00_Regnskab_01'!D9</f>
        <v>-56</v>
      </c>
      <c r="D10" s="61">
        <f>'00_Regnskab_01'!E9</f>
        <v>-8</v>
      </c>
      <c r="E10" s="61">
        <f>'00_Regnskab_01'!F9</f>
        <v>32</v>
      </c>
      <c r="F10" s="61">
        <f>'00_Regnskab_01'!G9</f>
        <v>32</v>
      </c>
      <c r="G10" s="56"/>
      <c r="H10" s="56"/>
      <c r="I10" s="56"/>
      <c r="J10" s="63"/>
      <c r="K10" s="56"/>
      <c r="L10" s="56"/>
      <c r="M10" s="56"/>
      <c r="N10" s="56"/>
      <c r="O10" s="56"/>
      <c r="P10" s="56"/>
      <c r="Q10" s="56"/>
      <c r="R10" s="56"/>
      <c r="S10" s="56"/>
      <c r="T10" s="56"/>
      <c r="U10" s="64"/>
      <c r="V10" s="56"/>
      <c r="W10" s="56"/>
      <c r="X10" s="56"/>
      <c r="Y10" s="56"/>
      <c r="Z10" s="56"/>
      <c r="AA10" s="56"/>
      <c r="AB10" s="56"/>
      <c r="AC10" s="56"/>
      <c r="AD10" s="56"/>
      <c r="AE10" s="56"/>
      <c r="AF10" s="56"/>
      <c r="AG10" s="56"/>
      <c r="AH10" s="56"/>
      <c r="AI10" s="56"/>
      <c r="AJ10" s="56"/>
      <c r="AK10" s="56"/>
      <c r="AL10" s="56"/>
      <c r="AM10" s="56"/>
      <c r="AN10" s="56"/>
      <c r="AO10" s="56"/>
      <c r="AP10" s="14"/>
      <c r="AQ10" s="14"/>
      <c r="AR10" s="56"/>
      <c r="AS10" s="56"/>
      <c r="AT10" s="56"/>
      <c r="AU10" s="56"/>
      <c r="AV10" s="56"/>
      <c r="AW10" s="56"/>
      <c r="AX10" s="56"/>
      <c r="AY10" s="56"/>
      <c r="AZ10" s="56"/>
      <c r="BA10" s="56"/>
      <c r="BB10" s="56"/>
      <c r="BC10" s="65">
        <f>OFFSET('00_Regnskab_01'!$A$1,MATCH(A10,'00_Regnskab_01'!$A$1:$A$25)-1,2)</f>
        <v>43002</v>
      </c>
      <c r="BD10" s="56"/>
      <c r="BE10" s="66"/>
      <c r="BF10" s="56"/>
      <c r="BG10" s="56"/>
      <c r="BH10" s="56"/>
      <c r="BI10" s="56"/>
      <c r="BJ10" s="56"/>
      <c r="BK10" s="56"/>
      <c r="BL10" s="56"/>
      <c r="BM10" s="56"/>
      <c r="BN10" s="56"/>
      <c r="BO10" s="67"/>
      <c r="BP10" s="67"/>
      <c r="BQ10" s="67"/>
      <c r="BR10" s="67"/>
      <c r="BS10" s="56"/>
      <c r="BT10" s="56"/>
      <c r="BU10" s="56"/>
      <c r="BV10" s="56"/>
      <c r="BW10" s="56"/>
      <c r="BX10" s="56"/>
      <c r="BY10" s="66">
        <v>7.0</v>
      </c>
    </row>
    <row r="11">
      <c r="A11" s="51">
        <v>8.0</v>
      </c>
      <c r="B11" s="32">
        <f>'08_3-11-2018'!A3</f>
        <v>1</v>
      </c>
      <c r="C11" s="69">
        <f>'08_3-11-2018'!B3</f>
        <v>48</v>
      </c>
      <c r="D11" s="32">
        <f>'08_3-11-2018'!D3</f>
        <v>-48</v>
      </c>
      <c r="E11" s="32">
        <f>'08_3-11-2018'!C3</f>
        <v>48</v>
      </c>
      <c r="F11" s="32">
        <f>'08_3-11-2018'!E3</f>
        <v>-48</v>
      </c>
      <c r="G11" s="32">
        <f>'08_3-11-2018'!F3</f>
        <v>0</v>
      </c>
      <c r="H11" s="32" t="str">
        <f>'08_3-11-2018'!G3</f>
        <v>Thomas</v>
      </c>
      <c r="I11" s="32"/>
      <c r="J11" s="70" t="str">
        <f>'08_3-11-2018'!H3</f>
        <v>Christian</v>
      </c>
      <c r="K11" s="32" t="str">
        <f>'08_3-11-2018'!I3</f>
        <v/>
      </c>
      <c r="L11" s="32"/>
      <c r="M11" s="32"/>
      <c r="N11" s="32"/>
      <c r="O11" s="32"/>
      <c r="P11" s="32"/>
      <c r="Q11" s="32"/>
      <c r="R11" s="32"/>
      <c r="S11" s="32"/>
      <c r="T11" s="32"/>
      <c r="U11" s="71">
        <f t="shared" ref="U11:X11" si="11">C11</f>
        <v>48</v>
      </c>
      <c r="V11" s="32">
        <f t="shared" si="11"/>
        <v>-48</v>
      </c>
      <c r="W11" s="32">
        <f t="shared" si="11"/>
        <v>48</v>
      </c>
      <c r="X11" s="32">
        <f t="shared" si="11"/>
        <v>-48</v>
      </c>
      <c r="Y11" s="32"/>
      <c r="Z11" s="32"/>
      <c r="AA11" s="32"/>
      <c r="AB11" s="32">
        <f t="shared" ref="AB11:AE11" si="12">IF(AB$3=$H11,U11,"")</f>
        <v>48</v>
      </c>
      <c r="AC11" s="32" t="str">
        <f t="shared" si="12"/>
        <v/>
      </c>
      <c r="AD11" s="32" t="str">
        <f t="shared" si="12"/>
        <v/>
      </c>
      <c r="AE11" s="32" t="str">
        <f t="shared" si="12"/>
        <v/>
      </c>
      <c r="AH11" s="32">
        <f t="shared" ref="AH11:AH596" si="22">MAXIFS(AB11:AE11,AB11:AE11, "&gt;-1")</f>
        <v>48</v>
      </c>
      <c r="AI11" s="32">
        <f t="shared" ref="AI11:AI596" si="23">MINIFS(AB11:AE11,AB11:AE11, "&lt;0")</f>
        <v>0</v>
      </c>
      <c r="AJ11" s="32"/>
      <c r="AK11" s="72" t="str">
        <f t="shared" ref="AK11:AN11" si="13">IF(U11&gt;0,AK$3,"")</f>
        <v>Thomas</v>
      </c>
      <c r="AL11" s="72" t="str">
        <f t="shared" si="13"/>
        <v/>
      </c>
      <c r="AM11" s="72" t="str">
        <f t="shared" si="13"/>
        <v>Janus</v>
      </c>
      <c r="AN11" s="72" t="str">
        <f t="shared" si="13"/>
        <v/>
      </c>
      <c r="AO11" s="56">
        <f t="shared" ref="AO11:AO596" si="25">COUNTif(AK11:AN11,"&gt;0"&amp;"*")</f>
        <v>2</v>
      </c>
      <c r="AP11" s="8" t="str">
        <f t="shared" ref="AP11:AP596" si="26">H11</f>
        <v>Thomas</v>
      </c>
      <c r="AQ11" s="73" t="str">
        <f>IFERROR(__xludf.DUMMYFUNCTION("IFNA(QUERY(transpose(AY11:BB11),""Select Col1 where Col1 is not null limit 1"",0))"),"Janus")</f>
        <v>Janus</v>
      </c>
      <c r="AR11" s="56"/>
      <c r="AS11" s="28" t="str">
        <f t="shared" ref="AS11:AV11" si="14">IF(AK11=AS$3,"",AS$3)</f>
        <v/>
      </c>
      <c r="AT11" s="28" t="str">
        <f t="shared" si="14"/>
        <v>Peter</v>
      </c>
      <c r="AU11" s="28" t="str">
        <f t="shared" si="14"/>
        <v/>
      </c>
      <c r="AV11" s="28" t="str">
        <f t="shared" si="14"/>
        <v>Christian</v>
      </c>
      <c r="AW11" s="56">
        <f t="shared" ref="AW11:AW596" si="28">COUNTif(AS11:AV11,"&gt;0"&amp;"*")</f>
        <v>2</v>
      </c>
      <c r="AX11" s="32">
        <f t="shared" ref="AX11:AX596" si="29">sum(AB11:AE11)</f>
        <v>48</v>
      </c>
      <c r="AY11" s="32" t="str">
        <f t="shared" ref="AY11:BB11" si="15">IFNA(IFS(AY$3=$AP11,"",$AX11=U11,AY$3),"")</f>
        <v/>
      </c>
      <c r="AZ11" s="32" t="str">
        <f t="shared" si="15"/>
        <v/>
      </c>
      <c r="BA11" s="32" t="str">
        <f t="shared" si="15"/>
        <v>Janus</v>
      </c>
      <c r="BB11" s="32" t="str">
        <f t="shared" si="15"/>
        <v/>
      </c>
      <c r="BC11" s="58">
        <f>OFFSET('00_Regnskab_01'!$A$1,MATCH(A11,'00_Regnskab_01'!$A$1:$A$25)-1,2)</f>
        <v>43407</v>
      </c>
      <c r="BD11" s="32"/>
      <c r="BE11" s="27">
        <f t="shared" ref="BE11:BH11" si="16">if(U11&gt;0,1+BE10,0)</f>
        <v>1</v>
      </c>
      <c r="BF11" s="32">
        <f t="shared" si="16"/>
        <v>0</v>
      </c>
      <c r="BG11" s="32">
        <f t="shared" si="16"/>
        <v>1</v>
      </c>
      <c r="BH11" s="32">
        <f t="shared" si="16"/>
        <v>0</v>
      </c>
      <c r="BI11" s="32"/>
      <c r="BJ11" s="28">
        <f t="shared" ref="BJ11:BM11" si="17">if(U11&lt;0,1+BE10,0)</f>
        <v>0</v>
      </c>
      <c r="BK11" s="28">
        <f t="shared" si="17"/>
        <v>1</v>
      </c>
      <c r="BL11" s="28">
        <f t="shared" si="17"/>
        <v>0</v>
      </c>
      <c r="BM11" s="28">
        <f t="shared" si="17"/>
        <v>1</v>
      </c>
      <c r="BO11" s="74">
        <f t="shared" ref="BO11:BR11" si="18">if(U11&gt;0,U11+BO10,0)</f>
        <v>48</v>
      </c>
      <c r="BP11" s="74">
        <f t="shared" si="18"/>
        <v>0</v>
      </c>
      <c r="BQ11" s="74">
        <f t="shared" si="18"/>
        <v>48</v>
      </c>
      <c r="BR11" s="74">
        <f t="shared" si="18"/>
        <v>0</v>
      </c>
      <c r="BT11" s="28">
        <f t="shared" ref="BT11:BW11" si="19">if(U11&lt;0,U11+BT10,0)</f>
        <v>0</v>
      </c>
      <c r="BU11" s="28">
        <f t="shared" si="19"/>
        <v>-48</v>
      </c>
      <c r="BV11" s="28">
        <f t="shared" si="19"/>
        <v>0</v>
      </c>
      <c r="BW11" s="28">
        <f t="shared" si="19"/>
        <v>-48</v>
      </c>
      <c r="BX11" s="32"/>
      <c r="BY11" s="27">
        <v>8.0</v>
      </c>
    </row>
    <row r="12">
      <c r="A12" s="53">
        <v>8.0</v>
      </c>
      <c r="B12" s="28">
        <f>'08_3-11-2018'!A4</f>
        <v>2</v>
      </c>
      <c r="C12" s="75">
        <f>'08_3-11-2018'!B4</f>
        <v>60</v>
      </c>
      <c r="D12" s="28">
        <f>'08_3-11-2018'!D4</f>
        <v>-60</v>
      </c>
      <c r="E12" s="28">
        <f>'08_3-11-2018'!C4</f>
        <v>36</v>
      </c>
      <c r="F12" s="28">
        <f>'08_3-11-2018'!E4</f>
        <v>-36</v>
      </c>
      <c r="G12" s="28">
        <f>'08_3-11-2018'!F4</f>
        <v>0</v>
      </c>
      <c r="H12" s="28" t="str">
        <f>'08_3-11-2018'!G4</f>
        <v>Janus</v>
      </c>
      <c r="J12" s="76" t="str">
        <f>'08_3-11-2018'!H4</f>
        <v>Thomas</v>
      </c>
      <c r="K12" s="28" t="str">
        <f>'08_3-11-2018'!I4</f>
        <v/>
      </c>
      <c r="L12" s="56"/>
      <c r="T12" s="56"/>
      <c r="U12" s="77">
        <f t="shared" ref="U12:X12" si="20">C12-C11</f>
        <v>12</v>
      </c>
      <c r="V12" s="28">
        <f t="shared" si="20"/>
        <v>-12</v>
      </c>
      <c r="W12" s="28">
        <f t="shared" si="20"/>
        <v>-12</v>
      </c>
      <c r="X12" s="28">
        <f t="shared" si="20"/>
        <v>12</v>
      </c>
      <c r="AB12" s="28" t="str">
        <f t="shared" ref="AB12:AE12" si="21">IF(AB$3=$H12,U12,"")</f>
        <v/>
      </c>
      <c r="AC12" s="28" t="str">
        <f t="shared" si="21"/>
        <v/>
      </c>
      <c r="AD12" s="28">
        <f t="shared" si="21"/>
        <v>-12</v>
      </c>
      <c r="AE12" s="28" t="str">
        <f t="shared" si="21"/>
        <v/>
      </c>
      <c r="AH12" s="28">
        <f t="shared" si="22"/>
        <v>0</v>
      </c>
      <c r="AI12" s="28">
        <f t="shared" si="23"/>
        <v>-12</v>
      </c>
      <c r="AK12" s="78" t="str">
        <f t="shared" ref="AK12:AN12" si="24">IF(U12&gt;0,AK$3,"")</f>
        <v>Thomas</v>
      </c>
      <c r="AL12" s="78" t="str">
        <f t="shared" si="24"/>
        <v/>
      </c>
      <c r="AM12" s="78" t="str">
        <f t="shared" si="24"/>
        <v/>
      </c>
      <c r="AN12" s="78" t="str">
        <f t="shared" si="24"/>
        <v>Christian</v>
      </c>
      <c r="AO12" s="56">
        <f t="shared" si="25"/>
        <v>2</v>
      </c>
      <c r="AP12" s="8" t="str">
        <f t="shared" si="26"/>
        <v>Janus</v>
      </c>
      <c r="AQ12" s="73" t="str">
        <f>IFERROR(__xludf.DUMMYFUNCTION("IFNA(QUERY(transpose(AY12:BB12),""Select Col1 where Col1 is not null limit 1"",0))"),"Peter")</f>
        <v>Peter</v>
      </c>
      <c r="AR12" s="56"/>
      <c r="AS12" s="28" t="str">
        <f t="shared" ref="AS12:AV12" si="27">IF(AK12=AS$3,"",AS$3)</f>
        <v/>
      </c>
      <c r="AT12" s="28" t="str">
        <f t="shared" si="27"/>
        <v>Peter</v>
      </c>
      <c r="AU12" s="28" t="str">
        <f t="shared" si="27"/>
        <v>Janus</v>
      </c>
      <c r="AV12" s="28" t="str">
        <f t="shared" si="27"/>
        <v/>
      </c>
      <c r="AW12" s="56">
        <f t="shared" si="28"/>
        <v>2</v>
      </c>
      <c r="AX12" s="28">
        <f t="shared" si="29"/>
        <v>-12</v>
      </c>
      <c r="AY12" s="28" t="str">
        <f t="shared" ref="AY12:BB12" si="30">IFNA(IFS(AY$3=$AP12,"",$AX12=U12,AY$3),"")</f>
        <v/>
      </c>
      <c r="AZ12" s="28" t="str">
        <f t="shared" si="30"/>
        <v>Peter</v>
      </c>
      <c r="BA12" s="28" t="str">
        <f t="shared" si="30"/>
        <v/>
      </c>
      <c r="BB12" s="28" t="str">
        <f t="shared" si="30"/>
        <v/>
      </c>
      <c r="BC12" s="58">
        <f>OFFSET('00_Regnskab_01'!$A$1,MATCH(A12,'00_Regnskab_01'!$A$1:$A$25)-1,2)</f>
        <v>43407</v>
      </c>
      <c r="BD12" s="79"/>
      <c r="BE12" s="80">
        <f t="shared" ref="BE12:BH12" si="31">if(U12&gt;0,1+BE11,0)</f>
        <v>2</v>
      </c>
      <c r="BF12" s="28">
        <f t="shared" si="31"/>
        <v>0</v>
      </c>
      <c r="BG12" s="28">
        <f t="shared" si="31"/>
        <v>0</v>
      </c>
      <c r="BH12" s="28">
        <f t="shared" si="31"/>
        <v>1</v>
      </c>
      <c r="BJ12" s="28">
        <f t="shared" ref="BJ12:BM12" si="32">if(U12&lt;0,1+BJ11,0)</f>
        <v>0</v>
      </c>
      <c r="BK12" s="28">
        <f t="shared" si="32"/>
        <v>2</v>
      </c>
      <c r="BL12" s="28">
        <f t="shared" si="32"/>
        <v>1</v>
      </c>
      <c r="BM12" s="28">
        <f t="shared" si="32"/>
        <v>0</v>
      </c>
      <c r="BO12" s="74">
        <f t="shared" ref="BO12:BR12" si="33">if(U12&gt;0,U12+BO11,0)</f>
        <v>60</v>
      </c>
      <c r="BP12" s="74">
        <f t="shared" si="33"/>
        <v>0</v>
      </c>
      <c r="BQ12" s="74">
        <f t="shared" si="33"/>
        <v>0</v>
      </c>
      <c r="BR12" s="74">
        <f t="shared" si="33"/>
        <v>12</v>
      </c>
      <c r="BT12" s="28">
        <f t="shared" ref="BT12:BW12" si="34">if(U12&lt;0,U12+BT11,0)</f>
        <v>0</v>
      </c>
      <c r="BU12" s="28">
        <f t="shared" si="34"/>
        <v>-60</v>
      </c>
      <c r="BV12" s="28">
        <f t="shared" si="34"/>
        <v>-12</v>
      </c>
      <c r="BW12" s="28">
        <f t="shared" si="34"/>
        <v>0</v>
      </c>
      <c r="BY12" s="80">
        <v>9.0</v>
      </c>
    </row>
    <row r="13">
      <c r="A13" s="53">
        <v>8.0</v>
      </c>
      <c r="B13" s="28">
        <f>'08_3-11-2018'!A5</f>
        <v>3</v>
      </c>
      <c r="C13" s="75">
        <f>'08_3-11-2018'!B5</f>
        <v>76</v>
      </c>
      <c r="D13" s="28">
        <f>'08_3-11-2018'!D5</f>
        <v>-108</v>
      </c>
      <c r="E13" s="28">
        <f>'08_3-11-2018'!C5</f>
        <v>52</v>
      </c>
      <c r="F13" s="28">
        <f>'08_3-11-2018'!E5</f>
        <v>-20</v>
      </c>
      <c r="G13" s="28">
        <f>'08_3-11-2018'!F5</f>
        <v>0</v>
      </c>
      <c r="H13" s="28" t="str">
        <f>'08_3-11-2018'!G5</f>
        <v>Peter</v>
      </c>
      <c r="J13" s="76" t="str">
        <f>'08_3-11-2018'!H5</f>
        <v>Janus</v>
      </c>
      <c r="K13" s="28" t="str">
        <f>'08_3-11-2018'!I5</f>
        <v/>
      </c>
      <c r="L13" s="56"/>
      <c r="T13" s="56"/>
      <c r="U13" s="77">
        <f t="shared" ref="U13:X13" si="35">C13-C12</f>
        <v>16</v>
      </c>
      <c r="V13" s="28">
        <f t="shared" si="35"/>
        <v>-48</v>
      </c>
      <c r="W13" s="28">
        <f t="shared" si="35"/>
        <v>16</v>
      </c>
      <c r="X13" s="28">
        <f t="shared" si="35"/>
        <v>16</v>
      </c>
      <c r="AB13" s="28" t="str">
        <f t="shared" ref="AB13:AE13" si="36">IF(AB$3=$H13,U13,"")</f>
        <v/>
      </c>
      <c r="AC13" s="28">
        <f t="shared" si="36"/>
        <v>-48</v>
      </c>
      <c r="AD13" s="28" t="str">
        <f t="shared" si="36"/>
        <v/>
      </c>
      <c r="AE13" s="28" t="str">
        <f t="shared" si="36"/>
        <v/>
      </c>
      <c r="AH13" s="28">
        <f t="shared" si="22"/>
        <v>0</v>
      </c>
      <c r="AI13" s="28">
        <f t="shared" si="23"/>
        <v>-48</v>
      </c>
      <c r="AK13" s="78" t="str">
        <f t="shared" ref="AK13:AN13" si="37">IF(U13&gt;0,AK$3,"")</f>
        <v>Thomas</v>
      </c>
      <c r="AL13" s="78" t="str">
        <f t="shared" si="37"/>
        <v/>
      </c>
      <c r="AM13" s="78" t="str">
        <f t="shared" si="37"/>
        <v>Janus</v>
      </c>
      <c r="AN13" s="78" t="str">
        <f t="shared" si="37"/>
        <v>Christian</v>
      </c>
      <c r="AO13" s="56">
        <f t="shared" si="25"/>
        <v>3</v>
      </c>
      <c r="AP13" s="8" t="str">
        <f t="shared" si="26"/>
        <v>Peter</v>
      </c>
      <c r="AQ13" s="73" t="str">
        <f>IFERROR(__xludf.DUMMYFUNCTION("IFNA(QUERY(transpose(AY13:BB13),""Select Col1 where Col1 is not null limit 1"",0))"),"")</f>
        <v/>
      </c>
      <c r="AR13" s="56"/>
      <c r="AS13" s="28" t="str">
        <f t="shared" ref="AS13:AV13" si="38">IF(AK13=AS$3,"",AS$3)</f>
        <v/>
      </c>
      <c r="AT13" s="28" t="str">
        <f t="shared" si="38"/>
        <v>Peter</v>
      </c>
      <c r="AU13" s="28" t="str">
        <f t="shared" si="38"/>
        <v/>
      </c>
      <c r="AV13" s="28" t="str">
        <f t="shared" si="38"/>
        <v/>
      </c>
      <c r="AW13" s="56">
        <f t="shared" si="28"/>
        <v>1</v>
      </c>
      <c r="AX13" s="28">
        <f t="shared" si="29"/>
        <v>-48</v>
      </c>
      <c r="AY13" s="28" t="str">
        <f t="shared" ref="AY13:BB13" si="39">IFNA(IFS(AY$3=$AP13,"",$AX13=U13,AY$3),"")</f>
        <v/>
      </c>
      <c r="AZ13" s="28" t="str">
        <f t="shared" si="39"/>
        <v/>
      </c>
      <c r="BA13" s="28" t="str">
        <f t="shared" si="39"/>
        <v/>
      </c>
      <c r="BB13" s="28" t="str">
        <f t="shared" si="39"/>
        <v/>
      </c>
      <c r="BC13" s="58">
        <f>OFFSET('00_Regnskab_01'!$A$1,MATCH(A13,'00_Regnskab_01'!$A$1:$A$25)-1,2)</f>
        <v>43407</v>
      </c>
      <c r="BD13" s="79"/>
      <c r="BE13" s="80">
        <f t="shared" ref="BE13:BH13" si="40">if(U13&gt;0,1+BE12,0)</f>
        <v>3</v>
      </c>
      <c r="BF13" s="28">
        <f t="shared" si="40"/>
        <v>0</v>
      </c>
      <c r="BG13" s="28">
        <f t="shared" si="40"/>
        <v>1</v>
      </c>
      <c r="BH13" s="28">
        <f t="shared" si="40"/>
        <v>2</v>
      </c>
      <c r="BJ13" s="28">
        <f t="shared" ref="BJ13:BM13" si="41">if(U13&lt;0,1+BJ12,0)</f>
        <v>0</v>
      </c>
      <c r="BK13" s="28">
        <f t="shared" si="41"/>
        <v>3</v>
      </c>
      <c r="BL13" s="28">
        <f t="shared" si="41"/>
        <v>0</v>
      </c>
      <c r="BM13" s="28">
        <f t="shared" si="41"/>
        <v>0</v>
      </c>
      <c r="BO13" s="74">
        <f t="shared" ref="BO13:BR13" si="42">if(U13&gt;0,U13+BO12,0)</f>
        <v>76</v>
      </c>
      <c r="BP13" s="74">
        <f t="shared" si="42"/>
        <v>0</v>
      </c>
      <c r="BQ13" s="74">
        <f t="shared" si="42"/>
        <v>16</v>
      </c>
      <c r="BR13" s="74">
        <f t="shared" si="42"/>
        <v>28</v>
      </c>
      <c r="BT13" s="28">
        <f t="shared" ref="BT13:BW13" si="43">if(U13&lt;0,U13+BT12,0)</f>
        <v>0</v>
      </c>
      <c r="BU13" s="28">
        <f t="shared" si="43"/>
        <v>-108</v>
      </c>
      <c r="BV13" s="28">
        <f t="shared" si="43"/>
        <v>0</v>
      </c>
      <c r="BW13" s="28">
        <f t="shared" si="43"/>
        <v>0</v>
      </c>
      <c r="BY13" s="80">
        <v>10.0</v>
      </c>
    </row>
    <row r="14">
      <c r="A14" s="53">
        <v>8.0</v>
      </c>
      <c r="B14" s="28">
        <f>'08_3-11-2018'!A6</f>
        <v>4</v>
      </c>
      <c r="C14" s="75">
        <f>'08_3-11-2018'!B6</f>
        <v>64</v>
      </c>
      <c r="D14" s="28">
        <f>'08_3-11-2018'!D6</f>
        <v>-96</v>
      </c>
      <c r="E14" s="28">
        <f>'08_3-11-2018'!C6</f>
        <v>64</v>
      </c>
      <c r="F14" s="28">
        <f>'08_3-11-2018'!E6</f>
        <v>-32</v>
      </c>
      <c r="G14" s="28">
        <f>'08_3-11-2018'!F6</f>
        <v>0</v>
      </c>
      <c r="H14" s="28" t="str">
        <f>'08_3-11-2018'!G6</f>
        <v>Janus</v>
      </c>
      <c r="J14" s="76" t="str">
        <f>'08_3-11-2018'!H6</f>
        <v>Peter</v>
      </c>
      <c r="K14" s="28" t="str">
        <f>'08_3-11-2018'!I6</f>
        <v/>
      </c>
      <c r="L14" s="56"/>
      <c r="T14" s="56"/>
      <c r="U14" s="77">
        <f t="shared" ref="U14:X14" si="44">C14-C13</f>
        <v>-12</v>
      </c>
      <c r="V14" s="28">
        <f t="shared" si="44"/>
        <v>12</v>
      </c>
      <c r="W14" s="28">
        <f t="shared" si="44"/>
        <v>12</v>
      </c>
      <c r="X14" s="28">
        <f t="shared" si="44"/>
        <v>-12</v>
      </c>
      <c r="AB14" s="28" t="str">
        <f t="shared" ref="AB14:AE14" si="45">IF(AB$3=$H14,U14,"")</f>
        <v/>
      </c>
      <c r="AC14" s="28" t="str">
        <f t="shared" si="45"/>
        <v/>
      </c>
      <c r="AD14" s="28">
        <f t="shared" si="45"/>
        <v>12</v>
      </c>
      <c r="AE14" s="28" t="str">
        <f t="shared" si="45"/>
        <v/>
      </c>
      <c r="AH14" s="28">
        <f t="shared" si="22"/>
        <v>12</v>
      </c>
      <c r="AI14" s="28">
        <f t="shared" si="23"/>
        <v>0</v>
      </c>
      <c r="AK14" s="78" t="str">
        <f t="shared" ref="AK14:AN14" si="46">IF(U14&gt;0,AK$3,"")</f>
        <v/>
      </c>
      <c r="AL14" s="78" t="str">
        <f t="shared" si="46"/>
        <v>Peter</v>
      </c>
      <c r="AM14" s="78" t="str">
        <f t="shared" si="46"/>
        <v>Janus</v>
      </c>
      <c r="AN14" s="78" t="str">
        <f t="shared" si="46"/>
        <v/>
      </c>
      <c r="AO14" s="56">
        <f t="shared" si="25"/>
        <v>2</v>
      </c>
      <c r="AP14" s="8" t="str">
        <f t="shared" si="26"/>
        <v>Janus</v>
      </c>
      <c r="AQ14" s="73" t="str">
        <f>IFERROR(__xludf.DUMMYFUNCTION("IFNA(QUERY(transpose(AY14:BB14),""Select Col1 where Col1 is not null limit 1"",0))"),"Peter")</f>
        <v>Peter</v>
      </c>
      <c r="AR14" s="56"/>
      <c r="AS14" s="28" t="str">
        <f t="shared" ref="AS14:AV14" si="47">IF(AK14=AS$3,"",AS$3)</f>
        <v>Thomas</v>
      </c>
      <c r="AT14" s="28" t="str">
        <f t="shared" si="47"/>
        <v/>
      </c>
      <c r="AU14" s="28" t="str">
        <f t="shared" si="47"/>
        <v/>
      </c>
      <c r="AV14" s="28" t="str">
        <f t="shared" si="47"/>
        <v>Christian</v>
      </c>
      <c r="AW14" s="56">
        <f t="shared" si="28"/>
        <v>2</v>
      </c>
      <c r="AX14" s="28">
        <f t="shared" si="29"/>
        <v>12</v>
      </c>
      <c r="AY14" s="28" t="str">
        <f t="shared" ref="AY14:BB14" si="48">IFNA(IFS(AY$3=$AP14,"",$AX14=U14,AY$3),"")</f>
        <v/>
      </c>
      <c r="AZ14" s="28" t="str">
        <f t="shared" si="48"/>
        <v>Peter</v>
      </c>
      <c r="BA14" s="28" t="str">
        <f t="shared" si="48"/>
        <v/>
      </c>
      <c r="BB14" s="28" t="str">
        <f t="shared" si="48"/>
        <v/>
      </c>
      <c r="BC14" s="58">
        <f>OFFSET('00_Regnskab_01'!$A$1,MATCH(A14,'00_Regnskab_01'!$A$1:$A$25)-1,2)</f>
        <v>43407</v>
      </c>
      <c r="BD14" s="79"/>
      <c r="BE14" s="80">
        <f t="shared" ref="BE14:BH14" si="49">if(U14&gt;0,1+BE13,0)</f>
        <v>0</v>
      </c>
      <c r="BF14" s="28">
        <f t="shared" si="49"/>
        <v>1</v>
      </c>
      <c r="BG14" s="28">
        <f t="shared" si="49"/>
        <v>2</v>
      </c>
      <c r="BH14" s="28">
        <f t="shared" si="49"/>
        <v>0</v>
      </c>
      <c r="BJ14" s="28">
        <f t="shared" ref="BJ14:BM14" si="50">if(U14&lt;0,1+BJ13,0)</f>
        <v>1</v>
      </c>
      <c r="BK14" s="28">
        <f t="shared" si="50"/>
        <v>0</v>
      </c>
      <c r="BL14" s="28">
        <f t="shared" si="50"/>
        <v>0</v>
      </c>
      <c r="BM14" s="28">
        <f t="shared" si="50"/>
        <v>1</v>
      </c>
      <c r="BO14" s="74">
        <f t="shared" ref="BO14:BR14" si="51">if(U14&gt;0,U14+BO13,0)</f>
        <v>0</v>
      </c>
      <c r="BP14" s="74">
        <f t="shared" si="51"/>
        <v>12</v>
      </c>
      <c r="BQ14" s="74">
        <f t="shared" si="51"/>
        <v>28</v>
      </c>
      <c r="BR14" s="74">
        <f t="shared" si="51"/>
        <v>0</v>
      </c>
      <c r="BT14" s="28">
        <f t="shared" ref="BT14:BW14" si="52">if(U14&lt;0,U14+BT13,0)</f>
        <v>-12</v>
      </c>
      <c r="BU14" s="28">
        <f t="shared" si="52"/>
        <v>0</v>
      </c>
      <c r="BV14" s="28">
        <f t="shared" si="52"/>
        <v>0</v>
      </c>
      <c r="BW14" s="28">
        <f t="shared" si="52"/>
        <v>-12</v>
      </c>
      <c r="BY14" s="80">
        <v>11.0</v>
      </c>
    </row>
    <row r="15">
      <c r="A15" s="53">
        <v>8.0</v>
      </c>
      <c r="B15" s="28">
        <f>'08_3-11-2018'!A7</f>
        <v>5</v>
      </c>
      <c r="C15" s="75">
        <f>'08_3-11-2018'!B7</f>
        <v>48</v>
      </c>
      <c r="D15" s="28">
        <f>'08_3-11-2018'!D7</f>
        <v>-48</v>
      </c>
      <c r="E15" s="28">
        <f>'08_3-11-2018'!C7</f>
        <v>48</v>
      </c>
      <c r="F15" s="28">
        <f>'08_3-11-2018'!E7</f>
        <v>-48</v>
      </c>
      <c r="G15" s="28">
        <f>'08_3-11-2018'!F7</f>
        <v>0</v>
      </c>
      <c r="H15" s="28" t="str">
        <f>'08_3-11-2018'!G7</f>
        <v>Peter</v>
      </c>
      <c r="J15" s="76" t="str">
        <f>'08_3-11-2018'!H7</f>
        <v>Christian</v>
      </c>
      <c r="K15" s="28" t="str">
        <f>'08_3-11-2018'!I7</f>
        <v/>
      </c>
      <c r="L15" s="56"/>
      <c r="T15" s="56"/>
      <c r="U15" s="77">
        <f t="shared" ref="U15:X15" si="53">C15-C14</f>
        <v>-16</v>
      </c>
      <c r="V15" s="28">
        <f t="shared" si="53"/>
        <v>48</v>
      </c>
      <c r="W15" s="28">
        <f t="shared" si="53"/>
        <v>-16</v>
      </c>
      <c r="X15" s="28">
        <f t="shared" si="53"/>
        <v>-16</v>
      </c>
      <c r="AB15" s="28" t="str">
        <f t="shared" ref="AB15:AE15" si="54">IF(AB$3=$H15,U15,"")</f>
        <v/>
      </c>
      <c r="AC15" s="28">
        <f t="shared" si="54"/>
        <v>48</v>
      </c>
      <c r="AD15" s="28" t="str">
        <f t="shared" si="54"/>
        <v/>
      </c>
      <c r="AE15" s="28" t="str">
        <f t="shared" si="54"/>
        <v/>
      </c>
      <c r="AH15" s="28">
        <f t="shared" si="22"/>
        <v>48</v>
      </c>
      <c r="AI15" s="28">
        <f t="shared" si="23"/>
        <v>0</v>
      </c>
      <c r="AK15" s="78" t="str">
        <f t="shared" ref="AK15:AN15" si="55">IF(U15&gt;0,AK$3,"")</f>
        <v/>
      </c>
      <c r="AL15" s="78" t="str">
        <f t="shared" si="55"/>
        <v>Peter</v>
      </c>
      <c r="AM15" s="78" t="str">
        <f t="shared" si="55"/>
        <v/>
      </c>
      <c r="AN15" s="78" t="str">
        <f t="shared" si="55"/>
        <v/>
      </c>
      <c r="AO15" s="56">
        <f t="shared" si="25"/>
        <v>1</v>
      </c>
      <c r="AP15" s="8" t="str">
        <f t="shared" si="26"/>
        <v>Peter</v>
      </c>
      <c r="AQ15" s="73" t="str">
        <f>IFERROR(__xludf.DUMMYFUNCTION("IFNA(QUERY(transpose(AY15:BB15),""Select Col1 where Col1 is not null limit 1"",0))"),"")</f>
        <v/>
      </c>
      <c r="AR15" s="56"/>
      <c r="AS15" s="28" t="str">
        <f t="shared" ref="AS15:AV15" si="56">IF(AK15=AS$3,"",AS$3)</f>
        <v>Thomas</v>
      </c>
      <c r="AT15" s="28" t="str">
        <f t="shared" si="56"/>
        <v/>
      </c>
      <c r="AU15" s="28" t="str">
        <f t="shared" si="56"/>
        <v>Janus</v>
      </c>
      <c r="AV15" s="28" t="str">
        <f t="shared" si="56"/>
        <v>Christian</v>
      </c>
      <c r="AW15" s="56">
        <f t="shared" si="28"/>
        <v>3</v>
      </c>
      <c r="AX15" s="28">
        <f t="shared" si="29"/>
        <v>48</v>
      </c>
      <c r="AY15" s="28" t="str">
        <f t="shared" ref="AY15:BB15" si="57">IFNA(IFS(AY$3=$AP15,"",$AX15=U15,AY$3),"")</f>
        <v/>
      </c>
      <c r="AZ15" s="28" t="str">
        <f t="shared" si="57"/>
        <v/>
      </c>
      <c r="BA15" s="28" t="str">
        <f t="shared" si="57"/>
        <v/>
      </c>
      <c r="BB15" s="28" t="str">
        <f t="shared" si="57"/>
        <v/>
      </c>
      <c r="BC15" s="58">
        <f>OFFSET('00_Regnskab_01'!$A$1,MATCH(A15,'00_Regnskab_01'!$A$1:$A$25)-1,2)</f>
        <v>43407</v>
      </c>
      <c r="BD15" s="79"/>
      <c r="BE15" s="80">
        <f t="shared" ref="BE15:BH15" si="58">if(U15&gt;0,1+BE14,0)</f>
        <v>0</v>
      </c>
      <c r="BF15" s="28">
        <f t="shared" si="58"/>
        <v>2</v>
      </c>
      <c r="BG15" s="28">
        <f t="shared" si="58"/>
        <v>0</v>
      </c>
      <c r="BH15" s="28">
        <f t="shared" si="58"/>
        <v>0</v>
      </c>
      <c r="BJ15" s="28">
        <f t="shared" ref="BJ15:BM15" si="59">if(U15&lt;0,1+BJ14,0)</f>
        <v>2</v>
      </c>
      <c r="BK15" s="28">
        <f t="shared" si="59"/>
        <v>0</v>
      </c>
      <c r="BL15" s="28">
        <f t="shared" si="59"/>
        <v>1</v>
      </c>
      <c r="BM15" s="28">
        <f t="shared" si="59"/>
        <v>2</v>
      </c>
      <c r="BO15" s="74">
        <f t="shared" ref="BO15:BR15" si="60">if(U15&gt;0,U15+BO14,0)</f>
        <v>0</v>
      </c>
      <c r="BP15" s="74">
        <f t="shared" si="60"/>
        <v>60</v>
      </c>
      <c r="BQ15" s="74">
        <f t="shared" si="60"/>
        <v>0</v>
      </c>
      <c r="BR15" s="74">
        <f t="shared" si="60"/>
        <v>0</v>
      </c>
      <c r="BT15" s="28">
        <f t="shared" ref="BT15:BW15" si="61">if(U15&lt;0,U15+BT14,0)</f>
        <v>-28</v>
      </c>
      <c r="BU15" s="28">
        <f t="shared" si="61"/>
        <v>0</v>
      </c>
      <c r="BV15" s="28">
        <f t="shared" si="61"/>
        <v>-16</v>
      </c>
      <c r="BW15" s="28">
        <f t="shared" si="61"/>
        <v>-28</v>
      </c>
      <c r="BY15" s="80" t="s">
        <v>33</v>
      </c>
    </row>
    <row r="16">
      <c r="A16" s="53">
        <v>8.0</v>
      </c>
      <c r="B16" s="28">
        <f>'08_3-11-2018'!A8</f>
        <v>6</v>
      </c>
      <c r="C16" s="75">
        <f>'08_3-11-2018'!B8</f>
        <v>64</v>
      </c>
      <c r="D16" s="28">
        <f>'08_3-11-2018'!D8</f>
        <v>-96</v>
      </c>
      <c r="E16" s="28">
        <f>'08_3-11-2018'!C8</f>
        <v>64</v>
      </c>
      <c r="F16" s="28">
        <f>'08_3-11-2018'!E8</f>
        <v>-32</v>
      </c>
      <c r="G16" s="28">
        <f>'08_3-11-2018'!F8</f>
        <v>0</v>
      </c>
      <c r="H16" s="28" t="str">
        <f>'08_3-11-2018'!G8</f>
        <v>Peter</v>
      </c>
      <c r="J16" s="76" t="str">
        <f>'08_3-11-2018'!H8</f>
        <v>Thomas</v>
      </c>
      <c r="K16" s="28" t="str">
        <f>'08_3-11-2018'!I8</f>
        <v/>
      </c>
      <c r="L16" s="56"/>
      <c r="T16" s="56"/>
      <c r="U16" s="77">
        <f t="shared" ref="U16:X16" si="62">C16-C15</f>
        <v>16</v>
      </c>
      <c r="V16" s="28">
        <f t="shared" si="62"/>
        <v>-48</v>
      </c>
      <c r="W16" s="28">
        <f t="shared" si="62"/>
        <v>16</v>
      </c>
      <c r="X16" s="28">
        <f t="shared" si="62"/>
        <v>16</v>
      </c>
      <c r="AB16" s="28" t="str">
        <f t="shared" ref="AB16:AE16" si="63">IF(AB$3=$H16,U16,"")</f>
        <v/>
      </c>
      <c r="AC16" s="28">
        <f t="shared" si="63"/>
        <v>-48</v>
      </c>
      <c r="AD16" s="28" t="str">
        <f t="shared" si="63"/>
        <v/>
      </c>
      <c r="AE16" s="28" t="str">
        <f t="shared" si="63"/>
        <v/>
      </c>
      <c r="AH16" s="28">
        <f t="shared" si="22"/>
        <v>0</v>
      </c>
      <c r="AI16" s="28">
        <f t="shared" si="23"/>
        <v>-48</v>
      </c>
      <c r="AK16" s="78" t="str">
        <f t="shared" ref="AK16:AN16" si="64">IF(U16&gt;0,AK$3,"")</f>
        <v>Thomas</v>
      </c>
      <c r="AL16" s="78" t="str">
        <f t="shared" si="64"/>
        <v/>
      </c>
      <c r="AM16" s="78" t="str">
        <f t="shared" si="64"/>
        <v>Janus</v>
      </c>
      <c r="AN16" s="78" t="str">
        <f t="shared" si="64"/>
        <v>Christian</v>
      </c>
      <c r="AO16" s="56">
        <f t="shared" si="25"/>
        <v>3</v>
      </c>
      <c r="AP16" s="8" t="str">
        <f t="shared" si="26"/>
        <v>Peter</v>
      </c>
      <c r="AQ16" s="73" t="str">
        <f>IFERROR(__xludf.DUMMYFUNCTION("IFNA(QUERY(transpose(AY16:BB16),""Select Col1 where Col1 is not null limit 1"",0))"),"")</f>
        <v/>
      </c>
      <c r="AR16" s="56"/>
      <c r="AS16" s="28" t="str">
        <f t="shared" ref="AS16:AV16" si="65">IF(AK16=AS$3,"",AS$3)</f>
        <v/>
      </c>
      <c r="AT16" s="28" t="str">
        <f t="shared" si="65"/>
        <v>Peter</v>
      </c>
      <c r="AU16" s="28" t="str">
        <f t="shared" si="65"/>
        <v/>
      </c>
      <c r="AV16" s="28" t="str">
        <f t="shared" si="65"/>
        <v/>
      </c>
      <c r="AW16" s="56">
        <f t="shared" si="28"/>
        <v>1</v>
      </c>
      <c r="AX16" s="28">
        <f t="shared" si="29"/>
        <v>-48</v>
      </c>
      <c r="AY16" s="28" t="str">
        <f t="shared" ref="AY16:BB16" si="66">IFNA(IFS(AY$3=$AP16,"",$AX16=U16,AY$3),"")</f>
        <v/>
      </c>
      <c r="AZ16" s="28" t="str">
        <f t="shared" si="66"/>
        <v/>
      </c>
      <c r="BA16" s="28" t="str">
        <f t="shared" si="66"/>
        <v/>
      </c>
      <c r="BB16" s="28" t="str">
        <f t="shared" si="66"/>
        <v/>
      </c>
      <c r="BC16" s="58">
        <f>OFFSET('00_Regnskab_01'!$A$1,MATCH(A16,'00_Regnskab_01'!$A$1:$A$25)-1,2)</f>
        <v>43407</v>
      </c>
      <c r="BD16" s="79"/>
      <c r="BE16" s="80">
        <f t="shared" ref="BE16:BH16" si="67">if(U16&gt;0,1+BE15,0)</f>
        <v>1</v>
      </c>
      <c r="BF16" s="28">
        <f t="shared" si="67"/>
        <v>0</v>
      </c>
      <c r="BG16" s="28">
        <f t="shared" si="67"/>
        <v>1</v>
      </c>
      <c r="BH16" s="28">
        <f t="shared" si="67"/>
        <v>1</v>
      </c>
      <c r="BJ16" s="28">
        <f t="shared" ref="BJ16:BM16" si="68">if(U16&lt;0,1+BJ15,0)</f>
        <v>0</v>
      </c>
      <c r="BK16" s="28">
        <f t="shared" si="68"/>
        <v>1</v>
      </c>
      <c r="BL16" s="28">
        <f t="shared" si="68"/>
        <v>0</v>
      </c>
      <c r="BM16" s="28">
        <f t="shared" si="68"/>
        <v>0</v>
      </c>
      <c r="BO16" s="74">
        <f t="shared" ref="BO16:BR16" si="69">if(U16&gt;0,U16+BO15,0)</f>
        <v>16</v>
      </c>
      <c r="BP16" s="74">
        <f t="shared" si="69"/>
        <v>0</v>
      </c>
      <c r="BQ16" s="74">
        <f t="shared" si="69"/>
        <v>16</v>
      </c>
      <c r="BR16" s="74">
        <f t="shared" si="69"/>
        <v>16</v>
      </c>
      <c r="BT16" s="28">
        <f t="shared" ref="BT16:BW16" si="70">if(U16&lt;0,U16+BT15,0)</f>
        <v>0</v>
      </c>
      <c r="BU16" s="28">
        <f t="shared" si="70"/>
        <v>-48</v>
      </c>
      <c r="BV16" s="28">
        <f t="shared" si="70"/>
        <v>0</v>
      </c>
      <c r="BW16" s="28">
        <f t="shared" si="70"/>
        <v>0</v>
      </c>
      <c r="BY16" s="80" t="s">
        <v>36</v>
      </c>
    </row>
    <row r="17">
      <c r="A17" s="53">
        <v>8.0</v>
      </c>
      <c r="B17" s="28">
        <f>'08_3-11-2018'!A9</f>
        <v>7</v>
      </c>
      <c r="C17" s="75">
        <f>'08_3-11-2018'!B9</f>
        <v>-96</v>
      </c>
      <c r="D17" s="28">
        <f>'08_3-11-2018'!D9</f>
        <v>64</v>
      </c>
      <c r="E17" s="28">
        <f>'08_3-11-2018'!C9</f>
        <v>-96</v>
      </c>
      <c r="F17" s="28">
        <f>'08_3-11-2018'!E9</f>
        <v>128</v>
      </c>
      <c r="G17" s="28">
        <f>'08_3-11-2018'!F9</f>
        <v>0</v>
      </c>
      <c r="H17" s="28" t="str">
        <f>'08_3-11-2018'!G9</f>
        <v>Thomas</v>
      </c>
      <c r="I17" s="25" t="s">
        <v>9</v>
      </c>
      <c r="J17" s="76" t="str">
        <f>'08_3-11-2018'!H9</f>
        <v>Janus</v>
      </c>
      <c r="K17" s="28" t="str">
        <f>'08_3-11-2018'!I9</f>
        <v/>
      </c>
      <c r="L17" s="56"/>
      <c r="T17" s="56"/>
      <c r="U17" s="77">
        <f t="shared" ref="U17:X17" si="71">C17-C16</f>
        <v>-160</v>
      </c>
      <c r="V17" s="28">
        <f t="shared" si="71"/>
        <v>160</v>
      </c>
      <c r="W17" s="28">
        <f t="shared" si="71"/>
        <v>-160</v>
      </c>
      <c r="X17" s="28">
        <f t="shared" si="71"/>
        <v>160</v>
      </c>
      <c r="AB17" s="28">
        <f t="shared" ref="AB17:AE17" si="72">IF(AB$3=$H17,U17,"")</f>
        <v>-160</v>
      </c>
      <c r="AC17" s="28" t="str">
        <f t="shared" si="72"/>
        <v/>
      </c>
      <c r="AD17" s="28" t="str">
        <f t="shared" si="72"/>
        <v/>
      </c>
      <c r="AE17" s="28" t="str">
        <f t="shared" si="72"/>
        <v/>
      </c>
      <c r="AH17" s="28">
        <f t="shared" si="22"/>
        <v>0</v>
      </c>
      <c r="AI17" s="28">
        <f t="shared" si="23"/>
        <v>-160</v>
      </c>
      <c r="AK17" s="78" t="str">
        <f t="shared" ref="AK17:AN17" si="73">IF(U17&gt;0,AK$3,"")</f>
        <v/>
      </c>
      <c r="AL17" s="78" t="str">
        <f t="shared" si="73"/>
        <v>Peter</v>
      </c>
      <c r="AM17" s="78" t="str">
        <f t="shared" si="73"/>
        <v/>
      </c>
      <c r="AN17" s="78" t="str">
        <f t="shared" si="73"/>
        <v>Christian</v>
      </c>
      <c r="AO17" s="56">
        <f t="shared" si="25"/>
        <v>2</v>
      </c>
      <c r="AP17" s="8" t="str">
        <f t="shared" si="26"/>
        <v>Thomas</v>
      </c>
      <c r="AQ17" s="73" t="str">
        <f>IFERROR(__xludf.DUMMYFUNCTION("IFNA(QUERY(transpose(AY17:BB17),""Select Col1 where Col1 is not null limit 1"",0))"),"Janus")</f>
        <v>Janus</v>
      </c>
      <c r="AR17" s="56"/>
      <c r="AS17" s="28" t="str">
        <f t="shared" ref="AS17:AV17" si="74">IF(AK17=AS$3,"",AS$3)</f>
        <v>Thomas</v>
      </c>
      <c r="AT17" s="28" t="str">
        <f t="shared" si="74"/>
        <v/>
      </c>
      <c r="AU17" s="28" t="str">
        <f t="shared" si="74"/>
        <v>Janus</v>
      </c>
      <c r="AV17" s="28" t="str">
        <f t="shared" si="74"/>
        <v/>
      </c>
      <c r="AW17" s="56">
        <f t="shared" si="28"/>
        <v>2</v>
      </c>
      <c r="AX17" s="28">
        <f t="shared" si="29"/>
        <v>-160</v>
      </c>
      <c r="AY17" s="28" t="str">
        <f t="shared" ref="AY17:BB17" si="75">IFNA(IFS(AY$3=$AP17,"",$AX17=U17,AY$3),"")</f>
        <v/>
      </c>
      <c r="AZ17" s="28" t="str">
        <f t="shared" si="75"/>
        <v/>
      </c>
      <c r="BA17" s="28" t="str">
        <f t="shared" si="75"/>
        <v>Janus</v>
      </c>
      <c r="BB17" s="28" t="str">
        <f t="shared" si="75"/>
        <v/>
      </c>
      <c r="BC17" s="58">
        <f>OFFSET('00_Regnskab_01'!$A$1,MATCH(A17,'00_Regnskab_01'!$A$1:$A$25)-1,2)</f>
        <v>43407</v>
      </c>
      <c r="BE17" s="80">
        <f t="shared" ref="BE17:BH17" si="76">if(U17&gt;0,1+BE16,0)</f>
        <v>0</v>
      </c>
      <c r="BF17" s="28">
        <f t="shared" si="76"/>
        <v>1</v>
      </c>
      <c r="BG17" s="28">
        <f t="shared" si="76"/>
        <v>0</v>
      </c>
      <c r="BH17" s="28">
        <f t="shared" si="76"/>
        <v>2</v>
      </c>
      <c r="BJ17" s="28">
        <f t="shared" ref="BJ17:BM17" si="77">if(U17&lt;0,1+BJ16,0)</f>
        <v>1</v>
      </c>
      <c r="BK17" s="28">
        <f t="shared" si="77"/>
        <v>0</v>
      </c>
      <c r="BL17" s="28">
        <f t="shared" si="77"/>
        <v>1</v>
      </c>
      <c r="BM17" s="28">
        <f t="shared" si="77"/>
        <v>0</v>
      </c>
      <c r="BO17" s="74">
        <f t="shared" ref="BO17:BR17" si="78">if(U17&gt;0,U17+BO16,0)</f>
        <v>0</v>
      </c>
      <c r="BP17" s="74">
        <f t="shared" si="78"/>
        <v>160</v>
      </c>
      <c r="BQ17" s="74">
        <f t="shared" si="78"/>
        <v>0</v>
      </c>
      <c r="BR17" s="74">
        <f t="shared" si="78"/>
        <v>176</v>
      </c>
      <c r="BT17" s="28">
        <f t="shared" ref="BT17:BW17" si="79">if(U17&lt;0,U17+BT16,0)</f>
        <v>-160</v>
      </c>
      <c r="BU17" s="28">
        <f t="shared" si="79"/>
        <v>0</v>
      </c>
      <c r="BV17" s="28">
        <f t="shared" si="79"/>
        <v>-160</v>
      </c>
      <c r="BW17" s="28">
        <f t="shared" si="79"/>
        <v>0</v>
      </c>
      <c r="BY17" s="80">
        <v>13.0</v>
      </c>
    </row>
    <row r="18">
      <c r="A18" s="53">
        <v>8.0</v>
      </c>
      <c r="B18" s="28">
        <f>'08_3-11-2018'!A10</f>
        <v>8</v>
      </c>
      <c r="C18" s="75">
        <f>'08_3-11-2018'!B10</f>
        <v>-84</v>
      </c>
      <c r="D18" s="28">
        <f>'08_3-11-2018'!D10</f>
        <v>76</v>
      </c>
      <c r="E18" s="28">
        <f>'08_3-11-2018'!C10</f>
        <v>-108</v>
      </c>
      <c r="F18" s="28">
        <f>'08_3-11-2018'!E10</f>
        <v>116</v>
      </c>
      <c r="G18" s="28">
        <f>'08_3-11-2018'!F10</f>
        <v>0</v>
      </c>
      <c r="H18" s="28" t="str">
        <f>'08_3-11-2018'!G10</f>
        <v>Christian</v>
      </c>
      <c r="J18" s="76" t="str">
        <f>'08_3-11-2018'!H10</f>
        <v>Peter</v>
      </c>
      <c r="K18" s="28" t="str">
        <f>'08_3-11-2018'!I10</f>
        <v/>
      </c>
      <c r="L18" s="56"/>
      <c r="T18" s="56"/>
      <c r="U18" s="77">
        <f t="shared" ref="U18:X18" si="80">C18-C17</f>
        <v>12</v>
      </c>
      <c r="V18" s="28">
        <f t="shared" si="80"/>
        <v>12</v>
      </c>
      <c r="W18" s="28">
        <f t="shared" si="80"/>
        <v>-12</v>
      </c>
      <c r="X18" s="28">
        <f t="shared" si="80"/>
        <v>-12</v>
      </c>
      <c r="AB18" s="28" t="str">
        <f t="shared" ref="AB18:AE18" si="81">IF(AB$3=$H18,U18,"")</f>
        <v/>
      </c>
      <c r="AC18" s="28" t="str">
        <f t="shared" si="81"/>
        <v/>
      </c>
      <c r="AD18" s="28" t="str">
        <f t="shared" si="81"/>
        <v/>
      </c>
      <c r="AE18" s="28">
        <f t="shared" si="81"/>
        <v>-12</v>
      </c>
      <c r="AH18" s="28">
        <f t="shared" si="22"/>
        <v>0</v>
      </c>
      <c r="AI18" s="28">
        <f t="shared" si="23"/>
        <v>-12</v>
      </c>
      <c r="AK18" s="78" t="str">
        <f t="shared" ref="AK18:AN18" si="82">IF(U18&gt;0,AK$3,"")</f>
        <v>Thomas</v>
      </c>
      <c r="AL18" s="78" t="str">
        <f t="shared" si="82"/>
        <v>Peter</v>
      </c>
      <c r="AM18" s="78" t="str">
        <f t="shared" si="82"/>
        <v/>
      </c>
      <c r="AN18" s="78" t="str">
        <f t="shared" si="82"/>
        <v/>
      </c>
      <c r="AO18" s="56">
        <f t="shared" si="25"/>
        <v>2</v>
      </c>
      <c r="AP18" s="8" t="str">
        <f t="shared" si="26"/>
        <v>Christian</v>
      </c>
      <c r="AQ18" s="73" t="str">
        <f>IFERROR(__xludf.DUMMYFUNCTION("IFNA(QUERY(transpose(AY18:BB18),""Select Col1 where Col1 is not null limit 1"",0))"),"Janus")</f>
        <v>Janus</v>
      </c>
      <c r="AR18" s="56"/>
      <c r="AS18" s="28" t="str">
        <f t="shared" ref="AS18:AV18" si="83">IF(AK18=AS$3,"",AS$3)</f>
        <v/>
      </c>
      <c r="AT18" s="28" t="str">
        <f t="shared" si="83"/>
        <v/>
      </c>
      <c r="AU18" s="28" t="str">
        <f t="shared" si="83"/>
        <v>Janus</v>
      </c>
      <c r="AV18" s="28" t="str">
        <f t="shared" si="83"/>
        <v>Christian</v>
      </c>
      <c r="AW18" s="56">
        <f t="shared" si="28"/>
        <v>2</v>
      </c>
      <c r="AX18" s="28">
        <f t="shared" si="29"/>
        <v>-12</v>
      </c>
      <c r="AY18" s="28" t="str">
        <f t="shared" ref="AY18:BB18" si="84">IFNA(IFS(AY$3=$AP18,"",$AX18=U18,AY$3),"")</f>
        <v/>
      </c>
      <c r="AZ18" s="28" t="str">
        <f t="shared" si="84"/>
        <v/>
      </c>
      <c r="BA18" s="28" t="str">
        <f t="shared" si="84"/>
        <v>Janus</v>
      </c>
      <c r="BB18" s="28" t="str">
        <f t="shared" si="84"/>
        <v/>
      </c>
      <c r="BC18" s="58">
        <f>OFFSET('00_Regnskab_01'!$A$1,MATCH(A18,'00_Regnskab_01'!$A$1:$A$25)-1,2)</f>
        <v>43407</v>
      </c>
      <c r="BE18" s="80">
        <f t="shared" ref="BE18:BH18" si="85">if(U18&gt;0,1+BE17,0)</f>
        <v>1</v>
      </c>
      <c r="BF18" s="28">
        <f t="shared" si="85"/>
        <v>2</v>
      </c>
      <c r="BG18" s="28">
        <f t="shared" si="85"/>
        <v>0</v>
      </c>
      <c r="BH18" s="28">
        <f t="shared" si="85"/>
        <v>0</v>
      </c>
      <c r="BJ18" s="28">
        <f t="shared" ref="BJ18:BM18" si="86">if(U18&lt;0,1+BJ17,0)</f>
        <v>0</v>
      </c>
      <c r="BK18" s="28">
        <f t="shared" si="86"/>
        <v>0</v>
      </c>
      <c r="BL18" s="28">
        <f t="shared" si="86"/>
        <v>2</v>
      </c>
      <c r="BM18" s="28">
        <f t="shared" si="86"/>
        <v>1</v>
      </c>
      <c r="BO18" s="74">
        <f t="shared" ref="BO18:BR18" si="87">if(U18&gt;0,U18+BO17,0)</f>
        <v>12</v>
      </c>
      <c r="BP18" s="74">
        <f t="shared" si="87"/>
        <v>172</v>
      </c>
      <c r="BQ18" s="74">
        <f t="shared" si="87"/>
        <v>0</v>
      </c>
      <c r="BR18" s="74">
        <f t="shared" si="87"/>
        <v>0</v>
      </c>
      <c r="BT18" s="28">
        <f t="shared" ref="BT18:BW18" si="88">if(U18&lt;0,U18+BT17,0)</f>
        <v>0</v>
      </c>
      <c r="BU18" s="28">
        <f t="shared" si="88"/>
        <v>0</v>
      </c>
      <c r="BV18" s="28">
        <f t="shared" si="88"/>
        <v>-172</v>
      </c>
      <c r="BW18" s="28">
        <f t="shared" si="88"/>
        <v>-12</v>
      </c>
      <c r="BY18" s="80">
        <v>14.0</v>
      </c>
    </row>
    <row r="19">
      <c r="A19" s="53">
        <v>8.0</v>
      </c>
      <c r="B19" s="28">
        <f>'08_3-11-2018'!A11</f>
        <v>9</v>
      </c>
      <c r="C19" s="75">
        <f>'08_3-11-2018'!B11</f>
        <v>-148</v>
      </c>
      <c r="D19" s="28">
        <f>'08_3-11-2018'!D11</f>
        <v>12</v>
      </c>
      <c r="E19" s="28">
        <f>'08_3-11-2018'!C11</f>
        <v>-44</v>
      </c>
      <c r="F19" s="28">
        <f>'08_3-11-2018'!E11</f>
        <v>180</v>
      </c>
      <c r="G19" s="28">
        <f>'08_3-11-2018'!F11</f>
        <v>0</v>
      </c>
      <c r="H19" s="28" t="str">
        <f>'08_3-11-2018'!G11</f>
        <v>Peter</v>
      </c>
      <c r="J19" s="76" t="str">
        <f>'08_3-11-2018'!H11</f>
        <v>Christian</v>
      </c>
      <c r="K19" s="28" t="str">
        <f>'08_3-11-2018'!I11</f>
        <v/>
      </c>
      <c r="L19" s="56"/>
      <c r="T19" s="56"/>
      <c r="U19" s="77">
        <f t="shared" ref="U19:X19" si="89">C19-C18</f>
        <v>-64</v>
      </c>
      <c r="V19" s="28">
        <f t="shared" si="89"/>
        <v>-64</v>
      </c>
      <c r="W19" s="28">
        <f t="shared" si="89"/>
        <v>64</v>
      </c>
      <c r="X19" s="28">
        <f t="shared" si="89"/>
        <v>64</v>
      </c>
      <c r="AB19" s="28" t="str">
        <f t="shared" ref="AB19:AE19" si="90">IF(AB$3=$H19,U19,"")</f>
        <v/>
      </c>
      <c r="AC19" s="28">
        <f t="shared" si="90"/>
        <v>-64</v>
      </c>
      <c r="AD19" s="28" t="str">
        <f t="shared" si="90"/>
        <v/>
      </c>
      <c r="AE19" s="28" t="str">
        <f t="shared" si="90"/>
        <v/>
      </c>
      <c r="AH19" s="28">
        <f t="shared" si="22"/>
        <v>0</v>
      </c>
      <c r="AI19" s="28">
        <f t="shared" si="23"/>
        <v>-64</v>
      </c>
      <c r="AK19" s="78" t="str">
        <f t="shared" ref="AK19:AN19" si="91">IF(U19&gt;0,AK$3,"")</f>
        <v/>
      </c>
      <c r="AL19" s="78" t="str">
        <f t="shared" si="91"/>
        <v/>
      </c>
      <c r="AM19" s="78" t="str">
        <f t="shared" si="91"/>
        <v>Janus</v>
      </c>
      <c r="AN19" s="78" t="str">
        <f t="shared" si="91"/>
        <v>Christian</v>
      </c>
      <c r="AO19" s="56">
        <f t="shared" si="25"/>
        <v>2</v>
      </c>
      <c r="AP19" s="8" t="str">
        <f t="shared" si="26"/>
        <v>Peter</v>
      </c>
      <c r="AQ19" s="73" t="str">
        <f>IFERROR(__xludf.DUMMYFUNCTION("IFNA(QUERY(transpose(AY19:BB19),""Select Col1 where Col1 is not null limit 1"",0))"),"Thomas")</f>
        <v>Thomas</v>
      </c>
      <c r="AR19" s="56"/>
      <c r="AS19" s="28" t="str">
        <f t="shared" ref="AS19:AV19" si="92">IF(AK19=AS$3,"",AS$3)</f>
        <v>Thomas</v>
      </c>
      <c r="AT19" s="28" t="str">
        <f t="shared" si="92"/>
        <v>Peter</v>
      </c>
      <c r="AU19" s="28" t="str">
        <f t="shared" si="92"/>
        <v/>
      </c>
      <c r="AV19" s="28" t="str">
        <f t="shared" si="92"/>
        <v/>
      </c>
      <c r="AW19" s="56">
        <f t="shared" si="28"/>
        <v>2</v>
      </c>
      <c r="AX19" s="28">
        <f t="shared" si="29"/>
        <v>-64</v>
      </c>
      <c r="AY19" s="28" t="str">
        <f t="shared" ref="AY19:BB19" si="93">IFNA(IFS(AY$3=$AP19,"",$AX19=U19,AY$3),"")</f>
        <v>Thomas</v>
      </c>
      <c r="AZ19" s="28" t="str">
        <f t="shared" si="93"/>
        <v/>
      </c>
      <c r="BA19" s="28" t="str">
        <f t="shared" si="93"/>
        <v/>
      </c>
      <c r="BB19" s="28" t="str">
        <f t="shared" si="93"/>
        <v/>
      </c>
      <c r="BC19" s="58">
        <f>OFFSET('00_Regnskab_01'!$A$1,MATCH(A19,'00_Regnskab_01'!$A$1:$A$25)-1,2)</f>
        <v>43407</v>
      </c>
      <c r="BE19" s="80">
        <f t="shared" ref="BE19:BH19" si="94">if(U19&gt;0,1+BE18,0)</f>
        <v>0</v>
      </c>
      <c r="BF19" s="28">
        <f t="shared" si="94"/>
        <v>0</v>
      </c>
      <c r="BG19" s="28">
        <f t="shared" si="94"/>
        <v>1</v>
      </c>
      <c r="BH19" s="28">
        <f t="shared" si="94"/>
        <v>1</v>
      </c>
      <c r="BJ19" s="28">
        <f t="shared" ref="BJ19:BM19" si="95">if(U19&lt;0,1+BJ18,0)</f>
        <v>1</v>
      </c>
      <c r="BK19" s="28">
        <f t="shared" si="95"/>
        <v>1</v>
      </c>
      <c r="BL19" s="28">
        <f t="shared" si="95"/>
        <v>0</v>
      </c>
      <c r="BM19" s="28">
        <f t="shared" si="95"/>
        <v>0</v>
      </c>
      <c r="BO19" s="74">
        <f t="shared" ref="BO19:BR19" si="96">if(U19&gt;0,U19+BO18,0)</f>
        <v>0</v>
      </c>
      <c r="BP19" s="74">
        <f t="shared" si="96"/>
        <v>0</v>
      </c>
      <c r="BQ19" s="74">
        <f t="shared" si="96"/>
        <v>64</v>
      </c>
      <c r="BR19" s="74">
        <f t="shared" si="96"/>
        <v>64</v>
      </c>
      <c r="BT19" s="28">
        <f t="shared" ref="BT19:BW19" si="97">if(U19&lt;0,U19+BT18,0)</f>
        <v>-64</v>
      </c>
      <c r="BU19" s="28">
        <f t="shared" si="97"/>
        <v>-64</v>
      </c>
      <c r="BV19" s="28">
        <f t="shared" si="97"/>
        <v>0</v>
      </c>
      <c r="BW19" s="28">
        <f t="shared" si="97"/>
        <v>0</v>
      </c>
      <c r="BY19" s="80">
        <v>15.0</v>
      </c>
    </row>
    <row r="20">
      <c r="A20" s="53">
        <v>8.0</v>
      </c>
      <c r="B20" s="28">
        <f>'08_3-11-2018'!A12</f>
        <v>10</v>
      </c>
      <c r="C20" s="75">
        <f>'08_3-11-2018'!B12</f>
        <v>-84</v>
      </c>
      <c r="D20" s="28">
        <f>'08_3-11-2018'!D12</f>
        <v>-52</v>
      </c>
      <c r="E20" s="28">
        <f>'08_3-11-2018'!C12</f>
        <v>20</v>
      </c>
      <c r="F20" s="28">
        <f>'08_3-11-2018'!E12</f>
        <v>116</v>
      </c>
      <c r="G20" s="28">
        <f>'08_3-11-2018'!F12</f>
        <v>0</v>
      </c>
      <c r="H20" s="28" t="str">
        <f>'08_3-11-2018'!G12</f>
        <v>Thomas</v>
      </c>
      <c r="J20" s="76" t="str">
        <f>'08_3-11-2018'!H12</f>
        <v>Thomas</v>
      </c>
      <c r="K20" s="28" t="str">
        <f>'08_3-11-2018'!I12</f>
        <v/>
      </c>
      <c r="L20" s="56"/>
      <c r="T20" s="56"/>
      <c r="U20" s="77">
        <f t="shared" ref="U20:X20" si="98">C20-C19</f>
        <v>64</v>
      </c>
      <c r="V20" s="28">
        <f t="shared" si="98"/>
        <v>-64</v>
      </c>
      <c r="W20" s="28">
        <f t="shared" si="98"/>
        <v>64</v>
      </c>
      <c r="X20" s="28">
        <f t="shared" si="98"/>
        <v>-64</v>
      </c>
      <c r="AB20" s="28">
        <f t="shared" ref="AB20:AE20" si="99">IF(AB$3=$H20,U20,"")</f>
        <v>64</v>
      </c>
      <c r="AC20" s="28" t="str">
        <f t="shared" si="99"/>
        <v/>
      </c>
      <c r="AD20" s="28" t="str">
        <f t="shared" si="99"/>
        <v/>
      </c>
      <c r="AE20" s="28" t="str">
        <f t="shared" si="99"/>
        <v/>
      </c>
      <c r="AH20" s="28">
        <f t="shared" si="22"/>
        <v>64</v>
      </c>
      <c r="AI20" s="28">
        <f t="shared" si="23"/>
        <v>0</v>
      </c>
      <c r="AK20" s="78" t="str">
        <f t="shared" ref="AK20:AN20" si="100">IF(U20&gt;0,AK$3,"")</f>
        <v>Thomas</v>
      </c>
      <c r="AL20" s="78" t="str">
        <f t="shared" si="100"/>
        <v/>
      </c>
      <c r="AM20" s="78" t="str">
        <f t="shared" si="100"/>
        <v>Janus</v>
      </c>
      <c r="AN20" s="78" t="str">
        <f t="shared" si="100"/>
        <v/>
      </c>
      <c r="AO20" s="56">
        <f t="shared" si="25"/>
        <v>2</v>
      </c>
      <c r="AP20" s="8" t="str">
        <f t="shared" si="26"/>
        <v>Thomas</v>
      </c>
      <c r="AQ20" s="73" t="str">
        <f>IFERROR(__xludf.DUMMYFUNCTION("IFNA(QUERY(transpose(AY20:BB20),""Select Col1 where Col1 is not null limit 1"",0))"),"Janus")</f>
        <v>Janus</v>
      </c>
      <c r="AR20" s="56"/>
      <c r="AS20" s="28" t="str">
        <f t="shared" ref="AS20:AV20" si="101">IF(AK20=AS$3,"",AS$3)</f>
        <v/>
      </c>
      <c r="AT20" s="28" t="str">
        <f t="shared" si="101"/>
        <v>Peter</v>
      </c>
      <c r="AU20" s="28" t="str">
        <f t="shared" si="101"/>
        <v/>
      </c>
      <c r="AV20" s="28" t="str">
        <f t="shared" si="101"/>
        <v>Christian</v>
      </c>
      <c r="AW20" s="56">
        <f t="shared" si="28"/>
        <v>2</v>
      </c>
      <c r="AX20" s="28">
        <f t="shared" si="29"/>
        <v>64</v>
      </c>
      <c r="AY20" s="28" t="str">
        <f t="shared" ref="AY20:BB20" si="102">IFNA(IFS(AY$3=$AP20,"",$AX20=U20,AY$3),"")</f>
        <v/>
      </c>
      <c r="AZ20" s="28" t="str">
        <f t="shared" si="102"/>
        <v/>
      </c>
      <c r="BA20" s="28" t="str">
        <f t="shared" si="102"/>
        <v>Janus</v>
      </c>
      <c r="BB20" s="28" t="str">
        <f t="shared" si="102"/>
        <v/>
      </c>
      <c r="BC20" s="58">
        <f>OFFSET('00_Regnskab_01'!$A$1,MATCH(A20,'00_Regnskab_01'!$A$1:$A$25)-1,2)</f>
        <v>43407</v>
      </c>
      <c r="BE20" s="80">
        <f t="shared" ref="BE20:BH20" si="103">if(U20&gt;0,1+BE19,0)</f>
        <v>1</v>
      </c>
      <c r="BF20" s="28">
        <f t="shared" si="103"/>
        <v>0</v>
      </c>
      <c r="BG20" s="28">
        <f t="shared" si="103"/>
        <v>2</v>
      </c>
      <c r="BH20" s="28">
        <f t="shared" si="103"/>
        <v>0</v>
      </c>
      <c r="BJ20" s="28">
        <f t="shared" ref="BJ20:BM20" si="104">if(U20&lt;0,1+BJ19,0)</f>
        <v>0</v>
      </c>
      <c r="BK20" s="28">
        <f t="shared" si="104"/>
        <v>2</v>
      </c>
      <c r="BL20" s="28">
        <f t="shared" si="104"/>
        <v>0</v>
      </c>
      <c r="BM20" s="28">
        <f t="shared" si="104"/>
        <v>1</v>
      </c>
      <c r="BO20" s="74">
        <f t="shared" ref="BO20:BR20" si="105">if(U20&gt;0,U20+BO19,0)</f>
        <v>64</v>
      </c>
      <c r="BP20" s="74">
        <f t="shared" si="105"/>
        <v>0</v>
      </c>
      <c r="BQ20" s="74">
        <f t="shared" si="105"/>
        <v>128</v>
      </c>
      <c r="BR20" s="74">
        <f t="shared" si="105"/>
        <v>0</v>
      </c>
      <c r="BT20" s="28">
        <f t="shared" ref="BT20:BW20" si="106">if(U20&lt;0,U20+BT19,0)</f>
        <v>0</v>
      </c>
      <c r="BU20" s="28">
        <f t="shared" si="106"/>
        <v>-128</v>
      </c>
      <c r="BV20" s="28">
        <f t="shared" si="106"/>
        <v>0</v>
      </c>
      <c r="BW20" s="28">
        <f t="shared" si="106"/>
        <v>-64</v>
      </c>
      <c r="BY20" s="80">
        <v>16.0</v>
      </c>
    </row>
    <row r="21">
      <c r="A21" s="53">
        <v>8.0</v>
      </c>
      <c r="B21" s="28">
        <f>'08_3-11-2018'!A13</f>
        <v>11</v>
      </c>
      <c r="C21" s="75">
        <f>'08_3-11-2018'!B13</f>
        <v>-44</v>
      </c>
      <c r="D21" s="28">
        <f>'08_3-11-2018'!D13</f>
        <v>-12</v>
      </c>
      <c r="E21" s="28">
        <f>'08_3-11-2018'!C13</f>
        <v>-20</v>
      </c>
      <c r="F21" s="28">
        <f>'08_3-11-2018'!E13</f>
        <v>76</v>
      </c>
      <c r="G21" s="28">
        <f>'08_3-11-2018'!F13</f>
        <v>0</v>
      </c>
      <c r="H21" s="28" t="str">
        <f>'08_3-11-2018'!G13</f>
        <v>Thomas</v>
      </c>
      <c r="J21" s="76" t="str">
        <f>'08_3-11-2018'!H13</f>
        <v>Janus</v>
      </c>
      <c r="K21" s="28" t="str">
        <f>'08_3-11-2018'!I13</f>
        <v/>
      </c>
      <c r="L21" s="56"/>
      <c r="T21" s="56"/>
      <c r="U21" s="77">
        <f t="shared" ref="U21:X21" si="107">C21-C20</f>
        <v>40</v>
      </c>
      <c r="V21" s="28">
        <f t="shared" si="107"/>
        <v>40</v>
      </c>
      <c r="W21" s="28">
        <f t="shared" si="107"/>
        <v>-40</v>
      </c>
      <c r="X21" s="28">
        <f t="shared" si="107"/>
        <v>-40</v>
      </c>
      <c r="AB21" s="28">
        <f t="shared" ref="AB21:AE21" si="108">IF(AB$3=$H21,U21,"")</f>
        <v>40</v>
      </c>
      <c r="AC21" s="28" t="str">
        <f t="shared" si="108"/>
        <v/>
      </c>
      <c r="AD21" s="28" t="str">
        <f t="shared" si="108"/>
        <v/>
      </c>
      <c r="AE21" s="28" t="str">
        <f t="shared" si="108"/>
        <v/>
      </c>
      <c r="AH21" s="28">
        <f t="shared" si="22"/>
        <v>40</v>
      </c>
      <c r="AI21" s="28">
        <f t="shared" si="23"/>
        <v>0</v>
      </c>
      <c r="AK21" s="78" t="str">
        <f t="shared" ref="AK21:AN21" si="109">IF(U21&gt;0,AK$3,"")</f>
        <v>Thomas</v>
      </c>
      <c r="AL21" s="78" t="str">
        <f t="shared" si="109"/>
        <v>Peter</v>
      </c>
      <c r="AM21" s="78" t="str">
        <f t="shared" si="109"/>
        <v/>
      </c>
      <c r="AN21" s="78" t="str">
        <f t="shared" si="109"/>
        <v/>
      </c>
      <c r="AO21" s="56">
        <f t="shared" si="25"/>
        <v>2</v>
      </c>
      <c r="AP21" s="8" t="str">
        <f t="shared" si="26"/>
        <v>Thomas</v>
      </c>
      <c r="AQ21" s="73" t="str">
        <f>IFERROR(__xludf.DUMMYFUNCTION("IFNA(QUERY(transpose(AY21:BB21),""Select Col1 where Col1 is not null limit 1"",0))"),"Peter")</f>
        <v>Peter</v>
      </c>
      <c r="AR21" s="56"/>
      <c r="AS21" s="28" t="str">
        <f t="shared" ref="AS21:AV21" si="110">IF(AK21=AS$3,"",AS$3)</f>
        <v/>
      </c>
      <c r="AT21" s="28" t="str">
        <f t="shared" si="110"/>
        <v/>
      </c>
      <c r="AU21" s="28" t="str">
        <f t="shared" si="110"/>
        <v>Janus</v>
      </c>
      <c r="AV21" s="28" t="str">
        <f t="shared" si="110"/>
        <v>Christian</v>
      </c>
      <c r="AW21" s="56">
        <f t="shared" si="28"/>
        <v>2</v>
      </c>
      <c r="AX21" s="28">
        <f t="shared" si="29"/>
        <v>40</v>
      </c>
      <c r="AY21" s="28" t="str">
        <f t="shared" ref="AY21:BB21" si="111">IFNA(IFS(AY$3=$AP21,"",$AX21=U21,AY$3),"")</f>
        <v/>
      </c>
      <c r="AZ21" s="28" t="str">
        <f t="shared" si="111"/>
        <v>Peter</v>
      </c>
      <c r="BA21" s="28" t="str">
        <f t="shared" si="111"/>
        <v/>
      </c>
      <c r="BB21" s="28" t="str">
        <f t="shared" si="111"/>
        <v/>
      </c>
      <c r="BC21" s="58">
        <f>OFFSET('00_Regnskab_01'!$A$1,MATCH(A21,'00_Regnskab_01'!$A$1:$A$25)-1,2)</f>
        <v>43407</v>
      </c>
      <c r="BE21" s="80">
        <f t="shared" ref="BE21:BH21" si="112">if(U21&gt;0,1+BE20,0)</f>
        <v>2</v>
      </c>
      <c r="BF21" s="28">
        <f t="shared" si="112"/>
        <v>1</v>
      </c>
      <c r="BG21" s="28">
        <f t="shared" si="112"/>
        <v>0</v>
      </c>
      <c r="BH21" s="28">
        <f t="shared" si="112"/>
        <v>0</v>
      </c>
      <c r="BJ21" s="28">
        <f t="shared" ref="BJ21:BM21" si="113">if(U21&lt;0,1+BJ20,0)</f>
        <v>0</v>
      </c>
      <c r="BK21" s="28">
        <f t="shared" si="113"/>
        <v>0</v>
      </c>
      <c r="BL21" s="28">
        <f t="shared" si="113"/>
        <v>1</v>
      </c>
      <c r="BM21" s="28">
        <f t="shared" si="113"/>
        <v>2</v>
      </c>
      <c r="BO21" s="74">
        <f t="shared" ref="BO21:BR21" si="114">if(U21&gt;0,U21+BO20,0)</f>
        <v>104</v>
      </c>
      <c r="BP21" s="74">
        <f t="shared" si="114"/>
        <v>40</v>
      </c>
      <c r="BQ21" s="74">
        <f t="shared" si="114"/>
        <v>0</v>
      </c>
      <c r="BR21" s="74">
        <f t="shared" si="114"/>
        <v>0</v>
      </c>
      <c r="BT21" s="28">
        <f t="shared" ref="BT21:BW21" si="115">if(U21&lt;0,U21+BT20,0)</f>
        <v>0</v>
      </c>
      <c r="BU21" s="28">
        <f t="shared" si="115"/>
        <v>0</v>
      </c>
      <c r="BV21" s="28">
        <f t="shared" si="115"/>
        <v>-40</v>
      </c>
      <c r="BW21" s="28">
        <f t="shared" si="115"/>
        <v>-104</v>
      </c>
      <c r="BY21" s="80">
        <v>17.0</v>
      </c>
    </row>
    <row r="22">
      <c r="A22" s="53">
        <v>8.0</v>
      </c>
      <c r="B22" s="28">
        <f>'08_3-11-2018'!A14</f>
        <v>12</v>
      </c>
      <c r="C22" s="75">
        <f>'08_3-11-2018'!B14</f>
        <v>-20</v>
      </c>
      <c r="D22" s="28">
        <f>'08_3-11-2018'!D14</f>
        <v>-20</v>
      </c>
      <c r="E22" s="28">
        <f>'08_3-11-2018'!C14</f>
        <v>-28</v>
      </c>
      <c r="F22" s="28">
        <f>'08_3-11-2018'!E14</f>
        <v>68</v>
      </c>
      <c r="G22" s="28">
        <f>'08_3-11-2018'!F14</f>
        <v>0</v>
      </c>
      <c r="H22" s="28" t="str">
        <f>'08_3-11-2018'!G14</f>
        <v>Thomas</v>
      </c>
      <c r="J22" s="76" t="str">
        <f>'08_3-11-2018'!H14</f>
        <v>Peter</v>
      </c>
      <c r="K22" s="28" t="str">
        <f>'08_3-11-2018'!I14</f>
        <v/>
      </c>
      <c r="L22" s="56"/>
      <c r="T22" s="56"/>
      <c r="U22" s="77">
        <f t="shared" ref="U22:X22" si="116">C22-C21</f>
        <v>24</v>
      </c>
      <c r="V22" s="28">
        <f t="shared" si="116"/>
        <v>-8</v>
      </c>
      <c r="W22" s="28">
        <f t="shared" si="116"/>
        <v>-8</v>
      </c>
      <c r="X22" s="28">
        <f t="shared" si="116"/>
        <v>-8</v>
      </c>
      <c r="AB22" s="28">
        <f t="shared" ref="AB22:AE22" si="117">IF(AB$3=$H22,U22,"")</f>
        <v>24</v>
      </c>
      <c r="AC22" s="28" t="str">
        <f t="shared" si="117"/>
        <v/>
      </c>
      <c r="AD22" s="28" t="str">
        <f t="shared" si="117"/>
        <v/>
      </c>
      <c r="AE22" s="28" t="str">
        <f t="shared" si="117"/>
        <v/>
      </c>
      <c r="AH22" s="28">
        <f t="shared" si="22"/>
        <v>24</v>
      </c>
      <c r="AI22" s="28">
        <f t="shared" si="23"/>
        <v>0</v>
      </c>
      <c r="AK22" s="78" t="str">
        <f t="shared" ref="AK22:AN22" si="118">IF(U22&gt;0,AK$3,"")</f>
        <v>Thomas</v>
      </c>
      <c r="AL22" s="78" t="str">
        <f t="shared" si="118"/>
        <v/>
      </c>
      <c r="AM22" s="78" t="str">
        <f t="shared" si="118"/>
        <v/>
      </c>
      <c r="AN22" s="78" t="str">
        <f t="shared" si="118"/>
        <v/>
      </c>
      <c r="AO22" s="56">
        <f t="shared" si="25"/>
        <v>1</v>
      </c>
      <c r="AP22" s="8" t="str">
        <f t="shared" si="26"/>
        <v>Thomas</v>
      </c>
      <c r="AQ22" s="73" t="str">
        <f>IFERROR(__xludf.DUMMYFUNCTION("IFNA(QUERY(transpose(AY22:BB22),""Select Col1 where Col1 is not null limit 1"",0))"),"")</f>
        <v/>
      </c>
      <c r="AR22" s="56"/>
      <c r="AS22" s="28" t="str">
        <f t="shared" ref="AS22:AV22" si="119">IF(AK22=AS$3,"",AS$3)</f>
        <v/>
      </c>
      <c r="AT22" s="28" t="str">
        <f t="shared" si="119"/>
        <v>Peter</v>
      </c>
      <c r="AU22" s="28" t="str">
        <f t="shared" si="119"/>
        <v>Janus</v>
      </c>
      <c r="AV22" s="28" t="str">
        <f t="shared" si="119"/>
        <v>Christian</v>
      </c>
      <c r="AW22" s="56">
        <f t="shared" si="28"/>
        <v>3</v>
      </c>
      <c r="AX22" s="28">
        <f t="shared" si="29"/>
        <v>24</v>
      </c>
      <c r="AY22" s="28" t="str">
        <f t="shared" ref="AY22:BB22" si="120">IFNA(IFS(AY$3=$AP22,"",$AX22=U22,AY$3),"")</f>
        <v/>
      </c>
      <c r="AZ22" s="28" t="str">
        <f t="shared" si="120"/>
        <v/>
      </c>
      <c r="BA22" s="28" t="str">
        <f t="shared" si="120"/>
        <v/>
      </c>
      <c r="BB22" s="28" t="str">
        <f t="shared" si="120"/>
        <v/>
      </c>
      <c r="BC22" s="58">
        <f>OFFSET('00_Regnskab_01'!$A$1,MATCH(A22,'00_Regnskab_01'!$A$1:$A$25)-1,2)</f>
        <v>43407</v>
      </c>
      <c r="BE22" s="80">
        <f t="shared" ref="BE22:BH22" si="121">if(U22&gt;0,1+BE21,0)</f>
        <v>3</v>
      </c>
      <c r="BF22" s="28">
        <f t="shared" si="121"/>
        <v>0</v>
      </c>
      <c r="BG22" s="28">
        <f t="shared" si="121"/>
        <v>0</v>
      </c>
      <c r="BH22" s="28">
        <f t="shared" si="121"/>
        <v>0</v>
      </c>
      <c r="BJ22" s="28">
        <f t="shared" ref="BJ22:BM22" si="122">if(U22&lt;0,1+BJ21,0)</f>
        <v>0</v>
      </c>
      <c r="BK22" s="28">
        <f t="shared" si="122"/>
        <v>1</v>
      </c>
      <c r="BL22" s="28">
        <f t="shared" si="122"/>
        <v>2</v>
      </c>
      <c r="BM22" s="28">
        <f t="shared" si="122"/>
        <v>3</v>
      </c>
      <c r="BO22" s="74">
        <f t="shared" ref="BO22:BR22" si="123">if(U22&gt;0,U22+BO21,0)</f>
        <v>128</v>
      </c>
      <c r="BP22" s="74">
        <f t="shared" si="123"/>
        <v>0</v>
      </c>
      <c r="BQ22" s="74">
        <f t="shared" si="123"/>
        <v>0</v>
      </c>
      <c r="BR22" s="74">
        <f t="shared" si="123"/>
        <v>0</v>
      </c>
      <c r="BT22" s="28">
        <f t="shared" ref="BT22:BW22" si="124">if(U22&lt;0,U22+BT21,0)</f>
        <v>0</v>
      </c>
      <c r="BU22" s="28">
        <f t="shared" si="124"/>
        <v>-8</v>
      </c>
      <c r="BV22" s="28">
        <f t="shared" si="124"/>
        <v>-48</v>
      </c>
      <c r="BW22" s="28">
        <f t="shared" si="124"/>
        <v>-112</v>
      </c>
      <c r="BY22" s="80">
        <v>18.0</v>
      </c>
    </row>
    <row r="23">
      <c r="A23" s="53">
        <v>8.0</v>
      </c>
      <c r="B23" s="28">
        <f>'08_3-11-2018'!A15</f>
        <v>13</v>
      </c>
      <c r="C23" s="75">
        <f>'08_3-11-2018'!B15</f>
        <v>4</v>
      </c>
      <c r="D23" s="28">
        <f>'08_3-11-2018'!D15</f>
        <v>-28</v>
      </c>
      <c r="E23" s="28">
        <f>'08_3-11-2018'!C15</f>
        <v>-36</v>
      </c>
      <c r="F23" s="28">
        <f>'08_3-11-2018'!E15</f>
        <v>60</v>
      </c>
      <c r="G23" s="28">
        <f>'08_3-11-2018'!F15</f>
        <v>0</v>
      </c>
      <c r="H23" s="28" t="str">
        <f>'08_3-11-2018'!G15</f>
        <v>Thomas</v>
      </c>
      <c r="J23" s="76" t="str">
        <f>'08_3-11-2018'!H15</f>
        <v>Christian</v>
      </c>
      <c r="K23" s="28" t="str">
        <f>'08_3-11-2018'!I15</f>
        <v/>
      </c>
      <c r="L23" s="56"/>
      <c r="T23" s="56"/>
      <c r="U23" s="77">
        <f t="shared" ref="U23:X23" si="125">C23-C22</f>
        <v>24</v>
      </c>
      <c r="V23" s="28">
        <f t="shared" si="125"/>
        <v>-8</v>
      </c>
      <c r="W23" s="28">
        <f t="shared" si="125"/>
        <v>-8</v>
      </c>
      <c r="X23" s="28">
        <f t="shared" si="125"/>
        <v>-8</v>
      </c>
      <c r="AB23" s="28">
        <f t="shared" ref="AB23:AE23" si="126">IF(AB$3=$H23,U23,"")</f>
        <v>24</v>
      </c>
      <c r="AC23" s="28" t="str">
        <f t="shared" si="126"/>
        <v/>
      </c>
      <c r="AD23" s="28" t="str">
        <f t="shared" si="126"/>
        <v/>
      </c>
      <c r="AE23" s="28" t="str">
        <f t="shared" si="126"/>
        <v/>
      </c>
      <c r="AH23" s="28">
        <f t="shared" si="22"/>
        <v>24</v>
      </c>
      <c r="AI23" s="28">
        <f t="shared" si="23"/>
        <v>0</v>
      </c>
      <c r="AK23" s="78" t="str">
        <f t="shared" ref="AK23:AN23" si="127">IF(U23&gt;0,AK$3,"")</f>
        <v>Thomas</v>
      </c>
      <c r="AL23" s="78" t="str">
        <f t="shared" si="127"/>
        <v/>
      </c>
      <c r="AM23" s="78" t="str">
        <f t="shared" si="127"/>
        <v/>
      </c>
      <c r="AN23" s="78" t="str">
        <f t="shared" si="127"/>
        <v/>
      </c>
      <c r="AO23" s="56">
        <f t="shared" si="25"/>
        <v>1</v>
      </c>
      <c r="AP23" s="8" t="str">
        <f t="shared" si="26"/>
        <v>Thomas</v>
      </c>
      <c r="AQ23" s="73" t="str">
        <f>IFERROR(__xludf.DUMMYFUNCTION("IFNA(QUERY(transpose(AY23:BB23),""Select Col1 where Col1 is not null limit 1"",0))"),"")</f>
        <v/>
      </c>
      <c r="AR23" s="56"/>
      <c r="AS23" s="28" t="str">
        <f t="shared" ref="AS23:AV23" si="128">IF(AK23=AS$3,"",AS$3)</f>
        <v/>
      </c>
      <c r="AT23" s="28" t="str">
        <f t="shared" si="128"/>
        <v>Peter</v>
      </c>
      <c r="AU23" s="28" t="str">
        <f t="shared" si="128"/>
        <v>Janus</v>
      </c>
      <c r="AV23" s="28" t="str">
        <f t="shared" si="128"/>
        <v>Christian</v>
      </c>
      <c r="AW23" s="56">
        <f t="shared" si="28"/>
        <v>3</v>
      </c>
      <c r="AX23" s="28">
        <f t="shared" si="29"/>
        <v>24</v>
      </c>
      <c r="AY23" s="28" t="str">
        <f t="shared" ref="AY23:BB23" si="129">IFNA(IFS(AY$3=$AP23,"",$AX23=U23,AY$3),"")</f>
        <v/>
      </c>
      <c r="AZ23" s="28" t="str">
        <f t="shared" si="129"/>
        <v/>
      </c>
      <c r="BA23" s="28" t="str">
        <f t="shared" si="129"/>
        <v/>
      </c>
      <c r="BB23" s="28" t="str">
        <f t="shared" si="129"/>
        <v/>
      </c>
      <c r="BC23" s="58">
        <f>OFFSET('00_Regnskab_01'!$A$1,MATCH(A23,'00_Regnskab_01'!$A$1:$A$25)-1,2)</f>
        <v>43407</v>
      </c>
      <c r="BE23" s="80">
        <f t="shared" ref="BE23:BH23" si="130">if(U23&gt;0,1+BE22,0)</f>
        <v>4</v>
      </c>
      <c r="BF23" s="28">
        <f t="shared" si="130"/>
        <v>0</v>
      </c>
      <c r="BG23" s="28">
        <f t="shared" si="130"/>
        <v>0</v>
      </c>
      <c r="BH23" s="28">
        <f t="shared" si="130"/>
        <v>0</v>
      </c>
      <c r="BJ23" s="28">
        <f t="shared" ref="BJ23:BM23" si="131">if(U23&lt;0,1+BJ22,0)</f>
        <v>0</v>
      </c>
      <c r="BK23" s="28">
        <f t="shared" si="131"/>
        <v>2</v>
      </c>
      <c r="BL23" s="28">
        <f t="shared" si="131"/>
        <v>3</v>
      </c>
      <c r="BM23" s="28">
        <f t="shared" si="131"/>
        <v>4</v>
      </c>
      <c r="BO23" s="74">
        <f t="shared" ref="BO23:BR23" si="132">if(U23&gt;0,U23+BO22,0)</f>
        <v>152</v>
      </c>
      <c r="BP23" s="74">
        <f t="shared" si="132"/>
        <v>0</v>
      </c>
      <c r="BQ23" s="74">
        <f t="shared" si="132"/>
        <v>0</v>
      </c>
      <c r="BR23" s="74">
        <f t="shared" si="132"/>
        <v>0</v>
      </c>
      <c r="BT23" s="28">
        <f t="shared" ref="BT23:BW23" si="133">if(U23&lt;0,U23+BT22,0)</f>
        <v>0</v>
      </c>
      <c r="BU23" s="28">
        <f t="shared" si="133"/>
        <v>-16</v>
      </c>
      <c r="BV23" s="28">
        <f t="shared" si="133"/>
        <v>-56</v>
      </c>
      <c r="BW23" s="28">
        <f t="shared" si="133"/>
        <v>-120</v>
      </c>
      <c r="BY23" s="80">
        <v>19.0</v>
      </c>
    </row>
    <row r="24">
      <c r="A24" s="53">
        <v>8.0</v>
      </c>
      <c r="B24" s="28">
        <f>'08_3-11-2018'!A16</f>
        <v>14</v>
      </c>
      <c r="C24" s="75">
        <f>'08_3-11-2018'!B16</f>
        <v>-8</v>
      </c>
      <c r="D24" s="28">
        <f>'08_3-11-2018'!D16</f>
        <v>-40</v>
      </c>
      <c r="E24" s="28">
        <f>'08_3-11-2018'!C16</f>
        <v>-24</v>
      </c>
      <c r="F24" s="28">
        <f>'08_3-11-2018'!E16</f>
        <v>72</v>
      </c>
      <c r="G24" s="28">
        <f>'08_3-11-2018'!F16</f>
        <v>0</v>
      </c>
      <c r="H24" s="28" t="str">
        <f>'08_3-11-2018'!G16</f>
        <v>Janus</v>
      </c>
      <c r="J24" s="76" t="str">
        <f>'08_3-11-2018'!H16</f>
        <v>Thomas</v>
      </c>
      <c r="K24" s="28" t="str">
        <f>'08_3-11-2018'!I16</f>
        <v/>
      </c>
      <c r="L24" s="56"/>
      <c r="T24" s="56"/>
      <c r="U24" s="77">
        <f t="shared" ref="U24:X24" si="134">C24-C23</f>
        <v>-12</v>
      </c>
      <c r="V24" s="28">
        <f t="shared" si="134"/>
        <v>-12</v>
      </c>
      <c r="W24" s="28">
        <f t="shared" si="134"/>
        <v>12</v>
      </c>
      <c r="X24" s="28">
        <f t="shared" si="134"/>
        <v>12</v>
      </c>
      <c r="AB24" s="28" t="str">
        <f t="shared" ref="AB24:AE24" si="135">IF(AB$3=$H24,U24,"")</f>
        <v/>
      </c>
      <c r="AC24" s="28" t="str">
        <f t="shared" si="135"/>
        <v/>
      </c>
      <c r="AD24" s="28">
        <f t="shared" si="135"/>
        <v>12</v>
      </c>
      <c r="AE24" s="28" t="str">
        <f t="shared" si="135"/>
        <v/>
      </c>
      <c r="AH24" s="28">
        <f t="shared" si="22"/>
        <v>12</v>
      </c>
      <c r="AI24" s="28">
        <f t="shared" si="23"/>
        <v>0</v>
      </c>
      <c r="AK24" s="78" t="str">
        <f t="shared" ref="AK24:AN24" si="136">IF(U24&gt;0,AK$3,"")</f>
        <v/>
      </c>
      <c r="AL24" s="78" t="str">
        <f t="shared" si="136"/>
        <v/>
      </c>
      <c r="AM24" s="78" t="str">
        <f t="shared" si="136"/>
        <v>Janus</v>
      </c>
      <c r="AN24" s="78" t="str">
        <f t="shared" si="136"/>
        <v>Christian</v>
      </c>
      <c r="AO24" s="56">
        <f t="shared" si="25"/>
        <v>2</v>
      </c>
      <c r="AP24" s="8" t="str">
        <f t="shared" si="26"/>
        <v>Janus</v>
      </c>
      <c r="AQ24" s="73" t="str">
        <f>IFERROR(__xludf.DUMMYFUNCTION("IFNA(QUERY(transpose(AY24:BB24),""Select Col1 where Col1 is not null limit 1"",0))"),"Christian")</f>
        <v>Christian</v>
      </c>
      <c r="AR24" s="56"/>
      <c r="AS24" s="28" t="str">
        <f t="shared" ref="AS24:AV24" si="137">IF(AK24=AS$3,"",AS$3)</f>
        <v>Thomas</v>
      </c>
      <c r="AT24" s="28" t="str">
        <f t="shared" si="137"/>
        <v>Peter</v>
      </c>
      <c r="AU24" s="28" t="str">
        <f t="shared" si="137"/>
        <v/>
      </c>
      <c r="AV24" s="28" t="str">
        <f t="shared" si="137"/>
        <v/>
      </c>
      <c r="AW24" s="56">
        <f t="shared" si="28"/>
        <v>2</v>
      </c>
      <c r="AX24" s="28">
        <f t="shared" si="29"/>
        <v>12</v>
      </c>
      <c r="AY24" s="28" t="str">
        <f t="shared" ref="AY24:BB24" si="138">IFNA(IFS(AY$3=$AP24,"",$AX24=U24,AY$3),"")</f>
        <v/>
      </c>
      <c r="AZ24" s="28" t="str">
        <f t="shared" si="138"/>
        <v/>
      </c>
      <c r="BA24" s="28" t="str">
        <f t="shared" si="138"/>
        <v/>
      </c>
      <c r="BB24" s="28" t="str">
        <f t="shared" si="138"/>
        <v>Christian</v>
      </c>
      <c r="BC24" s="58">
        <f>OFFSET('00_Regnskab_01'!$A$1,MATCH(A24,'00_Regnskab_01'!$A$1:$A$25)-1,2)</f>
        <v>43407</v>
      </c>
      <c r="BE24" s="80">
        <f t="shared" ref="BE24:BH24" si="139">if(U24&gt;0,1+BE23,0)</f>
        <v>0</v>
      </c>
      <c r="BF24" s="28">
        <f t="shared" si="139"/>
        <v>0</v>
      </c>
      <c r="BG24" s="28">
        <f t="shared" si="139"/>
        <v>1</v>
      </c>
      <c r="BH24" s="28">
        <f t="shared" si="139"/>
        <v>1</v>
      </c>
      <c r="BJ24" s="28">
        <f t="shared" ref="BJ24:BM24" si="140">if(U24&lt;0,1+BJ23,0)</f>
        <v>1</v>
      </c>
      <c r="BK24" s="28">
        <f t="shared" si="140"/>
        <v>3</v>
      </c>
      <c r="BL24" s="28">
        <f t="shared" si="140"/>
        <v>0</v>
      </c>
      <c r="BM24" s="28">
        <f t="shared" si="140"/>
        <v>0</v>
      </c>
      <c r="BO24" s="74">
        <f t="shared" ref="BO24:BR24" si="141">if(U24&gt;0,U24+BO23,0)</f>
        <v>0</v>
      </c>
      <c r="BP24" s="74">
        <f t="shared" si="141"/>
        <v>0</v>
      </c>
      <c r="BQ24" s="74">
        <f t="shared" si="141"/>
        <v>12</v>
      </c>
      <c r="BR24" s="74">
        <f t="shared" si="141"/>
        <v>12</v>
      </c>
      <c r="BT24" s="28">
        <f t="shared" ref="BT24:BW24" si="142">if(U24&lt;0,U24+BT23,0)</f>
        <v>-12</v>
      </c>
      <c r="BU24" s="28">
        <f t="shared" si="142"/>
        <v>-28</v>
      </c>
      <c r="BV24" s="28">
        <f t="shared" si="142"/>
        <v>0</v>
      </c>
      <c r="BW24" s="28">
        <f t="shared" si="142"/>
        <v>0</v>
      </c>
      <c r="BY24" s="80">
        <v>20.0</v>
      </c>
    </row>
    <row r="25">
      <c r="A25" s="53">
        <v>8.0</v>
      </c>
      <c r="B25" s="28">
        <f>'08_3-11-2018'!A17</f>
        <v>15</v>
      </c>
      <c r="C25" s="75">
        <f>'08_3-11-2018'!B17</f>
        <v>12</v>
      </c>
      <c r="D25" s="28">
        <f>'08_3-11-2018'!D17</f>
        <v>-20</v>
      </c>
      <c r="E25" s="28">
        <f>'08_3-11-2018'!C17</f>
        <v>-4</v>
      </c>
      <c r="F25" s="28">
        <f>'08_3-11-2018'!E17</f>
        <v>12</v>
      </c>
      <c r="G25" s="28">
        <f>'08_3-11-2018'!F17</f>
        <v>0</v>
      </c>
      <c r="H25" s="28" t="str">
        <f>'08_3-11-2018'!G17</f>
        <v>Christian</v>
      </c>
      <c r="J25" s="76" t="str">
        <f>'08_3-11-2018'!H17</f>
        <v>Janus</v>
      </c>
      <c r="K25" s="28" t="str">
        <f>'08_3-11-2018'!I17</f>
        <v/>
      </c>
      <c r="L25" s="56"/>
      <c r="T25" s="56"/>
      <c r="U25" s="77">
        <f t="shared" ref="U25:X25" si="143">C25-C24</f>
        <v>20</v>
      </c>
      <c r="V25" s="28">
        <f t="shared" si="143"/>
        <v>20</v>
      </c>
      <c r="W25" s="28">
        <f t="shared" si="143"/>
        <v>20</v>
      </c>
      <c r="X25" s="28">
        <f t="shared" si="143"/>
        <v>-60</v>
      </c>
      <c r="AB25" s="28" t="str">
        <f t="shared" ref="AB25:AE25" si="144">IF(AB$3=$H25,U25,"")</f>
        <v/>
      </c>
      <c r="AC25" s="28" t="str">
        <f t="shared" si="144"/>
        <v/>
      </c>
      <c r="AD25" s="28" t="str">
        <f t="shared" si="144"/>
        <v/>
      </c>
      <c r="AE25" s="28">
        <f t="shared" si="144"/>
        <v>-60</v>
      </c>
      <c r="AH25" s="28">
        <f t="shared" si="22"/>
        <v>0</v>
      </c>
      <c r="AI25" s="28">
        <f t="shared" si="23"/>
        <v>-60</v>
      </c>
      <c r="AK25" s="78" t="str">
        <f t="shared" ref="AK25:AN25" si="145">IF(U25&gt;0,AK$3,"")</f>
        <v>Thomas</v>
      </c>
      <c r="AL25" s="78" t="str">
        <f t="shared" si="145"/>
        <v>Peter</v>
      </c>
      <c r="AM25" s="78" t="str">
        <f t="shared" si="145"/>
        <v>Janus</v>
      </c>
      <c r="AN25" s="78" t="str">
        <f t="shared" si="145"/>
        <v/>
      </c>
      <c r="AO25" s="56">
        <f t="shared" si="25"/>
        <v>3</v>
      </c>
      <c r="AP25" s="8" t="str">
        <f t="shared" si="26"/>
        <v>Christian</v>
      </c>
      <c r="AQ25" s="73" t="str">
        <f>IFERROR(__xludf.DUMMYFUNCTION("IFNA(QUERY(transpose(AY25:BB25),""Select Col1 where Col1 is not null limit 1"",0))"),"")</f>
        <v/>
      </c>
      <c r="AR25" s="56"/>
      <c r="AS25" s="28" t="str">
        <f t="shared" ref="AS25:AV25" si="146">IF(AK25=AS$3,"",AS$3)</f>
        <v/>
      </c>
      <c r="AT25" s="28" t="str">
        <f t="shared" si="146"/>
        <v/>
      </c>
      <c r="AU25" s="28" t="str">
        <f t="shared" si="146"/>
        <v/>
      </c>
      <c r="AV25" s="28" t="str">
        <f t="shared" si="146"/>
        <v>Christian</v>
      </c>
      <c r="AW25" s="56">
        <f t="shared" si="28"/>
        <v>1</v>
      </c>
      <c r="AX25" s="28">
        <f t="shared" si="29"/>
        <v>-60</v>
      </c>
      <c r="AY25" s="28" t="str">
        <f t="shared" ref="AY25:BB25" si="147">IFNA(IFS(AY$3=$AP25,"",$AX25=U25,AY$3),"")</f>
        <v/>
      </c>
      <c r="AZ25" s="28" t="str">
        <f t="shared" si="147"/>
        <v/>
      </c>
      <c r="BA25" s="28" t="str">
        <f t="shared" si="147"/>
        <v/>
      </c>
      <c r="BB25" s="28" t="str">
        <f t="shared" si="147"/>
        <v/>
      </c>
      <c r="BC25" s="58">
        <f>OFFSET('00_Regnskab_01'!$A$1,MATCH(A25,'00_Regnskab_01'!$A$1:$A$25)-1,2)</f>
        <v>43407</v>
      </c>
      <c r="BE25" s="80">
        <f t="shared" ref="BE25:BH25" si="148">if(U25&gt;0,1+BE24,0)</f>
        <v>1</v>
      </c>
      <c r="BF25" s="28">
        <f t="shared" si="148"/>
        <v>1</v>
      </c>
      <c r="BG25" s="28">
        <f t="shared" si="148"/>
        <v>2</v>
      </c>
      <c r="BH25" s="28">
        <f t="shared" si="148"/>
        <v>0</v>
      </c>
      <c r="BJ25" s="28">
        <f t="shared" ref="BJ25:BM25" si="149">if(U25&lt;0,1+BJ24,0)</f>
        <v>0</v>
      </c>
      <c r="BK25" s="28">
        <f t="shared" si="149"/>
        <v>0</v>
      </c>
      <c r="BL25" s="28">
        <f t="shared" si="149"/>
        <v>0</v>
      </c>
      <c r="BM25" s="28">
        <f t="shared" si="149"/>
        <v>1</v>
      </c>
      <c r="BO25" s="74">
        <f t="shared" ref="BO25:BR25" si="150">if(U25&gt;0,U25+BO24,0)</f>
        <v>20</v>
      </c>
      <c r="BP25" s="74">
        <f t="shared" si="150"/>
        <v>20</v>
      </c>
      <c r="BQ25" s="74">
        <f t="shared" si="150"/>
        <v>32</v>
      </c>
      <c r="BR25" s="74">
        <f t="shared" si="150"/>
        <v>0</v>
      </c>
      <c r="BT25" s="28">
        <f t="shared" ref="BT25:BW25" si="151">if(U25&lt;0,U25+BT24,0)</f>
        <v>0</v>
      </c>
      <c r="BU25" s="28">
        <f t="shared" si="151"/>
        <v>0</v>
      </c>
      <c r="BV25" s="28">
        <f t="shared" si="151"/>
        <v>0</v>
      </c>
      <c r="BW25" s="28">
        <f t="shared" si="151"/>
        <v>-60</v>
      </c>
      <c r="BY25" s="80">
        <v>21.0</v>
      </c>
    </row>
    <row r="26">
      <c r="A26" s="53">
        <v>8.0</v>
      </c>
      <c r="B26" s="28">
        <f>'08_3-11-2018'!A18</f>
        <v>16</v>
      </c>
      <c r="C26" s="75">
        <f>'08_3-11-2018'!B18</f>
        <v>20</v>
      </c>
      <c r="D26" s="28">
        <f>'08_3-11-2018'!D18</f>
        <v>-12</v>
      </c>
      <c r="E26" s="28">
        <f>'08_3-11-2018'!C18</f>
        <v>-12</v>
      </c>
      <c r="F26" s="28">
        <f>'08_3-11-2018'!E18</f>
        <v>4</v>
      </c>
      <c r="G26" s="28">
        <f>'08_3-11-2018'!F18</f>
        <v>0</v>
      </c>
      <c r="H26" s="28" t="str">
        <f>'08_3-11-2018'!G18</f>
        <v>Janus</v>
      </c>
      <c r="I26" s="25" t="s">
        <v>10</v>
      </c>
      <c r="J26" s="76" t="str">
        <f>'08_3-11-2018'!H18</f>
        <v>Peter</v>
      </c>
      <c r="K26" s="28" t="str">
        <f>'08_3-11-2018'!I18</f>
        <v>9 halve</v>
      </c>
      <c r="L26" s="56"/>
      <c r="M26" s="25">
        <v>9.0</v>
      </c>
      <c r="N26" s="25" t="s">
        <v>94</v>
      </c>
      <c r="T26" s="56"/>
      <c r="U26" s="77">
        <f t="shared" ref="U26:X26" si="152">C26-C25</f>
        <v>8</v>
      </c>
      <c r="V26" s="28">
        <f t="shared" si="152"/>
        <v>8</v>
      </c>
      <c r="W26" s="28">
        <f t="shared" si="152"/>
        <v>-8</v>
      </c>
      <c r="X26" s="28">
        <f t="shared" si="152"/>
        <v>-8</v>
      </c>
      <c r="AB26" s="28" t="str">
        <f t="shared" ref="AB26:AE26" si="153">IF(AB$3=$H26,U26,"")</f>
        <v/>
      </c>
      <c r="AC26" s="28" t="str">
        <f t="shared" si="153"/>
        <v/>
      </c>
      <c r="AD26" s="28">
        <f t="shared" si="153"/>
        <v>-8</v>
      </c>
      <c r="AE26" s="28" t="str">
        <f t="shared" si="153"/>
        <v/>
      </c>
      <c r="AH26" s="28">
        <f t="shared" si="22"/>
        <v>0</v>
      </c>
      <c r="AI26" s="28">
        <f t="shared" si="23"/>
        <v>-8</v>
      </c>
      <c r="AK26" s="78" t="str">
        <f t="shared" ref="AK26:AN26" si="154">IF(U26&gt;0,AK$3,"")</f>
        <v>Thomas</v>
      </c>
      <c r="AL26" s="78" t="str">
        <f t="shared" si="154"/>
        <v>Peter</v>
      </c>
      <c r="AM26" s="78" t="str">
        <f t="shared" si="154"/>
        <v/>
      </c>
      <c r="AN26" s="78" t="str">
        <f t="shared" si="154"/>
        <v/>
      </c>
      <c r="AO26" s="56">
        <f t="shared" si="25"/>
        <v>2</v>
      </c>
      <c r="AP26" s="8" t="str">
        <f t="shared" si="26"/>
        <v>Janus</v>
      </c>
      <c r="AQ26" s="73" t="str">
        <f>IFERROR(__xludf.DUMMYFUNCTION("IFNA(QUERY(transpose(AY26:BB26),""Select Col1 where Col1 is not null limit 1"",0))"),"Christian")</f>
        <v>Christian</v>
      </c>
      <c r="AR26" s="56"/>
      <c r="AS26" s="28" t="str">
        <f t="shared" ref="AS26:AV26" si="155">IF(AK26=AS$3,"",AS$3)</f>
        <v/>
      </c>
      <c r="AT26" s="28" t="str">
        <f t="shared" si="155"/>
        <v/>
      </c>
      <c r="AU26" s="28" t="str">
        <f t="shared" si="155"/>
        <v>Janus</v>
      </c>
      <c r="AV26" s="28" t="str">
        <f t="shared" si="155"/>
        <v>Christian</v>
      </c>
      <c r="AW26" s="56">
        <f t="shared" si="28"/>
        <v>2</v>
      </c>
      <c r="AX26" s="28">
        <f t="shared" si="29"/>
        <v>-8</v>
      </c>
      <c r="AY26" s="28" t="str">
        <f t="shared" ref="AY26:BB26" si="156">IFNA(IFS(AY$3=$AP26,"",$AX26=U26,AY$3),"")</f>
        <v/>
      </c>
      <c r="AZ26" s="28" t="str">
        <f t="shared" si="156"/>
        <v/>
      </c>
      <c r="BA26" s="28" t="str">
        <f t="shared" si="156"/>
        <v/>
      </c>
      <c r="BB26" s="28" t="str">
        <f t="shared" si="156"/>
        <v>Christian</v>
      </c>
      <c r="BC26" s="58">
        <f>OFFSET('00_Regnskab_01'!$A$1,MATCH(A26,'00_Regnskab_01'!$A$1:$A$25)-1,2)</f>
        <v>43407</v>
      </c>
      <c r="BE26" s="80">
        <f t="shared" ref="BE26:BH26" si="157">if(U26&gt;0,1+BE25,0)</f>
        <v>2</v>
      </c>
      <c r="BF26" s="28">
        <f t="shared" si="157"/>
        <v>2</v>
      </c>
      <c r="BG26" s="28">
        <f t="shared" si="157"/>
        <v>0</v>
      </c>
      <c r="BH26" s="28">
        <f t="shared" si="157"/>
        <v>0</v>
      </c>
      <c r="BJ26" s="28">
        <f t="shared" ref="BJ26:BM26" si="158">if(U26&lt;0,1+BJ25,0)</f>
        <v>0</v>
      </c>
      <c r="BK26" s="28">
        <f t="shared" si="158"/>
        <v>0</v>
      </c>
      <c r="BL26" s="28">
        <f t="shared" si="158"/>
        <v>1</v>
      </c>
      <c r="BM26" s="28">
        <f t="shared" si="158"/>
        <v>2</v>
      </c>
      <c r="BO26" s="74">
        <f t="shared" ref="BO26:BR26" si="159">if(U26&gt;0,U26+BO25,0)</f>
        <v>28</v>
      </c>
      <c r="BP26" s="74">
        <f t="shared" si="159"/>
        <v>28</v>
      </c>
      <c r="BQ26" s="74">
        <f t="shared" si="159"/>
        <v>0</v>
      </c>
      <c r="BR26" s="74">
        <f t="shared" si="159"/>
        <v>0</v>
      </c>
      <c r="BT26" s="28">
        <f t="shared" ref="BT26:BW26" si="160">if(U26&lt;0,U26+BT25,0)</f>
        <v>0</v>
      </c>
      <c r="BU26" s="28">
        <f t="shared" si="160"/>
        <v>0</v>
      </c>
      <c r="BV26" s="28">
        <f t="shared" si="160"/>
        <v>-8</v>
      </c>
      <c r="BW26" s="28">
        <f t="shared" si="160"/>
        <v>-68</v>
      </c>
      <c r="BY26" s="80">
        <v>22.0</v>
      </c>
    </row>
    <row r="27">
      <c r="A27" s="53">
        <v>8.0</v>
      </c>
      <c r="B27" s="28">
        <f>'08_3-11-2018'!A19</f>
        <v>17</v>
      </c>
      <c r="C27" s="75">
        <f>'08_3-11-2018'!B19</f>
        <v>-28</v>
      </c>
      <c r="D27" s="28">
        <f>'08_3-11-2018'!D19</f>
        <v>36</v>
      </c>
      <c r="E27" s="28">
        <f>'08_3-11-2018'!C19</f>
        <v>-60</v>
      </c>
      <c r="F27" s="28">
        <f>'08_3-11-2018'!E19</f>
        <v>52</v>
      </c>
      <c r="G27" s="28">
        <f>'08_3-11-2018'!F19</f>
        <v>0</v>
      </c>
      <c r="H27" s="28" t="str">
        <f>'08_3-11-2018'!G19</f>
        <v>Thomas</v>
      </c>
      <c r="J27" s="76" t="str">
        <f>'08_3-11-2018'!H19</f>
        <v>Christian</v>
      </c>
      <c r="K27" s="28" t="str">
        <f>'08_3-11-2018'!I19</f>
        <v>9 vip i 3.</v>
      </c>
      <c r="L27" s="56"/>
      <c r="M27" s="25">
        <v>9.0</v>
      </c>
      <c r="N27" s="25" t="s">
        <v>86</v>
      </c>
      <c r="O27" s="25">
        <v>3.0</v>
      </c>
      <c r="T27" s="56"/>
      <c r="U27" s="77">
        <f t="shared" ref="U27:X27" si="161">C27-C26</f>
        <v>-48</v>
      </c>
      <c r="V27" s="28">
        <f t="shared" si="161"/>
        <v>48</v>
      </c>
      <c r="W27" s="28">
        <f t="shared" si="161"/>
        <v>-48</v>
      </c>
      <c r="X27" s="28">
        <f t="shared" si="161"/>
        <v>48</v>
      </c>
      <c r="AB27" s="28">
        <f t="shared" ref="AB27:AE27" si="162">IF(AB$3=$H27,U27,"")</f>
        <v>-48</v>
      </c>
      <c r="AC27" s="28" t="str">
        <f t="shared" si="162"/>
        <v/>
      </c>
      <c r="AD27" s="28" t="str">
        <f t="shared" si="162"/>
        <v/>
      </c>
      <c r="AE27" s="28" t="str">
        <f t="shared" si="162"/>
        <v/>
      </c>
      <c r="AH27" s="28">
        <f t="shared" si="22"/>
        <v>0</v>
      </c>
      <c r="AI27" s="28">
        <f t="shared" si="23"/>
        <v>-48</v>
      </c>
      <c r="AK27" s="78" t="str">
        <f t="shared" ref="AK27:AN27" si="163">IF(U27&gt;0,AK$3,"")</f>
        <v/>
      </c>
      <c r="AL27" s="78" t="str">
        <f t="shared" si="163"/>
        <v>Peter</v>
      </c>
      <c r="AM27" s="78" t="str">
        <f t="shared" si="163"/>
        <v/>
      </c>
      <c r="AN27" s="78" t="str">
        <f t="shared" si="163"/>
        <v>Christian</v>
      </c>
      <c r="AO27" s="56">
        <f t="shared" si="25"/>
        <v>2</v>
      </c>
      <c r="AP27" s="8" t="str">
        <f t="shared" si="26"/>
        <v>Thomas</v>
      </c>
      <c r="AQ27" s="73" t="str">
        <f>IFERROR(__xludf.DUMMYFUNCTION("IFNA(QUERY(transpose(AY27:BB27),""Select Col1 where Col1 is not null limit 1"",0))"),"Janus")</f>
        <v>Janus</v>
      </c>
      <c r="AR27" s="56"/>
      <c r="AS27" s="28" t="str">
        <f t="shared" ref="AS27:AV27" si="164">IF(AK27=AS$3,"",AS$3)</f>
        <v>Thomas</v>
      </c>
      <c r="AT27" s="28" t="str">
        <f t="shared" si="164"/>
        <v/>
      </c>
      <c r="AU27" s="28" t="str">
        <f t="shared" si="164"/>
        <v>Janus</v>
      </c>
      <c r="AV27" s="28" t="str">
        <f t="shared" si="164"/>
        <v/>
      </c>
      <c r="AW27" s="56">
        <f t="shared" si="28"/>
        <v>2</v>
      </c>
      <c r="AX27" s="28">
        <f t="shared" si="29"/>
        <v>-48</v>
      </c>
      <c r="AY27" s="28" t="str">
        <f t="shared" ref="AY27:BB27" si="165">IFNA(IFS(AY$3=$AP27,"",$AX27=U27,AY$3),"")</f>
        <v/>
      </c>
      <c r="AZ27" s="28" t="str">
        <f t="shared" si="165"/>
        <v/>
      </c>
      <c r="BA27" s="28" t="str">
        <f t="shared" si="165"/>
        <v>Janus</v>
      </c>
      <c r="BB27" s="28" t="str">
        <f t="shared" si="165"/>
        <v/>
      </c>
      <c r="BC27" s="58">
        <f>OFFSET('00_Regnskab_01'!$A$1,MATCH(A27,'00_Regnskab_01'!$A$1:$A$25)-1,2)</f>
        <v>43407</v>
      </c>
      <c r="BE27" s="80">
        <f t="shared" ref="BE27:BH27" si="166">if(U27&gt;0,1+BE26,0)</f>
        <v>0</v>
      </c>
      <c r="BF27" s="28">
        <f t="shared" si="166"/>
        <v>3</v>
      </c>
      <c r="BG27" s="28">
        <f t="shared" si="166"/>
        <v>0</v>
      </c>
      <c r="BH27" s="28">
        <f t="shared" si="166"/>
        <v>1</v>
      </c>
      <c r="BJ27" s="28">
        <f t="shared" ref="BJ27:BM27" si="167">if(U27&lt;0,1+BJ26,0)</f>
        <v>1</v>
      </c>
      <c r="BK27" s="28">
        <f t="shared" si="167"/>
        <v>0</v>
      </c>
      <c r="BL27" s="28">
        <f t="shared" si="167"/>
        <v>2</v>
      </c>
      <c r="BM27" s="28">
        <f t="shared" si="167"/>
        <v>0</v>
      </c>
      <c r="BO27" s="74">
        <f t="shared" ref="BO27:BR27" si="168">if(U27&gt;0,U27+BO26,0)</f>
        <v>0</v>
      </c>
      <c r="BP27" s="74">
        <f t="shared" si="168"/>
        <v>76</v>
      </c>
      <c r="BQ27" s="74">
        <f t="shared" si="168"/>
        <v>0</v>
      </c>
      <c r="BR27" s="74">
        <f t="shared" si="168"/>
        <v>48</v>
      </c>
      <c r="BT27" s="28">
        <f t="shared" ref="BT27:BW27" si="169">if(U27&lt;0,U27+BT26,0)</f>
        <v>-48</v>
      </c>
      <c r="BU27" s="28">
        <f t="shared" si="169"/>
        <v>0</v>
      </c>
      <c r="BV27" s="28">
        <f t="shared" si="169"/>
        <v>-56</v>
      </c>
      <c r="BW27" s="28">
        <f t="shared" si="169"/>
        <v>0</v>
      </c>
      <c r="BY27" s="80">
        <v>23.0</v>
      </c>
    </row>
    <row r="28">
      <c r="A28" s="53">
        <v>8.0</v>
      </c>
      <c r="B28" s="28">
        <f>'08_3-11-2018'!A21</f>
        <v>18</v>
      </c>
      <c r="C28" s="75">
        <f>'08_3-11-2018'!B21</f>
        <v>-16</v>
      </c>
      <c r="D28" s="28">
        <f>'08_3-11-2018'!D21</f>
        <v>48</v>
      </c>
      <c r="E28" s="28">
        <f>'08_3-11-2018'!C21</f>
        <v>-72</v>
      </c>
      <c r="F28" s="28">
        <f>'08_3-11-2018'!E21</f>
        <v>40</v>
      </c>
      <c r="G28" s="28">
        <f>'08_3-11-2018'!F21</f>
        <v>0</v>
      </c>
      <c r="H28" s="28" t="str">
        <f>'08_3-11-2018'!G21</f>
        <v>Peter</v>
      </c>
      <c r="J28" s="76" t="str">
        <f>'08_3-11-2018'!H21</f>
        <v>Janus</v>
      </c>
      <c r="K28" s="28" t="str">
        <f>'08_3-11-2018'!I21</f>
        <v>9 gode</v>
      </c>
      <c r="L28" s="56"/>
      <c r="M28" s="25">
        <v>9.0</v>
      </c>
      <c r="N28" s="25" t="s">
        <v>95</v>
      </c>
      <c r="T28" s="56"/>
      <c r="U28" s="77">
        <f t="shared" ref="U28:X28" si="170">C28-C27</f>
        <v>12</v>
      </c>
      <c r="V28" s="28">
        <f t="shared" si="170"/>
        <v>12</v>
      </c>
      <c r="W28" s="28">
        <f t="shared" si="170"/>
        <v>-12</v>
      </c>
      <c r="X28" s="28">
        <f t="shared" si="170"/>
        <v>-12</v>
      </c>
      <c r="AB28" s="28" t="str">
        <f t="shared" ref="AB28:AE28" si="171">IF(AB$3=$H28,U28,"")</f>
        <v/>
      </c>
      <c r="AC28" s="28">
        <f t="shared" si="171"/>
        <v>12</v>
      </c>
      <c r="AD28" s="28" t="str">
        <f t="shared" si="171"/>
        <v/>
      </c>
      <c r="AE28" s="28" t="str">
        <f t="shared" si="171"/>
        <v/>
      </c>
      <c r="AH28" s="28">
        <f t="shared" si="22"/>
        <v>12</v>
      </c>
      <c r="AI28" s="28">
        <f t="shared" si="23"/>
        <v>0</v>
      </c>
      <c r="AK28" s="78" t="str">
        <f t="shared" ref="AK28:AN28" si="172">IF(U28&gt;0,AK$3,"")</f>
        <v>Thomas</v>
      </c>
      <c r="AL28" s="78" t="str">
        <f t="shared" si="172"/>
        <v>Peter</v>
      </c>
      <c r="AM28" s="78" t="str">
        <f t="shared" si="172"/>
        <v/>
      </c>
      <c r="AN28" s="78" t="str">
        <f t="shared" si="172"/>
        <v/>
      </c>
      <c r="AO28" s="56">
        <f t="shared" si="25"/>
        <v>2</v>
      </c>
      <c r="AP28" s="8" t="str">
        <f t="shared" si="26"/>
        <v>Peter</v>
      </c>
      <c r="AQ28" s="73" t="str">
        <f>IFERROR(__xludf.DUMMYFUNCTION("IFNA(QUERY(transpose(AY28:BB28),""Select Col1 where Col1 is not null limit 1"",0))"),"Thomas")</f>
        <v>Thomas</v>
      </c>
      <c r="AR28" s="56"/>
      <c r="AS28" s="28" t="str">
        <f t="shared" ref="AS28:AV28" si="173">IF(AK28=AS$3,"",AS$3)</f>
        <v/>
      </c>
      <c r="AT28" s="28" t="str">
        <f t="shared" si="173"/>
        <v/>
      </c>
      <c r="AU28" s="28" t="str">
        <f t="shared" si="173"/>
        <v>Janus</v>
      </c>
      <c r="AV28" s="28" t="str">
        <f t="shared" si="173"/>
        <v>Christian</v>
      </c>
      <c r="AW28" s="56">
        <f t="shared" si="28"/>
        <v>2</v>
      </c>
      <c r="AX28" s="28">
        <f t="shared" si="29"/>
        <v>12</v>
      </c>
      <c r="AY28" s="28" t="str">
        <f t="shared" ref="AY28:BB28" si="174">IFNA(IFS(AY$3=$AP28,"",$AX28=U28,AY$3),"")</f>
        <v>Thomas</v>
      </c>
      <c r="AZ28" s="28" t="str">
        <f t="shared" si="174"/>
        <v/>
      </c>
      <c r="BA28" s="28" t="str">
        <f t="shared" si="174"/>
        <v/>
      </c>
      <c r="BB28" s="28" t="str">
        <f t="shared" si="174"/>
        <v/>
      </c>
      <c r="BC28" s="58">
        <f>OFFSET('00_Regnskab_01'!$A$1,MATCH(A28,'00_Regnskab_01'!$A$1:$A$25)-1,2)</f>
        <v>43407</v>
      </c>
      <c r="BE28" s="80">
        <f t="shared" ref="BE28:BH28" si="175">if(U28&gt;0,1+BE27,0)</f>
        <v>1</v>
      </c>
      <c r="BF28" s="28">
        <f t="shared" si="175"/>
        <v>4</v>
      </c>
      <c r="BG28" s="28">
        <f t="shared" si="175"/>
        <v>0</v>
      </c>
      <c r="BH28" s="28">
        <f t="shared" si="175"/>
        <v>0</v>
      </c>
      <c r="BJ28" s="28">
        <f t="shared" ref="BJ28:BM28" si="176">if(U28&lt;0,1+BJ27,0)</f>
        <v>0</v>
      </c>
      <c r="BK28" s="28">
        <f t="shared" si="176"/>
        <v>0</v>
      </c>
      <c r="BL28" s="28">
        <f t="shared" si="176"/>
        <v>3</v>
      </c>
      <c r="BM28" s="28">
        <f t="shared" si="176"/>
        <v>1</v>
      </c>
      <c r="BO28" s="74">
        <f t="shared" ref="BO28:BR28" si="177">if(U28&gt;0,U28+BO27,0)</f>
        <v>12</v>
      </c>
      <c r="BP28" s="74">
        <f t="shared" si="177"/>
        <v>88</v>
      </c>
      <c r="BQ28" s="74">
        <f t="shared" si="177"/>
        <v>0</v>
      </c>
      <c r="BR28" s="74">
        <f t="shared" si="177"/>
        <v>0</v>
      </c>
      <c r="BT28" s="28">
        <f t="shared" ref="BT28:BW28" si="178">if(U28&lt;0,U28+BT27,0)</f>
        <v>0</v>
      </c>
      <c r="BU28" s="28">
        <f t="shared" si="178"/>
        <v>0</v>
      </c>
      <c r="BV28" s="28">
        <f t="shared" si="178"/>
        <v>-68</v>
      </c>
      <c r="BW28" s="28">
        <f t="shared" si="178"/>
        <v>-12</v>
      </c>
      <c r="BY28" s="80">
        <v>24.0</v>
      </c>
    </row>
    <row r="29">
      <c r="A29" s="53">
        <v>8.0</v>
      </c>
      <c r="B29" s="28">
        <f>'08_3-11-2018'!A22</f>
        <v>19</v>
      </c>
      <c r="C29" s="75">
        <f>'08_3-11-2018'!B22</f>
        <v>-32</v>
      </c>
      <c r="D29" s="28">
        <f>'08_3-11-2018'!D22</f>
        <v>64</v>
      </c>
      <c r="E29" s="28">
        <f>'08_3-11-2018'!C22</f>
        <v>-56</v>
      </c>
      <c r="F29" s="28">
        <f>'08_3-11-2018'!E22</f>
        <v>24</v>
      </c>
      <c r="G29" s="28">
        <f>'08_3-11-2018'!F22</f>
        <v>0</v>
      </c>
      <c r="H29" s="28" t="str">
        <f>'08_3-11-2018'!G22</f>
        <v>Janus</v>
      </c>
      <c r="J29" s="76" t="str">
        <f>'08_3-11-2018'!H22</f>
        <v>Thomas</v>
      </c>
      <c r="K29" s="28" t="str">
        <f>'08_3-11-2018'!I22</f>
        <v>9 halve</v>
      </c>
      <c r="L29" s="56"/>
      <c r="M29" s="25">
        <v>9.0</v>
      </c>
      <c r="N29" s="25" t="s">
        <v>94</v>
      </c>
      <c r="T29" s="56"/>
      <c r="U29" s="77">
        <f t="shared" ref="U29:X29" si="179">C29-C28</f>
        <v>-16</v>
      </c>
      <c r="V29" s="28">
        <f t="shared" si="179"/>
        <v>16</v>
      </c>
      <c r="W29" s="28">
        <f t="shared" si="179"/>
        <v>16</v>
      </c>
      <c r="X29" s="28">
        <f t="shared" si="179"/>
        <v>-16</v>
      </c>
      <c r="AB29" s="28" t="str">
        <f t="shared" ref="AB29:AE29" si="180">IF(AB$3=$H29,U29,"")</f>
        <v/>
      </c>
      <c r="AC29" s="28" t="str">
        <f t="shared" si="180"/>
        <v/>
      </c>
      <c r="AD29" s="28">
        <f t="shared" si="180"/>
        <v>16</v>
      </c>
      <c r="AE29" s="28" t="str">
        <f t="shared" si="180"/>
        <v/>
      </c>
      <c r="AH29" s="28">
        <f t="shared" si="22"/>
        <v>16</v>
      </c>
      <c r="AI29" s="28">
        <f t="shared" si="23"/>
        <v>0</v>
      </c>
      <c r="AK29" s="78" t="str">
        <f t="shared" ref="AK29:AN29" si="181">IF(U29&gt;0,AK$3,"")</f>
        <v/>
      </c>
      <c r="AL29" s="78" t="str">
        <f t="shared" si="181"/>
        <v>Peter</v>
      </c>
      <c r="AM29" s="78" t="str">
        <f t="shared" si="181"/>
        <v>Janus</v>
      </c>
      <c r="AN29" s="78" t="str">
        <f t="shared" si="181"/>
        <v/>
      </c>
      <c r="AO29" s="56">
        <f t="shared" si="25"/>
        <v>2</v>
      </c>
      <c r="AP29" s="8" t="str">
        <f t="shared" si="26"/>
        <v>Janus</v>
      </c>
      <c r="AQ29" s="73" t="str">
        <f>IFERROR(__xludf.DUMMYFUNCTION("IFNA(QUERY(transpose(AY29:BB29),""Select Col1 where Col1 is not null limit 1"",0))"),"Peter")</f>
        <v>Peter</v>
      </c>
      <c r="AR29" s="56"/>
      <c r="AS29" s="28" t="str">
        <f t="shared" ref="AS29:AV29" si="182">IF(AK29=AS$3,"",AS$3)</f>
        <v>Thomas</v>
      </c>
      <c r="AT29" s="28" t="str">
        <f t="shared" si="182"/>
        <v/>
      </c>
      <c r="AU29" s="28" t="str">
        <f t="shared" si="182"/>
        <v/>
      </c>
      <c r="AV29" s="28" t="str">
        <f t="shared" si="182"/>
        <v>Christian</v>
      </c>
      <c r="AW29" s="56">
        <f t="shared" si="28"/>
        <v>2</v>
      </c>
      <c r="AX29" s="28">
        <f t="shared" si="29"/>
        <v>16</v>
      </c>
      <c r="AY29" s="28" t="str">
        <f t="shared" ref="AY29:BB29" si="183">IFNA(IFS(AY$3=$AP29,"",$AX29=U29,AY$3),"")</f>
        <v/>
      </c>
      <c r="AZ29" s="28" t="str">
        <f t="shared" si="183"/>
        <v>Peter</v>
      </c>
      <c r="BA29" s="28" t="str">
        <f t="shared" si="183"/>
        <v/>
      </c>
      <c r="BB29" s="28" t="str">
        <f t="shared" si="183"/>
        <v/>
      </c>
      <c r="BC29" s="58">
        <f>OFFSET('00_Regnskab_01'!$A$1,MATCH(A29,'00_Regnskab_01'!$A$1:$A$25)-1,2)</f>
        <v>43407</v>
      </c>
      <c r="BE29" s="80">
        <f t="shared" ref="BE29:BH29" si="184">if(U29&gt;0,1+BE28,0)</f>
        <v>0</v>
      </c>
      <c r="BF29" s="28">
        <f t="shared" si="184"/>
        <v>5</v>
      </c>
      <c r="BG29" s="28">
        <f t="shared" si="184"/>
        <v>1</v>
      </c>
      <c r="BH29" s="28">
        <f t="shared" si="184"/>
        <v>0</v>
      </c>
      <c r="BJ29" s="28">
        <f t="shared" ref="BJ29:BM29" si="185">if(U29&lt;0,1+BJ28,0)</f>
        <v>1</v>
      </c>
      <c r="BK29" s="28">
        <f t="shared" si="185"/>
        <v>0</v>
      </c>
      <c r="BL29" s="28">
        <f t="shared" si="185"/>
        <v>0</v>
      </c>
      <c r="BM29" s="28">
        <f t="shared" si="185"/>
        <v>2</v>
      </c>
      <c r="BO29" s="74">
        <f t="shared" ref="BO29:BR29" si="186">if(U29&gt;0,U29+BO28,0)</f>
        <v>0</v>
      </c>
      <c r="BP29" s="74">
        <f t="shared" si="186"/>
        <v>104</v>
      </c>
      <c r="BQ29" s="74">
        <f t="shared" si="186"/>
        <v>16</v>
      </c>
      <c r="BR29" s="74">
        <f t="shared" si="186"/>
        <v>0</v>
      </c>
      <c r="BT29" s="28">
        <f t="shared" ref="BT29:BW29" si="187">if(U29&lt;0,U29+BT28,0)</f>
        <v>-16</v>
      </c>
      <c r="BU29" s="28">
        <f t="shared" si="187"/>
        <v>0</v>
      </c>
      <c r="BV29" s="28">
        <f t="shared" si="187"/>
        <v>0</v>
      </c>
      <c r="BW29" s="28">
        <f t="shared" si="187"/>
        <v>-28</v>
      </c>
      <c r="BY29" s="80">
        <v>25.0</v>
      </c>
    </row>
    <row r="30">
      <c r="A30" s="53">
        <v>8.0</v>
      </c>
      <c r="B30" s="28">
        <f>'08_3-11-2018'!A23</f>
        <v>20</v>
      </c>
      <c r="C30" s="75">
        <f>'08_3-11-2018'!B23</f>
        <v>-96</v>
      </c>
      <c r="D30" s="28">
        <f>'08_3-11-2018'!D23</f>
        <v>128</v>
      </c>
      <c r="E30" s="28">
        <f>'08_3-11-2018'!C23</f>
        <v>8</v>
      </c>
      <c r="F30" s="28">
        <f>'08_3-11-2018'!E23</f>
        <v>-40</v>
      </c>
      <c r="G30" s="28">
        <f>'08_3-11-2018'!F23</f>
        <v>0</v>
      </c>
      <c r="H30" s="28" t="str">
        <f>'08_3-11-2018'!G23</f>
        <v>Thomas</v>
      </c>
      <c r="I30" s="25" t="s">
        <v>10</v>
      </c>
      <c r="J30" s="76" t="str">
        <f>'08_3-11-2018'!H23</f>
        <v>Christian</v>
      </c>
      <c r="K30" s="28" t="str">
        <f>'08_3-11-2018'!I23</f>
        <v>9.  vip i 3.</v>
      </c>
      <c r="L30" s="56"/>
      <c r="M30" s="25">
        <v>9.0</v>
      </c>
      <c r="N30" s="25" t="s">
        <v>86</v>
      </c>
      <c r="O30" s="25">
        <v>3.0</v>
      </c>
      <c r="T30" s="56"/>
      <c r="U30" s="77">
        <f t="shared" ref="U30:X30" si="188">C30-C29</f>
        <v>-64</v>
      </c>
      <c r="V30" s="28">
        <f t="shared" si="188"/>
        <v>64</v>
      </c>
      <c r="W30" s="28">
        <f t="shared" si="188"/>
        <v>64</v>
      </c>
      <c r="X30" s="28">
        <f t="shared" si="188"/>
        <v>-64</v>
      </c>
      <c r="Z30" s="25" t="s">
        <v>96</v>
      </c>
      <c r="AB30" s="28">
        <f t="shared" ref="AB30:AE30" si="189">IF(AB$3=$H30,U30,"")</f>
        <v>-64</v>
      </c>
      <c r="AC30" s="28" t="str">
        <f t="shared" si="189"/>
        <v/>
      </c>
      <c r="AD30" s="28" t="str">
        <f t="shared" si="189"/>
        <v/>
      </c>
      <c r="AE30" s="28" t="str">
        <f t="shared" si="189"/>
        <v/>
      </c>
      <c r="AH30" s="28">
        <f t="shared" si="22"/>
        <v>0</v>
      </c>
      <c r="AI30" s="28">
        <f t="shared" si="23"/>
        <v>-64</v>
      </c>
      <c r="AK30" s="78" t="str">
        <f t="shared" ref="AK30:AN30" si="190">IF(U30&gt;0,AK$3,"")</f>
        <v/>
      </c>
      <c r="AL30" s="78" t="str">
        <f t="shared" si="190"/>
        <v>Peter</v>
      </c>
      <c r="AM30" s="78" t="str">
        <f t="shared" si="190"/>
        <v>Janus</v>
      </c>
      <c r="AN30" s="78" t="str">
        <f t="shared" si="190"/>
        <v/>
      </c>
      <c r="AO30" s="56">
        <f t="shared" si="25"/>
        <v>2</v>
      </c>
      <c r="AP30" s="8" t="str">
        <f t="shared" si="26"/>
        <v>Thomas</v>
      </c>
      <c r="AQ30" s="73" t="str">
        <f>IFERROR(__xludf.DUMMYFUNCTION("IFNA(QUERY(transpose(AY30:BB30),""Select Col1 where Col1 is not null limit 1"",0))"),"Christian")</f>
        <v>Christian</v>
      </c>
      <c r="AR30" s="56"/>
      <c r="AS30" s="28" t="str">
        <f t="shared" ref="AS30:AV30" si="191">IF(AK30=AS$3,"",AS$3)</f>
        <v>Thomas</v>
      </c>
      <c r="AT30" s="28" t="str">
        <f t="shared" si="191"/>
        <v/>
      </c>
      <c r="AU30" s="28" t="str">
        <f t="shared" si="191"/>
        <v/>
      </c>
      <c r="AV30" s="28" t="str">
        <f t="shared" si="191"/>
        <v>Christian</v>
      </c>
      <c r="AW30" s="56">
        <f t="shared" si="28"/>
        <v>2</v>
      </c>
      <c r="AX30" s="28">
        <f t="shared" si="29"/>
        <v>-64</v>
      </c>
      <c r="AY30" s="28" t="str">
        <f t="shared" ref="AY30:BB30" si="192">IFNA(IFS(AY$3=$AP30,"",$AX30=U30,AY$3),"")</f>
        <v/>
      </c>
      <c r="AZ30" s="28" t="str">
        <f t="shared" si="192"/>
        <v/>
      </c>
      <c r="BA30" s="28" t="str">
        <f t="shared" si="192"/>
        <v/>
      </c>
      <c r="BB30" s="28" t="str">
        <f t="shared" si="192"/>
        <v>Christian</v>
      </c>
      <c r="BC30" s="58">
        <f>OFFSET('00_Regnskab_01'!$A$1,MATCH(A30,'00_Regnskab_01'!$A$1:$A$25)-1,2)</f>
        <v>43407</v>
      </c>
      <c r="BE30" s="80">
        <f t="shared" ref="BE30:BH30" si="193">if(U30&gt;0,1+BE29,0)</f>
        <v>0</v>
      </c>
      <c r="BF30" s="28">
        <f t="shared" si="193"/>
        <v>6</v>
      </c>
      <c r="BG30" s="28">
        <f t="shared" si="193"/>
        <v>2</v>
      </c>
      <c r="BH30" s="28">
        <f t="shared" si="193"/>
        <v>0</v>
      </c>
      <c r="BJ30" s="28">
        <f t="shared" ref="BJ30:BM30" si="194">if(U30&lt;0,1+BJ29,0)</f>
        <v>2</v>
      </c>
      <c r="BK30" s="28">
        <f t="shared" si="194"/>
        <v>0</v>
      </c>
      <c r="BL30" s="28">
        <f t="shared" si="194"/>
        <v>0</v>
      </c>
      <c r="BM30" s="28">
        <f t="shared" si="194"/>
        <v>3</v>
      </c>
      <c r="BO30" s="74">
        <f t="shared" ref="BO30:BR30" si="195">if(U30&gt;0,U30+BO29,0)</f>
        <v>0</v>
      </c>
      <c r="BP30" s="74">
        <f t="shared" si="195"/>
        <v>168</v>
      </c>
      <c r="BQ30" s="74">
        <f t="shared" si="195"/>
        <v>80</v>
      </c>
      <c r="BR30" s="74">
        <f t="shared" si="195"/>
        <v>0</v>
      </c>
      <c r="BT30" s="28">
        <f t="shared" ref="BT30:BW30" si="196">if(U30&lt;0,U30+BT29,0)</f>
        <v>-80</v>
      </c>
      <c r="BU30" s="28">
        <f t="shared" si="196"/>
        <v>0</v>
      </c>
      <c r="BV30" s="28">
        <f t="shared" si="196"/>
        <v>0</v>
      </c>
      <c r="BW30" s="28">
        <f t="shared" si="196"/>
        <v>-92</v>
      </c>
      <c r="BY30" s="80">
        <v>26.0</v>
      </c>
    </row>
    <row r="31">
      <c r="A31" s="53">
        <v>8.0</v>
      </c>
      <c r="B31" s="28">
        <f>'08_3-11-2018'!A24</f>
        <v>21</v>
      </c>
      <c r="C31" s="75">
        <f>'08_3-11-2018'!B24</f>
        <v>-76</v>
      </c>
      <c r="D31" s="28">
        <f>'08_3-11-2018'!D24</f>
        <v>148</v>
      </c>
      <c r="E31" s="28">
        <f>'08_3-11-2018'!C24</f>
        <v>-52</v>
      </c>
      <c r="F31" s="28">
        <f>'08_3-11-2018'!E24</f>
        <v>-20</v>
      </c>
      <c r="G31" s="28">
        <f>'08_3-11-2018'!F24</f>
        <v>0</v>
      </c>
      <c r="H31" s="28" t="str">
        <f>'08_3-11-2018'!G24</f>
        <v>Janus</v>
      </c>
      <c r="J31" s="76" t="str">
        <f>'08_3-11-2018'!H24</f>
        <v>Peter</v>
      </c>
      <c r="K31" s="28" t="str">
        <f>'08_3-11-2018'!I24</f>
        <v>9 halve</v>
      </c>
      <c r="L31" s="56"/>
      <c r="M31" s="25">
        <v>9.0</v>
      </c>
      <c r="N31" s="25" t="s">
        <v>94</v>
      </c>
      <c r="T31" s="56"/>
      <c r="U31" s="77">
        <f t="shared" ref="U31:X31" si="197">C31-C30</f>
        <v>20</v>
      </c>
      <c r="V31" s="28">
        <f t="shared" si="197"/>
        <v>20</v>
      </c>
      <c r="W31" s="28">
        <f t="shared" si="197"/>
        <v>-60</v>
      </c>
      <c r="X31" s="28">
        <f t="shared" si="197"/>
        <v>20</v>
      </c>
      <c r="Z31" s="81" t="str">
        <f t="shared" ref="Z31:Z32" si="207">if(U31&gt;SUM(U31+V31+W31+X31),"ja","nej")</f>
        <v>ja</v>
      </c>
      <c r="AB31" s="28" t="str">
        <f t="shared" ref="AB31:AE31" si="198">IF(AB$3=$H31,U31,"")</f>
        <v/>
      </c>
      <c r="AC31" s="28" t="str">
        <f t="shared" si="198"/>
        <v/>
      </c>
      <c r="AD31" s="28">
        <f t="shared" si="198"/>
        <v>-60</v>
      </c>
      <c r="AE31" s="28" t="str">
        <f t="shared" si="198"/>
        <v/>
      </c>
      <c r="AH31" s="28">
        <f t="shared" si="22"/>
        <v>0</v>
      </c>
      <c r="AI31" s="28">
        <f t="shared" si="23"/>
        <v>-60</v>
      </c>
      <c r="AK31" s="78" t="str">
        <f t="shared" ref="AK31:AN31" si="199">IF(U31&gt;0,AK$3,"")</f>
        <v>Thomas</v>
      </c>
      <c r="AL31" s="78" t="str">
        <f t="shared" si="199"/>
        <v>Peter</v>
      </c>
      <c r="AM31" s="78" t="str">
        <f t="shared" si="199"/>
        <v/>
      </c>
      <c r="AN31" s="78" t="str">
        <f t="shared" si="199"/>
        <v>Christian</v>
      </c>
      <c r="AO31" s="56">
        <f t="shared" si="25"/>
        <v>3</v>
      </c>
      <c r="AP31" s="8" t="str">
        <f t="shared" si="26"/>
        <v>Janus</v>
      </c>
      <c r="AQ31" s="73" t="str">
        <f>IFERROR(__xludf.DUMMYFUNCTION("IFNA(QUERY(transpose(AY31:BB31),""Select Col1 where Col1 is not null limit 1"",0))"),"")</f>
        <v/>
      </c>
      <c r="AR31" s="56"/>
      <c r="AS31" s="28" t="str">
        <f t="shared" ref="AS31:AV31" si="200">IF(AK31=AS$3,"",AS$3)</f>
        <v/>
      </c>
      <c r="AT31" s="28" t="str">
        <f t="shared" si="200"/>
        <v/>
      </c>
      <c r="AU31" s="28" t="str">
        <f t="shared" si="200"/>
        <v>Janus</v>
      </c>
      <c r="AV31" s="28" t="str">
        <f t="shared" si="200"/>
        <v/>
      </c>
      <c r="AW31" s="56">
        <f t="shared" si="28"/>
        <v>1</v>
      </c>
      <c r="AX31" s="28">
        <f t="shared" si="29"/>
        <v>-60</v>
      </c>
      <c r="AY31" s="28" t="str">
        <f t="shared" ref="AY31:BB31" si="201">IFNA(IFS(AY$3=$AP31,"",$AX31=U31,AY$3),"")</f>
        <v/>
      </c>
      <c r="AZ31" s="28" t="str">
        <f t="shared" si="201"/>
        <v/>
      </c>
      <c r="BA31" s="28" t="str">
        <f t="shared" si="201"/>
        <v/>
      </c>
      <c r="BB31" s="28" t="str">
        <f t="shared" si="201"/>
        <v/>
      </c>
      <c r="BC31" s="58">
        <f>OFFSET('00_Regnskab_01'!$A$1,MATCH(A31,'00_Regnskab_01'!$A$1:$A$25)-1,2)</f>
        <v>43407</v>
      </c>
      <c r="BE31" s="80">
        <f t="shared" ref="BE31:BH31" si="202">if(U31&gt;0,1+BE30,0)</f>
        <v>1</v>
      </c>
      <c r="BF31" s="28">
        <f t="shared" si="202"/>
        <v>7</v>
      </c>
      <c r="BG31" s="28">
        <f t="shared" si="202"/>
        <v>0</v>
      </c>
      <c r="BH31" s="28">
        <f t="shared" si="202"/>
        <v>1</v>
      </c>
      <c r="BJ31" s="28">
        <f t="shared" ref="BJ31:BM31" si="203">if(U31&lt;0,1+BJ30,0)</f>
        <v>0</v>
      </c>
      <c r="BK31" s="28">
        <f t="shared" si="203"/>
        <v>0</v>
      </c>
      <c r="BL31" s="28">
        <f t="shared" si="203"/>
        <v>1</v>
      </c>
      <c r="BM31" s="28">
        <f t="shared" si="203"/>
        <v>0</v>
      </c>
      <c r="BO31" s="74">
        <f t="shared" ref="BO31:BR31" si="204">if(U31&gt;0,U31+BO30,0)</f>
        <v>20</v>
      </c>
      <c r="BP31" s="74">
        <f t="shared" si="204"/>
        <v>188</v>
      </c>
      <c r="BQ31" s="74">
        <f t="shared" si="204"/>
        <v>0</v>
      </c>
      <c r="BR31" s="74">
        <f t="shared" si="204"/>
        <v>20</v>
      </c>
      <c r="BT31" s="28">
        <f t="shared" ref="BT31:BW31" si="205">if(U31&lt;0,U31+BT30,0)</f>
        <v>0</v>
      </c>
      <c r="BU31" s="28">
        <f t="shared" si="205"/>
        <v>0</v>
      </c>
      <c r="BV31" s="28">
        <f t="shared" si="205"/>
        <v>-60</v>
      </c>
      <c r="BW31" s="28">
        <f t="shared" si="205"/>
        <v>0</v>
      </c>
    </row>
    <row r="32">
      <c r="A32" s="53">
        <v>8.0</v>
      </c>
      <c r="B32" s="28">
        <f>'08_3-11-2018'!A25</f>
        <v>22</v>
      </c>
      <c r="C32" s="75">
        <f>'08_3-11-2018'!B25</f>
        <v>-60</v>
      </c>
      <c r="D32" s="28">
        <f>'08_3-11-2018'!D25</f>
        <v>100</v>
      </c>
      <c r="E32" s="28">
        <f>'08_3-11-2018'!C25</f>
        <v>-36</v>
      </c>
      <c r="F32" s="28">
        <f>'08_3-11-2018'!E25</f>
        <v>-4</v>
      </c>
      <c r="G32" s="28">
        <f>'08_3-11-2018'!F25</f>
        <v>0</v>
      </c>
      <c r="H32" s="28" t="str">
        <f>'08_3-11-2018'!G25</f>
        <v>Peter</v>
      </c>
      <c r="J32" s="76" t="str">
        <f>'08_3-11-2018'!H25</f>
        <v>Janus</v>
      </c>
      <c r="K32" s="28" t="str">
        <f>'08_3-11-2018'!I25</f>
        <v>Ren Sol</v>
      </c>
      <c r="L32" s="56"/>
      <c r="N32" s="25" t="s">
        <v>97</v>
      </c>
      <c r="T32" s="56"/>
      <c r="U32" s="77">
        <f t="shared" ref="U32:X32" si="206">C32-C31</f>
        <v>16</v>
      </c>
      <c r="V32" s="28">
        <f t="shared" si="206"/>
        <v>-48</v>
      </c>
      <c r="W32" s="28">
        <f t="shared" si="206"/>
        <v>16</v>
      </c>
      <c r="X32" s="28">
        <f t="shared" si="206"/>
        <v>16</v>
      </c>
      <c r="Z32" s="81" t="str">
        <f t="shared" si="207"/>
        <v>ja</v>
      </c>
      <c r="AB32" s="28" t="str">
        <f t="shared" ref="AB32:AE32" si="208">IF(AB$3=$H32,U32,"")</f>
        <v/>
      </c>
      <c r="AC32" s="28">
        <f t="shared" si="208"/>
        <v>-48</v>
      </c>
      <c r="AD32" s="28" t="str">
        <f t="shared" si="208"/>
        <v/>
      </c>
      <c r="AE32" s="28" t="str">
        <f t="shared" si="208"/>
        <v/>
      </c>
      <c r="AH32" s="28">
        <f t="shared" si="22"/>
        <v>0</v>
      </c>
      <c r="AI32" s="28">
        <f t="shared" si="23"/>
        <v>-48</v>
      </c>
      <c r="AK32" s="78" t="str">
        <f t="shared" ref="AK32:AN32" si="209">IF(U32&gt;0,AK$3,"")</f>
        <v>Thomas</v>
      </c>
      <c r="AL32" s="78" t="str">
        <f t="shared" si="209"/>
        <v/>
      </c>
      <c r="AM32" s="78" t="str">
        <f t="shared" si="209"/>
        <v>Janus</v>
      </c>
      <c r="AN32" s="78" t="str">
        <f t="shared" si="209"/>
        <v>Christian</v>
      </c>
      <c r="AO32" s="56">
        <f t="shared" si="25"/>
        <v>3</v>
      </c>
      <c r="AP32" s="8" t="str">
        <f t="shared" si="26"/>
        <v>Peter</v>
      </c>
      <c r="AQ32" s="73" t="str">
        <f>IFERROR(__xludf.DUMMYFUNCTION("IFNA(QUERY(transpose(AY32:BB32),""Select Col1 where Col1 is not null limit 1"",0))"),"")</f>
        <v/>
      </c>
      <c r="AR32" s="56"/>
      <c r="AS32" s="28" t="str">
        <f t="shared" ref="AS32:AV32" si="210">IF(AK32=AS$3,"",AS$3)</f>
        <v/>
      </c>
      <c r="AT32" s="28" t="str">
        <f t="shared" si="210"/>
        <v>Peter</v>
      </c>
      <c r="AU32" s="28" t="str">
        <f t="shared" si="210"/>
        <v/>
      </c>
      <c r="AV32" s="28" t="str">
        <f t="shared" si="210"/>
        <v/>
      </c>
      <c r="AW32" s="56">
        <f t="shared" si="28"/>
        <v>1</v>
      </c>
      <c r="AX32" s="28">
        <f t="shared" si="29"/>
        <v>-48</v>
      </c>
      <c r="AY32" s="28" t="str">
        <f t="shared" ref="AY32:BB32" si="211">IFNA(IFS(AY$3=$AP32,"",$AX32=U32,AY$3),"")</f>
        <v/>
      </c>
      <c r="AZ32" s="28" t="str">
        <f t="shared" si="211"/>
        <v/>
      </c>
      <c r="BA32" s="28" t="str">
        <f t="shared" si="211"/>
        <v/>
      </c>
      <c r="BB32" s="28" t="str">
        <f t="shared" si="211"/>
        <v/>
      </c>
      <c r="BC32" s="58">
        <f>OFFSET('00_Regnskab_01'!$A$1,MATCH(A32,'00_Regnskab_01'!$A$1:$A$25)-1,2)</f>
        <v>43407</v>
      </c>
      <c r="BE32" s="80">
        <f t="shared" ref="BE32:BH32" si="212">if(U32&gt;0,1+BE31,0)</f>
        <v>2</v>
      </c>
      <c r="BF32" s="28">
        <f t="shared" si="212"/>
        <v>0</v>
      </c>
      <c r="BG32" s="28">
        <f t="shared" si="212"/>
        <v>1</v>
      </c>
      <c r="BH32" s="28">
        <f t="shared" si="212"/>
        <v>2</v>
      </c>
      <c r="BJ32" s="28">
        <f t="shared" ref="BJ32:BM32" si="213">if(U32&lt;0,1+BJ31,0)</f>
        <v>0</v>
      </c>
      <c r="BK32" s="28">
        <f t="shared" si="213"/>
        <v>1</v>
      </c>
      <c r="BL32" s="28">
        <f t="shared" si="213"/>
        <v>0</v>
      </c>
      <c r="BM32" s="28">
        <f t="shared" si="213"/>
        <v>0</v>
      </c>
      <c r="BO32" s="74">
        <f t="shared" ref="BO32:BR32" si="214">if(U32&gt;0,U32+BO31,0)</f>
        <v>36</v>
      </c>
      <c r="BP32" s="74">
        <f t="shared" si="214"/>
        <v>0</v>
      </c>
      <c r="BQ32" s="74">
        <f t="shared" si="214"/>
        <v>16</v>
      </c>
      <c r="BR32" s="74">
        <f t="shared" si="214"/>
        <v>36</v>
      </c>
      <c r="BT32" s="28">
        <f t="shared" ref="BT32:BW32" si="215">if(U32&lt;0,U32+BT31,0)</f>
        <v>0</v>
      </c>
      <c r="BU32" s="28">
        <f t="shared" si="215"/>
        <v>-48</v>
      </c>
      <c r="BV32" s="28">
        <f t="shared" si="215"/>
        <v>0</v>
      </c>
      <c r="BW32" s="28">
        <f t="shared" si="215"/>
        <v>0</v>
      </c>
    </row>
    <row r="33">
      <c r="A33" s="53">
        <v>8.0</v>
      </c>
      <c r="B33" s="28">
        <f>'08_3-11-2018'!A26</f>
        <v>23</v>
      </c>
      <c r="C33" s="75">
        <f>'08_3-11-2018'!B26</f>
        <v>4</v>
      </c>
      <c r="D33" s="28">
        <f>'08_3-11-2018'!D26</f>
        <v>36</v>
      </c>
      <c r="E33" s="28">
        <f>'08_3-11-2018'!C26</f>
        <v>-100</v>
      </c>
      <c r="F33" s="28">
        <f>'08_3-11-2018'!E26</f>
        <v>60</v>
      </c>
      <c r="G33" s="28">
        <f>'08_3-11-2018'!F26</f>
        <v>0</v>
      </c>
      <c r="H33" s="28" t="str">
        <f>'08_3-11-2018'!G26</f>
        <v>Christian</v>
      </c>
      <c r="J33" s="76" t="str">
        <f>'08_3-11-2018'!H26</f>
        <v>Thomas</v>
      </c>
      <c r="K33" s="28" t="str">
        <f>'08_3-11-2018'!I26</f>
        <v>10 halve</v>
      </c>
      <c r="L33" s="56"/>
      <c r="M33" s="25">
        <v>10.0</v>
      </c>
      <c r="N33" s="25" t="s">
        <v>94</v>
      </c>
      <c r="T33" s="56"/>
      <c r="U33" s="77">
        <f t="shared" ref="U33:X33" si="216">C33-C32</f>
        <v>64</v>
      </c>
      <c r="V33" s="28">
        <f t="shared" si="216"/>
        <v>-64</v>
      </c>
      <c r="W33" s="28">
        <f t="shared" si="216"/>
        <v>-64</v>
      </c>
      <c r="X33" s="28">
        <f t="shared" si="216"/>
        <v>64</v>
      </c>
      <c r="Z33" s="28">
        <f>max(U33:X33)</f>
        <v>64</v>
      </c>
      <c r="AB33" s="28" t="str">
        <f t="shared" ref="AB33:AE33" si="217">IF(AB$3=$H33,U33,"")</f>
        <v/>
      </c>
      <c r="AC33" s="28" t="str">
        <f t="shared" si="217"/>
        <v/>
      </c>
      <c r="AD33" s="28" t="str">
        <f t="shared" si="217"/>
        <v/>
      </c>
      <c r="AE33" s="28">
        <f t="shared" si="217"/>
        <v>64</v>
      </c>
      <c r="AH33" s="28">
        <f t="shared" si="22"/>
        <v>64</v>
      </c>
      <c r="AI33" s="28">
        <f t="shared" si="23"/>
        <v>0</v>
      </c>
      <c r="AK33" s="78" t="str">
        <f t="shared" ref="AK33:AN33" si="218">IF(U33&gt;0,AK$3,"")</f>
        <v>Thomas</v>
      </c>
      <c r="AL33" s="78" t="str">
        <f t="shared" si="218"/>
        <v/>
      </c>
      <c r="AM33" s="78" t="str">
        <f t="shared" si="218"/>
        <v/>
      </c>
      <c r="AN33" s="78" t="str">
        <f t="shared" si="218"/>
        <v>Christian</v>
      </c>
      <c r="AO33" s="56">
        <f t="shared" si="25"/>
        <v>2</v>
      </c>
      <c r="AP33" s="8" t="str">
        <f t="shared" si="26"/>
        <v>Christian</v>
      </c>
      <c r="AQ33" s="73" t="str">
        <f>IFERROR(__xludf.DUMMYFUNCTION("IFNA(QUERY(transpose(AY33:BB33),""Select Col1 where Col1 is not null limit 1"",0))"),"Thomas")</f>
        <v>Thomas</v>
      </c>
      <c r="AR33" s="56"/>
      <c r="AS33" s="28" t="str">
        <f t="shared" ref="AS33:AV33" si="219">IF(AK33=AS$3,"",AS$3)</f>
        <v/>
      </c>
      <c r="AT33" s="28" t="str">
        <f t="shared" si="219"/>
        <v>Peter</v>
      </c>
      <c r="AU33" s="28" t="str">
        <f t="shared" si="219"/>
        <v>Janus</v>
      </c>
      <c r="AV33" s="28" t="str">
        <f t="shared" si="219"/>
        <v/>
      </c>
      <c r="AW33" s="56">
        <f t="shared" si="28"/>
        <v>2</v>
      </c>
      <c r="AX33" s="28">
        <f t="shared" si="29"/>
        <v>64</v>
      </c>
      <c r="AY33" s="28" t="str">
        <f t="shared" ref="AY33:BB33" si="220">IFNA(IFS(AY$3=$AP33,"",$AX33=U33,AY$3),"")</f>
        <v>Thomas</v>
      </c>
      <c r="AZ33" s="28" t="str">
        <f t="shared" si="220"/>
        <v/>
      </c>
      <c r="BA33" s="28" t="str">
        <f t="shared" si="220"/>
        <v/>
      </c>
      <c r="BB33" s="28" t="str">
        <f t="shared" si="220"/>
        <v/>
      </c>
      <c r="BC33" s="58">
        <f>OFFSET('00_Regnskab_01'!$A$1,MATCH(A33,'00_Regnskab_01'!$A$1:$A$25)-1,2)</f>
        <v>43407</v>
      </c>
      <c r="BE33" s="80">
        <f t="shared" ref="BE33:BH33" si="221">if(U33&gt;0,1+BE32,0)</f>
        <v>3</v>
      </c>
      <c r="BF33" s="28">
        <f t="shared" si="221"/>
        <v>0</v>
      </c>
      <c r="BG33" s="28">
        <f t="shared" si="221"/>
        <v>0</v>
      </c>
      <c r="BH33" s="28">
        <f t="shared" si="221"/>
        <v>3</v>
      </c>
      <c r="BJ33" s="28">
        <f t="shared" ref="BJ33:BM33" si="222">if(U33&lt;0,1+BJ32,0)</f>
        <v>0</v>
      </c>
      <c r="BK33" s="28">
        <f t="shared" si="222"/>
        <v>2</v>
      </c>
      <c r="BL33" s="28">
        <f t="shared" si="222"/>
        <v>1</v>
      </c>
      <c r="BM33" s="28">
        <f t="shared" si="222"/>
        <v>0</v>
      </c>
      <c r="BO33" s="74">
        <f t="shared" ref="BO33:BR33" si="223">if(U33&gt;0,U33+BO32,0)</f>
        <v>100</v>
      </c>
      <c r="BP33" s="74">
        <f t="shared" si="223"/>
        <v>0</v>
      </c>
      <c r="BQ33" s="74">
        <f t="shared" si="223"/>
        <v>0</v>
      </c>
      <c r="BR33" s="74">
        <f t="shared" si="223"/>
        <v>100</v>
      </c>
      <c r="BT33" s="28">
        <f t="shared" ref="BT33:BW33" si="224">if(U33&lt;0,U33+BT32,0)</f>
        <v>0</v>
      </c>
      <c r="BU33" s="28">
        <f t="shared" si="224"/>
        <v>-112</v>
      </c>
      <c r="BV33" s="28">
        <f t="shared" si="224"/>
        <v>-64</v>
      </c>
      <c r="BW33" s="28">
        <f t="shared" si="224"/>
        <v>0</v>
      </c>
    </row>
    <row r="34">
      <c r="A34" s="53">
        <v>8.0</v>
      </c>
      <c r="B34" s="28">
        <f>'08_3-11-2018'!A27</f>
        <v>24</v>
      </c>
      <c r="C34" s="75">
        <f>'08_3-11-2018'!B27</f>
        <v>28</v>
      </c>
      <c r="D34" s="28">
        <f>'08_3-11-2018'!D27</f>
        <v>60</v>
      </c>
      <c r="E34" s="28">
        <f>'08_3-11-2018'!C27</f>
        <v>-124</v>
      </c>
      <c r="F34" s="28">
        <f>'08_3-11-2018'!E27</f>
        <v>36</v>
      </c>
      <c r="G34" s="28">
        <f>'08_3-11-2018'!F27</f>
        <v>0</v>
      </c>
      <c r="H34" s="28" t="str">
        <f>'08_3-11-2018'!G27</f>
        <v>Peter</v>
      </c>
      <c r="J34" s="76" t="str">
        <f>'08_3-11-2018'!H27</f>
        <v>Christian</v>
      </c>
      <c r="K34" s="28" t="str">
        <f>'08_3-11-2018'!I27</f>
        <v>9. vip i 2. </v>
      </c>
      <c r="L34" s="56"/>
      <c r="M34" s="25">
        <v>9.0</v>
      </c>
      <c r="N34" s="25" t="s">
        <v>86</v>
      </c>
      <c r="O34" s="25">
        <v>2.0</v>
      </c>
      <c r="T34" s="56"/>
      <c r="U34" s="77">
        <f t="shared" ref="U34:X34" si="225">C34-C33</f>
        <v>24</v>
      </c>
      <c r="V34" s="28">
        <f t="shared" si="225"/>
        <v>24</v>
      </c>
      <c r="W34" s="28">
        <f t="shared" si="225"/>
        <v>-24</v>
      </c>
      <c r="X34" s="28">
        <f t="shared" si="225"/>
        <v>-24</v>
      </c>
      <c r="AB34" s="28" t="str">
        <f t="shared" ref="AB34:AE34" si="226">IF(AB$3=$H34,U34,"")</f>
        <v/>
      </c>
      <c r="AC34" s="28">
        <f t="shared" si="226"/>
        <v>24</v>
      </c>
      <c r="AD34" s="28" t="str">
        <f t="shared" si="226"/>
        <v/>
      </c>
      <c r="AE34" s="28" t="str">
        <f t="shared" si="226"/>
        <v/>
      </c>
      <c r="AH34" s="28">
        <f t="shared" si="22"/>
        <v>24</v>
      </c>
      <c r="AI34" s="28">
        <f t="shared" si="23"/>
        <v>0</v>
      </c>
      <c r="AK34" s="78" t="str">
        <f t="shared" ref="AK34:AN34" si="227">IF(U34&gt;0,AK$3,"")</f>
        <v>Thomas</v>
      </c>
      <c r="AL34" s="78" t="str">
        <f t="shared" si="227"/>
        <v>Peter</v>
      </c>
      <c r="AM34" s="78" t="str">
        <f t="shared" si="227"/>
        <v/>
      </c>
      <c r="AN34" s="78" t="str">
        <f t="shared" si="227"/>
        <v/>
      </c>
      <c r="AO34" s="56">
        <f t="shared" si="25"/>
        <v>2</v>
      </c>
      <c r="AP34" s="8" t="str">
        <f t="shared" si="26"/>
        <v>Peter</v>
      </c>
      <c r="AQ34" s="73" t="str">
        <f>IFERROR(__xludf.DUMMYFUNCTION("IFNA(QUERY(transpose(AY34:BB34),""Select Col1 where Col1 is not null limit 1"",0))"),"Thomas")</f>
        <v>Thomas</v>
      </c>
      <c r="AR34" s="56"/>
      <c r="AS34" s="28" t="str">
        <f t="shared" ref="AS34:AV34" si="228">IF(AK34=AS$3,"",AS$3)</f>
        <v/>
      </c>
      <c r="AT34" s="28" t="str">
        <f t="shared" si="228"/>
        <v/>
      </c>
      <c r="AU34" s="28" t="str">
        <f t="shared" si="228"/>
        <v>Janus</v>
      </c>
      <c r="AV34" s="28" t="str">
        <f t="shared" si="228"/>
        <v>Christian</v>
      </c>
      <c r="AW34" s="56">
        <f t="shared" si="28"/>
        <v>2</v>
      </c>
      <c r="AX34" s="28">
        <f t="shared" si="29"/>
        <v>24</v>
      </c>
      <c r="AY34" s="28" t="str">
        <f t="shared" ref="AY34:BB34" si="229">IFNA(IFS(AY$3=$AP34,"",$AX34=U34,AY$3),"")</f>
        <v>Thomas</v>
      </c>
      <c r="AZ34" s="28" t="str">
        <f t="shared" si="229"/>
        <v/>
      </c>
      <c r="BA34" s="28" t="str">
        <f t="shared" si="229"/>
        <v/>
      </c>
      <c r="BB34" s="28" t="str">
        <f t="shared" si="229"/>
        <v/>
      </c>
      <c r="BC34" s="58">
        <f>OFFSET('00_Regnskab_01'!$A$1,MATCH(A34,'00_Regnskab_01'!$A$1:$A$25)-1,2)</f>
        <v>43407</v>
      </c>
      <c r="BE34" s="80">
        <f t="shared" ref="BE34:BH34" si="230">if(U34&gt;0,1+BE33,0)</f>
        <v>4</v>
      </c>
      <c r="BF34" s="28">
        <f t="shared" si="230"/>
        <v>1</v>
      </c>
      <c r="BG34" s="28">
        <f t="shared" si="230"/>
        <v>0</v>
      </c>
      <c r="BH34" s="28">
        <f t="shared" si="230"/>
        <v>0</v>
      </c>
      <c r="BJ34" s="28">
        <f t="shared" ref="BJ34:BM34" si="231">if(U34&lt;0,1+BJ33,0)</f>
        <v>0</v>
      </c>
      <c r="BK34" s="28">
        <f t="shared" si="231"/>
        <v>0</v>
      </c>
      <c r="BL34" s="28">
        <f t="shared" si="231"/>
        <v>2</v>
      </c>
      <c r="BM34" s="28">
        <f t="shared" si="231"/>
        <v>1</v>
      </c>
      <c r="BO34" s="74">
        <f t="shared" ref="BO34:BR34" si="232">if(U34&gt;0,U34+BO33,0)</f>
        <v>124</v>
      </c>
      <c r="BP34" s="74">
        <f t="shared" si="232"/>
        <v>24</v>
      </c>
      <c r="BQ34" s="74">
        <f t="shared" si="232"/>
        <v>0</v>
      </c>
      <c r="BR34" s="74">
        <f t="shared" si="232"/>
        <v>0</v>
      </c>
      <c r="BT34" s="28">
        <f t="shared" ref="BT34:BW34" si="233">if(U34&lt;0,U34+BT33,0)</f>
        <v>0</v>
      </c>
      <c r="BU34" s="28">
        <f t="shared" si="233"/>
        <v>0</v>
      </c>
      <c r="BV34" s="28">
        <f t="shared" si="233"/>
        <v>-88</v>
      </c>
      <c r="BW34" s="28">
        <f t="shared" si="233"/>
        <v>-24</v>
      </c>
    </row>
    <row r="35">
      <c r="A35" s="53">
        <v>8.0</v>
      </c>
      <c r="B35" s="28">
        <f>'08_3-11-2018'!A28</f>
        <v>25</v>
      </c>
      <c r="C35" s="75">
        <f>'08_3-11-2018'!B28</f>
        <v>40</v>
      </c>
      <c r="D35" s="28">
        <f>'08_3-11-2018'!D28</f>
        <v>48</v>
      </c>
      <c r="E35" s="28">
        <f>'08_3-11-2018'!C28</f>
        <v>-136</v>
      </c>
      <c r="F35" s="28">
        <f>'08_3-11-2018'!E28</f>
        <v>48</v>
      </c>
      <c r="G35" s="28">
        <f>'08_3-11-2018'!F28</f>
        <v>0</v>
      </c>
      <c r="H35" s="28" t="str">
        <f>'08_3-11-2018'!G28</f>
        <v>Thomas</v>
      </c>
      <c r="J35" s="76" t="str">
        <f>'08_3-11-2018'!H28</f>
        <v>Peter</v>
      </c>
      <c r="K35" s="28" t="str">
        <f>'08_3-11-2018'!I28</f>
        <v>9 halve</v>
      </c>
      <c r="L35" s="56"/>
      <c r="M35" s="25">
        <v>9.0</v>
      </c>
      <c r="N35" s="25" t="s">
        <v>94</v>
      </c>
      <c r="T35" s="56"/>
      <c r="U35" s="77">
        <f t="shared" ref="U35:X35" si="234">C35-C34</f>
        <v>12</v>
      </c>
      <c r="V35" s="28">
        <f t="shared" si="234"/>
        <v>-12</v>
      </c>
      <c r="W35" s="28">
        <f t="shared" si="234"/>
        <v>-12</v>
      </c>
      <c r="X35" s="28">
        <f t="shared" si="234"/>
        <v>12</v>
      </c>
      <c r="AB35" s="28">
        <f t="shared" ref="AB35:AE35" si="235">IF(AB$3=$H35,U35,"")</f>
        <v>12</v>
      </c>
      <c r="AC35" s="28" t="str">
        <f t="shared" si="235"/>
        <v/>
      </c>
      <c r="AD35" s="28" t="str">
        <f t="shared" si="235"/>
        <v/>
      </c>
      <c r="AE35" s="28" t="str">
        <f t="shared" si="235"/>
        <v/>
      </c>
      <c r="AH35" s="28">
        <f t="shared" si="22"/>
        <v>12</v>
      </c>
      <c r="AI35" s="28">
        <f t="shared" si="23"/>
        <v>0</v>
      </c>
      <c r="AK35" s="78" t="str">
        <f t="shared" ref="AK35:AN35" si="236">IF(U35&gt;0,AK$3,"")</f>
        <v>Thomas</v>
      </c>
      <c r="AL35" s="78" t="str">
        <f t="shared" si="236"/>
        <v/>
      </c>
      <c r="AM35" s="78" t="str">
        <f t="shared" si="236"/>
        <v/>
      </c>
      <c r="AN35" s="78" t="str">
        <f t="shared" si="236"/>
        <v>Christian</v>
      </c>
      <c r="AO35" s="56">
        <f t="shared" si="25"/>
        <v>2</v>
      </c>
      <c r="AP35" s="8" t="str">
        <f t="shared" si="26"/>
        <v>Thomas</v>
      </c>
      <c r="AQ35" s="73" t="str">
        <f>IFERROR(__xludf.DUMMYFUNCTION("IFNA(QUERY(transpose(AY35:BB35),""Select Col1 where Col1 is not null limit 1"",0))"),"Christian")</f>
        <v>Christian</v>
      </c>
      <c r="AR35" s="56"/>
      <c r="AS35" s="28" t="str">
        <f t="shared" ref="AS35:AV35" si="237">IF(AK35=AS$3,"",AS$3)</f>
        <v/>
      </c>
      <c r="AT35" s="28" t="str">
        <f t="shared" si="237"/>
        <v>Peter</v>
      </c>
      <c r="AU35" s="28" t="str">
        <f t="shared" si="237"/>
        <v>Janus</v>
      </c>
      <c r="AV35" s="28" t="str">
        <f t="shared" si="237"/>
        <v/>
      </c>
      <c r="AW35" s="56">
        <f t="shared" si="28"/>
        <v>2</v>
      </c>
      <c r="AX35" s="28">
        <f t="shared" si="29"/>
        <v>12</v>
      </c>
      <c r="AY35" s="28" t="str">
        <f t="shared" ref="AY35:BB35" si="238">IFNA(IFS(AY$3=$AP35,"",$AX35=U35,AY$3),"")</f>
        <v/>
      </c>
      <c r="AZ35" s="28" t="str">
        <f t="shared" si="238"/>
        <v/>
      </c>
      <c r="BA35" s="28" t="str">
        <f t="shared" si="238"/>
        <v/>
      </c>
      <c r="BB35" s="28" t="str">
        <f t="shared" si="238"/>
        <v>Christian</v>
      </c>
      <c r="BC35" s="58">
        <f>OFFSET('00_Regnskab_01'!$A$1,MATCH(A35,'00_Regnskab_01'!$A$1:$A$25)-1,2)</f>
        <v>43407</v>
      </c>
      <c r="BE35" s="80">
        <f t="shared" ref="BE35:BH35" si="239">if(U35&gt;0,1+BE34,0)</f>
        <v>5</v>
      </c>
      <c r="BF35" s="28">
        <f t="shared" si="239"/>
        <v>0</v>
      </c>
      <c r="BG35" s="28">
        <f t="shared" si="239"/>
        <v>0</v>
      </c>
      <c r="BH35" s="28">
        <f t="shared" si="239"/>
        <v>1</v>
      </c>
      <c r="BJ35" s="28">
        <f t="shared" ref="BJ35:BM35" si="240">if(U35&lt;0,1+BJ34,0)</f>
        <v>0</v>
      </c>
      <c r="BK35" s="28">
        <f t="shared" si="240"/>
        <v>1</v>
      </c>
      <c r="BL35" s="28">
        <f t="shared" si="240"/>
        <v>3</v>
      </c>
      <c r="BM35" s="28">
        <f t="shared" si="240"/>
        <v>0</v>
      </c>
      <c r="BO35" s="74">
        <f t="shared" ref="BO35:BR35" si="241">if(U35&gt;0,U35+BO34,0)</f>
        <v>136</v>
      </c>
      <c r="BP35" s="74">
        <f t="shared" si="241"/>
        <v>0</v>
      </c>
      <c r="BQ35" s="74">
        <f t="shared" si="241"/>
        <v>0</v>
      </c>
      <c r="BR35" s="74">
        <f t="shared" si="241"/>
        <v>12</v>
      </c>
      <c r="BT35" s="28">
        <f t="shared" ref="BT35:BW35" si="242">if(U35&lt;0,U35+BT34,0)</f>
        <v>0</v>
      </c>
      <c r="BU35" s="28">
        <f t="shared" si="242"/>
        <v>-12</v>
      </c>
      <c r="BV35" s="28">
        <f t="shared" si="242"/>
        <v>-100</v>
      </c>
      <c r="BW35" s="28">
        <f t="shared" si="242"/>
        <v>0</v>
      </c>
    </row>
    <row r="36">
      <c r="A36" s="53">
        <v>8.0</v>
      </c>
      <c r="B36" s="28">
        <f>'08_3-11-2018'!A29</f>
        <v>26</v>
      </c>
      <c r="C36" s="75">
        <f>'08_3-11-2018'!B29</f>
        <v>32</v>
      </c>
      <c r="D36" s="28">
        <f>'08_3-11-2018'!D29</f>
        <v>40</v>
      </c>
      <c r="E36" s="28">
        <f>'08_3-11-2018'!C29</f>
        <v>-128</v>
      </c>
      <c r="F36" s="28">
        <f>'08_3-11-2018'!E29</f>
        <v>56</v>
      </c>
      <c r="G36" s="28">
        <f>'08_3-11-2018'!F29</f>
        <v>0</v>
      </c>
      <c r="H36" s="28" t="str">
        <f>'08_3-11-2018'!G29</f>
        <v>Peter</v>
      </c>
      <c r="J36" s="76" t="str">
        <f>'08_3-11-2018'!H29</f>
        <v>Janus</v>
      </c>
      <c r="K36" s="28" t="str">
        <f>'08_3-11-2018'!I29</f>
        <v>9.  gode</v>
      </c>
      <c r="L36" s="56"/>
      <c r="M36" s="25">
        <v>9.0</v>
      </c>
      <c r="N36" s="25" t="s">
        <v>95</v>
      </c>
      <c r="T36" s="56"/>
      <c r="U36" s="77">
        <f t="shared" ref="U36:X36" si="243">C36-C35</f>
        <v>-8</v>
      </c>
      <c r="V36" s="28">
        <f t="shared" si="243"/>
        <v>-8</v>
      </c>
      <c r="W36" s="28">
        <f t="shared" si="243"/>
        <v>8</v>
      </c>
      <c r="X36" s="28">
        <f t="shared" si="243"/>
        <v>8</v>
      </c>
      <c r="AB36" s="28" t="str">
        <f t="shared" ref="AB36:AE36" si="244">IF(AB$3=$H36,U36,"")</f>
        <v/>
      </c>
      <c r="AC36" s="28">
        <f t="shared" si="244"/>
        <v>-8</v>
      </c>
      <c r="AD36" s="28" t="str">
        <f t="shared" si="244"/>
        <v/>
      </c>
      <c r="AE36" s="28" t="str">
        <f t="shared" si="244"/>
        <v/>
      </c>
      <c r="AH36" s="28">
        <f t="shared" si="22"/>
        <v>0</v>
      </c>
      <c r="AI36" s="28">
        <f t="shared" si="23"/>
        <v>-8</v>
      </c>
      <c r="AK36" s="78" t="str">
        <f t="shared" ref="AK36:AN36" si="245">IF(U36&gt;0,AK$3,"")</f>
        <v/>
      </c>
      <c r="AL36" s="78" t="str">
        <f t="shared" si="245"/>
        <v/>
      </c>
      <c r="AM36" s="78" t="str">
        <f t="shared" si="245"/>
        <v>Janus</v>
      </c>
      <c r="AN36" s="78" t="str">
        <f t="shared" si="245"/>
        <v>Christian</v>
      </c>
      <c r="AO36" s="56">
        <f t="shared" si="25"/>
        <v>2</v>
      </c>
      <c r="AP36" s="8" t="str">
        <f t="shared" si="26"/>
        <v>Peter</v>
      </c>
      <c r="AQ36" s="73" t="str">
        <f>IFERROR(__xludf.DUMMYFUNCTION("IFNA(QUERY(transpose(AY36:BB36),""Select Col1 where Col1 is not null limit 1"",0))"),"Thomas")</f>
        <v>Thomas</v>
      </c>
      <c r="AR36" s="56"/>
      <c r="AS36" s="28" t="str">
        <f t="shared" ref="AS36:AV36" si="246">IF(AK36=AS$3,"",AS$3)</f>
        <v>Thomas</v>
      </c>
      <c r="AT36" s="28" t="str">
        <f t="shared" si="246"/>
        <v>Peter</v>
      </c>
      <c r="AU36" s="28" t="str">
        <f t="shared" si="246"/>
        <v/>
      </c>
      <c r="AV36" s="28" t="str">
        <f t="shared" si="246"/>
        <v/>
      </c>
      <c r="AW36" s="56">
        <f t="shared" si="28"/>
        <v>2</v>
      </c>
      <c r="AX36" s="28">
        <f t="shared" si="29"/>
        <v>-8</v>
      </c>
      <c r="AY36" s="28" t="str">
        <f t="shared" ref="AY36:BB36" si="247">IFNA(IFS(AY$3=$AP36,"",$AX36=U36,AY$3),"")</f>
        <v>Thomas</v>
      </c>
      <c r="AZ36" s="28" t="str">
        <f t="shared" si="247"/>
        <v/>
      </c>
      <c r="BA36" s="28" t="str">
        <f t="shared" si="247"/>
        <v/>
      </c>
      <c r="BB36" s="28" t="str">
        <f t="shared" si="247"/>
        <v/>
      </c>
      <c r="BC36" s="58">
        <f>OFFSET('00_Regnskab_01'!$A$1,MATCH(A36,'00_Regnskab_01'!$A$1:$A$25)-1,2)</f>
        <v>43407</v>
      </c>
      <c r="BE36" s="80">
        <f t="shared" ref="BE36:BH36" si="248">if(U36&gt;0,1+BE35,0)</f>
        <v>0</v>
      </c>
      <c r="BF36" s="28">
        <f t="shared" si="248"/>
        <v>0</v>
      </c>
      <c r="BG36" s="28">
        <f t="shared" si="248"/>
        <v>1</v>
      </c>
      <c r="BH36" s="28">
        <f t="shared" si="248"/>
        <v>2</v>
      </c>
      <c r="BJ36" s="28">
        <f t="shared" ref="BJ36:BM36" si="249">if(U36&lt;0,1+BJ35,0)</f>
        <v>1</v>
      </c>
      <c r="BK36" s="28">
        <f t="shared" si="249"/>
        <v>2</v>
      </c>
      <c r="BL36" s="28">
        <f t="shared" si="249"/>
        <v>0</v>
      </c>
      <c r="BM36" s="28">
        <f t="shared" si="249"/>
        <v>0</v>
      </c>
      <c r="BO36" s="74">
        <f t="shared" ref="BO36:BR36" si="250">if(U36&gt;0,U36+BO35,0)</f>
        <v>0</v>
      </c>
      <c r="BP36" s="74">
        <f t="shared" si="250"/>
        <v>0</v>
      </c>
      <c r="BQ36" s="74">
        <f t="shared" si="250"/>
        <v>8</v>
      </c>
      <c r="BR36" s="74">
        <f t="shared" si="250"/>
        <v>20</v>
      </c>
      <c r="BT36" s="28">
        <f t="shared" ref="BT36:BW36" si="251">if(U36&lt;0,U36+BT35,0)</f>
        <v>-8</v>
      </c>
      <c r="BU36" s="28">
        <f t="shared" si="251"/>
        <v>-20</v>
      </c>
      <c r="BV36" s="28">
        <f t="shared" si="251"/>
        <v>0</v>
      </c>
      <c r="BW36" s="28">
        <f t="shared" si="251"/>
        <v>0</v>
      </c>
    </row>
    <row r="37">
      <c r="A37" s="53">
        <v>8.0</v>
      </c>
      <c r="B37" s="28">
        <f>'08_3-11-2018'!A30</f>
        <v>27</v>
      </c>
      <c r="C37" s="75">
        <f>'08_3-11-2018'!B30</f>
        <v>44</v>
      </c>
      <c r="D37" s="28">
        <f>'08_3-11-2018'!D30</f>
        <v>28</v>
      </c>
      <c r="E37" s="28">
        <f>'08_3-11-2018'!C30</f>
        <v>-140</v>
      </c>
      <c r="F37" s="28">
        <f>'08_3-11-2018'!E30</f>
        <v>68</v>
      </c>
      <c r="G37" s="28">
        <f>'08_3-11-2018'!F30</f>
        <v>0</v>
      </c>
      <c r="H37" s="28" t="str">
        <f>'08_3-11-2018'!G30</f>
        <v>Christian</v>
      </c>
      <c r="J37" s="76" t="str">
        <f>'08_3-11-2018'!H30</f>
        <v>Thomas</v>
      </c>
      <c r="K37" s="28" t="str">
        <f>'08_3-11-2018'!I30</f>
        <v>9.  halve</v>
      </c>
      <c r="L37" s="56"/>
      <c r="M37" s="25">
        <v>9.0</v>
      </c>
      <c r="N37" s="25" t="s">
        <v>94</v>
      </c>
      <c r="T37" s="56"/>
      <c r="U37" s="77">
        <f t="shared" ref="U37:X37" si="252">C37-C36</f>
        <v>12</v>
      </c>
      <c r="V37" s="28">
        <f t="shared" si="252"/>
        <v>-12</v>
      </c>
      <c r="W37" s="28">
        <f t="shared" si="252"/>
        <v>-12</v>
      </c>
      <c r="X37" s="28">
        <f t="shared" si="252"/>
        <v>12</v>
      </c>
      <c r="AB37" s="28" t="str">
        <f t="shared" ref="AB37:AE37" si="253">IF(AB$3=$H37,U37,"")</f>
        <v/>
      </c>
      <c r="AC37" s="28" t="str">
        <f t="shared" si="253"/>
        <v/>
      </c>
      <c r="AD37" s="28" t="str">
        <f t="shared" si="253"/>
        <v/>
      </c>
      <c r="AE37" s="28">
        <f t="shared" si="253"/>
        <v>12</v>
      </c>
      <c r="AH37" s="28">
        <f t="shared" si="22"/>
        <v>12</v>
      </c>
      <c r="AI37" s="28">
        <f t="shared" si="23"/>
        <v>0</v>
      </c>
      <c r="AK37" s="78" t="str">
        <f t="shared" ref="AK37:AN37" si="254">IF(U37&gt;0,AK$3,"")</f>
        <v>Thomas</v>
      </c>
      <c r="AL37" s="78" t="str">
        <f t="shared" si="254"/>
        <v/>
      </c>
      <c r="AM37" s="78" t="str">
        <f t="shared" si="254"/>
        <v/>
      </c>
      <c r="AN37" s="78" t="str">
        <f t="shared" si="254"/>
        <v>Christian</v>
      </c>
      <c r="AO37" s="56">
        <f t="shared" si="25"/>
        <v>2</v>
      </c>
      <c r="AP37" s="8" t="str">
        <f t="shared" si="26"/>
        <v>Christian</v>
      </c>
      <c r="AQ37" s="73" t="str">
        <f>IFERROR(__xludf.DUMMYFUNCTION("IFNA(QUERY(transpose(AY37:BB37),""Select Col1 where Col1 is not null limit 1"",0))"),"Thomas")</f>
        <v>Thomas</v>
      </c>
      <c r="AR37" s="56"/>
      <c r="AS37" s="28" t="str">
        <f t="shared" ref="AS37:AV37" si="255">IF(AK37=AS$3,"",AS$3)</f>
        <v/>
      </c>
      <c r="AT37" s="28" t="str">
        <f t="shared" si="255"/>
        <v>Peter</v>
      </c>
      <c r="AU37" s="28" t="str">
        <f t="shared" si="255"/>
        <v>Janus</v>
      </c>
      <c r="AV37" s="28" t="str">
        <f t="shared" si="255"/>
        <v/>
      </c>
      <c r="AW37" s="56">
        <f t="shared" si="28"/>
        <v>2</v>
      </c>
      <c r="AX37" s="28">
        <f t="shared" si="29"/>
        <v>12</v>
      </c>
      <c r="AY37" s="28" t="str">
        <f t="shared" ref="AY37:BB37" si="256">IFNA(IFS(AY$3=$AP37,"",$AX37=U37,AY$3),"")</f>
        <v>Thomas</v>
      </c>
      <c r="AZ37" s="28" t="str">
        <f t="shared" si="256"/>
        <v/>
      </c>
      <c r="BA37" s="28" t="str">
        <f t="shared" si="256"/>
        <v/>
      </c>
      <c r="BB37" s="28" t="str">
        <f t="shared" si="256"/>
        <v/>
      </c>
      <c r="BC37" s="58">
        <f>OFFSET('00_Regnskab_01'!$A$1,MATCH(A37,'00_Regnskab_01'!$A$1:$A$25)-1,2)</f>
        <v>43407</v>
      </c>
      <c r="BE37" s="80">
        <f t="shared" ref="BE37:BH37" si="257">if(U37&gt;0,1+BE36,0)</f>
        <v>1</v>
      </c>
      <c r="BF37" s="28">
        <f t="shared" si="257"/>
        <v>0</v>
      </c>
      <c r="BG37" s="28">
        <f t="shared" si="257"/>
        <v>0</v>
      </c>
      <c r="BH37" s="28">
        <f t="shared" si="257"/>
        <v>3</v>
      </c>
      <c r="BJ37" s="28">
        <f t="shared" ref="BJ37:BM37" si="258">if(U37&lt;0,1+BJ36,0)</f>
        <v>0</v>
      </c>
      <c r="BK37" s="28">
        <f t="shared" si="258"/>
        <v>3</v>
      </c>
      <c r="BL37" s="28">
        <f t="shared" si="258"/>
        <v>1</v>
      </c>
      <c r="BM37" s="28">
        <f t="shared" si="258"/>
        <v>0</v>
      </c>
      <c r="BO37" s="74">
        <f t="shared" ref="BO37:BR37" si="259">if(U37&gt;0,U37+BO36,0)</f>
        <v>12</v>
      </c>
      <c r="BP37" s="74">
        <f t="shared" si="259"/>
        <v>0</v>
      </c>
      <c r="BQ37" s="74">
        <f t="shared" si="259"/>
        <v>0</v>
      </c>
      <c r="BR37" s="74">
        <f t="shared" si="259"/>
        <v>32</v>
      </c>
      <c r="BT37" s="28">
        <f t="shared" ref="BT37:BW37" si="260">if(U37&lt;0,U37+BT36,0)</f>
        <v>0</v>
      </c>
      <c r="BU37" s="28">
        <f t="shared" si="260"/>
        <v>-32</v>
      </c>
      <c r="BV37" s="28">
        <f t="shared" si="260"/>
        <v>-12</v>
      </c>
      <c r="BW37" s="28">
        <f t="shared" si="260"/>
        <v>0</v>
      </c>
    </row>
    <row r="38">
      <c r="A38" s="53">
        <v>8.0</v>
      </c>
      <c r="B38" s="28">
        <f>'08_3-11-2018'!A31</f>
        <v>28</v>
      </c>
      <c r="C38" s="75">
        <f>'08_3-11-2018'!B31</f>
        <v>124</v>
      </c>
      <c r="D38" s="28">
        <f>'08_3-11-2018'!D31</f>
        <v>-52</v>
      </c>
      <c r="E38" s="28">
        <f>'08_3-11-2018'!C31</f>
        <v>-220</v>
      </c>
      <c r="F38" s="28">
        <f>'08_3-11-2018'!E31</f>
        <v>148</v>
      </c>
      <c r="G38" s="28">
        <f>'08_3-11-2018'!F31</f>
        <v>0</v>
      </c>
      <c r="H38" s="28" t="str">
        <f>'08_3-11-2018'!G31</f>
        <v>Thomas</v>
      </c>
      <c r="J38" s="76" t="str">
        <f>'08_3-11-2018'!H31</f>
        <v>Christian</v>
      </c>
      <c r="K38" s="28" t="str">
        <f>'08_3-11-2018'!I31</f>
        <v>9. vip i 2. </v>
      </c>
      <c r="L38" s="56"/>
      <c r="M38" s="25">
        <v>9.0</v>
      </c>
      <c r="N38" s="25" t="s">
        <v>86</v>
      </c>
      <c r="O38" s="25">
        <v>2.0</v>
      </c>
      <c r="T38" s="56"/>
      <c r="U38" s="77">
        <f t="shared" ref="U38:X38" si="261">C38-C37</f>
        <v>80</v>
      </c>
      <c r="V38" s="28">
        <f t="shared" si="261"/>
        <v>-80</v>
      </c>
      <c r="W38" s="28">
        <f t="shared" si="261"/>
        <v>-80</v>
      </c>
      <c r="X38" s="28">
        <f t="shared" si="261"/>
        <v>80</v>
      </c>
      <c r="AB38" s="28">
        <f t="shared" ref="AB38:AE38" si="262">IF(AB$3=$H38,U38,"")</f>
        <v>80</v>
      </c>
      <c r="AC38" s="28" t="str">
        <f t="shared" si="262"/>
        <v/>
      </c>
      <c r="AD38" s="28" t="str">
        <f t="shared" si="262"/>
        <v/>
      </c>
      <c r="AE38" s="28" t="str">
        <f t="shared" si="262"/>
        <v/>
      </c>
      <c r="AH38" s="28">
        <f t="shared" si="22"/>
        <v>80</v>
      </c>
      <c r="AI38" s="28">
        <f t="shared" si="23"/>
        <v>0</v>
      </c>
      <c r="AK38" s="78" t="str">
        <f t="shared" ref="AK38:AN38" si="263">IF(U38&gt;0,AK$3,"")</f>
        <v>Thomas</v>
      </c>
      <c r="AL38" s="78" t="str">
        <f t="shared" si="263"/>
        <v/>
      </c>
      <c r="AM38" s="78" t="str">
        <f t="shared" si="263"/>
        <v/>
      </c>
      <c r="AN38" s="78" t="str">
        <f t="shared" si="263"/>
        <v>Christian</v>
      </c>
      <c r="AO38" s="56">
        <f t="shared" si="25"/>
        <v>2</v>
      </c>
      <c r="AP38" s="8" t="str">
        <f t="shared" si="26"/>
        <v>Thomas</v>
      </c>
      <c r="AQ38" s="73" t="str">
        <f>IFERROR(__xludf.DUMMYFUNCTION("IFNA(QUERY(transpose(AY38:BB38),""Select Col1 where Col1 is not null limit 1"",0))"),"Christian")</f>
        <v>Christian</v>
      </c>
      <c r="AR38" s="56"/>
      <c r="AS38" s="28" t="str">
        <f t="shared" ref="AS38:AV38" si="264">IF(AK38=AS$3,"",AS$3)</f>
        <v/>
      </c>
      <c r="AT38" s="28" t="str">
        <f t="shared" si="264"/>
        <v>Peter</v>
      </c>
      <c r="AU38" s="28" t="str">
        <f t="shared" si="264"/>
        <v>Janus</v>
      </c>
      <c r="AV38" s="28" t="str">
        <f t="shared" si="264"/>
        <v/>
      </c>
      <c r="AW38" s="56">
        <f t="shared" si="28"/>
        <v>2</v>
      </c>
      <c r="AX38" s="28">
        <f t="shared" si="29"/>
        <v>80</v>
      </c>
      <c r="AY38" s="28" t="str">
        <f t="shared" ref="AY38:BB38" si="265">IFNA(IFS(AY$3=$AP38,"",$AX38=U38,AY$3),"")</f>
        <v/>
      </c>
      <c r="AZ38" s="28" t="str">
        <f t="shared" si="265"/>
        <v/>
      </c>
      <c r="BA38" s="28" t="str">
        <f t="shared" si="265"/>
        <v/>
      </c>
      <c r="BB38" s="28" t="str">
        <f t="shared" si="265"/>
        <v>Christian</v>
      </c>
      <c r="BC38" s="58">
        <f>OFFSET('00_Regnskab_01'!$A$1,MATCH(A38,'00_Regnskab_01'!$A$1:$A$25)-1,2)</f>
        <v>43407</v>
      </c>
      <c r="BE38" s="80">
        <f t="shared" ref="BE38:BH38" si="266">if(U38&gt;0,1+BE37,0)</f>
        <v>2</v>
      </c>
      <c r="BF38" s="28">
        <f t="shared" si="266"/>
        <v>0</v>
      </c>
      <c r="BG38" s="28">
        <f t="shared" si="266"/>
        <v>0</v>
      </c>
      <c r="BH38" s="28">
        <f t="shared" si="266"/>
        <v>4</v>
      </c>
      <c r="BJ38" s="28">
        <f t="shared" ref="BJ38:BM38" si="267">if(U38&lt;0,1+BJ37,0)</f>
        <v>0</v>
      </c>
      <c r="BK38" s="28">
        <f t="shared" si="267"/>
        <v>4</v>
      </c>
      <c r="BL38" s="28">
        <f t="shared" si="267"/>
        <v>2</v>
      </c>
      <c r="BM38" s="28">
        <f t="shared" si="267"/>
        <v>0</v>
      </c>
      <c r="BO38" s="74">
        <f t="shared" ref="BO38:BR38" si="268">if(U38&gt;0,U38+BO37,0)</f>
        <v>92</v>
      </c>
      <c r="BP38" s="74">
        <f t="shared" si="268"/>
        <v>0</v>
      </c>
      <c r="BQ38" s="74">
        <f t="shared" si="268"/>
        <v>0</v>
      </c>
      <c r="BR38" s="74">
        <f t="shared" si="268"/>
        <v>112</v>
      </c>
      <c r="BT38" s="28">
        <f t="shared" ref="BT38:BW38" si="269">if(U38&lt;0,U38+BT37,0)</f>
        <v>0</v>
      </c>
      <c r="BU38" s="28">
        <f t="shared" si="269"/>
        <v>-112</v>
      </c>
      <c r="BV38" s="28">
        <f t="shared" si="269"/>
        <v>-92</v>
      </c>
      <c r="BW38" s="28">
        <f t="shared" si="269"/>
        <v>0</v>
      </c>
    </row>
    <row r="39">
      <c r="A39" s="53">
        <v>8.0</v>
      </c>
      <c r="B39" s="28">
        <f>'08_3-11-2018'!A32</f>
        <v>29</v>
      </c>
      <c r="C39" s="75">
        <f>'08_3-11-2018'!B32</f>
        <v>116</v>
      </c>
      <c r="D39" s="28">
        <f>'08_3-11-2018'!D32</f>
        <v>-44</v>
      </c>
      <c r="E39" s="28">
        <f>'08_3-11-2018'!C32</f>
        <v>-228</v>
      </c>
      <c r="F39" s="28">
        <f>'08_3-11-2018'!E32</f>
        <v>156</v>
      </c>
      <c r="G39" s="28">
        <f>'08_3-11-2018'!F32</f>
        <v>0</v>
      </c>
      <c r="H39" s="28" t="str">
        <f>'08_3-11-2018'!G32</f>
        <v>Janus</v>
      </c>
      <c r="J39" s="76" t="str">
        <f>'08_3-11-2018'!H32</f>
        <v>Peter</v>
      </c>
      <c r="K39" s="28" t="str">
        <f>'08_3-11-2018'!I32</f>
        <v>9 halve</v>
      </c>
      <c r="L39" s="56"/>
      <c r="M39" s="25">
        <v>9.0</v>
      </c>
      <c r="N39" s="25" t="s">
        <v>94</v>
      </c>
      <c r="T39" s="56"/>
      <c r="U39" s="77">
        <f t="shared" ref="U39:X39" si="270">C39-C38</f>
        <v>-8</v>
      </c>
      <c r="V39" s="28">
        <f t="shared" si="270"/>
        <v>8</v>
      </c>
      <c r="W39" s="28">
        <f t="shared" si="270"/>
        <v>-8</v>
      </c>
      <c r="X39" s="28">
        <f t="shared" si="270"/>
        <v>8</v>
      </c>
      <c r="AB39" s="28" t="str">
        <f t="shared" ref="AB39:AE39" si="271">IF(AB$3=$H39,U39,"")</f>
        <v/>
      </c>
      <c r="AC39" s="28" t="str">
        <f t="shared" si="271"/>
        <v/>
      </c>
      <c r="AD39" s="28">
        <f t="shared" si="271"/>
        <v>-8</v>
      </c>
      <c r="AE39" s="28" t="str">
        <f t="shared" si="271"/>
        <v/>
      </c>
      <c r="AH39" s="28">
        <f t="shared" si="22"/>
        <v>0</v>
      </c>
      <c r="AI39" s="28">
        <f t="shared" si="23"/>
        <v>-8</v>
      </c>
      <c r="AK39" s="78" t="str">
        <f t="shared" ref="AK39:AN39" si="272">IF(U39&gt;0,AK$3,"")</f>
        <v/>
      </c>
      <c r="AL39" s="78" t="str">
        <f t="shared" si="272"/>
        <v>Peter</v>
      </c>
      <c r="AM39" s="78" t="str">
        <f t="shared" si="272"/>
        <v/>
      </c>
      <c r="AN39" s="78" t="str">
        <f t="shared" si="272"/>
        <v>Christian</v>
      </c>
      <c r="AO39" s="56">
        <f t="shared" si="25"/>
        <v>2</v>
      </c>
      <c r="AP39" s="8" t="str">
        <f t="shared" si="26"/>
        <v>Janus</v>
      </c>
      <c r="AQ39" s="73" t="str">
        <f>IFERROR(__xludf.DUMMYFUNCTION("IFNA(QUERY(transpose(AY39:BB39),""Select Col1 where Col1 is not null limit 1"",0))"),"Thomas")</f>
        <v>Thomas</v>
      </c>
      <c r="AR39" s="56"/>
      <c r="AS39" s="28" t="str">
        <f t="shared" ref="AS39:AV39" si="273">IF(AK39=AS$3,"",AS$3)</f>
        <v>Thomas</v>
      </c>
      <c r="AT39" s="28" t="str">
        <f t="shared" si="273"/>
        <v/>
      </c>
      <c r="AU39" s="28" t="str">
        <f t="shared" si="273"/>
        <v>Janus</v>
      </c>
      <c r="AV39" s="28" t="str">
        <f t="shared" si="273"/>
        <v/>
      </c>
      <c r="AW39" s="56">
        <f t="shared" si="28"/>
        <v>2</v>
      </c>
      <c r="AX39" s="28">
        <f t="shared" si="29"/>
        <v>-8</v>
      </c>
      <c r="AY39" s="28" t="str">
        <f t="shared" ref="AY39:BB39" si="274">IFNA(IFS(AY$3=$AP39,"",$AX39=U39,AY$3),"")</f>
        <v>Thomas</v>
      </c>
      <c r="AZ39" s="28" t="str">
        <f t="shared" si="274"/>
        <v/>
      </c>
      <c r="BA39" s="28" t="str">
        <f t="shared" si="274"/>
        <v/>
      </c>
      <c r="BB39" s="28" t="str">
        <f t="shared" si="274"/>
        <v/>
      </c>
      <c r="BC39" s="58">
        <f>OFFSET('00_Regnskab_01'!$A$1,MATCH(A39,'00_Regnskab_01'!$A$1:$A$25)-1,2)</f>
        <v>43407</v>
      </c>
      <c r="BE39" s="80">
        <f t="shared" ref="BE39:BH39" si="275">if(U39&gt;0,1+BE38,0)</f>
        <v>0</v>
      </c>
      <c r="BF39" s="28">
        <f t="shared" si="275"/>
        <v>1</v>
      </c>
      <c r="BG39" s="28">
        <f t="shared" si="275"/>
        <v>0</v>
      </c>
      <c r="BH39" s="28">
        <f t="shared" si="275"/>
        <v>5</v>
      </c>
      <c r="BJ39" s="28">
        <f t="shared" ref="BJ39:BM39" si="276">if(U39&lt;0,1+BJ38,0)</f>
        <v>1</v>
      </c>
      <c r="BK39" s="28">
        <f t="shared" si="276"/>
        <v>0</v>
      </c>
      <c r="BL39" s="28">
        <f t="shared" si="276"/>
        <v>3</v>
      </c>
      <c r="BM39" s="28">
        <f t="shared" si="276"/>
        <v>0</v>
      </c>
      <c r="BO39" s="74">
        <f t="shared" ref="BO39:BR39" si="277">if(U39&gt;0,U39+BO38,0)</f>
        <v>0</v>
      </c>
      <c r="BP39" s="74">
        <f t="shared" si="277"/>
        <v>8</v>
      </c>
      <c r="BQ39" s="74">
        <f t="shared" si="277"/>
        <v>0</v>
      </c>
      <c r="BR39" s="74">
        <f t="shared" si="277"/>
        <v>120</v>
      </c>
      <c r="BT39" s="28">
        <f t="shared" ref="BT39:BW39" si="278">if(U39&lt;0,U39+BT38,0)</f>
        <v>-8</v>
      </c>
      <c r="BU39" s="28">
        <f t="shared" si="278"/>
        <v>0</v>
      </c>
      <c r="BV39" s="28">
        <f t="shared" si="278"/>
        <v>-100</v>
      </c>
      <c r="BW39" s="28">
        <f t="shared" si="278"/>
        <v>0</v>
      </c>
    </row>
    <row r="40">
      <c r="A40" s="53">
        <v>8.0</v>
      </c>
      <c r="B40" s="28">
        <f>'08_3-11-2018'!A33</f>
        <v>30</v>
      </c>
      <c r="C40" s="75">
        <f>'08_3-11-2018'!B33</f>
        <v>36</v>
      </c>
      <c r="D40" s="28">
        <f>'08_3-11-2018'!D33</f>
        <v>-124</v>
      </c>
      <c r="E40" s="28">
        <f>'08_3-11-2018'!C33</f>
        <v>-148</v>
      </c>
      <c r="F40" s="28">
        <f>'08_3-11-2018'!E33</f>
        <v>236</v>
      </c>
      <c r="G40" s="28">
        <f>'08_3-11-2018'!F33</f>
        <v>0</v>
      </c>
      <c r="H40" s="28" t="str">
        <f>'08_3-11-2018'!G33</f>
        <v>Thomas</v>
      </c>
      <c r="J40" s="76" t="str">
        <f>'08_3-11-2018'!H33</f>
        <v>Janus</v>
      </c>
      <c r="K40" s="28" t="str">
        <f>'08_3-11-2018'!I33</f>
        <v>9 vip i 3.</v>
      </c>
      <c r="L40" s="56"/>
      <c r="M40" s="25">
        <v>9.0</v>
      </c>
      <c r="N40" s="25" t="s">
        <v>86</v>
      </c>
      <c r="O40" s="25">
        <v>3.0</v>
      </c>
      <c r="T40" s="56"/>
      <c r="U40" s="77">
        <f t="shared" ref="U40:X40" si="279">C40-C39</f>
        <v>-80</v>
      </c>
      <c r="V40" s="28">
        <f t="shared" si="279"/>
        <v>-80</v>
      </c>
      <c r="W40" s="28">
        <f t="shared" si="279"/>
        <v>80</v>
      </c>
      <c r="X40" s="28">
        <f t="shared" si="279"/>
        <v>80</v>
      </c>
      <c r="AB40" s="28">
        <f t="shared" ref="AB40:AE40" si="280">IF(AB$3=$H40,U40,"")</f>
        <v>-80</v>
      </c>
      <c r="AC40" s="28" t="str">
        <f t="shared" si="280"/>
        <v/>
      </c>
      <c r="AD40" s="28" t="str">
        <f t="shared" si="280"/>
        <v/>
      </c>
      <c r="AE40" s="28" t="str">
        <f t="shared" si="280"/>
        <v/>
      </c>
      <c r="AH40" s="28">
        <f t="shared" si="22"/>
        <v>0</v>
      </c>
      <c r="AI40" s="28">
        <f t="shared" si="23"/>
        <v>-80</v>
      </c>
      <c r="AK40" s="78" t="str">
        <f t="shared" ref="AK40:AN40" si="281">IF(U40&gt;0,AK$3,"")</f>
        <v/>
      </c>
      <c r="AL40" s="78" t="str">
        <f t="shared" si="281"/>
        <v/>
      </c>
      <c r="AM40" s="78" t="str">
        <f t="shared" si="281"/>
        <v>Janus</v>
      </c>
      <c r="AN40" s="78" t="str">
        <f t="shared" si="281"/>
        <v>Christian</v>
      </c>
      <c r="AO40" s="56">
        <f t="shared" si="25"/>
        <v>2</v>
      </c>
      <c r="AP40" s="8" t="str">
        <f t="shared" si="26"/>
        <v>Thomas</v>
      </c>
      <c r="AQ40" s="73" t="str">
        <f>IFERROR(__xludf.DUMMYFUNCTION("IFNA(QUERY(transpose(AY40:BB40),""Select Col1 where Col1 is not null limit 1"",0))"),"Peter")</f>
        <v>Peter</v>
      </c>
      <c r="AR40" s="56"/>
      <c r="AS40" s="28" t="str">
        <f t="shared" ref="AS40:AV40" si="282">IF(AK40=AS$3,"",AS$3)</f>
        <v>Thomas</v>
      </c>
      <c r="AT40" s="28" t="str">
        <f t="shared" si="282"/>
        <v>Peter</v>
      </c>
      <c r="AU40" s="28" t="str">
        <f t="shared" si="282"/>
        <v/>
      </c>
      <c r="AV40" s="28" t="str">
        <f t="shared" si="282"/>
        <v/>
      </c>
      <c r="AW40" s="56">
        <f t="shared" si="28"/>
        <v>2</v>
      </c>
      <c r="AX40" s="28">
        <f t="shared" si="29"/>
        <v>-80</v>
      </c>
      <c r="AY40" s="28" t="str">
        <f t="shared" ref="AY40:BB40" si="283">IFNA(IFS(AY$3=$AP40,"",$AX40=U40,AY$3),"")</f>
        <v/>
      </c>
      <c r="AZ40" s="28" t="str">
        <f t="shared" si="283"/>
        <v>Peter</v>
      </c>
      <c r="BA40" s="28" t="str">
        <f t="shared" si="283"/>
        <v/>
      </c>
      <c r="BB40" s="28" t="str">
        <f t="shared" si="283"/>
        <v/>
      </c>
      <c r="BC40" s="58">
        <f>OFFSET('00_Regnskab_01'!$A$1,MATCH(A40,'00_Regnskab_01'!$A$1:$A$25)-1,2)</f>
        <v>43407</v>
      </c>
      <c r="BE40" s="80">
        <f t="shared" ref="BE40:BH40" si="284">if(U40&gt;0,1+BE39,0)</f>
        <v>0</v>
      </c>
      <c r="BF40" s="28">
        <f t="shared" si="284"/>
        <v>0</v>
      </c>
      <c r="BG40" s="28">
        <f t="shared" si="284"/>
        <v>1</v>
      </c>
      <c r="BH40" s="28">
        <f t="shared" si="284"/>
        <v>6</v>
      </c>
      <c r="BJ40" s="28">
        <f t="shared" ref="BJ40:BM40" si="285">if(U40&lt;0,1+BJ39,0)</f>
        <v>2</v>
      </c>
      <c r="BK40" s="28">
        <f t="shared" si="285"/>
        <v>1</v>
      </c>
      <c r="BL40" s="28">
        <f t="shared" si="285"/>
        <v>0</v>
      </c>
      <c r="BM40" s="28">
        <f t="shared" si="285"/>
        <v>0</v>
      </c>
      <c r="BO40" s="74">
        <f t="shared" ref="BO40:BR40" si="286">if(U40&gt;0,U40+BO39,0)</f>
        <v>0</v>
      </c>
      <c r="BP40" s="74">
        <f t="shared" si="286"/>
        <v>0</v>
      </c>
      <c r="BQ40" s="74">
        <f t="shared" si="286"/>
        <v>80</v>
      </c>
      <c r="BR40" s="74">
        <f t="shared" si="286"/>
        <v>200</v>
      </c>
      <c r="BT40" s="28">
        <f t="shared" ref="BT40:BW40" si="287">if(U40&lt;0,U40+BT39,0)</f>
        <v>-88</v>
      </c>
      <c r="BU40" s="28">
        <f t="shared" si="287"/>
        <v>-80</v>
      </c>
      <c r="BV40" s="28">
        <f t="shared" si="287"/>
        <v>0</v>
      </c>
      <c r="BW40" s="28">
        <f t="shared" si="287"/>
        <v>0</v>
      </c>
    </row>
    <row r="41">
      <c r="A41" s="53">
        <v>8.0</v>
      </c>
      <c r="B41" s="28">
        <f>'08_3-11-2018'!A34</f>
        <v>31</v>
      </c>
      <c r="C41" s="75">
        <f>'08_3-11-2018'!B34</f>
        <v>28</v>
      </c>
      <c r="D41" s="28">
        <f>'08_3-11-2018'!D34</f>
        <v>-132</v>
      </c>
      <c r="E41" s="28">
        <f>'08_3-11-2018'!C34</f>
        <v>-156</v>
      </c>
      <c r="F41" s="28">
        <f>'08_3-11-2018'!E34</f>
        <v>260</v>
      </c>
      <c r="G41" s="28">
        <f>'08_3-11-2018'!F34</f>
        <v>0</v>
      </c>
      <c r="H41" s="28" t="str">
        <f>'08_3-11-2018'!G34</f>
        <v>Christian</v>
      </c>
      <c r="J41" s="76" t="str">
        <f>'08_3-11-2018'!H34</f>
        <v>Thomas</v>
      </c>
      <c r="K41" s="28" t="str">
        <f>'08_3-11-2018'!I34</f>
        <v>ren sol</v>
      </c>
      <c r="L41" s="56"/>
      <c r="N41" s="25" t="s">
        <v>97</v>
      </c>
      <c r="T41" s="56"/>
      <c r="U41" s="77">
        <f t="shared" ref="U41:X41" si="288">C41-C40</f>
        <v>-8</v>
      </c>
      <c r="V41" s="28">
        <f t="shared" si="288"/>
        <v>-8</v>
      </c>
      <c r="W41" s="28">
        <f t="shared" si="288"/>
        <v>-8</v>
      </c>
      <c r="X41" s="28">
        <f t="shared" si="288"/>
        <v>24</v>
      </c>
      <c r="AB41" s="28" t="str">
        <f t="shared" ref="AB41:AE41" si="289">IF(AB$3=$H41,U41,"")</f>
        <v/>
      </c>
      <c r="AC41" s="28" t="str">
        <f t="shared" si="289"/>
        <v/>
      </c>
      <c r="AD41" s="28" t="str">
        <f t="shared" si="289"/>
        <v/>
      </c>
      <c r="AE41" s="28">
        <f t="shared" si="289"/>
        <v>24</v>
      </c>
      <c r="AH41" s="28">
        <f t="shared" si="22"/>
        <v>24</v>
      </c>
      <c r="AI41" s="28">
        <f t="shared" si="23"/>
        <v>0</v>
      </c>
      <c r="AK41" s="78" t="str">
        <f t="shared" ref="AK41:AN41" si="290">IF(U41&gt;0,AK$3,"")</f>
        <v/>
      </c>
      <c r="AL41" s="78" t="str">
        <f t="shared" si="290"/>
        <v/>
      </c>
      <c r="AM41" s="78" t="str">
        <f t="shared" si="290"/>
        <v/>
      </c>
      <c r="AN41" s="78" t="str">
        <f t="shared" si="290"/>
        <v>Christian</v>
      </c>
      <c r="AO41" s="56">
        <f t="shared" si="25"/>
        <v>1</v>
      </c>
      <c r="AP41" s="8" t="str">
        <f t="shared" si="26"/>
        <v>Christian</v>
      </c>
      <c r="AQ41" s="73" t="str">
        <f>IFERROR(__xludf.DUMMYFUNCTION("IFNA(QUERY(transpose(AY41:BB41),""Select Col1 where Col1 is not null limit 1"",0))"),"")</f>
        <v/>
      </c>
      <c r="AR41" s="56"/>
      <c r="AS41" s="28" t="str">
        <f t="shared" ref="AS41:AV41" si="291">IF(AK41=AS$3,"",AS$3)</f>
        <v>Thomas</v>
      </c>
      <c r="AT41" s="28" t="str">
        <f t="shared" si="291"/>
        <v>Peter</v>
      </c>
      <c r="AU41" s="28" t="str">
        <f t="shared" si="291"/>
        <v>Janus</v>
      </c>
      <c r="AV41" s="28" t="str">
        <f t="shared" si="291"/>
        <v/>
      </c>
      <c r="AW41" s="56">
        <f t="shared" si="28"/>
        <v>3</v>
      </c>
      <c r="AX41" s="28">
        <f t="shared" si="29"/>
        <v>24</v>
      </c>
      <c r="AY41" s="28" t="str">
        <f t="shared" ref="AY41:BB41" si="292">IFNA(IFS(AY$3=$AP41,"",$AX41=U41,AY$3),"")</f>
        <v/>
      </c>
      <c r="AZ41" s="28" t="str">
        <f t="shared" si="292"/>
        <v/>
      </c>
      <c r="BA41" s="28" t="str">
        <f t="shared" si="292"/>
        <v/>
      </c>
      <c r="BB41" s="28" t="str">
        <f t="shared" si="292"/>
        <v/>
      </c>
      <c r="BC41" s="58">
        <f>OFFSET('00_Regnskab_01'!$A$1,MATCH(A41,'00_Regnskab_01'!$A$1:$A$25)-1,2)</f>
        <v>43407</v>
      </c>
      <c r="BE41" s="80">
        <f t="shared" ref="BE41:BH41" si="293">if(U41&gt;0,1+BE40,0)</f>
        <v>0</v>
      </c>
      <c r="BF41" s="28">
        <f t="shared" si="293"/>
        <v>0</v>
      </c>
      <c r="BG41" s="28">
        <f t="shared" si="293"/>
        <v>0</v>
      </c>
      <c r="BH41" s="28">
        <f t="shared" si="293"/>
        <v>7</v>
      </c>
      <c r="BJ41" s="28">
        <f t="shared" ref="BJ41:BM41" si="294">if(U41&lt;0,1+BJ40,0)</f>
        <v>3</v>
      </c>
      <c r="BK41" s="28">
        <f t="shared" si="294"/>
        <v>2</v>
      </c>
      <c r="BL41" s="28">
        <f t="shared" si="294"/>
        <v>1</v>
      </c>
      <c r="BM41" s="28">
        <f t="shared" si="294"/>
        <v>0</v>
      </c>
      <c r="BO41" s="74">
        <f t="shared" ref="BO41:BR41" si="295">if(U41&gt;0,U41+BO40,0)</f>
        <v>0</v>
      </c>
      <c r="BP41" s="74">
        <f t="shared" si="295"/>
        <v>0</v>
      </c>
      <c r="BQ41" s="74">
        <f t="shared" si="295"/>
        <v>0</v>
      </c>
      <c r="BR41" s="74">
        <f t="shared" si="295"/>
        <v>224</v>
      </c>
      <c r="BT41" s="28">
        <f t="shared" ref="BT41:BW41" si="296">if(U41&lt;0,U41+BT40,0)</f>
        <v>-96</v>
      </c>
      <c r="BU41" s="28">
        <f t="shared" si="296"/>
        <v>-88</v>
      </c>
      <c r="BV41" s="28">
        <f t="shared" si="296"/>
        <v>-8</v>
      </c>
      <c r="BW41" s="28">
        <f t="shared" si="296"/>
        <v>0</v>
      </c>
    </row>
    <row r="42">
      <c r="A42" s="53">
        <v>8.0</v>
      </c>
      <c r="B42" s="28">
        <f>'08_3-11-2018'!A35</f>
        <v>32</v>
      </c>
      <c r="C42" s="75">
        <f>'08_3-11-2018'!B35</f>
        <v>52</v>
      </c>
      <c r="D42" s="28">
        <f>'08_3-11-2018'!D35</f>
        <v>-204</v>
      </c>
      <c r="E42" s="28">
        <f>'08_3-11-2018'!C35</f>
        <v>-132</v>
      </c>
      <c r="F42" s="28">
        <f>'08_3-11-2018'!E35</f>
        <v>284</v>
      </c>
      <c r="G42" s="28">
        <f>'08_3-11-2018'!F35</f>
        <v>0</v>
      </c>
      <c r="H42" s="28" t="str">
        <f>'08_3-11-2018'!G35</f>
        <v>Peter</v>
      </c>
      <c r="J42" s="76" t="str">
        <f>'08_3-11-2018'!H35</f>
        <v>Christian</v>
      </c>
      <c r="K42" s="28" t="str">
        <f>'08_3-11-2018'!I35</f>
        <v>9 vip i 1.</v>
      </c>
      <c r="L42" s="56"/>
      <c r="M42" s="25">
        <v>9.0</v>
      </c>
      <c r="N42" s="25" t="s">
        <v>86</v>
      </c>
      <c r="O42" s="25">
        <v>1.0</v>
      </c>
      <c r="T42" s="56"/>
      <c r="U42" s="77">
        <f t="shared" ref="U42:X42" si="297">C42-C41</f>
        <v>24</v>
      </c>
      <c r="V42" s="28">
        <f t="shared" si="297"/>
        <v>-72</v>
      </c>
      <c r="W42" s="28">
        <f t="shared" si="297"/>
        <v>24</v>
      </c>
      <c r="X42" s="28">
        <f t="shared" si="297"/>
        <v>24</v>
      </c>
      <c r="AB42" s="28" t="str">
        <f t="shared" ref="AB42:AE42" si="298">IF(AB$3=$H42,U42,"")</f>
        <v/>
      </c>
      <c r="AC42" s="28">
        <f t="shared" si="298"/>
        <v>-72</v>
      </c>
      <c r="AD42" s="28" t="str">
        <f t="shared" si="298"/>
        <v/>
      </c>
      <c r="AE42" s="28" t="str">
        <f t="shared" si="298"/>
        <v/>
      </c>
      <c r="AH42" s="28">
        <f t="shared" si="22"/>
        <v>0</v>
      </c>
      <c r="AI42" s="28">
        <f t="shared" si="23"/>
        <v>-72</v>
      </c>
      <c r="AK42" s="78" t="str">
        <f t="shared" ref="AK42:AN42" si="299">IF(U42&gt;0,AK$3,"")</f>
        <v>Thomas</v>
      </c>
      <c r="AL42" s="78" t="str">
        <f t="shared" si="299"/>
        <v/>
      </c>
      <c r="AM42" s="78" t="str">
        <f t="shared" si="299"/>
        <v>Janus</v>
      </c>
      <c r="AN42" s="78" t="str">
        <f t="shared" si="299"/>
        <v>Christian</v>
      </c>
      <c r="AO42" s="56">
        <f t="shared" si="25"/>
        <v>3</v>
      </c>
      <c r="AP42" s="8" t="str">
        <f t="shared" si="26"/>
        <v>Peter</v>
      </c>
      <c r="AQ42" s="73" t="str">
        <f>IFERROR(__xludf.DUMMYFUNCTION("IFNA(QUERY(transpose(AY42:BB42),""Select Col1 where Col1 is not null limit 1"",0))"),"")</f>
        <v/>
      </c>
      <c r="AR42" s="56"/>
      <c r="AS42" s="28" t="str">
        <f t="shared" ref="AS42:AV42" si="300">IF(AK42=AS$3,"",AS$3)</f>
        <v/>
      </c>
      <c r="AT42" s="28" t="str">
        <f t="shared" si="300"/>
        <v>Peter</v>
      </c>
      <c r="AU42" s="28" t="str">
        <f t="shared" si="300"/>
        <v/>
      </c>
      <c r="AV42" s="28" t="str">
        <f t="shared" si="300"/>
        <v/>
      </c>
      <c r="AW42" s="56">
        <f t="shared" si="28"/>
        <v>1</v>
      </c>
      <c r="AX42" s="28">
        <f t="shared" si="29"/>
        <v>-72</v>
      </c>
      <c r="AY42" s="28" t="str">
        <f t="shared" ref="AY42:BB42" si="301">IFNA(IFS(AY$3=$AP42,"",$AX42=U42,AY$3),"")</f>
        <v/>
      </c>
      <c r="AZ42" s="28" t="str">
        <f t="shared" si="301"/>
        <v/>
      </c>
      <c r="BA42" s="28" t="str">
        <f t="shared" si="301"/>
        <v/>
      </c>
      <c r="BB42" s="28" t="str">
        <f t="shared" si="301"/>
        <v/>
      </c>
      <c r="BC42" s="58">
        <f>OFFSET('00_Regnskab_01'!$A$1,MATCH(A42,'00_Regnskab_01'!$A$1:$A$25)-1,2)</f>
        <v>43407</v>
      </c>
      <c r="BE42" s="80">
        <f t="shared" ref="BE42:BH42" si="302">if(U42&gt;0,1+BE41,0)</f>
        <v>1</v>
      </c>
      <c r="BF42" s="28">
        <f t="shared" si="302"/>
        <v>0</v>
      </c>
      <c r="BG42" s="28">
        <f t="shared" si="302"/>
        <v>1</v>
      </c>
      <c r="BH42" s="28">
        <f t="shared" si="302"/>
        <v>8</v>
      </c>
      <c r="BJ42" s="28">
        <f t="shared" ref="BJ42:BM42" si="303">if(U42&lt;0,1+BJ41,0)</f>
        <v>0</v>
      </c>
      <c r="BK42" s="28">
        <f t="shared" si="303"/>
        <v>3</v>
      </c>
      <c r="BL42" s="28">
        <f t="shared" si="303"/>
        <v>0</v>
      </c>
      <c r="BM42" s="28">
        <f t="shared" si="303"/>
        <v>0</v>
      </c>
      <c r="BO42" s="74">
        <f t="shared" ref="BO42:BR42" si="304">if(U42&gt;0,U42+BO41,0)</f>
        <v>24</v>
      </c>
      <c r="BP42" s="74">
        <f t="shared" si="304"/>
        <v>0</v>
      </c>
      <c r="BQ42" s="74">
        <f t="shared" si="304"/>
        <v>24</v>
      </c>
      <c r="BR42" s="74">
        <f t="shared" si="304"/>
        <v>248</v>
      </c>
      <c r="BT42" s="28">
        <f t="shared" ref="BT42:BW42" si="305">if(U42&lt;0,U42+BT41,0)</f>
        <v>0</v>
      </c>
      <c r="BU42" s="28">
        <f t="shared" si="305"/>
        <v>-160</v>
      </c>
      <c r="BV42" s="28">
        <f t="shared" si="305"/>
        <v>0</v>
      </c>
      <c r="BW42" s="28">
        <f t="shared" si="305"/>
        <v>0</v>
      </c>
    </row>
    <row r="43">
      <c r="A43" s="53">
        <v>8.0</v>
      </c>
      <c r="B43" s="28">
        <f>'08_3-11-2018'!A36</f>
        <v>33</v>
      </c>
      <c r="C43" s="75">
        <f>'08_3-11-2018'!B36</f>
        <v>36</v>
      </c>
      <c r="D43" s="28">
        <f>'08_3-11-2018'!D36</f>
        <v>-220</v>
      </c>
      <c r="E43" s="28">
        <f>'08_3-11-2018'!C36</f>
        <v>-148</v>
      </c>
      <c r="F43" s="28">
        <f>'08_3-11-2018'!E36</f>
        <v>332</v>
      </c>
      <c r="G43" s="28">
        <f>'08_3-11-2018'!F36</f>
        <v>0</v>
      </c>
      <c r="H43" s="28" t="str">
        <f>'08_3-11-2018'!G36</f>
        <v>Christian</v>
      </c>
      <c r="J43" s="76" t="str">
        <f>'08_3-11-2018'!H36</f>
        <v>Peter</v>
      </c>
      <c r="K43" s="82" t="str">
        <f>'08_3-11-2018'!I36</f>
        <v>10 sol ren</v>
      </c>
      <c r="L43" s="56"/>
      <c r="N43" s="25" t="s">
        <v>97</v>
      </c>
      <c r="T43" s="56"/>
      <c r="U43" s="77">
        <f t="shared" ref="U43:X43" si="306">C43-C42</f>
        <v>-16</v>
      </c>
      <c r="V43" s="28">
        <f t="shared" si="306"/>
        <v>-16</v>
      </c>
      <c r="W43" s="28">
        <f t="shared" si="306"/>
        <v>-16</v>
      </c>
      <c r="X43" s="28">
        <f t="shared" si="306"/>
        <v>48</v>
      </c>
      <c r="AB43" s="28" t="str">
        <f t="shared" ref="AB43:AE43" si="307">IF(AB$3=$H43,U43,"")</f>
        <v/>
      </c>
      <c r="AC43" s="28" t="str">
        <f t="shared" si="307"/>
        <v/>
      </c>
      <c r="AD43" s="28" t="str">
        <f t="shared" si="307"/>
        <v/>
      </c>
      <c r="AE43" s="28">
        <f t="shared" si="307"/>
        <v>48</v>
      </c>
      <c r="AH43" s="28">
        <f t="shared" si="22"/>
        <v>48</v>
      </c>
      <c r="AI43" s="28">
        <f t="shared" si="23"/>
        <v>0</v>
      </c>
      <c r="AK43" s="78" t="str">
        <f t="shared" ref="AK43:AN43" si="308">IF(U43&gt;0,AK$3,"")</f>
        <v/>
      </c>
      <c r="AL43" s="78" t="str">
        <f t="shared" si="308"/>
        <v/>
      </c>
      <c r="AM43" s="78" t="str">
        <f t="shared" si="308"/>
        <v/>
      </c>
      <c r="AN43" s="78" t="str">
        <f t="shared" si="308"/>
        <v>Christian</v>
      </c>
      <c r="AO43" s="56">
        <f t="shared" si="25"/>
        <v>1</v>
      </c>
      <c r="AP43" s="8" t="str">
        <f t="shared" si="26"/>
        <v>Christian</v>
      </c>
      <c r="AQ43" s="73" t="str">
        <f>IFERROR(__xludf.DUMMYFUNCTION("IFNA(QUERY(transpose(AY43:BB43),""Select Col1 where Col1 is not null limit 1"",0))"),"")</f>
        <v/>
      </c>
      <c r="AR43" s="56"/>
      <c r="AS43" s="28" t="str">
        <f t="shared" ref="AS43:AV43" si="309">IF(AK43=AS$3,"",AS$3)</f>
        <v>Thomas</v>
      </c>
      <c r="AT43" s="28" t="str">
        <f t="shared" si="309"/>
        <v>Peter</v>
      </c>
      <c r="AU43" s="28" t="str">
        <f t="shared" si="309"/>
        <v>Janus</v>
      </c>
      <c r="AV43" s="28" t="str">
        <f t="shared" si="309"/>
        <v/>
      </c>
      <c r="AW43" s="56">
        <f t="shared" si="28"/>
        <v>3</v>
      </c>
      <c r="AX43" s="28">
        <f t="shared" si="29"/>
        <v>48</v>
      </c>
      <c r="AY43" s="28" t="str">
        <f t="shared" ref="AY43:BB43" si="310">IFNA(IFS(AY$3=$AP43,"",$AX43=U43,AY$3),"")</f>
        <v/>
      </c>
      <c r="AZ43" s="28" t="str">
        <f t="shared" si="310"/>
        <v/>
      </c>
      <c r="BA43" s="28" t="str">
        <f t="shared" si="310"/>
        <v/>
      </c>
      <c r="BB43" s="28" t="str">
        <f t="shared" si="310"/>
        <v/>
      </c>
      <c r="BC43" s="58">
        <f>OFFSET('00_Regnskab_01'!$A$1,MATCH(A43,'00_Regnskab_01'!$A$1:$A$25)-1,2)</f>
        <v>43407</v>
      </c>
      <c r="BE43" s="80">
        <f t="shared" ref="BE43:BH43" si="311">if(U43&gt;0,1+BE42,0)</f>
        <v>0</v>
      </c>
      <c r="BF43" s="28">
        <f t="shared" si="311"/>
        <v>0</v>
      </c>
      <c r="BG43" s="28">
        <f t="shared" si="311"/>
        <v>0</v>
      </c>
      <c r="BH43" s="28">
        <f t="shared" si="311"/>
        <v>9</v>
      </c>
      <c r="BJ43" s="28">
        <f t="shared" ref="BJ43:BM43" si="312">if(U43&lt;0,1+BJ42,0)</f>
        <v>1</v>
      </c>
      <c r="BK43" s="28">
        <f t="shared" si="312"/>
        <v>4</v>
      </c>
      <c r="BL43" s="28">
        <f t="shared" si="312"/>
        <v>1</v>
      </c>
      <c r="BM43" s="28">
        <f t="shared" si="312"/>
        <v>0</v>
      </c>
      <c r="BO43" s="74">
        <f t="shared" ref="BO43:BR43" si="313">if(U43&gt;0,U43+BO42,0)</f>
        <v>0</v>
      </c>
      <c r="BP43" s="74">
        <f t="shared" si="313"/>
        <v>0</v>
      </c>
      <c r="BQ43" s="74">
        <f t="shared" si="313"/>
        <v>0</v>
      </c>
      <c r="BR43" s="74">
        <f t="shared" si="313"/>
        <v>296</v>
      </c>
      <c r="BT43" s="28">
        <f t="shared" ref="BT43:BW43" si="314">if(U43&lt;0,U43+BT42,0)</f>
        <v>-16</v>
      </c>
      <c r="BU43" s="28">
        <f t="shared" si="314"/>
        <v>-176</v>
      </c>
      <c r="BV43" s="28">
        <f t="shared" si="314"/>
        <v>-16</v>
      </c>
      <c r="BW43" s="28">
        <f t="shared" si="314"/>
        <v>0</v>
      </c>
    </row>
    <row r="44">
      <c r="A44" s="53">
        <v>8.0</v>
      </c>
      <c r="B44" s="28">
        <f>'08_3-11-2018'!A37</f>
        <v>34</v>
      </c>
      <c r="C44" s="75">
        <f>'08_3-11-2018'!B37</f>
        <v>20</v>
      </c>
      <c r="D44" s="28">
        <f>'08_3-11-2018'!D37</f>
        <v>-236</v>
      </c>
      <c r="E44" s="28">
        <f>'08_3-11-2018'!C37</f>
        <v>-132</v>
      </c>
      <c r="F44" s="28">
        <f>'08_3-11-2018'!E37</f>
        <v>348</v>
      </c>
      <c r="G44" s="28">
        <f>'08_3-11-2018'!F37</f>
        <v>0</v>
      </c>
      <c r="H44" s="28" t="str">
        <f>'08_3-11-2018'!G37</f>
        <v>Janus</v>
      </c>
      <c r="J44" s="76" t="str">
        <f>'08_3-11-2018'!H37</f>
        <v>Janus</v>
      </c>
      <c r="K44" s="28" t="str">
        <f>'08_3-11-2018'!I37</f>
        <v>10 gode</v>
      </c>
      <c r="L44" s="56"/>
      <c r="M44" s="25">
        <v>10.0</v>
      </c>
      <c r="N44" s="25" t="s">
        <v>95</v>
      </c>
      <c r="T44" s="56"/>
      <c r="U44" s="77">
        <f t="shared" ref="U44:X44" si="315">C44-C43</f>
        <v>-16</v>
      </c>
      <c r="V44" s="28">
        <f t="shared" si="315"/>
        <v>-16</v>
      </c>
      <c r="W44" s="28">
        <f t="shared" si="315"/>
        <v>16</v>
      </c>
      <c r="X44" s="28">
        <f t="shared" si="315"/>
        <v>16</v>
      </c>
      <c r="AB44" s="28" t="str">
        <f t="shared" ref="AB44:AE44" si="316">IF(AB$3=$H44,U44,"")</f>
        <v/>
      </c>
      <c r="AC44" s="28" t="str">
        <f t="shared" si="316"/>
        <v/>
      </c>
      <c r="AD44" s="28">
        <f t="shared" si="316"/>
        <v>16</v>
      </c>
      <c r="AE44" s="28" t="str">
        <f t="shared" si="316"/>
        <v/>
      </c>
      <c r="AH44" s="28">
        <f t="shared" si="22"/>
        <v>16</v>
      </c>
      <c r="AI44" s="28">
        <f t="shared" si="23"/>
        <v>0</v>
      </c>
      <c r="AK44" s="78" t="str">
        <f t="shared" ref="AK44:AN44" si="317">IF(U44&gt;0,AK$3,"")</f>
        <v/>
      </c>
      <c r="AL44" s="78" t="str">
        <f t="shared" si="317"/>
        <v/>
      </c>
      <c r="AM44" s="78" t="str">
        <f t="shared" si="317"/>
        <v>Janus</v>
      </c>
      <c r="AN44" s="78" t="str">
        <f t="shared" si="317"/>
        <v>Christian</v>
      </c>
      <c r="AO44" s="56">
        <f t="shared" si="25"/>
        <v>2</v>
      </c>
      <c r="AP44" s="8" t="str">
        <f t="shared" si="26"/>
        <v>Janus</v>
      </c>
      <c r="AQ44" s="73" t="str">
        <f>IFERROR(__xludf.DUMMYFUNCTION("IFNA(QUERY(transpose(AY44:BB44),""Select Col1 where Col1 is not null limit 1"",0))"),"Christian")</f>
        <v>Christian</v>
      </c>
      <c r="AR44" s="56"/>
      <c r="AS44" s="28" t="str">
        <f t="shared" ref="AS44:AV44" si="318">IF(AK44=AS$3,"",AS$3)</f>
        <v>Thomas</v>
      </c>
      <c r="AT44" s="28" t="str">
        <f t="shared" si="318"/>
        <v>Peter</v>
      </c>
      <c r="AU44" s="28" t="str">
        <f t="shared" si="318"/>
        <v/>
      </c>
      <c r="AV44" s="28" t="str">
        <f t="shared" si="318"/>
        <v/>
      </c>
      <c r="AW44" s="56">
        <f t="shared" si="28"/>
        <v>2</v>
      </c>
      <c r="AX44" s="28">
        <f t="shared" si="29"/>
        <v>16</v>
      </c>
      <c r="AY44" s="28" t="str">
        <f t="shared" ref="AY44:BB44" si="319">IFNA(IFS(AY$3=$AP44,"",$AX44=U44,AY$3),"")</f>
        <v/>
      </c>
      <c r="AZ44" s="28" t="str">
        <f t="shared" si="319"/>
        <v/>
      </c>
      <c r="BA44" s="28" t="str">
        <f t="shared" si="319"/>
        <v/>
      </c>
      <c r="BB44" s="28" t="str">
        <f t="shared" si="319"/>
        <v>Christian</v>
      </c>
      <c r="BC44" s="58">
        <f>OFFSET('00_Regnskab_01'!$A$1,MATCH(A44,'00_Regnskab_01'!$A$1:$A$25)-1,2)</f>
        <v>43407</v>
      </c>
      <c r="BE44" s="80">
        <f t="shared" ref="BE44:BH44" si="320">if(U44&gt;0,1+BE43,0)</f>
        <v>0</v>
      </c>
      <c r="BF44" s="28">
        <f t="shared" si="320"/>
        <v>0</v>
      </c>
      <c r="BG44" s="28">
        <f t="shared" si="320"/>
        <v>1</v>
      </c>
      <c r="BH44" s="28">
        <f t="shared" si="320"/>
        <v>10</v>
      </c>
      <c r="BJ44" s="28">
        <f t="shared" ref="BJ44:BM44" si="321">if(U44&lt;0,1+BJ43,0)</f>
        <v>2</v>
      </c>
      <c r="BK44" s="28">
        <f t="shared" si="321"/>
        <v>5</v>
      </c>
      <c r="BL44" s="28">
        <f t="shared" si="321"/>
        <v>0</v>
      </c>
      <c r="BM44" s="28">
        <f t="shared" si="321"/>
        <v>0</v>
      </c>
      <c r="BO44" s="74">
        <f t="shared" ref="BO44:BR44" si="322">if(U44&gt;0,U44+BO43,0)</f>
        <v>0</v>
      </c>
      <c r="BP44" s="74">
        <f t="shared" si="322"/>
        <v>0</v>
      </c>
      <c r="BQ44" s="74">
        <f t="shared" si="322"/>
        <v>16</v>
      </c>
      <c r="BR44" s="74">
        <f t="shared" si="322"/>
        <v>312</v>
      </c>
      <c r="BT44" s="28">
        <f t="shared" ref="BT44:BW44" si="323">if(U44&lt;0,U44+BT43,0)</f>
        <v>-32</v>
      </c>
      <c r="BU44" s="28">
        <f t="shared" si="323"/>
        <v>-192</v>
      </c>
      <c r="BV44" s="28">
        <f t="shared" si="323"/>
        <v>0</v>
      </c>
      <c r="BW44" s="28">
        <f t="shared" si="323"/>
        <v>0</v>
      </c>
    </row>
    <row r="45">
      <c r="A45" s="53">
        <v>8.0</v>
      </c>
      <c r="B45" s="28">
        <f>'08_3-11-2018'!A38</f>
        <v>35</v>
      </c>
      <c r="C45" s="75">
        <f>'08_3-11-2018'!B38</f>
        <v>-4</v>
      </c>
      <c r="D45" s="28">
        <f>'08_3-11-2018'!D38</f>
        <v>-212</v>
      </c>
      <c r="E45" s="28">
        <f>'08_3-11-2018'!C38</f>
        <v>-156</v>
      </c>
      <c r="F45" s="28">
        <f>'08_3-11-2018'!E38</f>
        <v>372</v>
      </c>
      <c r="G45" s="28">
        <f>'08_3-11-2018'!F38</f>
        <v>0</v>
      </c>
      <c r="H45" s="28" t="str">
        <f>'08_3-11-2018'!G38</f>
        <v>Christian</v>
      </c>
      <c r="J45" s="76" t="str">
        <f>'08_3-11-2018'!H38</f>
        <v>Thomas</v>
      </c>
      <c r="K45" s="28" t="str">
        <f>'08_3-11-2018'!I38</f>
        <v>9. sans</v>
      </c>
      <c r="L45" s="56"/>
      <c r="M45" s="25">
        <v>9.0</v>
      </c>
      <c r="N45" s="25" t="s">
        <v>98</v>
      </c>
      <c r="T45" s="56"/>
      <c r="U45" s="77">
        <f t="shared" ref="U45:X45" si="324">C45-C44</f>
        <v>-24</v>
      </c>
      <c r="V45" s="28">
        <f t="shared" si="324"/>
        <v>24</v>
      </c>
      <c r="W45" s="28">
        <f t="shared" si="324"/>
        <v>-24</v>
      </c>
      <c r="X45" s="28">
        <f t="shared" si="324"/>
        <v>24</v>
      </c>
      <c r="AB45" s="28" t="str">
        <f t="shared" ref="AB45:AE45" si="325">IF(AB$3=$H45,U45,"")</f>
        <v/>
      </c>
      <c r="AC45" s="28" t="str">
        <f t="shared" si="325"/>
        <v/>
      </c>
      <c r="AD45" s="28" t="str">
        <f t="shared" si="325"/>
        <v/>
      </c>
      <c r="AE45" s="28">
        <f t="shared" si="325"/>
        <v>24</v>
      </c>
      <c r="AH45" s="28">
        <f t="shared" si="22"/>
        <v>24</v>
      </c>
      <c r="AI45" s="28">
        <f t="shared" si="23"/>
        <v>0</v>
      </c>
      <c r="AK45" s="78" t="str">
        <f t="shared" ref="AK45:AN45" si="326">IF(U45&gt;0,AK$3,"")</f>
        <v/>
      </c>
      <c r="AL45" s="78" t="str">
        <f t="shared" si="326"/>
        <v>Peter</v>
      </c>
      <c r="AM45" s="78" t="str">
        <f t="shared" si="326"/>
        <v/>
      </c>
      <c r="AN45" s="78" t="str">
        <f t="shared" si="326"/>
        <v>Christian</v>
      </c>
      <c r="AO45" s="56">
        <f t="shared" si="25"/>
        <v>2</v>
      </c>
      <c r="AP45" s="8" t="str">
        <f t="shared" si="26"/>
        <v>Christian</v>
      </c>
      <c r="AQ45" s="73" t="str">
        <f>IFERROR(__xludf.DUMMYFUNCTION("IFNA(QUERY(transpose(AY45:BB45),""Select Col1 where Col1 is not null limit 1"",0))"),"Peter")</f>
        <v>Peter</v>
      </c>
      <c r="AR45" s="56"/>
      <c r="AS45" s="28" t="str">
        <f t="shared" ref="AS45:AV45" si="327">IF(AK45=AS$3,"",AS$3)</f>
        <v>Thomas</v>
      </c>
      <c r="AT45" s="28" t="str">
        <f t="shared" si="327"/>
        <v/>
      </c>
      <c r="AU45" s="28" t="str">
        <f t="shared" si="327"/>
        <v>Janus</v>
      </c>
      <c r="AV45" s="28" t="str">
        <f t="shared" si="327"/>
        <v/>
      </c>
      <c r="AW45" s="56">
        <f t="shared" si="28"/>
        <v>2</v>
      </c>
      <c r="AX45" s="28">
        <f t="shared" si="29"/>
        <v>24</v>
      </c>
      <c r="AY45" s="28" t="str">
        <f t="shared" ref="AY45:BB45" si="328">IFNA(IFS(AY$3=$AP45,"",$AX45=U45,AY$3),"")</f>
        <v/>
      </c>
      <c r="AZ45" s="28" t="str">
        <f t="shared" si="328"/>
        <v>Peter</v>
      </c>
      <c r="BA45" s="28" t="str">
        <f t="shared" si="328"/>
        <v/>
      </c>
      <c r="BB45" s="28" t="str">
        <f t="shared" si="328"/>
        <v/>
      </c>
      <c r="BC45" s="58">
        <f>OFFSET('00_Regnskab_01'!$A$1,MATCH(A45,'00_Regnskab_01'!$A$1:$A$25)-1,2)</f>
        <v>43407</v>
      </c>
      <c r="BE45" s="80">
        <f t="shared" ref="BE45:BH45" si="329">if(U45&gt;0,1+BE44,0)</f>
        <v>0</v>
      </c>
      <c r="BF45" s="28">
        <f t="shared" si="329"/>
        <v>1</v>
      </c>
      <c r="BG45" s="28">
        <f t="shared" si="329"/>
        <v>0</v>
      </c>
      <c r="BH45" s="28">
        <f t="shared" si="329"/>
        <v>11</v>
      </c>
      <c r="BJ45" s="28">
        <f t="shared" ref="BJ45:BM45" si="330">if(U45&lt;0,1+BJ44,0)</f>
        <v>3</v>
      </c>
      <c r="BK45" s="28">
        <f t="shared" si="330"/>
        <v>0</v>
      </c>
      <c r="BL45" s="28">
        <f t="shared" si="330"/>
        <v>1</v>
      </c>
      <c r="BM45" s="28">
        <f t="shared" si="330"/>
        <v>0</v>
      </c>
      <c r="BO45" s="74">
        <f t="shared" ref="BO45:BR45" si="331">if(U45&gt;0,U45+BO44,0)</f>
        <v>0</v>
      </c>
      <c r="BP45" s="74">
        <f t="shared" si="331"/>
        <v>24</v>
      </c>
      <c r="BQ45" s="74">
        <f t="shared" si="331"/>
        <v>0</v>
      </c>
      <c r="BR45" s="74">
        <f t="shared" si="331"/>
        <v>336</v>
      </c>
      <c r="BT45" s="28">
        <f t="shared" ref="BT45:BW45" si="332">if(U45&lt;0,U45+BT44,0)</f>
        <v>-56</v>
      </c>
      <c r="BU45" s="28">
        <f t="shared" si="332"/>
        <v>0</v>
      </c>
      <c r="BV45" s="28">
        <f t="shared" si="332"/>
        <v>-24</v>
      </c>
      <c r="BW45" s="28">
        <f t="shared" si="332"/>
        <v>0</v>
      </c>
    </row>
    <row r="46">
      <c r="A46" s="53">
        <v>8.0</v>
      </c>
      <c r="B46" s="28">
        <f>'08_3-11-2018'!A39</f>
        <v>36</v>
      </c>
      <c r="C46" s="75">
        <f>'08_3-11-2018'!B39</f>
        <v>12</v>
      </c>
      <c r="D46" s="28">
        <f>'08_3-11-2018'!D39</f>
        <v>-260</v>
      </c>
      <c r="E46" s="28">
        <f>'08_3-11-2018'!C39</f>
        <v>-140</v>
      </c>
      <c r="F46" s="28">
        <f>'08_3-11-2018'!E39</f>
        <v>388</v>
      </c>
      <c r="G46" s="28">
        <f>'08_3-11-2018'!F39</f>
        <v>0</v>
      </c>
      <c r="H46" s="28" t="str">
        <f>'08_3-11-2018'!G39</f>
        <v>Peter</v>
      </c>
      <c r="J46" s="76" t="str">
        <f>'08_3-11-2018'!H39</f>
        <v>Christian</v>
      </c>
      <c r="K46" s="28" t="str">
        <f>'08_3-11-2018'!I39</f>
        <v>Ren Sol</v>
      </c>
      <c r="L46" s="56"/>
      <c r="N46" s="25" t="s">
        <v>97</v>
      </c>
      <c r="T46" s="56"/>
      <c r="U46" s="77">
        <f t="shared" ref="U46:X46" si="333">C46-C45</f>
        <v>16</v>
      </c>
      <c r="V46" s="28">
        <f t="shared" si="333"/>
        <v>-48</v>
      </c>
      <c r="W46" s="28">
        <f t="shared" si="333"/>
        <v>16</v>
      </c>
      <c r="X46" s="28">
        <f t="shared" si="333"/>
        <v>16</v>
      </c>
      <c r="AB46" s="28" t="str">
        <f t="shared" ref="AB46:AE46" si="334">IF(AB$3=$H46,U46,"")</f>
        <v/>
      </c>
      <c r="AC46" s="28">
        <f t="shared" si="334"/>
        <v>-48</v>
      </c>
      <c r="AD46" s="28" t="str">
        <f t="shared" si="334"/>
        <v/>
      </c>
      <c r="AE46" s="28" t="str">
        <f t="shared" si="334"/>
        <v/>
      </c>
      <c r="AH46" s="28">
        <f t="shared" si="22"/>
        <v>0</v>
      </c>
      <c r="AI46" s="28">
        <f t="shared" si="23"/>
        <v>-48</v>
      </c>
      <c r="AK46" s="78" t="str">
        <f t="shared" ref="AK46:AN46" si="335">IF(U46&gt;0,AK$3,"")</f>
        <v>Thomas</v>
      </c>
      <c r="AL46" s="78" t="str">
        <f t="shared" si="335"/>
        <v/>
      </c>
      <c r="AM46" s="78" t="str">
        <f t="shared" si="335"/>
        <v>Janus</v>
      </c>
      <c r="AN46" s="78" t="str">
        <f t="shared" si="335"/>
        <v>Christian</v>
      </c>
      <c r="AO46" s="56">
        <f t="shared" si="25"/>
        <v>3</v>
      </c>
      <c r="AP46" s="8" t="str">
        <f t="shared" si="26"/>
        <v>Peter</v>
      </c>
      <c r="AQ46" s="73" t="str">
        <f>IFERROR(__xludf.DUMMYFUNCTION("IFNA(QUERY(transpose(AY46:BB46),""Select Col1 where Col1 is not null limit 1"",0))"),"")</f>
        <v/>
      </c>
      <c r="AR46" s="56"/>
      <c r="AS46" s="28" t="str">
        <f t="shared" ref="AS46:AV46" si="336">IF(AK46=AS$3,"",AS$3)</f>
        <v/>
      </c>
      <c r="AT46" s="28" t="str">
        <f t="shared" si="336"/>
        <v>Peter</v>
      </c>
      <c r="AU46" s="28" t="str">
        <f t="shared" si="336"/>
        <v/>
      </c>
      <c r="AV46" s="28" t="str">
        <f t="shared" si="336"/>
        <v/>
      </c>
      <c r="AW46" s="56">
        <f t="shared" si="28"/>
        <v>1</v>
      </c>
      <c r="AX46" s="28">
        <f t="shared" si="29"/>
        <v>-48</v>
      </c>
      <c r="AY46" s="28" t="str">
        <f t="shared" ref="AY46:BB46" si="337">IFNA(IFS(AY$3=$AP46,"",$AX46=U46,AY$3),"")</f>
        <v/>
      </c>
      <c r="AZ46" s="28" t="str">
        <f t="shared" si="337"/>
        <v/>
      </c>
      <c r="BA46" s="28" t="str">
        <f t="shared" si="337"/>
        <v/>
      </c>
      <c r="BB46" s="28" t="str">
        <f t="shared" si="337"/>
        <v/>
      </c>
      <c r="BC46" s="58">
        <f>OFFSET('00_Regnskab_01'!$A$1,MATCH(A46,'00_Regnskab_01'!$A$1:$A$25)-1,2)</f>
        <v>43407</v>
      </c>
      <c r="BE46" s="80">
        <f t="shared" ref="BE46:BH46" si="338">if(U46&gt;0,1+BE45,0)</f>
        <v>1</v>
      </c>
      <c r="BF46" s="28">
        <f t="shared" si="338"/>
        <v>0</v>
      </c>
      <c r="BG46" s="28">
        <f t="shared" si="338"/>
        <v>1</v>
      </c>
      <c r="BH46" s="28">
        <f t="shared" si="338"/>
        <v>12</v>
      </c>
      <c r="BJ46" s="28">
        <f t="shared" ref="BJ46:BM46" si="339">if(U46&lt;0,1+BJ45,0)</f>
        <v>0</v>
      </c>
      <c r="BK46" s="28">
        <f t="shared" si="339"/>
        <v>1</v>
      </c>
      <c r="BL46" s="28">
        <f t="shared" si="339"/>
        <v>0</v>
      </c>
      <c r="BM46" s="28">
        <f t="shared" si="339"/>
        <v>0</v>
      </c>
      <c r="BO46" s="74">
        <f t="shared" ref="BO46:BR46" si="340">if(U46&gt;0,U46+BO45,0)</f>
        <v>16</v>
      </c>
      <c r="BP46" s="74">
        <f t="shared" si="340"/>
        <v>0</v>
      </c>
      <c r="BQ46" s="74">
        <f t="shared" si="340"/>
        <v>16</v>
      </c>
      <c r="BR46" s="74">
        <f t="shared" si="340"/>
        <v>352</v>
      </c>
      <c r="BT46" s="28">
        <f t="shared" ref="BT46:BW46" si="341">if(U46&lt;0,U46+BT45,0)</f>
        <v>0</v>
      </c>
      <c r="BU46" s="28">
        <f t="shared" si="341"/>
        <v>-48</v>
      </c>
      <c r="BV46" s="28">
        <f t="shared" si="341"/>
        <v>0</v>
      </c>
      <c r="BW46" s="28">
        <f t="shared" si="341"/>
        <v>0</v>
      </c>
    </row>
    <row r="47">
      <c r="A47" s="53">
        <v>8.0</v>
      </c>
      <c r="B47" s="28">
        <f>'08_3-11-2018'!A40</f>
        <v>37</v>
      </c>
      <c r="C47" s="75">
        <f>'08_3-11-2018'!B40</f>
        <v>36</v>
      </c>
      <c r="D47" s="28">
        <f>'08_3-11-2018'!D40</f>
        <v>-284</v>
      </c>
      <c r="E47" s="28">
        <f>'08_3-11-2018'!C40</f>
        <v>-116</v>
      </c>
      <c r="F47" s="28">
        <f>'08_3-11-2018'!E40</f>
        <v>364</v>
      </c>
      <c r="G47" s="28">
        <f>'08_3-11-2018'!F40</f>
        <v>0</v>
      </c>
      <c r="H47" s="28" t="str">
        <f>'08_3-11-2018'!G40</f>
        <v>Thomas</v>
      </c>
      <c r="J47" s="76" t="str">
        <f>'08_3-11-2018'!H40</f>
        <v>Peter</v>
      </c>
      <c r="K47" s="28" t="str">
        <f>'08_3-11-2018'!I40</f>
        <v>9 vip i 2.</v>
      </c>
      <c r="L47" s="56"/>
      <c r="M47" s="25">
        <v>9.0</v>
      </c>
      <c r="N47" s="25" t="s">
        <v>86</v>
      </c>
      <c r="O47" s="25">
        <v>2.0</v>
      </c>
      <c r="T47" s="56"/>
      <c r="U47" s="77">
        <f t="shared" ref="U47:X47" si="342">C47-C46</f>
        <v>24</v>
      </c>
      <c r="V47" s="28">
        <f t="shared" si="342"/>
        <v>-24</v>
      </c>
      <c r="W47" s="28">
        <f t="shared" si="342"/>
        <v>24</v>
      </c>
      <c r="X47" s="28">
        <f t="shared" si="342"/>
        <v>-24</v>
      </c>
      <c r="AB47" s="28">
        <f t="shared" ref="AB47:AE47" si="343">IF(AB$3=$H47,U47,"")</f>
        <v>24</v>
      </c>
      <c r="AC47" s="28" t="str">
        <f t="shared" si="343"/>
        <v/>
      </c>
      <c r="AD47" s="28" t="str">
        <f t="shared" si="343"/>
        <v/>
      </c>
      <c r="AE47" s="28" t="str">
        <f t="shared" si="343"/>
        <v/>
      </c>
      <c r="AH47" s="28">
        <f t="shared" si="22"/>
        <v>24</v>
      </c>
      <c r="AI47" s="28">
        <f t="shared" si="23"/>
        <v>0</v>
      </c>
      <c r="AK47" s="78" t="str">
        <f t="shared" ref="AK47:AN47" si="344">IF(U47&gt;0,AK$3,"")</f>
        <v>Thomas</v>
      </c>
      <c r="AL47" s="78" t="str">
        <f t="shared" si="344"/>
        <v/>
      </c>
      <c r="AM47" s="78" t="str">
        <f t="shared" si="344"/>
        <v>Janus</v>
      </c>
      <c r="AN47" s="78" t="str">
        <f t="shared" si="344"/>
        <v/>
      </c>
      <c r="AO47" s="56">
        <f t="shared" si="25"/>
        <v>2</v>
      </c>
      <c r="AP47" s="8" t="str">
        <f t="shared" si="26"/>
        <v>Thomas</v>
      </c>
      <c r="AQ47" s="73" t="str">
        <f>IFERROR(__xludf.DUMMYFUNCTION("IFNA(QUERY(transpose(AY47:BB47),""Select Col1 where Col1 is not null limit 1"",0))"),"Janus")</f>
        <v>Janus</v>
      </c>
      <c r="AR47" s="56"/>
      <c r="AS47" s="28" t="str">
        <f t="shared" ref="AS47:AV47" si="345">IF(AK47=AS$3,"",AS$3)</f>
        <v/>
      </c>
      <c r="AT47" s="28" t="str">
        <f t="shared" si="345"/>
        <v>Peter</v>
      </c>
      <c r="AU47" s="28" t="str">
        <f t="shared" si="345"/>
        <v/>
      </c>
      <c r="AV47" s="28" t="str">
        <f t="shared" si="345"/>
        <v>Christian</v>
      </c>
      <c r="AW47" s="56">
        <f t="shared" si="28"/>
        <v>2</v>
      </c>
      <c r="AX47" s="28">
        <f t="shared" si="29"/>
        <v>24</v>
      </c>
      <c r="AY47" s="28" t="str">
        <f t="shared" ref="AY47:BB47" si="346">IFNA(IFS(AY$3=$AP47,"",$AX47=U47,AY$3),"")</f>
        <v/>
      </c>
      <c r="AZ47" s="28" t="str">
        <f t="shared" si="346"/>
        <v/>
      </c>
      <c r="BA47" s="28" t="str">
        <f t="shared" si="346"/>
        <v>Janus</v>
      </c>
      <c r="BB47" s="28" t="str">
        <f t="shared" si="346"/>
        <v/>
      </c>
      <c r="BC47" s="58">
        <f>OFFSET('00_Regnskab_01'!$A$1,MATCH(A47,'00_Regnskab_01'!$A$1:$A$25)-1,2)</f>
        <v>43407</v>
      </c>
      <c r="BE47" s="80">
        <f t="shared" ref="BE47:BH47" si="347">if(U47&gt;0,1+BE46,0)</f>
        <v>2</v>
      </c>
      <c r="BF47" s="28">
        <f t="shared" si="347"/>
        <v>0</v>
      </c>
      <c r="BG47" s="28">
        <f t="shared" si="347"/>
        <v>2</v>
      </c>
      <c r="BH47" s="28">
        <f t="shared" si="347"/>
        <v>0</v>
      </c>
      <c r="BJ47" s="28">
        <f t="shared" ref="BJ47:BM47" si="348">if(U47&lt;0,1+BJ46,0)</f>
        <v>0</v>
      </c>
      <c r="BK47" s="28">
        <f t="shared" si="348"/>
        <v>2</v>
      </c>
      <c r="BL47" s="28">
        <f t="shared" si="348"/>
        <v>0</v>
      </c>
      <c r="BM47" s="28">
        <f t="shared" si="348"/>
        <v>1</v>
      </c>
      <c r="BO47" s="74">
        <f t="shared" ref="BO47:BR47" si="349">if(U47&gt;0,U47+BO46,0)</f>
        <v>40</v>
      </c>
      <c r="BP47" s="74">
        <f t="shared" si="349"/>
        <v>0</v>
      </c>
      <c r="BQ47" s="74">
        <f t="shared" si="349"/>
        <v>40</v>
      </c>
      <c r="BR47" s="74">
        <f t="shared" si="349"/>
        <v>0</v>
      </c>
      <c r="BT47" s="28">
        <f t="shared" ref="BT47:BW47" si="350">if(U47&lt;0,U47+BT46,0)</f>
        <v>0</v>
      </c>
      <c r="BU47" s="28">
        <f t="shared" si="350"/>
        <v>-72</v>
      </c>
      <c r="BV47" s="28">
        <f t="shared" si="350"/>
        <v>0</v>
      </c>
      <c r="BW47" s="28">
        <f t="shared" si="350"/>
        <v>-24</v>
      </c>
    </row>
    <row r="48">
      <c r="A48" s="53">
        <v>8.0</v>
      </c>
      <c r="B48" s="28">
        <f>'08_3-11-2018'!A41</f>
        <v>38</v>
      </c>
      <c r="C48" s="75">
        <f>'08_3-11-2018'!B41</f>
        <v>20</v>
      </c>
      <c r="D48" s="28">
        <f>'08_3-11-2018'!D41</f>
        <v>-300</v>
      </c>
      <c r="E48" s="28">
        <f>'08_3-11-2018'!C41</f>
        <v>-100</v>
      </c>
      <c r="F48" s="28">
        <f>'08_3-11-2018'!E41</f>
        <v>380</v>
      </c>
      <c r="G48" s="28">
        <f>'08_3-11-2018'!F41</f>
        <v>0</v>
      </c>
      <c r="H48" s="28" t="str">
        <f>'08_3-11-2018'!G41</f>
        <v>Peter</v>
      </c>
      <c r="J48" s="76" t="str">
        <f>'08_3-11-2018'!H41</f>
        <v>Janus</v>
      </c>
      <c r="K48" s="28" t="str">
        <f>'08_3-11-2018'!I41</f>
        <v>10 sans</v>
      </c>
      <c r="L48" s="56"/>
      <c r="M48" s="25">
        <v>10.0</v>
      </c>
      <c r="N48" s="25" t="s">
        <v>98</v>
      </c>
      <c r="T48" s="56"/>
      <c r="U48" s="77">
        <f t="shared" ref="U48:X48" si="351">C48-C47</f>
        <v>-16</v>
      </c>
      <c r="V48" s="28">
        <f t="shared" si="351"/>
        <v>-16</v>
      </c>
      <c r="W48" s="28">
        <f t="shared" si="351"/>
        <v>16</v>
      </c>
      <c r="X48" s="28">
        <f t="shared" si="351"/>
        <v>16</v>
      </c>
      <c r="AB48" s="28" t="str">
        <f t="shared" ref="AB48:AE48" si="352">IF(AB$3=$H48,U48,"")</f>
        <v/>
      </c>
      <c r="AC48" s="28">
        <f t="shared" si="352"/>
        <v>-16</v>
      </c>
      <c r="AD48" s="28" t="str">
        <f t="shared" si="352"/>
        <v/>
      </c>
      <c r="AE48" s="28" t="str">
        <f t="shared" si="352"/>
        <v/>
      </c>
      <c r="AH48" s="28">
        <f t="shared" si="22"/>
        <v>0</v>
      </c>
      <c r="AI48" s="28">
        <f t="shared" si="23"/>
        <v>-16</v>
      </c>
      <c r="AK48" s="78" t="str">
        <f t="shared" ref="AK48:AN48" si="353">IF(U48&gt;0,AK$3,"")</f>
        <v/>
      </c>
      <c r="AL48" s="78" t="str">
        <f t="shared" si="353"/>
        <v/>
      </c>
      <c r="AM48" s="78" t="str">
        <f t="shared" si="353"/>
        <v>Janus</v>
      </c>
      <c r="AN48" s="78" t="str">
        <f t="shared" si="353"/>
        <v>Christian</v>
      </c>
      <c r="AO48" s="56">
        <f t="shared" si="25"/>
        <v>2</v>
      </c>
      <c r="AP48" s="8" t="str">
        <f t="shared" si="26"/>
        <v>Peter</v>
      </c>
      <c r="AQ48" s="73" t="str">
        <f>IFERROR(__xludf.DUMMYFUNCTION("IFNA(QUERY(transpose(AY48:BB48),""Select Col1 where Col1 is not null limit 1"",0))"),"Thomas")</f>
        <v>Thomas</v>
      </c>
      <c r="AR48" s="56"/>
      <c r="AS48" s="28" t="str">
        <f t="shared" ref="AS48:AV48" si="354">IF(AK48=AS$3,"",AS$3)</f>
        <v>Thomas</v>
      </c>
      <c r="AT48" s="28" t="str">
        <f t="shared" si="354"/>
        <v>Peter</v>
      </c>
      <c r="AU48" s="28" t="str">
        <f t="shared" si="354"/>
        <v/>
      </c>
      <c r="AV48" s="28" t="str">
        <f t="shared" si="354"/>
        <v/>
      </c>
      <c r="AW48" s="56">
        <f t="shared" si="28"/>
        <v>2</v>
      </c>
      <c r="AX48" s="28">
        <f t="shared" si="29"/>
        <v>-16</v>
      </c>
      <c r="AY48" s="28" t="str">
        <f t="shared" ref="AY48:BB48" si="355">IFNA(IFS(AY$3=$AP48,"",$AX48=U48,AY$3),"")</f>
        <v>Thomas</v>
      </c>
      <c r="AZ48" s="28" t="str">
        <f t="shared" si="355"/>
        <v/>
      </c>
      <c r="BA48" s="28" t="str">
        <f t="shared" si="355"/>
        <v/>
      </c>
      <c r="BB48" s="28" t="str">
        <f t="shared" si="355"/>
        <v/>
      </c>
      <c r="BC48" s="58">
        <f>OFFSET('00_Regnskab_01'!$A$1,MATCH(A48,'00_Regnskab_01'!$A$1:$A$25)-1,2)</f>
        <v>43407</v>
      </c>
      <c r="BE48" s="80">
        <f t="shared" ref="BE48:BH48" si="356">if(U48&gt;0,1+BE47,0)</f>
        <v>0</v>
      </c>
      <c r="BF48" s="28">
        <f t="shared" si="356"/>
        <v>0</v>
      </c>
      <c r="BG48" s="28">
        <f t="shared" si="356"/>
        <v>3</v>
      </c>
      <c r="BH48" s="28">
        <f t="shared" si="356"/>
        <v>1</v>
      </c>
      <c r="BJ48" s="28">
        <f t="shared" ref="BJ48:BM48" si="357">if(U48&lt;0,1+BJ47,0)</f>
        <v>1</v>
      </c>
      <c r="BK48" s="28">
        <f t="shared" si="357"/>
        <v>3</v>
      </c>
      <c r="BL48" s="28">
        <f t="shared" si="357"/>
        <v>0</v>
      </c>
      <c r="BM48" s="28">
        <f t="shared" si="357"/>
        <v>0</v>
      </c>
      <c r="BO48" s="74">
        <f t="shared" ref="BO48:BR48" si="358">if(U48&gt;0,U48+BO47,0)</f>
        <v>0</v>
      </c>
      <c r="BP48" s="74">
        <f t="shared" si="358"/>
        <v>0</v>
      </c>
      <c r="BQ48" s="74">
        <f t="shared" si="358"/>
        <v>56</v>
      </c>
      <c r="BR48" s="74">
        <f t="shared" si="358"/>
        <v>16</v>
      </c>
      <c r="BT48" s="28">
        <f t="shared" ref="BT48:BW48" si="359">if(U48&lt;0,U48+BT47,0)</f>
        <v>-16</v>
      </c>
      <c r="BU48" s="28">
        <f t="shared" si="359"/>
        <v>-88</v>
      </c>
      <c r="BV48" s="28">
        <f t="shared" si="359"/>
        <v>0</v>
      </c>
      <c r="BW48" s="28">
        <f t="shared" si="359"/>
        <v>0</v>
      </c>
    </row>
    <row r="49">
      <c r="A49" s="53">
        <v>8.0</v>
      </c>
      <c r="B49" s="28">
        <f>'08_3-11-2018'!A42</f>
        <v>39</v>
      </c>
      <c r="C49" s="75">
        <f>'08_3-11-2018'!B42</f>
        <v>-4</v>
      </c>
      <c r="D49" s="28">
        <f>'08_3-11-2018'!D42</f>
        <v>-276</v>
      </c>
      <c r="E49" s="28">
        <f>'08_3-11-2018'!C42</f>
        <v>-124</v>
      </c>
      <c r="F49" s="28">
        <f>'08_3-11-2018'!E42</f>
        <v>404</v>
      </c>
      <c r="G49" s="28">
        <f>'08_3-11-2018'!F42</f>
        <v>0</v>
      </c>
      <c r="H49" s="28" t="str">
        <f>'08_3-11-2018'!G42</f>
        <v>Thomas</v>
      </c>
      <c r="J49" s="76" t="str">
        <f>'08_3-11-2018'!H42</f>
        <v>Thomas</v>
      </c>
      <c r="K49" s="28" t="str">
        <f>'08_3-11-2018'!I42</f>
        <v>10 gode</v>
      </c>
      <c r="L49" s="56"/>
      <c r="M49" s="25">
        <v>10.0</v>
      </c>
      <c r="N49" s="25" t="s">
        <v>95</v>
      </c>
      <c r="T49" s="56"/>
      <c r="U49" s="77">
        <f t="shared" ref="U49:X49" si="360">C49-C48</f>
        <v>-24</v>
      </c>
      <c r="V49" s="28">
        <f t="shared" si="360"/>
        <v>24</v>
      </c>
      <c r="W49" s="28">
        <f t="shared" si="360"/>
        <v>-24</v>
      </c>
      <c r="X49" s="28">
        <f t="shared" si="360"/>
        <v>24</v>
      </c>
      <c r="AB49" s="28">
        <f t="shared" ref="AB49:AE49" si="361">IF(AB$3=$H49,U49,"")</f>
        <v>-24</v>
      </c>
      <c r="AC49" s="28" t="str">
        <f t="shared" si="361"/>
        <v/>
      </c>
      <c r="AD49" s="28" t="str">
        <f t="shared" si="361"/>
        <v/>
      </c>
      <c r="AE49" s="28" t="str">
        <f t="shared" si="361"/>
        <v/>
      </c>
      <c r="AH49" s="28">
        <f t="shared" si="22"/>
        <v>0</v>
      </c>
      <c r="AI49" s="28">
        <f t="shared" si="23"/>
        <v>-24</v>
      </c>
      <c r="AK49" s="78" t="str">
        <f t="shared" ref="AK49:AN49" si="362">IF(U49&gt;0,AK$3,"")</f>
        <v/>
      </c>
      <c r="AL49" s="78" t="str">
        <f t="shared" si="362"/>
        <v>Peter</v>
      </c>
      <c r="AM49" s="78" t="str">
        <f t="shared" si="362"/>
        <v/>
      </c>
      <c r="AN49" s="78" t="str">
        <f t="shared" si="362"/>
        <v>Christian</v>
      </c>
      <c r="AO49" s="56">
        <f t="shared" si="25"/>
        <v>2</v>
      </c>
      <c r="AP49" s="8" t="str">
        <f t="shared" si="26"/>
        <v>Thomas</v>
      </c>
      <c r="AQ49" s="73" t="str">
        <f>IFERROR(__xludf.DUMMYFUNCTION("IFNA(QUERY(transpose(AY49:BB49),""Select Col1 where Col1 is not null limit 1"",0))"),"Janus")</f>
        <v>Janus</v>
      </c>
      <c r="AR49" s="56"/>
      <c r="AS49" s="28" t="str">
        <f t="shared" ref="AS49:AV49" si="363">IF(AK49=AS$3,"",AS$3)</f>
        <v>Thomas</v>
      </c>
      <c r="AT49" s="28" t="str">
        <f t="shared" si="363"/>
        <v/>
      </c>
      <c r="AU49" s="28" t="str">
        <f t="shared" si="363"/>
        <v>Janus</v>
      </c>
      <c r="AV49" s="28" t="str">
        <f t="shared" si="363"/>
        <v/>
      </c>
      <c r="AW49" s="56">
        <f t="shared" si="28"/>
        <v>2</v>
      </c>
      <c r="AX49" s="28">
        <f t="shared" si="29"/>
        <v>-24</v>
      </c>
      <c r="AY49" s="28" t="str">
        <f t="shared" ref="AY49:BB49" si="364">IFNA(IFS(AY$3=$AP49,"",$AX49=U49,AY$3),"")</f>
        <v/>
      </c>
      <c r="AZ49" s="28" t="str">
        <f t="shared" si="364"/>
        <v/>
      </c>
      <c r="BA49" s="28" t="str">
        <f t="shared" si="364"/>
        <v>Janus</v>
      </c>
      <c r="BB49" s="28" t="str">
        <f t="shared" si="364"/>
        <v/>
      </c>
      <c r="BC49" s="58">
        <f>OFFSET('00_Regnskab_01'!$A$1,MATCH(A49,'00_Regnskab_01'!$A$1:$A$25)-1,2)</f>
        <v>43407</v>
      </c>
      <c r="BE49" s="80">
        <f t="shared" ref="BE49:BH49" si="365">if(U49&gt;0,1+BE48,0)</f>
        <v>0</v>
      </c>
      <c r="BF49" s="28">
        <f t="shared" si="365"/>
        <v>1</v>
      </c>
      <c r="BG49" s="28">
        <f t="shared" si="365"/>
        <v>0</v>
      </c>
      <c r="BH49" s="28">
        <f t="shared" si="365"/>
        <v>2</v>
      </c>
      <c r="BJ49" s="28">
        <f t="shared" ref="BJ49:BM49" si="366">if(U49&lt;0,1+BJ48,0)</f>
        <v>2</v>
      </c>
      <c r="BK49" s="28">
        <f t="shared" si="366"/>
        <v>0</v>
      </c>
      <c r="BL49" s="28">
        <f t="shared" si="366"/>
        <v>1</v>
      </c>
      <c r="BM49" s="28">
        <f t="shared" si="366"/>
        <v>0</v>
      </c>
      <c r="BO49" s="74">
        <f t="shared" ref="BO49:BR49" si="367">if(U49&gt;0,U49+BO48,0)</f>
        <v>0</v>
      </c>
      <c r="BP49" s="74">
        <f t="shared" si="367"/>
        <v>24</v>
      </c>
      <c r="BQ49" s="74">
        <f t="shared" si="367"/>
        <v>0</v>
      </c>
      <c r="BR49" s="74">
        <f t="shared" si="367"/>
        <v>40</v>
      </c>
      <c r="BT49" s="28">
        <f t="shared" ref="BT49:BW49" si="368">if(U49&lt;0,U49+BT48,0)</f>
        <v>-40</v>
      </c>
      <c r="BU49" s="28">
        <f t="shared" si="368"/>
        <v>0</v>
      </c>
      <c r="BV49" s="28">
        <f t="shared" si="368"/>
        <v>-24</v>
      </c>
      <c r="BW49" s="28">
        <f t="shared" si="368"/>
        <v>0</v>
      </c>
    </row>
    <row r="50">
      <c r="A50" s="53">
        <v>8.0</v>
      </c>
      <c r="B50" s="28">
        <f>'08_3-11-2018'!A43</f>
        <v>40</v>
      </c>
      <c r="C50" s="75">
        <f>'08_3-11-2018'!B43</f>
        <v>-52</v>
      </c>
      <c r="D50" s="28">
        <f>'08_3-11-2018'!D43</f>
        <v>-228</v>
      </c>
      <c r="E50" s="28">
        <f>'08_3-11-2018'!C43</f>
        <v>-76</v>
      </c>
      <c r="F50" s="28">
        <f>'08_3-11-2018'!E43</f>
        <v>356</v>
      </c>
      <c r="G50" s="28">
        <f>'08_3-11-2018'!F43</f>
        <v>0</v>
      </c>
      <c r="H50" s="28" t="str">
        <f>'08_3-11-2018'!G43</f>
        <v>Thomas</v>
      </c>
      <c r="J50" s="76" t="str">
        <f>'08_3-11-2018'!H43</f>
        <v>Christian</v>
      </c>
      <c r="K50" s="28" t="str">
        <f>'08_3-11-2018'!I43</f>
        <v>9 vip 2.</v>
      </c>
      <c r="L50" s="56"/>
      <c r="M50" s="25">
        <v>9.0</v>
      </c>
      <c r="N50" s="25" t="s">
        <v>86</v>
      </c>
      <c r="O50" s="25">
        <v>2.0</v>
      </c>
      <c r="T50" s="56"/>
      <c r="U50" s="77">
        <f t="shared" ref="U50:X50" si="369">C50-C49</f>
        <v>-48</v>
      </c>
      <c r="V50" s="28">
        <f t="shared" si="369"/>
        <v>48</v>
      </c>
      <c r="W50" s="28">
        <f t="shared" si="369"/>
        <v>48</v>
      </c>
      <c r="X50" s="28">
        <f t="shared" si="369"/>
        <v>-48</v>
      </c>
      <c r="AB50" s="28">
        <f t="shared" ref="AB50:AE50" si="370">IF(AB$3=$H50,U50,"")</f>
        <v>-48</v>
      </c>
      <c r="AC50" s="28" t="str">
        <f t="shared" si="370"/>
        <v/>
      </c>
      <c r="AD50" s="28" t="str">
        <f t="shared" si="370"/>
        <v/>
      </c>
      <c r="AE50" s="28" t="str">
        <f t="shared" si="370"/>
        <v/>
      </c>
      <c r="AH50" s="28">
        <f t="shared" si="22"/>
        <v>0</v>
      </c>
      <c r="AI50" s="28">
        <f t="shared" si="23"/>
        <v>-48</v>
      </c>
      <c r="AK50" s="78" t="str">
        <f t="shared" ref="AK50:AN50" si="371">IF(U50&gt;0,AK$3,"")</f>
        <v/>
      </c>
      <c r="AL50" s="78" t="str">
        <f t="shared" si="371"/>
        <v>Peter</v>
      </c>
      <c r="AM50" s="78" t="str">
        <f t="shared" si="371"/>
        <v>Janus</v>
      </c>
      <c r="AN50" s="78" t="str">
        <f t="shared" si="371"/>
        <v/>
      </c>
      <c r="AO50" s="56">
        <f t="shared" si="25"/>
        <v>2</v>
      </c>
      <c r="AP50" s="8" t="str">
        <f t="shared" si="26"/>
        <v>Thomas</v>
      </c>
      <c r="AQ50" s="73" t="str">
        <f>IFERROR(__xludf.DUMMYFUNCTION("IFNA(QUERY(transpose(AY50:BB50),""Select Col1 where Col1 is not null limit 1"",0))"),"Christian")</f>
        <v>Christian</v>
      </c>
      <c r="AR50" s="56"/>
      <c r="AS50" s="28" t="str">
        <f t="shared" ref="AS50:AV50" si="372">IF(AK50=AS$3,"",AS$3)</f>
        <v>Thomas</v>
      </c>
      <c r="AT50" s="28" t="str">
        <f t="shared" si="372"/>
        <v/>
      </c>
      <c r="AU50" s="28" t="str">
        <f t="shared" si="372"/>
        <v/>
      </c>
      <c r="AV50" s="28" t="str">
        <f t="shared" si="372"/>
        <v>Christian</v>
      </c>
      <c r="AW50" s="56">
        <f t="shared" si="28"/>
        <v>2</v>
      </c>
      <c r="AX50" s="28">
        <f t="shared" si="29"/>
        <v>-48</v>
      </c>
      <c r="AY50" s="28" t="str">
        <f t="shared" ref="AY50:BB50" si="373">IFNA(IFS(AY$3=$AP50,"",$AX50=U50,AY$3),"")</f>
        <v/>
      </c>
      <c r="AZ50" s="28" t="str">
        <f t="shared" si="373"/>
        <v/>
      </c>
      <c r="BA50" s="28" t="str">
        <f t="shared" si="373"/>
        <v/>
      </c>
      <c r="BB50" s="28" t="str">
        <f t="shared" si="373"/>
        <v>Christian</v>
      </c>
      <c r="BC50" s="58">
        <f>OFFSET('00_Regnskab_01'!$A$1,MATCH(A50,'00_Regnskab_01'!$A$1:$A$25)-1,2)</f>
        <v>43407</v>
      </c>
      <c r="BE50" s="80">
        <f t="shared" ref="BE50:BH50" si="374">if(U50&gt;0,1+BE49,0)</f>
        <v>0</v>
      </c>
      <c r="BF50" s="28">
        <f t="shared" si="374"/>
        <v>2</v>
      </c>
      <c r="BG50" s="28">
        <f t="shared" si="374"/>
        <v>1</v>
      </c>
      <c r="BH50" s="28">
        <f t="shared" si="374"/>
        <v>0</v>
      </c>
      <c r="BJ50" s="28">
        <f t="shared" ref="BJ50:BM50" si="375">if(U50&lt;0,1+BJ49,0)</f>
        <v>3</v>
      </c>
      <c r="BK50" s="28">
        <f t="shared" si="375"/>
        <v>0</v>
      </c>
      <c r="BL50" s="28">
        <f t="shared" si="375"/>
        <v>0</v>
      </c>
      <c r="BM50" s="28">
        <f t="shared" si="375"/>
        <v>1</v>
      </c>
      <c r="BO50" s="74">
        <f t="shared" ref="BO50:BR50" si="376">if(U50&gt;0,U50+BO49,0)</f>
        <v>0</v>
      </c>
      <c r="BP50" s="74">
        <f t="shared" si="376"/>
        <v>72</v>
      </c>
      <c r="BQ50" s="74">
        <f t="shared" si="376"/>
        <v>48</v>
      </c>
      <c r="BR50" s="74">
        <f t="shared" si="376"/>
        <v>0</v>
      </c>
      <c r="BT50" s="28">
        <f t="shared" ref="BT50:BW50" si="377">if(U50&lt;0,U50+BT49,0)</f>
        <v>-88</v>
      </c>
      <c r="BU50" s="28">
        <f t="shared" si="377"/>
        <v>0</v>
      </c>
      <c r="BV50" s="28">
        <f t="shared" si="377"/>
        <v>0</v>
      </c>
      <c r="BW50" s="28">
        <f t="shared" si="377"/>
        <v>-48</v>
      </c>
    </row>
    <row r="51">
      <c r="A51" s="53">
        <v>8.0</v>
      </c>
      <c r="B51" s="28">
        <f>'08_3-11-2018'!A44</f>
        <v>41</v>
      </c>
      <c r="C51" s="75">
        <f>'08_3-11-2018'!B44</f>
        <v>-84</v>
      </c>
      <c r="D51" s="28">
        <f>'08_3-11-2018'!D44</f>
        <v>-196</v>
      </c>
      <c r="E51" s="28">
        <f>'08_3-11-2018'!C44</f>
        <v>-108</v>
      </c>
      <c r="F51" s="28">
        <f>'08_3-11-2018'!E44</f>
        <v>388</v>
      </c>
      <c r="G51" s="28">
        <f>'08_3-11-2018'!F44</f>
        <v>0</v>
      </c>
      <c r="H51" s="28" t="str">
        <f>'08_3-11-2018'!G44</f>
        <v>Christian</v>
      </c>
      <c r="J51" s="76" t="str">
        <f>'08_3-11-2018'!H44</f>
        <v>Peter</v>
      </c>
      <c r="K51" s="28" t="str">
        <f>'08_3-11-2018'!I44</f>
        <v>10  halve</v>
      </c>
      <c r="L51" s="56"/>
      <c r="M51" s="25">
        <v>10.0</v>
      </c>
      <c r="N51" s="25" t="s">
        <v>94</v>
      </c>
      <c r="T51" s="56"/>
      <c r="U51" s="77">
        <f t="shared" ref="U51:X51" si="378">C51-C50</f>
        <v>-32</v>
      </c>
      <c r="V51" s="28">
        <f t="shared" si="378"/>
        <v>32</v>
      </c>
      <c r="W51" s="28">
        <f t="shared" si="378"/>
        <v>-32</v>
      </c>
      <c r="X51" s="28">
        <f t="shared" si="378"/>
        <v>32</v>
      </c>
      <c r="AB51" s="28" t="str">
        <f t="shared" ref="AB51:AE51" si="379">IF(AB$3=$H51,U51,"")</f>
        <v/>
      </c>
      <c r="AC51" s="28" t="str">
        <f t="shared" si="379"/>
        <v/>
      </c>
      <c r="AD51" s="28" t="str">
        <f t="shared" si="379"/>
        <v/>
      </c>
      <c r="AE51" s="28">
        <f t="shared" si="379"/>
        <v>32</v>
      </c>
      <c r="AH51" s="28">
        <f t="shared" si="22"/>
        <v>32</v>
      </c>
      <c r="AI51" s="28">
        <f t="shared" si="23"/>
        <v>0</v>
      </c>
      <c r="AK51" s="78" t="str">
        <f t="shared" ref="AK51:AN51" si="380">IF(U51&gt;0,AK$3,"")</f>
        <v/>
      </c>
      <c r="AL51" s="78" t="str">
        <f t="shared" si="380"/>
        <v>Peter</v>
      </c>
      <c r="AM51" s="78" t="str">
        <f t="shared" si="380"/>
        <v/>
      </c>
      <c r="AN51" s="78" t="str">
        <f t="shared" si="380"/>
        <v>Christian</v>
      </c>
      <c r="AO51" s="56">
        <f t="shared" si="25"/>
        <v>2</v>
      </c>
      <c r="AP51" s="8" t="str">
        <f t="shared" si="26"/>
        <v>Christian</v>
      </c>
      <c r="AQ51" s="73" t="str">
        <f>IFERROR(__xludf.DUMMYFUNCTION("IFNA(QUERY(transpose(AY51:BB51),""Select Col1 where Col1 is not null limit 1"",0))"),"Peter")</f>
        <v>Peter</v>
      </c>
      <c r="AR51" s="56"/>
      <c r="AS51" s="28" t="str">
        <f t="shared" ref="AS51:AV51" si="381">IF(AK51=AS$3,"",AS$3)</f>
        <v>Thomas</v>
      </c>
      <c r="AT51" s="28" t="str">
        <f t="shared" si="381"/>
        <v/>
      </c>
      <c r="AU51" s="28" t="str">
        <f t="shared" si="381"/>
        <v>Janus</v>
      </c>
      <c r="AV51" s="28" t="str">
        <f t="shared" si="381"/>
        <v/>
      </c>
      <c r="AW51" s="56">
        <f t="shared" si="28"/>
        <v>2</v>
      </c>
      <c r="AX51" s="28">
        <f t="shared" si="29"/>
        <v>32</v>
      </c>
      <c r="AY51" s="28" t="str">
        <f t="shared" ref="AY51:BB51" si="382">IFNA(IFS(AY$3=$AP51,"",$AX51=U51,AY$3),"")</f>
        <v/>
      </c>
      <c r="AZ51" s="28" t="str">
        <f t="shared" si="382"/>
        <v>Peter</v>
      </c>
      <c r="BA51" s="28" t="str">
        <f t="shared" si="382"/>
        <v/>
      </c>
      <c r="BB51" s="28" t="str">
        <f t="shared" si="382"/>
        <v/>
      </c>
      <c r="BC51" s="58">
        <f>OFFSET('00_Regnskab_01'!$A$1,MATCH(A51,'00_Regnskab_01'!$A$1:$A$25)-1,2)</f>
        <v>43407</v>
      </c>
      <c r="BE51" s="80">
        <f t="shared" ref="BE51:BH51" si="383">if(U51&gt;0,1+BE50,0)</f>
        <v>0</v>
      </c>
      <c r="BF51" s="28">
        <f t="shared" si="383"/>
        <v>3</v>
      </c>
      <c r="BG51" s="28">
        <f t="shared" si="383"/>
        <v>0</v>
      </c>
      <c r="BH51" s="28">
        <f t="shared" si="383"/>
        <v>1</v>
      </c>
      <c r="BJ51" s="28">
        <f t="shared" ref="BJ51:BM51" si="384">if(U51&lt;0,1+BJ50,0)</f>
        <v>4</v>
      </c>
      <c r="BK51" s="28">
        <f t="shared" si="384"/>
        <v>0</v>
      </c>
      <c r="BL51" s="28">
        <f t="shared" si="384"/>
        <v>1</v>
      </c>
      <c r="BM51" s="28">
        <f t="shared" si="384"/>
        <v>0</v>
      </c>
      <c r="BO51" s="74">
        <f t="shared" ref="BO51:BR51" si="385">if(U51&gt;0,U51+BO50,0)</f>
        <v>0</v>
      </c>
      <c r="BP51" s="74">
        <f t="shared" si="385"/>
        <v>104</v>
      </c>
      <c r="BQ51" s="74">
        <f t="shared" si="385"/>
        <v>0</v>
      </c>
      <c r="BR51" s="74">
        <f t="shared" si="385"/>
        <v>32</v>
      </c>
      <c r="BT51" s="28">
        <f t="shared" ref="BT51:BW51" si="386">if(U51&lt;0,U51+BT50,0)</f>
        <v>-120</v>
      </c>
      <c r="BU51" s="28">
        <f t="shared" si="386"/>
        <v>0</v>
      </c>
      <c r="BV51" s="28">
        <f t="shared" si="386"/>
        <v>-32</v>
      </c>
      <c r="BW51" s="28">
        <f t="shared" si="386"/>
        <v>0</v>
      </c>
    </row>
    <row r="52">
      <c r="A52" s="53">
        <v>8.0</v>
      </c>
      <c r="B52" s="28">
        <f>'08_3-11-2018'!A45</f>
        <v>42</v>
      </c>
      <c r="C52" s="75">
        <f>'08_3-11-2018'!B45</f>
        <v>-92</v>
      </c>
      <c r="D52" s="28">
        <f>'08_3-11-2018'!D45</f>
        <v>-204</v>
      </c>
      <c r="E52" s="28">
        <f>'08_3-11-2018'!C45</f>
        <v>-84</v>
      </c>
      <c r="F52" s="28">
        <f>'08_3-11-2018'!E45</f>
        <v>380</v>
      </c>
      <c r="G52" s="28">
        <f>'08_3-11-2018'!F45</f>
        <v>0</v>
      </c>
      <c r="H52" s="28" t="str">
        <f>'08_3-11-2018'!G45</f>
        <v>Janus</v>
      </c>
      <c r="J52" s="76" t="str">
        <f>'08_3-11-2018'!H45</f>
        <v>Janus</v>
      </c>
      <c r="K52" s="28" t="str">
        <f>'08_3-11-2018'!I45</f>
        <v>Sol</v>
      </c>
      <c r="L52" s="56"/>
      <c r="N52" s="25" t="s">
        <v>99</v>
      </c>
      <c r="T52" s="56"/>
      <c r="U52" s="77">
        <f t="shared" ref="U52:X52" si="387">C52-C51</f>
        <v>-8</v>
      </c>
      <c r="V52" s="28">
        <f t="shared" si="387"/>
        <v>-8</v>
      </c>
      <c r="W52" s="28">
        <f t="shared" si="387"/>
        <v>24</v>
      </c>
      <c r="X52" s="28">
        <f t="shared" si="387"/>
        <v>-8</v>
      </c>
      <c r="AB52" s="28" t="str">
        <f t="shared" ref="AB52:AE52" si="388">IF(AB$3=$H52,U52,"")</f>
        <v/>
      </c>
      <c r="AC52" s="28" t="str">
        <f t="shared" si="388"/>
        <v/>
      </c>
      <c r="AD52" s="28">
        <f t="shared" si="388"/>
        <v>24</v>
      </c>
      <c r="AE52" s="28" t="str">
        <f t="shared" si="388"/>
        <v/>
      </c>
      <c r="AH52" s="28">
        <f t="shared" si="22"/>
        <v>24</v>
      </c>
      <c r="AI52" s="28">
        <f t="shared" si="23"/>
        <v>0</v>
      </c>
      <c r="AK52" s="78" t="str">
        <f t="shared" ref="AK52:AN52" si="389">IF(U52&gt;0,AK$3,"")</f>
        <v/>
      </c>
      <c r="AL52" s="78" t="str">
        <f t="shared" si="389"/>
        <v/>
      </c>
      <c r="AM52" s="78" t="str">
        <f t="shared" si="389"/>
        <v>Janus</v>
      </c>
      <c r="AN52" s="78" t="str">
        <f t="shared" si="389"/>
        <v/>
      </c>
      <c r="AO52" s="56">
        <f t="shared" si="25"/>
        <v>1</v>
      </c>
      <c r="AP52" s="8" t="str">
        <f t="shared" si="26"/>
        <v>Janus</v>
      </c>
      <c r="AQ52" s="73" t="str">
        <f>IFERROR(__xludf.DUMMYFUNCTION("IFNA(QUERY(transpose(AY52:BB52),""Select Col1 where Col1 is not null limit 1"",0))"),"")</f>
        <v/>
      </c>
      <c r="AR52" s="56"/>
      <c r="AS52" s="28" t="str">
        <f t="shared" ref="AS52:AV52" si="390">IF(AK52=AS$3,"",AS$3)</f>
        <v>Thomas</v>
      </c>
      <c r="AT52" s="28" t="str">
        <f t="shared" si="390"/>
        <v>Peter</v>
      </c>
      <c r="AU52" s="28" t="str">
        <f t="shared" si="390"/>
        <v/>
      </c>
      <c r="AV52" s="28" t="str">
        <f t="shared" si="390"/>
        <v>Christian</v>
      </c>
      <c r="AW52" s="56">
        <f t="shared" si="28"/>
        <v>3</v>
      </c>
      <c r="AX52" s="28">
        <f t="shared" si="29"/>
        <v>24</v>
      </c>
      <c r="AY52" s="28" t="str">
        <f t="shared" ref="AY52:BB52" si="391">IFNA(IFS(AY$3=$AP52,"",$AX52=U52,AY$3),"")</f>
        <v/>
      </c>
      <c r="AZ52" s="28" t="str">
        <f t="shared" si="391"/>
        <v/>
      </c>
      <c r="BA52" s="28" t="str">
        <f t="shared" si="391"/>
        <v/>
      </c>
      <c r="BB52" s="28" t="str">
        <f t="shared" si="391"/>
        <v/>
      </c>
      <c r="BC52" s="58">
        <f>OFFSET('00_Regnskab_01'!$A$1,MATCH(A52,'00_Regnskab_01'!$A$1:$A$25)-1,2)</f>
        <v>43407</v>
      </c>
      <c r="BE52" s="80">
        <f t="shared" ref="BE52:BH52" si="392">if(U52&gt;0,1+BE51,0)</f>
        <v>0</v>
      </c>
      <c r="BF52" s="28">
        <f t="shared" si="392"/>
        <v>0</v>
      </c>
      <c r="BG52" s="28">
        <f t="shared" si="392"/>
        <v>1</v>
      </c>
      <c r="BH52" s="28">
        <f t="shared" si="392"/>
        <v>0</v>
      </c>
      <c r="BJ52" s="28">
        <f t="shared" ref="BJ52:BM52" si="393">if(U52&lt;0,1+BJ51,0)</f>
        <v>5</v>
      </c>
      <c r="BK52" s="28">
        <f t="shared" si="393"/>
        <v>1</v>
      </c>
      <c r="BL52" s="28">
        <f t="shared" si="393"/>
        <v>0</v>
      </c>
      <c r="BM52" s="28">
        <f t="shared" si="393"/>
        <v>1</v>
      </c>
      <c r="BO52" s="74">
        <f t="shared" ref="BO52:BR52" si="394">if(U52&gt;0,U52+BO51,0)</f>
        <v>0</v>
      </c>
      <c r="BP52" s="74">
        <f t="shared" si="394"/>
        <v>0</v>
      </c>
      <c r="BQ52" s="74">
        <f t="shared" si="394"/>
        <v>24</v>
      </c>
      <c r="BR52" s="74">
        <f t="shared" si="394"/>
        <v>0</v>
      </c>
      <c r="BT52" s="28">
        <f t="shared" ref="BT52:BW52" si="395">if(U52&lt;0,U52+BT51,0)</f>
        <v>-128</v>
      </c>
      <c r="BU52" s="28">
        <f t="shared" si="395"/>
        <v>-8</v>
      </c>
      <c r="BV52" s="28">
        <f t="shared" si="395"/>
        <v>0</v>
      </c>
      <c r="BW52" s="28">
        <f t="shared" si="395"/>
        <v>-8</v>
      </c>
    </row>
    <row r="53">
      <c r="A53" s="53">
        <v>8.0</v>
      </c>
      <c r="B53" s="28">
        <f>'08_3-11-2018'!A46</f>
        <v>43</v>
      </c>
      <c r="C53" s="75">
        <f>'08_3-11-2018'!B46</f>
        <v>-84</v>
      </c>
      <c r="D53" s="28">
        <f>'08_3-11-2018'!D46</f>
        <v>-196</v>
      </c>
      <c r="E53" s="28">
        <f>'08_3-11-2018'!C46</f>
        <v>-76</v>
      </c>
      <c r="F53" s="28">
        <f>'08_3-11-2018'!E46</f>
        <v>356</v>
      </c>
      <c r="G53" s="28">
        <f>'08_3-11-2018'!F46</f>
        <v>0</v>
      </c>
      <c r="H53" s="28" t="str">
        <f>'08_3-11-2018'!G46</f>
        <v>Christian</v>
      </c>
      <c r="J53" s="76" t="str">
        <f>'08_3-11-2018'!H46</f>
        <v>Thomas</v>
      </c>
      <c r="K53" s="28" t="str">
        <f>'08_3-11-2018'!I46</f>
        <v>Sol</v>
      </c>
      <c r="L53" s="56"/>
      <c r="N53" s="25" t="s">
        <v>99</v>
      </c>
      <c r="T53" s="56"/>
      <c r="U53" s="77">
        <f t="shared" ref="U53:X53" si="396">C53-C52</f>
        <v>8</v>
      </c>
      <c r="V53" s="28">
        <f t="shared" si="396"/>
        <v>8</v>
      </c>
      <c r="W53" s="28">
        <f t="shared" si="396"/>
        <v>8</v>
      </c>
      <c r="X53" s="28">
        <f t="shared" si="396"/>
        <v>-24</v>
      </c>
      <c r="AB53" s="28" t="str">
        <f t="shared" ref="AB53:AE53" si="397">IF(AB$3=$H53,U53,"")</f>
        <v/>
      </c>
      <c r="AC53" s="28" t="str">
        <f t="shared" si="397"/>
        <v/>
      </c>
      <c r="AD53" s="28" t="str">
        <f t="shared" si="397"/>
        <v/>
      </c>
      <c r="AE53" s="28">
        <f t="shared" si="397"/>
        <v>-24</v>
      </c>
      <c r="AH53" s="28">
        <f t="shared" si="22"/>
        <v>0</v>
      </c>
      <c r="AI53" s="28">
        <f t="shared" si="23"/>
        <v>-24</v>
      </c>
      <c r="AK53" s="78" t="str">
        <f t="shared" ref="AK53:AN53" si="398">IF(U53&gt;0,AK$3,"")</f>
        <v>Thomas</v>
      </c>
      <c r="AL53" s="78" t="str">
        <f t="shared" si="398"/>
        <v>Peter</v>
      </c>
      <c r="AM53" s="78" t="str">
        <f t="shared" si="398"/>
        <v>Janus</v>
      </c>
      <c r="AN53" s="78" t="str">
        <f t="shared" si="398"/>
        <v/>
      </c>
      <c r="AO53" s="56">
        <f t="shared" si="25"/>
        <v>3</v>
      </c>
      <c r="AP53" s="8" t="str">
        <f t="shared" si="26"/>
        <v>Christian</v>
      </c>
      <c r="AQ53" s="73" t="str">
        <f>IFERROR(__xludf.DUMMYFUNCTION("IFNA(QUERY(transpose(AY53:BB53),""Select Col1 where Col1 is not null limit 1"",0))"),"")</f>
        <v/>
      </c>
      <c r="AR53" s="56"/>
      <c r="AS53" s="28" t="str">
        <f t="shared" ref="AS53:AV53" si="399">IF(AK53=AS$3,"",AS$3)</f>
        <v/>
      </c>
      <c r="AT53" s="28" t="str">
        <f t="shared" si="399"/>
        <v/>
      </c>
      <c r="AU53" s="28" t="str">
        <f t="shared" si="399"/>
        <v/>
      </c>
      <c r="AV53" s="28" t="str">
        <f t="shared" si="399"/>
        <v>Christian</v>
      </c>
      <c r="AW53" s="56">
        <f t="shared" si="28"/>
        <v>1</v>
      </c>
      <c r="AX53" s="28">
        <f t="shared" si="29"/>
        <v>-24</v>
      </c>
      <c r="AY53" s="28" t="str">
        <f t="shared" ref="AY53:BB53" si="400">IFNA(IFS(AY$3=$AP53,"",$AX53=U53,AY$3),"")</f>
        <v/>
      </c>
      <c r="AZ53" s="28" t="str">
        <f t="shared" si="400"/>
        <v/>
      </c>
      <c r="BA53" s="28" t="str">
        <f t="shared" si="400"/>
        <v/>
      </c>
      <c r="BB53" s="28" t="str">
        <f t="shared" si="400"/>
        <v/>
      </c>
      <c r="BC53" s="58">
        <f>OFFSET('00_Regnskab_01'!$A$1,MATCH(A53,'00_Regnskab_01'!$A$1:$A$25)-1,2)</f>
        <v>43407</v>
      </c>
      <c r="BE53" s="80">
        <f t="shared" ref="BE53:BH53" si="401">if(U53&gt;0,1+BE52,0)</f>
        <v>1</v>
      </c>
      <c r="BF53" s="28">
        <f t="shared" si="401"/>
        <v>1</v>
      </c>
      <c r="BG53" s="28">
        <f t="shared" si="401"/>
        <v>2</v>
      </c>
      <c r="BH53" s="28">
        <f t="shared" si="401"/>
        <v>0</v>
      </c>
      <c r="BJ53" s="28">
        <f t="shared" ref="BJ53:BM53" si="402">if(U53&lt;0,1+BJ52,0)</f>
        <v>0</v>
      </c>
      <c r="BK53" s="28">
        <f t="shared" si="402"/>
        <v>0</v>
      </c>
      <c r="BL53" s="28">
        <f t="shared" si="402"/>
        <v>0</v>
      </c>
      <c r="BM53" s="28">
        <f t="shared" si="402"/>
        <v>2</v>
      </c>
      <c r="BO53" s="74">
        <f t="shared" ref="BO53:BR53" si="403">if(U53&gt;0,U53+BO52,0)</f>
        <v>8</v>
      </c>
      <c r="BP53" s="74">
        <f t="shared" si="403"/>
        <v>8</v>
      </c>
      <c r="BQ53" s="74">
        <f t="shared" si="403"/>
        <v>32</v>
      </c>
      <c r="BR53" s="74">
        <f t="shared" si="403"/>
        <v>0</v>
      </c>
      <c r="BT53" s="28">
        <f t="shared" ref="BT53:BW53" si="404">if(U53&lt;0,U53+BT52,0)</f>
        <v>0</v>
      </c>
      <c r="BU53" s="28">
        <f t="shared" si="404"/>
        <v>0</v>
      </c>
      <c r="BV53" s="28">
        <f t="shared" si="404"/>
        <v>0</v>
      </c>
      <c r="BW53" s="28">
        <f t="shared" si="404"/>
        <v>-32</v>
      </c>
    </row>
    <row r="54">
      <c r="A54" s="53">
        <v>8.0</v>
      </c>
      <c r="B54" s="28">
        <f>'08_3-11-2018'!A47</f>
        <v>44</v>
      </c>
      <c r="C54" s="75">
        <f>'08_3-11-2018'!B47</f>
        <v>-72</v>
      </c>
      <c r="D54" s="28">
        <f>'08_3-11-2018'!D47</f>
        <v>-184</v>
      </c>
      <c r="E54" s="28">
        <f>'08_3-11-2018'!C47</f>
        <v>-88</v>
      </c>
      <c r="F54" s="28">
        <f>'08_3-11-2018'!E47</f>
        <v>344</v>
      </c>
      <c r="G54" s="28">
        <f>'08_3-11-2018'!F47</f>
        <v>0</v>
      </c>
      <c r="H54" s="28" t="str">
        <f>'08_3-11-2018'!G47</f>
        <v>Janus</v>
      </c>
      <c r="J54" s="76" t="str">
        <f>'08_3-11-2018'!H47</f>
        <v>Christian</v>
      </c>
      <c r="K54" s="28" t="str">
        <f>'08_3-11-2018'!I47</f>
        <v>10 alm</v>
      </c>
      <c r="L54" s="56"/>
      <c r="M54" s="25">
        <v>10.0</v>
      </c>
      <c r="N54" s="25" t="s">
        <v>100</v>
      </c>
      <c r="T54" s="56"/>
      <c r="U54" s="77">
        <f t="shared" ref="U54:X54" si="405">C54-C53</f>
        <v>12</v>
      </c>
      <c r="V54" s="28">
        <f t="shared" si="405"/>
        <v>12</v>
      </c>
      <c r="W54" s="28">
        <f t="shared" si="405"/>
        <v>-12</v>
      </c>
      <c r="X54" s="28">
        <f t="shared" si="405"/>
        <v>-12</v>
      </c>
      <c r="AB54" s="28" t="str">
        <f t="shared" ref="AB54:AE54" si="406">IF(AB$3=$H54,U54,"")</f>
        <v/>
      </c>
      <c r="AC54" s="28" t="str">
        <f t="shared" si="406"/>
        <v/>
      </c>
      <c r="AD54" s="28">
        <f t="shared" si="406"/>
        <v>-12</v>
      </c>
      <c r="AE54" s="28" t="str">
        <f t="shared" si="406"/>
        <v/>
      </c>
      <c r="AH54" s="28">
        <f t="shared" si="22"/>
        <v>0</v>
      </c>
      <c r="AI54" s="28">
        <f t="shared" si="23"/>
        <v>-12</v>
      </c>
      <c r="AK54" s="78" t="str">
        <f t="shared" ref="AK54:AN54" si="407">IF(U54&gt;0,AK$3,"")</f>
        <v>Thomas</v>
      </c>
      <c r="AL54" s="78" t="str">
        <f t="shared" si="407"/>
        <v>Peter</v>
      </c>
      <c r="AM54" s="78" t="str">
        <f t="shared" si="407"/>
        <v/>
      </c>
      <c r="AN54" s="78" t="str">
        <f t="shared" si="407"/>
        <v/>
      </c>
      <c r="AO54" s="56">
        <f t="shared" si="25"/>
        <v>2</v>
      </c>
      <c r="AP54" s="8" t="str">
        <f t="shared" si="26"/>
        <v>Janus</v>
      </c>
      <c r="AQ54" s="73" t="str">
        <f>IFERROR(__xludf.DUMMYFUNCTION("IFNA(QUERY(transpose(AY54:BB54),""Select Col1 where Col1 is not null limit 1"",0))"),"Christian")</f>
        <v>Christian</v>
      </c>
      <c r="AR54" s="56"/>
      <c r="AS54" s="28" t="str">
        <f t="shared" ref="AS54:AV54" si="408">IF(AK54=AS$3,"",AS$3)</f>
        <v/>
      </c>
      <c r="AT54" s="28" t="str">
        <f t="shared" si="408"/>
        <v/>
      </c>
      <c r="AU54" s="28" t="str">
        <f t="shared" si="408"/>
        <v>Janus</v>
      </c>
      <c r="AV54" s="28" t="str">
        <f t="shared" si="408"/>
        <v>Christian</v>
      </c>
      <c r="AW54" s="56">
        <f t="shared" si="28"/>
        <v>2</v>
      </c>
      <c r="AX54" s="28">
        <f t="shared" si="29"/>
        <v>-12</v>
      </c>
      <c r="AY54" s="28" t="str">
        <f t="shared" ref="AY54:BB54" si="409">IFNA(IFS(AY$3=$AP54,"",$AX54=U54,AY$3),"")</f>
        <v/>
      </c>
      <c r="AZ54" s="28" t="str">
        <f t="shared" si="409"/>
        <v/>
      </c>
      <c r="BA54" s="28" t="str">
        <f t="shared" si="409"/>
        <v/>
      </c>
      <c r="BB54" s="28" t="str">
        <f t="shared" si="409"/>
        <v>Christian</v>
      </c>
      <c r="BC54" s="58">
        <f>OFFSET('00_Regnskab_01'!$A$1,MATCH(A54,'00_Regnskab_01'!$A$1:$A$25)-1,2)</f>
        <v>43407</v>
      </c>
      <c r="BE54" s="80">
        <f t="shared" ref="BE54:BH54" si="410">if(U54&gt;0,1+BE53,0)</f>
        <v>2</v>
      </c>
      <c r="BF54" s="28">
        <f t="shared" si="410"/>
        <v>2</v>
      </c>
      <c r="BG54" s="28">
        <f t="shared" si="410"/>
        <v>0</v>
      </c>
      <c r="BH54" s="28">
        <f t="shared" si="410"/>
        <v>0</v>
      </c>
      <c r="BJ54" s="28">
        <f t="shared" ref="BJ54:BM54" si="411">if(U54&lt;0,1+BJ53,0)</f>
        <v>0</v>
      </c>
      <c r="BK54" s="28">
        <f t="shared" si="411"/>
        <v>0</v>
      </c>
      <c r="BL54" s="28">
        <f t="shared" si="411"/>
        <v>1</v>
      </c>
      <c r="BM54" s="28">
        <f t="shared" si="411"/>
        <v>3</v>
      </c>
      <c r="BO54" s="74">
        <f t="shared" ref="BO54:BR54" si="412">if(U54&gt;0,U54+BO53,0)</f>
        <v>20</v>
      </c>
      <c r="BP54" s="74">
        <f t="shared" si="412"/>
        <v>20</v>
      </c>
      <c r="BQ54" s="74">
        <f t="shared" si="412"/>
        <v>0</v>
      </c>
      <c r="BR54" s="74">
        <f t="shared" si="412"/>
        <v>0</v>
      </c>
      <c r="BT54" s="28">
        <f t="shared" ref="BT54:BW54" si="413">if(U54&lt;0,U54+BT53,0)</f>
        <v>0</v>
      </c>
      <c r="BU54" s="28">
        <f t="shared" si="413"/>
        <v>0</v>
      </c>
      <c r="BV54" s="28">
        <f t="shared" si="413"/>
        <v>-12</v>
      </c>
      <c r="BW54" s="28">
        <f t="shared" si="413"/>
        <v>-44</v>
      </c>
    </row>
    <row r="55">
      <c r="A55" s="53">
        <v>8.0</v>
      </c>
      <c r="B55" s="28">
        <f>'08_3-11-2018'!A48</f>
        <v>45</v>
      </c>
      <c r="C55" s="75">
        <f>'08_3-11-2018'!B48</f>
        <v>-56</v>
      </c>
      <c r="D55" s="28">
        <f>'08_3-11-2018'!D48</f>
        <v>-168</v>
      </c>
      <c r="E55" s="28">
        <f>'08_3-11-2018'!C48</f>
        <v>-136</v>
      </c>
      <c r="F55" s="28">
        <f>'08_3-11-2018'!E48</f>
        <v>360</v>
      </c>
      <c r="G55" s="28">
        <f>'08_3-11-2018'!F48</f>
        <v>0</v>
      </c>
      <c r="H55" s="28" t="str">
        <f>'08_3-11-2018'!G48</f>
        <v>Janus</v>
      </c>
      <c r="J55" s="76" t="str">
        <f>'08_3-11-2018'!H48</f>
        <v>Peter</v>
      </c>
      <c r="K55" s="28" t="str">
        <f>'08_3-11-2018'!I48</f>
        <v>Ren Sol</v>
      </c>
      <c r="L55" s="56"/>
      <c r="N55" s="25" t="s">
        <v>97</v>
      </c>
      <c r="T55" s="56"/>
      <c r="U55" s="77">
        <f t="shared" ref="U55:X55" si="414">C55-C54</f>
        <v>16</v>
      </c>
      <c r="V55" s="28">
        <f t="shared" si="414"/>
        <v>16</v>
      </c>
      <c r="W55" s="28">
        <f t="shared" si="414"/>
        <v>-48</v>
      </c>
      <c r="X55" s="28">
        <f t="shared" si="414"/>
        <v>16</v>
      </c>
      <c r="AB55" s="28" t="str">
        <f t="shared" ref="AB55:AE55" si="415">IF(AB$3=$H55,U55,"")</f>
        <v/>
      </c>
      <c r="AC55" s="28" t="str">
        <f t="shared" si="415"/>
        <v/>
      </c>
      <c r="AD55" s="28">
        <f t="shared" si="415"/>
        <v>-48</v>
      </c>
      <c r="AE55" s="28" t="str">
        <f t="shared" si="415"/>
        <v/>
      </c>
      <c r="AH55" s="28">
        <f t="shared" si="22"/>
        <v>0</v>
      </c>
      <c r="AI55" s="28">
        <f t="shared" si="23"/>
        <v>-48</v>
      </c>
      <c r="AK55" s="78" t="str">
        <f t="shared" ref="AK55:AN55" si="416">IF(U55&gt;0,AK$3,"")</f>
        <v>Thomas</v>
      </c>
      <c r="AL55" s="78" t="str">
        <f t="shared" si="416"/>
        <v>Peter</v>
      </c>
      <c r="AM55" s="78" t="str">
        <f t="shared" si="416"/>
        <v/>
      </c>
      <c r="AN55" s="78" t="str">
        <f t="shared" si="416"/>
        <v>Christian</v>
      </c>
      <c r="AO55" s="56">
        <f t="shared" si="25"/>
        <v>3</v>
      </c>
      <c r="AP55" s="8" t="str">
        <f t="shared" si="26"/>
        <v>Janus</v>
      </c>
      <c r="AQ55" s="73" t="str">
        <f>IFERROR(__xludf.DUMMYFUNCTION("IFNA(QUERY(transpose(AY55:BB55),""Select Col1 where Col1 is not null limit 1"",0))"),"")</f>
        <v/>
      </c>
      <c r="AR55" s="56"/>
      <c r="AS55" s="28" t="str">
        <f t="shared" ref="AS55:AV55" si="417">IF(AK55=AS$3,"",AS$3)</f>
        <v/>
      </c>
      <c r="AT55" s="28" t="str">
        <f t="shared" si="417"/>
        <v/>
      </c>
      <c r="AU55" s="28" t="str">
        <f t="shared" si="417"/>
        <v>Janus</v>
      </c>
      <c r="AV55" s="28" t="str">
        <f t="shared" si="417"/>
        <v/>
      </c>
      <c r="AW55" s="56">
        <f t="shared" si="28"/>
        <v>1</v>
      </c>
      <c r="AX55" s="28">
        <f t="shared" si="29"/>
        <v>-48</v>
      </c>
      <c r="AY55" s="28" t="str">
        <f t="shared" ref="AY55:BB55" si="418">IFNA(IFS(AY$3=$AP55,"",$AX55=U55,AY$3),"")</f>
        <v/>
      </c>
      <c r="AZ55" s="28" t="str">
        <f t="shared" si="418"/>
        <v/>
      </c>
      <c r="BA55" s="28" t="str">
        <f t="shared" si="418"/>
        <v/>
      </c>
      <c r="BB55" s="28" t="str">
        <f t="shared" si="418"/>
        <v/>
      </c>
      <c r="BC55" s="58">
        <f>OFFSET('00_Regnskab_01'!$A$1,MATCH(A55,'00_Regnskab_01'!$A$1:$A$25)-1,2)</f>
        <v>43407</v>
      </c>
      <c r="BE55" s="80">
        <f t="shared" ref="BE55:BH55" si="419">if(U55&gt;0,1+BE54,0)</f>
        <v>3</v>
      </c>
      <c r="BF55" s="28">
        <f t="shared" si="419"/>
        <v>3</v>
      </c>
      <c r="BG55" s="28">
        <f t="shared" si="419"/>
        <v>0</v>
      </c>
      <c r="BH55" s="28">
        <f t="shared" si="419"/>
        <v>1</v>
      </c>
      <c r="BJ55" s="28">
        <f t="shared" ref="BJ55:BM55" si="420">if(U55&lt;0,1+BJ54,0)</f>
        <v>0</v>
      </c>
      <c r="BK55" s="28">
        <f t="shared" si="420"/>
        <v>0</v>
      </c>
      <c r="BL55" s="28">
        <f t="shared" si="420"/>
        <v>2</v>
      </c>
      <c r="BM55" s="28">
        <f t="shared" si="420"/>
        <v>0</v>
      </c>
      <c r="BO55" s="74">
        <f t="shared" ref="BO55:BR55" si="421">if(U55&gt;0,U55+BO54,0)</f>
        <v>36</v>
      </c>
      <c r="BP55" s="74">
        <f t="shared" si="421"/>
        <v>36</v>
      </c>
      <c r="BQ55" s="74">
        <f t="shared" si="421"/>
        <v>0</v>
      </c>
      <c r="BR55" s="74">
        <f t="shared" si="421"/>
        <v>16</v>
      </c>
      <c r="BT55" s="28">
        <f t="shared" ref="BT55:BW55" si="422">if(U55&lt;0,U55+BT54,0)</f>
        <v>0</v>
      </c>
      <c r="BU55" s="28">
        <f t="shared" si="422"/>
        <v>0</v>
      </c>
      <c r="BV55" s="28">
        <f t="shared" si="422"/>
        <v>-60</v>
      </c>
      <c r="BW55" s="28">
        <f t="shared" si="422"/>
        <v>0</v>
      </c>
    </row>
    <row r="56">
      <c r="A56" s="53">
        <v>8.0</v>
      </c>
      <c r="B56" s="28">
        <f>'08_3-11-2018'!A49</f>
        <v>46</v>
      </c>
      <c r="C56" s="75">
        <f>'08_3-11-2018'!B49</f>
        <v>-64</v>
      </c>
      <c r="D56" s="28">
        <f>'08_3-11-2018'!D49</f>
        <v>-176</v>
      </c>
      <c r="E56" s="28">
        <f>'08_3-11-2018'!C49</f>
        <v>-128</v>
      </c>
      <c r="F56" s="28">
        <f>'08_3-11-2018'!E49</f>
        <v>368</v>
      </c>
      <c r="G56" s="28">
        <f>'08_3-11-2018'!F49</f>
        <v>0</v>
      </c>
      <c r="H56" s="28" t="str">
        <f>'08_3-11-2018'!G49</f>
        <v>Thomas</v>
      </c>
      <c r="J56" s="76" t="str">
        <f>'08_3-11-2018'!H49</f>
        <v>Janus</v>
      </c>
      <c r="K56" s="28" t="str">
        <f>'08_3-11-2018'!I49</f>
        <v>9 vip  1.</v>
      </c>
      <c r="L56" s="56"/>
      <c r="M56" s="25">
        <v>9.0</v>
      </c>
      <c r="N56" s="25" t="s">
        <v>86</v>
      </c>
      <c r="O56" s="25">
        <v>1.0</v>
      </c>
      <c r="T56" s="56"/>
      <c r="U56" s="77">
        <f t="shared" ref="U56:X56" si="423">C56-C55</f>
        <v>-8</v>
      </c>
      <c r="V56" s="28">
        <f t="shared" si="423"/>
        <v>-8</v>
      </c>
      <c r="W56" s="28">
        <f t="shared" si="423"/>
        <v>8</v>
      </c>
      <c r="X56" s="28">
        <f t="shared" si="423"/>
        <v>8</v>
      </c>
      <c r="AB56" s="28">
        <f t="shared" ref="AB56:AE56" si="424">IF(AB$3=$H56,U56,"")</f>
        <v>-8</v>
      </c>
      <c r="AC56" s="28" t="str">
        <f t="shared" si="424"/>
        <v/>
      </c>
      <c r="AD56" s="28" t="str">
        <f t="shared" si="424"/>
        <v/>
      </c>
      <c r="AE56" s="28" t="str">
        <f t="shared" si="424"/>
        <v/>
      </c>
      <c r="AH56" s="28">
        <f t="shared" si="22"/>
        <v>0</v>
      </c>
      <c r="AI56" s="28">
        <f t="shared" si="23"/>
        <v>-8</v>
      </c>
      <c r="AK56" s="78" t="str">
        <f t="shared" ref="AK56:AN56" si="425">IF(U56&gt;0,AK$3,"")</f>
        <v/>
      </c>
      <c r="AL56" s="78" t="str">
        <f t="shared" si="425"/>
        <v/>
      </c>
      <c r="AM56" s="78" t="str">
        <f t="shared" si="425"/>
        <v>Janus</v>
      </c>
      <c r="AN56" s="78" t="str">
        <f t="shared" si="425"/>
        <v>Christian</v>
      </c>
      <c r="AO56" s="56">
        <f t="shared" si="25"/>
        <v>2</v>
      </c>
      <c r="AP56" s="8" t="str">
        <f t="shared" si="26"/>
        <v>Thomas</v>
      </c>
      <c r="AQ56" s="73" t="str">
        <f>IFERROR(__xludf.DUMMYFUNCTION("IFNA(QUERY(transpose(AY56:BB56),""Select Col1 where Col1 is not null limit 1"",0))"),"Peter")</f>
        <v>Peter</v>
      </c>
      <c r="AR56" s="56"/>
      <c r="AS56" s="28" t="str">
        <f t="shared" ref="AS56:AV56" si="426">IF(AK56=AS$3,"",AS$3)</f>
        <v>Thomas</v>
      </c>
      <c r="AT56" s="28" t="str">
        <f t="shared" si="426"/>
        <v>Peter</v>
      </c>
      <c r="AU56" s="28" t="str">
        <f t="shared" si="426"/>
        <v/>
      </c>
      <c r="AV56" s="28" t="str">
        <f t="shared" si="426"/>
        <v/>
      </c>
      <c r="AW56" s="56">
        <f t="shared" si="28"/>
        <v>2</v>
      </c>
      <c r="AX56" s="28">
        <f t="shared" si="29"/>
        <v>-8</v>
      </c>
      <c r="AY56" s="28" t="str">
        <f t="shared" ref="AY56:BB56" si="427">IFNA(IFS(AY$3=$AP56,"",$AX56=U56,AY$3),"")</f>
        <v/>
      </c>
      <c r="AZ56" s="28" t="str">
        <f t="shared" si="427"/>
        <v>Peter</v>
      </c>
      <c r="BA56" s="28" t="str">
        <f t="shared" si="427"/>
        <v/>
      </c>
      <c r="BB56" s="28" t="str">
        <f t="shared" si="427"/>
        <v/>
      </c>
      <c r="BC56" s="58">
        <f>OFFSET('00_Regnskab_01'!$A$1,MATCH(A56,'00_Regnskab_01'!$A$1:$A$25)-1,2)</f>
        <v>43407</v>
      </c>
      <c r="BE56" s="80">
        <f t="shared" ref="BE56:BH56" si="428">if(U56&gt;0,1+BE55,0)</f>
        <v>0</v>
      </c>
      <c r="BF56" s="28">
        <f t="shared" si="428"/>
        <v>0</v>
      </c>
      <c r="BG56" s="28">
        <f t="shared" si="428"/>
        <v>1</v>
      </c>
      <c r="BH56" s="28">
        <f t="shared" si="428"/>
        <v>2</v>
      </c>
      <c r="BJ56" s="28">
        <f t="shared" ref="BJ56:BM56" si="429">if(U56&lt;0,1+BJ55,0)</f>
        <v>1</v>
      </c>
      <c r="BK56" s="28">
        <f t="shared" si="429"/>
        <v>1</v>
      </c>
      <c r="BL56" s="28">
        <f t="shared" si="429"/>
        <v>0</v>
      </c>
      <c r="BM56" s="28">
        <f t="shared" si="429"/>
        <v>0</v>
      </c>
      <c r="BO56" s="74">
        <f t="shared" ref="BO56:BR56" si="430">if(U56&gt;0,U56+BO55,0)</f>
        <v>0</v>
      </c>
      <c r="BP56" s="74">
        <f t="shared" si="430"/>
        <v>0</v>
      </c>
      <c r="BQ56" s="74">
        <f t="shared" si="430"/>
        <v>8</v>
      </c>
      <c r="BR56" s="74">
        <f t="shared" si="430"/>
        <v>24</v>
      </c>
      <c r="BT56" s="28">
        <f t="shared" ref="BT56:BW56" si="431">if(U56&lt;0,U56+BT55,0)</f>
        <v>-8</v>
      </c>
      <c r="BU56" s="28">
        <f t="shared" si="431"/>
        <v>-8</v>
      </c>
      <c r="BV56" s="28">
        <f t="shared" si="431"/>
        <v>0</v>
      </c>
      <c r="BW56" s="28">
        <f t="shared" si="431"/>
        <v>0</v>
      </c>
    </row>
    <row r="57">
      <c r="A57" s="53">
        <v>8.0</v>
      </c>
      <c r="B57" s="28">
        <f>'08_3-11-2018'!A50</f>
        <v>47</v>
      </c>
      <c r="C57" s="75">
        <f>'08_3-11-2018'!B50</f>
        <v>-80</v>
      </c>
      <c r="D57" s="28">
        <f>'08_3-11-2018'!D50</f>
        <v>-128</v>
      </c>
      <c r="E57" s="28">
        <f>'08_3-11-2018'!C50</f>
        <v>-144</v>
      </c>
      <c r="F57" s="28">
        <f>'08_3-11-2018'!E50</f>
        <v>352</v>
      </c>
      <c r="G57" s="28">
        <f>'08_3-11-2018'!F50</f>
        <v>0</v>
      </c>
      <c r="H57" s="28" t="str">
        <f>'08_3-11-2018'!G50</f>
        <v>Peter</v>
      </c>
      <c r="J57" s="76" t="str">
        <f>'08_3-11-2018'!H50</f>
        <v>Thomas</v>
      </c>
      <c r="K57" s="28" t="str">
        <f>'08_3-11-2018'!I50</f>
        <v>Ren Sol</v>
      </c>
      <c r="L57" s="56"/>
      <c r="N57" s="25" t="s">
        <v>97</v>
      </c>
      <c r="T57" s="56"/>
      <c r="U57" s="77">
        <f t="shared" ref="U57:X57" si="432">C57-C56</f>
        <v>-16</v>
      </c>
      <c r="V57" s="28">
        <f t="shared" si="432"/>
        <v>48</v>
      </c>
      <c r="W57" s="28">
        <f t="shared" si="432"/>
        <v>-16</v>
      </c>
      <c r="X57" s="28">
        <f t="shared" si="432"/>
        <v>-16</v>
      </c>
      <c r="AB57" s="28" t="str">
        <f t="shared" ref="AB57:AE57" si="433">IF(AB$3=$H57,U57,"")</f>
        <v/>
      </c>
      <c r="AC57" s="28">
        <f t="shared" si="433"/>
        <v>48</v>
      </c>
      <c r="AD57" s="28" t="str">
        <f t="shared" si="433"/>
        <v/>
      </c>
      <c r="AE57" s="28" t="str">
        <f t="shared" si="433"/>
        <v/>
      </c>
      <c r="AH57" s="28">
        <f t="shared" si="22"/>
        <v>48</v>
      </c>
      <c r="AI57" s="28">
        <f t="shared" si="23"/>
        <v>0</v>
      </c>
      <c r="AK57" s="78" t="str">
        <f t="shared" ref="AK57:AN57" si="434">IF(U57&gt;0,AK$3,"")</f>
        <v/>
      </c>
      <c r="AL57" s="78" t="str">
        <f t="shared" si="434"/>
        <v>Peter</v>
      </c>
      <c r="AM57" s="78" t="str">
        <f t="shared" si="434"/>
        <v/>
      </c>
      <c r="AN57" s="78" t="str">
        <f t="shared" si="434"/>
        <v/>
      </c>
      <c r="AO57" s="56">
        <f t="shared" si="25"/>
        <v>1</v>
      </c>
      <c r="AP57" s="8" t="str">
        <f t="shared" si="26"/>
        <v>Peter</v>
      </c>
      <c r="AQ57" s="73" t="str">
        <f>IFERROR(__xludf.DUMMYFUNCTION("IFNA(QUERY(transpose(AY57:BB57),""Select Col1 where Col1 is not null limit 1"",0))"),"")</f>
        <v/>
      </c>
      <c r="AR57" s="56"/>
      <c r="AS57" s="28" t="str">
        <f t="shared" ref="AS57:AV57" si="435">IF(AK57=AS$3,"",AS$3)</f>
        <v>Thomas</v>
      </c>
      <c r="AT57" s="28" t="str">
        <f t="shared" si="435"/>
        <v/>
      </c>
      <c r="AU57" s="28" t="str">
        <f t="shared" si="435"/>
        <v>Janus</v>
      </c>
      <c r="AV57" s="28" t="str">
        <f t="shared" si="435"/>
        <v>Christian</v>
      </c>
      <c r="AW57" s="56">
        <f t="shared" si="28"/>
        <v>3</v>
      </c>
      <c r="AX57" s="28">
        <f t="shared" si="29"/>
        <v>48</v>
      </c>
      <c r="AY57" s="28" t="str">
        <f t="shared" ref="AY57:BB57" si="436">IFNA(IFS(AY$3=$AP57,"",$AX57=U57,AY$3),"")</f>
        <v/>
      </c>
      <c r="AZ57" s="28" t="str">
        <f t="shared" si="436"/>
        <v/>
      </c>
      <c r="BA57" s="28" t="str">
        <f t="shared" si="436"/>
        <v/>
      </c>
      <c r="BB57" s="28" t="str">
        <f t="shared" si="436"/>
        <v/>
      </c>
      <c r="BC57" s="58">
        <f>OFFSET('00_Regnskab_01'!$A$1,MATCH(A57,'00_Regnskab_01'!$A$1:$A$25)-1,2)</f>
        <v>43407</v>
      </c>
      <c r="BE57" s="80">
        <f t="shared" ref="BE57:BH57" si="437">if(U57&gt;0,1+BE56,0)</f>
        <v>0</v>
      </c>
      <c r="BF57" s="28">
        <f t="shared" si="437"/>
        <v>1</v>
      </c>
      <c r="BG57" s="28">
        <f t="shared" si="437"/>
        <v>0</v>
      </c>
      <c r="BH57" s="28">
        <f t="shared" si="437"/>
        <v>0</v>
      </c>
      <c r="BJ57" s="28">
        <f t="shared" ref="BJ57:BM57" si="438">if(U57&lt;0,1+BJ56,0)</f>
        <v>2</v>
      </c>
      <c r="BK57" s="28">
        <f t="shared" si="438"/>
        <v>0</v>
      </c>
      <c r="BL57" s="28">
        <f t="shared" si="438"/>
        <v>1</v>
      </c>
      <c r="BM57" s="28">
        <f t="shared" si="438"/>
        <v>1</v>
      </c>
      <c r="BO57" s="74">
        <f t="shared" ref="BO57:BR57" si="439">if(U57&gt;0,U57+BO56,0)</f>
        <v>0</v>
      </c>
      <c r="BP57" s="74">
        <f t="shared" si="439"/>
        <v>48</v>
      </c>
      <c r="BQ57" s="74">
        <f t="shared" si="439"/>
        <v>0</v>
      </c>
      <c r="BR57" s="74">
        <f t="shared" si="439"/>
        <v>0</v>
      </c>
      <c r="BT57" s="28">
        <f t="shared" ref="BT57:BW57" si="440">if(U57&lt;0,U57+BT56,0)</f>
        <v>-24</v>
      </c>
      <c r="BU57" s="28">
        <f t="shared" si="440"/>
        <v>0</v>
      </c>
      <c r="BV57" s="28">
        <f t="shared" si="440"/>
        <v>-16</v>
      </c>
      <c r="BW57" s="28">
        <f t="shared" si="440"/>
        <v>-16</v>
      </c>
    </row>
    <row r="58">
      <c r="A58" s="53">
        <v>8.0</v>
      </c>
      <c r="B58" s="28">
        <f>'08_3-11-2018'!A51</f>
        <v>48</v>
      </c>
      <c r="C58" s="75">
        <f>'08_3-11-2018'!B51</f>
        <v>-68</v>
      </c>
      <c r="D58" s="28">
        <f>'08_3-11-2018'!D51</f>
        <v>-140</v>
      </c>
      <c r="E58" s="28">
        <f>'08_3-11-2018'!C51</f>
        <v>-156</v>
      </c>
      <c r="F58" s="28">
        <f>'08_3-11-2018'!E51</f>
        <v>364</v>
      </c>
      <c r="G58" s="28">
        <f>'08_3-11-2018'!F51</f>
        <v>0</v>
      </c>
      <c r="H58" s="28" t="str">
        <f>'08_3-11-2018'!G51</f>
        <v>Christian</v>
      </c>
      <c r="J58" s="76" t="str">
        <f>'08_3-11-2018'!H51</f>
        <v>Christian</v>
      </c>
      <c r="K58" s="28" t="str">
        <f>'08_3-11-2018'!I51</f>
        <v>9 halve</v>
      </c>
      <c r="L58" s="56"/>
      <c r="M58" s="25">
        <v>9.0</v>
      </c>
      <c r="N58" s="25" t="s">
        <v>94</v>
      </c>
      <c r="T58" s="56"/>
      <c r="U58" s="77">
        <f t="shared" ref="U58:X58" si="441">C58-C57</f>
        <v>12</v>
      </c>
      <c r="V58" s="28">
        <f t="shared" si="441"/>
        <v>-12</v>
      </c>
      <c r="W58" s="28">
        <f t="shared" si="441"/>
        <v>-12</v>
      </c>
      <c r="X58" s="28">
        <f t="shared" si="441"/>
        <v>12</v>
      </c>
      <c r="AB58" s="28" t="str">
        <f t="shared" ref="AB58:AE58" si="442">IF(AB$3=$H58,U58,"")</f>
        <v/>
      </c>
      <c r="AC58" s="28" t="str">
        <f t="shared" si="442"/>
        <v/>
      </c>
      <c r="AD58" s="28" t="str">
        <f t="shared" si="442"/>
        <v/>
      </c>
      <c r="AE58" s="28">
        <f t="shared" si="442"/>
        <v>12</v>
      </c>
      <c r="AH58" s="28">
        <f t="shared" si="22"/>
        <v>12</v>
      </c>
      <c r="AI58" s="28">
        <f t="shared" si="23"/>
        <v>0</v>
      </c>
      <c r="AK58" s="78" t="str">
        <f t="shared" ref="AK58:AN58" si="443">IF(U58&gt;0,AK$3,"")</f>
        <v>Thomas</v>
      </c>
      <c r="AL58" s="78" t="str">
        <f t="shared" si="443"/>
        <v/>
      </c>
      <c r="AM58" s="78" t="str">
        <f t="shared" si="443"/>
        <v/>
      </c>
      <c r="AN58" s="78" t="str">
        <f t="shared" si="443"/>
        <v>Christian</v>
      </c>
      <c r="AO58" s="56">
        <f t="shared" si="25"/>
        <v>2</v>
      </c>
      <c r="AP58" s="8" t="str">
        <f t="shared" si="26"/>
        <v>Christian</v>
      </c>
      <c r="AQ58" s="73" t="str">
        <f>IFERROR(__xludf.DUMMYFUNCTION("IFNA(QUERY(transpose(AY58:BB58),""Select Col1 where Col1 is not null limit 1"",0))"),"Thomas")</f>
        <v>Thomas</v>
      </c>
      <c r="AR58" s="56"/>
      <c r="AS58" s="28" t="str">
        <f t="shared" ref="AS58:AV58" si="444">IF(AK58=AS$3,"",AS$3)</f>
        <v/>
      </c>
      <c r="AT58" s="28" t="str">
        <f t="shared" si="444"/>
        <v>Peter</v>
      </c>
      <c r="AU58" s="28" t="str">
        <f t="shared" si="444"/>
        <v>Janus</v>
      </c>
      <c r="AV58" s="28" t="str">
        <f t="shared" si="444"/>
        <v/>
      </c>
      <c r="AW58" s="56">
        <f t="shared" si="28"/>
        <v>2</v>
      </c>
      <c r="AX58" s="28">
        <f t="shared" si="29"/>
        <v>12</v>
      </c>
      <c r="AY58" s="28" t="str">
        <f t="shared" ref="AY58:BB58" si="445">IFNA(IFS(AY$3=$AP58,"",$AX58=U58,AY$3),"")</f>
        <v>Thomas</v>
      </c>
      <c r="AZ58" s="28" t="str">
        <f t="shared" si="445"/>
        <v/>
      </c>
      <c r="BA58" s="28" t="str">
        <f t="shared" si="445"/>
        <v/>
      </c>
      <c r="BB58" s="28" t="str">
        <f t="shared" si="445"/>
        <v/>
      </c>
      <c r="BC58" s="58">
        <f>OFFSET('00_Regnskab_01'!$A$1,MATCH(A58,'00_Regnskab_01'!$A$1:$A$25)-1,2)</f>
        <v>43407</v>
      </c>
      <c r="BE58" s="80">
        <f t="shared" ref="BE58:BH58" si="446">if(U58&gt;0,1+BE57,0)</f>
        <v>1</v>
      </c>
      <c r="BF58" s="28">
        <f t="shared" si="446"/>
        <v>0</v>
      </c>
      <c r="BG58" s="28">
        <f t="shared" si="446"/>
        <v>0</v>
      </c>
      <c r="BH58" s="28">
        <f t="shared" si="446"/>
        <v>1</v>
      </c>
      <c r="BJ58" s="28">
        <f t="shared" ref="BJ58:BM58" si="447">if(U58&lt;0,1+BJ57,0)</f>
        <v>0</v>
      </c>
      <c r="BK58" s="28">
        <f t="shared" si="447"/>
        <v>1</v>
      </c>
      <c r="BL58" s="28">
        <f t="shared" si="447"/>
        <v>2</v>
      </c>
      <c r="BM58" s="28">
        <f t="shared" si="447"/>
        <v>0</v>
      </c>
      <c r="BO58" s="74">
        <f t="shared" ref="BO58:BR58" si="448">if(U58&gt;0,U58+BO57,0)</f>
        <v>12</v>
      </c>
      <c r="BP58" s="74">
        <f t="shared" si="448"/>
        <v>0</v>
      </c>
      <c r="BQ58" s="74">
        <f t="shared" si="448"/>
        <v>0</v>
      </c>
      <c r="BR58" s="74">
        <f t="shared" si="448"/>
        <v>12</v>
      </c>
      <c r="BT58" s="28">
        <f t="shared" ref="BT58:BW58" si="449">if(U58&lt;0,U58+BT57,0)</f>
        <v>0</v>
      </c>
      <c r="BU58" s="28">
        <f t="shared" si="449"/>
        <v>-12</v>
      </c>
      <c r="BV58" s="28">
        <f t="shared" si="449"/>
        <v>-28</v>
      </c>
      <c r="BW58" s="28">
        <f t="shared" si="449"/>
        <v>0</v>
      </c>
    </row>
    <row r="59">
      <c r="A59" s="53">
        <v>8.0</v>
      </c>
      <c r="B59" s="28">
        <f>'08_3-11-2018'!A52</f>
        <v>49</v>
      </c>
      <c r="C59" s="75">
        <f>'08_3-11-2018'!B52</f>
        <v>-84</v>
      </c>
      <c r="D59" s="28">
        <f>'08_3-11-2018'!D52</f>
        <v>-92</v>
      </c>
      <c r="E59" s="28">
        <f>'08_3-11-2018'!C52</f>
        <v>-172</v>
      </c>
      <c r="F59" s="28">
        <f>'08_3-11-2018'!E52</f>
        <v>348</v>
      </c>
      <c r="G59" s="28">
        <f>'08_3-11-2018'!F52</f>
        <v>0</v>
      </c>
      <c r="H59" s="28" t="str">
        <f>'08_3-11-2018'!G52</f>
        <v>Peter</v>
      </c>
      <c r="J59" s="76" t="str">
        <f>'08_3-11-2018'!H52</f>
        <v>Peter</v>
      </c>
      <c r="K59" s="28" t="str">
        <f>'08_3-11-2018'!I52</f>
        <v>Ren Sol</v>
      </c>
      <c r="L59" s="56"/>
      <c r="N59" s="25" t="s">
        <v>97</v>
      </c>
      <c r="T59" s="56"/>
      <c r="U59" s="77">
        <f t="shared" ref="U59:X59" si="450">C59-C58</f>
        <v>-16</v>
      </c>
      <c r="V59" s="28">
        <f t="shared" si="450"/>
        <v>48</v>
      </c>
      <c r="W59" s="28">
        <f t="shared" si="450"/>
        <v>-16</v>
      </c>
      <c r="X59" s="28">
        <f t="shared" si="450"/>
        <v>-16</v>
      </c>
      <c r="AB59" s="28" t="str">
        <f t="shared" ref="AB59:AE59" si="451">IF(AB$3=$H59,U59,"")</f>
        <v/>
      </c>
      <c r="AC59" s="28">
        <f t="shared" si="451"/>
        <v>48</v>
      </c>
      <c r="AD59" s="28" t="str">
        <f t="shared" si="451"/>
        <v/>
      </c>
      <c r="AE59" s="28" t="str">
        <f t="shared" si="451"/>
        <v/>
      </c>
      <c r="AH59" s="28">
        <f t="shared" si="22"/>
        <v>48</v>
      </c>
      <c r="AI59" s="28">
        <f t="shared" si="23"/>
        <v>0</v>
      </c>
      <c r="AK59" s="78" t="str">
        <f t="shared" ref="AK59:AN59" si="452">IF(U59&gt;0,AK$3,"")</f>
        <v/>
      </c>
      <c r="AL59" s="78" t="str">
        <f t="shared" si="452"/>
        <v>Peter</v>
      </c>
      <c r="AM59" s="78" t="str">
        <f t="shared" si="452"/>
        <v/>
      </c>
      <c r="AN59" s="78" t="str">
        <f t="shared" si="452"/>
        <v/>
      </c>
      <c r="AO59" s="56">
        <f t="shared" si="25"/>
        <v>1</v>
      </c>
      <c r="AP59" s="8" t="str">
        <f t="shared" si="26"/>
        <v>Peter</v>
      </c>
      <c r="AQ59" s="73" t="str">
        <f>IFERROR(__xludf.DUMMYFUNCTION("IFNA(QUERY(transpose(AY59:BB59),""Select Col1 where Col1 is not null limit 1"",0))"),"")</f>
        <v/>
      </c>
      <c r="AR59" s="56"/>
      <c r="AS59" s="28" t="str">
        <f t="shared" ref="AS59:AV59" si="453">IF(AK59=AS$3,"",AS$3)</f>
        <v>Thomas</v>
      </c>
      <c r="AT59" s="28" t="str">
        <f t="shared" si="453"/>
        <v/>
      </c>
      <c r="AU59" s="28" t="str">
        <f t="shared" si="453"/>
        <v>Janus</v>
      </c>
      <c r="AV59" s="28" t="str">
        <f t="shared" si="453"/>
        <v>Christian</v>
      </c>
      <c r="AW59" s="56">
        <f t="shared" si="28"/>
        <v>3</v>
      </c>
      <c r="AX59" s="28">
        <f t="shared" si="29"/>
        <v>48</v>
      </c>
      <c r="AY59" s="28" t="str">
        <f t="shared" ref="AY59:BB59" si="454">IFNA(IFS(AY$3=$AP59,"",$AX59=U59,AY$3),"")</f>
        <v/>
      </c>
      <c r="AZ59" s="28" t="str">
        <f t="shared" si="454"/>
        <v/>
      </c>
      <c r="BA59" s="28" t="str">
        <f t="shared" si="454"/>
        <v/>
      </c>
      <c r="BB59" s="28" t="str">
        <f t="shared" si="454"/>
        <v/>
      </c>
      <c r="BC59" s="58">
        <f>OFFSET('00_Regnskab_01'!$A$1,MATCH(A59,'00_Regnskab_01'!$A$1:$A$25)-1,2)</f>
        <v>43407</v>
      </c>
      <c r="BE59" s="80">
        <f t="shared" ref="BE59:BH59" si="455">if(U59&gt;0,1+BE58,0)</f>
        <v>0</v>
      </c>
      <c r="BF59" s="28">
        <f t="shared" si="455"/>
        <v>1</v>
      </c>
      <c r="BG59" s="28">
        <f t="shared" si="455"/>
        <v>0</v>
      </c>
      <c r="BH59" s="28">
        <f t="shared" si="455"/>
        <v>0</v>
      </c>
      <c r="BJ59" s="28">
        <f t="shared" ref="BJ59:BM59" si="456">if(U59&lt;0,1+BJ58,0)</f>
        <v>1</v>
      </c>
      <c r="BK59" s="28">
        <f t="shared" si="456"/>
        <v>0</v>
      </c>
      <c r="BL59" s="28">
        <f t="shared" si="456"/>
        <v>3</v>
      </c>
      <c r="BM59" s="28">
        <f t="shared" si="456"/>
        <v>1</v>
      </c>
      <c r="BO59" s="74">
        <f t="shared" ref="BO59:BR59" si="457">if(U59&gt;0,U59+BO58,0)</f>
        <v>0</v>
      </c>
      <c r="BP59" s="74">
        <f t="shared" si="457"/>
        <v>48</v>
      </c>
      <c r="BQ59" s="74">
        <f t="shared" si="457"/>
        <v>0</v>
      </c>
      <c r="BR59" s="74">
        <f t="shared" si="457"/>
        <v>0</v>
      </c>
      <c r="BT59" s="28">
        <f t="shared" ref="BT59:BW59" si="458">if(U59&lt;0,U59+BT58,0)</f>
        <v>-16</v>
      </c>
      <c r="BU59" s="28">
        <f t="shared" si="458"/>
        <v>0</v>
      </c>
      <c r="BV59" s="28">
        <f t="shared" si="458"/>
        <v>-44</v>
      </c>
      <c r="BW59" s="28">
        <f t="shared" si="458"/>
        <v>-16</v>
      </c>
    </row>
    <row r="60">
      <c r="A60" s="83">
        <v>8.0</v>
      </c>
      <c r="B60" s="84">
        <f>'08_3-11-2018'!A53</f>
        <v>50</v>
      </c>
      <c r="C60" s="85">
        <f>'08_3-11-2018'!B53</f>
        <v>-92</v>
      </c>
      <c r="D60" s="84">
        <f>'08_3-11-2018'!D53</f>
        <v>-84</v>
      </c>
      <c r="E60" s="84">
        <f>'08_3-11-2018'!C53</f>
        <v>-180</v>
      </c>
      <c r="F60" s="84">
        <f>'08_3-11-2018'!E53</f>
        <v>356</v>
      </c>
      <c r="G60" s="84">
        <f>'08_3-11-2018'!F53</f>
        <v>0</v>
      </c>
      <c r="H60" s="84" t="str">
        <f>'08_3-11-2018'!G53</f>
        <v>Peter</v>
      </c>
      <c r="I60" s="84"/>
      <c r="J60" s="86" t="str">
        <f>'08_3-11-2018'!H53</f>
        <v>Janus</v>
      </c>
      <c r="K60" s="84" t="str">
        <f>'08_3-11-2018'!I53</f>
        <v>10 alm</v>
      </c>
      <c r="L60" s="84"/>
      <c r="M60" s="87">
        <v>10.0</v>
      </c>
      <c r="N60" s="87" t="s">
        <v>100</v>
      </c>
      <c r="O60" s="84"/>
      <c r="P60" s="84"/>
      <c r="Q60" s="84"/>
      <c r="R60" s="84"/>
      <c r="S60" s="84"/>
      <c r="T60" s="84"/>
      <c r="U60" s="77">
        <f t="shared" ref="U60:X60" si="459">C60-C59</f>
        <v>-8</v>
      </c>
      <c r="V60" s="28">
        <f t="shared" si="459"/>
        <v>8</v>
      </c>
      <c r="W60" s="28">
        <f t="shared" si="459"/>
        <v>-8</v>
      </c>
      <c r="X60" s="28">
        <f t="shared" si="459"/>
        <v>8</v>
      </c>
      <c r="Y60" s="84"/>
      <c r="Z60" s="84"/>
      <c r="AA60" s="84"/>
      <c r="AB60" s="28" t="str">
        <f t="shared" ref="AB60:AE60" si="460">IF(AB$3=$H60,U60,"")</f>
        <v/>
      </c>
      <c r="AC60" s="28">
        <f t="shared" si="460"/>
        <v>8</v>
      </c>
      <c r="AD60" s="28" t="str">
        <f t="shared" si="460"/>
        <v/>
      </c>
      <c r="AE60" s="28" t="str">
        <f t="shared" si="460"/>
        <v/>
      </c>
      <c r="AH60" s="28">
        <f t="shared" si="22"/>
        <v>8</v>
      </c>
      <c r="AI60" s="28">
        <f t="shared" si="23"/>
        <v>0</v>
      </c>
      <c r="AJ60" s="84"/>
      <c r="AK60" s="78" t="str">
        <f t="shared" ref="AK60:AN60" si="461">IF(U60&gt;0,AK$3,"")</f>
        <v/>
      </c>
      <c r="AL60" s="78" t="str">
        <f t="shared" si="461"/>
        <v>Peter</v>
      </c>
      <c r="AM60" s="78" t="str">
        <f t="shared" si="461"/>
        <v/>
      </c>
      <c r="AN60" s="78" t="str">
        <f t="shared" si="461"/>
        <v>Christian</v>
      </c>
      <c r="AO60" s="56">
        <f t="shared" si="25"/>
        <v>2</v>
      </c>
      <c r="AP60" s="8" t="str">
        <f t="shared" si="26"/>
        <v>Peter</v>
      </c>
      <c r="AQ60" s="73" t="str">
        <f>IFERROR(__xludf.DUMMYFUNCTION("IFNA(QUERY(transpose(AY60:BB60),""Select Col1 where Col1 is not null limit 1"",0))"),"Christian")</f>
        <v>Christian</v>
      </c>
      <c r="AR60" s="56"/>
      <c r="AS60" s="28" t="str">
        <f t="shared" ref="AS60:AV60" si="462">IF(AK60=AS$3,"",AS$3)</f>
        <v>Thomas</v>
      </c>
      <c r="AT60" s="28" t="str">
        <f t="shared" si="462"/>
        <v/>
      </c>
      <c r="AU60" s="28" t="str">
        <f t="shared" si="462"/>
        <v>Janus</v>
      </c>
      <c r="AV60" s="28" t="str">
        <f t="shared" si="462"/>
        <v/>
      </c>
      <c r="AW60" s="56">
        <f t="shared" si="28"/>
        <v>2</v>
      </c>
      <c r="AX60" s="28">
        <f t="shared" si="29"/>
        <v>8</v>
      </c>
      <c r="AY60" s="28" t="str">
        <f t="shared" ref="AY60:BB60" si="463">IFNA(IFS(AY$3=$AP60,"",$AX60=U60,AY$3),"")</f>
        <v/>
      </c>
      <c r="AZ60" s="28" t="str">
        <f t="shared" si="463"/>
        <v/>
      </c>
      <c r="BA60" s="28" t="str">
        <f t="shared" si="463"/>
        <v/>
      </c>
      <c r="BB60" s="28" t="str">
        <f t="shared" si="463"/>
        <v>Christian</v>
      </c>
      <c r="BC60" s="58">
        <f>OFFSET('00_Regnskab_01'!$A$1,MATCH(A60,'00_Regnskab_01'!$A$1:$A$25)-1,2)</f>
        <v>43407</v>
      </c>
      <c r="BD60" s="84"/>
      <c r="BE60" s="80">
        <f t="shared" ref="BE60:BH60" si="464">if(U60&gt;0,1+BE59,0)</f>
        <v>0</v>
      </c>
      <c r="BF60" s="28">
        <f t="shared" si="464"/>
        <v>2</v>
      </c>
      <c r="BG60" s="28">
        <f t="shared" si="464"/>
        <v>0</v>
      </c>
      <c r="BH60" s="28">
        <f t="shared" si="464"/>
        <v>1</v>
      </c>
      <c r="BI60" s="84"/>
      <c r="BJ60" s="28">
        <f t="shared" ref="BJ60:BM60" si="465">if(U60&lt;0,1+BJ59,0)</f>
        <v>2</v>
      </c>
      <c r="BK60" s="28">
        <f t="shared" si="465"/>
        <v>0</v>
      </c>
      <c r="BL60" s="28">
        <f t="shared" si="465"/>
        <v>4</v>
      </c>
      <c r="BM60" s="28">
        <f t="shared" si="465"/>
        <v>0</v>
      </c>
      <c r="BO60" s="74">
        <f t="shared" ref="BO60:BR60" si="466">if(U60&gt;0,U60+BO59,0)</f>
        <v>0</v>
      </c>
      <c r="BP60" s="74">
        <f t="shared" si="466"/>
        <v>56</v>
      </c>
      <c r="BQ60" s="74">
        <f t="shared" si="466"/>
        <v>0</v>
      </c>
      <c r="BR60" s="74">
        <f t="shared" si="466"/>
        <v>8</v>
      </c>
      <c r="BT60" s="28">
        <f t="shared" ref="BT60:BW60" si="467">if(U60&lt;0,U60+BT59,0)</f>
        <v>-24</v>
      </c>
      <c r="BU60" s="28">
        <f t="shared" si="467"/>
        <v>0</v>
      </c>
      <c r="BV60" s="28">
        <f t="shared" si="467"/>
        <v>-52</v>
      </c>
      <c r="BW60" s="28">
        <f t="shared" si="467"/>
        <v>0</v>
      </c>
      <c r="BX60" s="84"/>
      <c r="BY60" s="84"/>
    </row>
    <row r="61">
      <c r="A61" s="51">
        <v>9.0</v>
      </c>
      <c r="B61" s="32">
        <f>'09_26-01-2019'!A4</f>
        <v>1</v>
      </c>
      <c r="C61" s="69">
        <f>'09_26-01-2019'!B4</f>
        <v>16</v>
      </c>
      <c r="D61" s="32">
        <f>'09_26-01-2019'!C4</f>
        <v>-16</v>
      </c>
      <c r="E61" s="32">
        <f>'09_26-01-2019'!D4</f>
        <v>16</v>
      </c>
      <c r="F61" s="32">
        <f>'09_26-01-2019'!E4</f>
        <v>-16</v>
      </c>
      <c r="G61" s="32">
        <f>'09_26-01-2019'!F4</f>
        <v>0</v>
      </c>
      <c r="H61" s="32" t="str">
        <f>'09_26-01-2019'!G4</f>
        <v>Thomas</v>
      </c>
      <c r="I61" s="32"/>
      <c r="J61" s="70" t="str">
        <f>'09_26-01-2019'!H4</f>
        <v>Christian</v>
      </c>
      <c r="K61" s="32" t="str">
        <f>'09_26-01-2019'!I4</f>
        <v>9 vip i 2.</v>
      </c>
      <c r="L61" s="32"/>
      <c r="M61" s="48">
        <v>9.0</v>
      </c>
      <c r="N61" s="48" t="s">
        <v>86</v>
      </c>
      <c r="O61" s="48">
        <v>2.0</v>
      </c>
      <c r="P61" s="32"/>
      <c r="Q61" s="32"/>
      <c r="R61" s="32"/>
      <c r="S61" s="32"/>
      <c r="T61" s="32"/>
      <c r="U61" s="71">
        <f t="shared" ref="U61:X61" si="468">C61</f>
        <v>16</v>
      </c>
      <c r="V61" s="32">
        <f t="shared" si="468"/>
        <v>-16</v>
      </c>
      <c r="W61" s="32">
        <f t="shared" si="468"/>
        <v>16</v>
      </c>
      <c r="X61" s="32">
        <f t="shared" si="468"/>
        <v>-16</v>
      </c>
      <c r="Y61" s="32"/>
      <c r="Z61" s="32"/>
      <c r="AA61" s="32"/>
      <c r="AB61" s="28">
        <f t="shared" ref="AB61:AE61" si="469">IF(AB$3=$H61,U61,"")</f>
        <v>16</v>
      </c>
      <c r="AC61" s="28" t="str">
        <f t="shared" si="469"/>
        <v/>
      </c>
      <c r="AD61" s="28" t="str">
        <f t="shared" si="469"/>
        <v/>
      </c>
      <c r="AE61" s="28" t="str">
        <f t="shared" si="469"/>
        <v/>
      </c>
      <c r="AH61" s="28">
        <f t="shared" si="22"/>
        <v>16</v>
      </c>
      <c r="AI61" s="28">
        <f t="shared" si="23"/>
        <v>0</v>
      </c>
      <c r="AJ61" s="32"/>
      <c r="AK61" s="78" t="str">
        <f t="shared" ref="AK61:AN61" si="470">IF(U61&gt;0,AK$3,"")</f>
        <v>Thomas</v>
      </c>
      <c r="AL61" s="78" t="str">
        <f t="shared" si="470"/>
        <v/>
      </c>
      <c r="AM61" s="78" t="str">
        <f t="shared" si="470"/>
        <v>Janus</v>
      </c>
      <c r="AN61" s="78" t="str">
        <f t="shared" si="470"/>
        <v/>
      </c>
      <c r="AO61" s="56">
        <f t="shared" si="25"/>
        <v>2</v>
      </c>
      <c r="AP61" s="8" t="str">
        <f t="shared" si="26"/>
        <v>Thomas</v>
      </c>
      <c r="AQ61" s="73" t="str">
        <f>IFERROR(__xludf.DUMMYFUNCTION("IFNA(QUERY(transpose(AY61:BB61),""Select Col1 where Col1 is not null limit 1"",0))"),"Janus")</f>
        <v>Janus</v>
      </c>
      <c r="AR61" s="56"/>
      <c r="AS61" s="28" t="str">
        <f t="shared" ref="AS61:AV61" si="471">IF(AK61=AS$3,"",AS$3)</f>
        <v/>
      </c>
      <c r="AT61" s="28" t="str">
        <f t="shared" si="471"/>
        <v>Peter</v>
      </c>
      <c r="AU61" s="28" t="str">
        <f t="shared" si="471"/>
        <v/>
      </c>
      <c r="AV61" s="28" t="str">
        <f t="shared" si="471"/>
        <v>Christian</v>
      </c>
      <c r="AW61" s="56">
        <f t="shared" si="28"/>
        <v>2</v>
      </c>
      <c r="AX61" s="28">
        <f t="shared" si="29"/>
        <v>16</v>
      </c>
      <c r="AY61" s="28" t="str">
        <f t="shared" ref="AY61:BB61" si="472">IFNA(IFS(AY$3=$AP61,"",$AX61=U61,AY$3),"")</f>
        <v/>
      </c>
      <c r="AZ61" s="28" t="str">
        <f t="shared" si="472"/>
        <v/>
      </c>
      <c r="BA61" s="28" t="str">
        <f t="shared" si="472"/>
        <v>Janus</v>
      </c>
      <c r="BB61" s="28" t="str">
        <f t="shared" si="472"/>
        <v/>
      </c>
      <c r="BC61" s="58">
        <f>OFFSET('00_Regnskab_01'!$A$1,MATCH(A61,'00_Regnskab_01'!$A$1:$A$25)-1,2)</f>
        <v>43491</v>
      </c>
      <c r="BD61" s="32"/>
      <c r="BE61" s="80">
        <f t="shared" ref="BE61:BH61" si="473">if(U61&gt;0,1+BE60,0)</f>
        <v>1</v>
      </c>
      <c r="BF61" s="28">
        <f t="shared" si="473"/>
        <v>0</v>
      </c>
      <c r="BG61" s="28">
        <f t="shared" si="473"/>
        <v>1</v>
      </c>
      <c r="BH61" s="28">
        <f t="shared" si="473"/>
        <v>0</v>
      </c>
      <c r="BI61" s="32"/>
      <c r="BJ61" s="28">
        <f t="shared" ref="BJ61:BM61" si="474">if(U61&lt;0,1+BJ60,0)</f>
        <v>0</v>
      </c>
      <c r="BK61" s="28">
        <f t="shared" si="474"/>
        <v>1</v>
      </c>
      <c r="BL61" s="28">
        <f t="shared" si="474"/>
        <v>0</v>
      </c>
      <c r="BM61" s="28">
        <f t="shared" si="474"/>
        <v>1</v>
      </c>
      <c r="BO61" s="74">
        <f t="shared" ref="BO61:BR61" si="475">if(U61&gt;0,U61+BO60,0)</f>
        <v>16</v>
      </c>
      <c r="BP61" s="74">
        <f t="shared" si="475"/>
        <v>0</v>
      </c>
      <c r="BQ61" s="74">
        <f t="shared" si="475"/>
        <v>16</v>
      </c>
      <c r="BR61" s="74">
        <f t="shared" si="475"/>
        <v>0</v>
      </c>
      <c r="BT61" s="28">
        <f t="shared" ref="BT61:BW61" si="476">if(U61&lt;0,U61+BT60,0)</f>
        <v>0</v>
      </c>
      <c r="BU61" s="28">
        <f t="shared" si="476"/>
        <v>-16</v>
      </c>
      <c r="BV61" s="28">
        <f t="shared" si="476"/>
        <v>0</v>
      </c>
      <c r="BW61" s="28">
        <f t="shared" si="476"/>
        <v>-16</v>
      </c>
      <c r="BX61" s="32"/>
      <c r="BY61" s="32"/>
    </row>
    <row r="62">
      <c r="A62" s="53">
        <v>9.0</v>
      </c>
      <c r="B62" s="28">
        <f>'09_26-01-2019'!A5</f>
        <v>2</v>
      </c>
      <c r="C62" s="75">
        <f>'09_26-01-2019'!B5</f>
        <v>12</v>
      </c>
      <c r="D62" s="28">
        <f>'09_26-01-2019'!C5</f>
        <v>-20</v>
      </c>
      <c r="E62" s="28">
        <f>'09_26-01-2019'!D5</f>
        <v>12</v>
      </c>
      <c r="F62" s="28">
        <f>'09_26-01-2019'!E5</f>
        <v>-4</v>
      </c>
      <c r="G62" s="28">
        <f>'09_26-01-2019'!F5</f>
        <v>0</v>
      </c>
      <c r="H62" s="28" t="str">
        <f>'09_26-01-2019'!G5</f>
        <v>Christian</v>
      </c>
      <c r="J62" s="76" t="str">
        <f>'09_26-01-2019'!H5</f>
        <v>Thomas</v>
      </c>
      <c r="K62" s="28" t="str">
        <f>'09_26-01-2019'!I5</f>
        <v>Sol</v>
      </c>
      <c r="L62" s="56"/>
      <c r="N62" s="25" t="s">
        <v>99</v>
      </c>
      <c r="T62" s="56"/>
      <c r="U62" s="77">
        <f t="shared" ref="U62:X62" si="477">C62-C61</f>
        <v>-4</v>
      </c>
      <c r="V62" s="28">
        <f t="shared" si="477"/>
        <v>-4</v>
      </c>
      <c r="W62" s="28">
        <f t="shared" si="477"/>
        <v>-4</v>
      </c>
      <c r="X62" s="28">
        <f t="shared" si="477"/>
        <v>12</v>
      </c>
      <c r="AB62" s="28" t="str">
        <f t="shared" ref="AB62:AE62" si="478">IF(AB$3=$H62,U62,"")</f>
        <v/>
      </c>
      <c r="AC62" s="28" t="str">
        <f t="shared" si="478"/>
        <v/>
      </c>
      <c r="AD62" s="28" t="str">
        <f t="shared" si="478"/>
        <v/>
      </c>
      <c r="AE62" s="28">
        <f t="shared" si="478"/>
        <v>12</v>
      </c>
      <c r="AH62" s="28">
        <f t="shared" si="22"/>
        <v>12</v>
      </c>
      <c r="AI62" s="28">
        <f t="shared" si="23"/>
        <v>0</v>
      </c>
      <c r="AK62" s="78" t="str">
        <f t="shared" ref="AK62:AN62" si="479">IF(U62&gt;0,AK$3,"")</f>
        <v/>
      </c>
      <c r="AL62" s="78" t="str">
        <f t="shared" si="479"/>
        <v/>
      </c>
      <c r="AM62" s="78" t="str">
        <f t="shared" si="479"/>
        <v/>
      </c>
      <c r="AN62" s="78" t="str">
        <f t="shared" si="479"/>
        <v>Christian</v>
      </c>
      <c r="AO62" s="56">
        <f t="shared" si="25"/>
        <v>1</v>
      </c>
      <c r="AP62" s="8" t="str">
        <f t="shared" si="26"/>
        <v>Christian</v>
      </c>
      <c r="AQ62" s="73" t="str">
        <f>IFERROR(__xludf.DUMMYFUNCTION("IFNA(QUERY(transpose(AY62:BB62),""Select Col1 where Col1 is not null limit 1"",0))"),"")</f>
        <v/>
      </c>
      <c r="AR62" s="56"/>
      <c r="AS62" s="28" t="str">
        <f t="shared" ref="AS62:AV62" si="480">IF(AK62=AS$3,"",AS$3)</f>
        <v>Thomas</v>
      </c>
      <c r="AT62" s="28" t="str">
        <f t="shared" si="480"/>
        <v>Peter</v>
      </c>
      <c r="AU62" s="28" t="str">
        <f t="shared" si="480"/>
        <v>Janus</v>
      </c>
      <c r="AV62" s="28" t="str">
        <f t="shared" si="480"/>
        <v/>
      </c>
      <c r="AW62" s="56">
        <f t="shared" si="28"/>
        <v>3</v>
      </c>
      <c r="AX62" s="28">
        <f t="shared" si="29"/>
        <v>12</v>
      </c>
      <c r="AY62" s="28" t="str">
        <f t="shared" ref="AY62:BB62" si="481">IFNA(IFS(AY$3=$AP62,"",$AX62=U62,AY$3),"")</f>
        <v/>
      </c>
      <c r="AZ62" s="28" t="str">
        <f t="shared" si="481"/>
        <v/>
      </c>
      <c r="BA62" s="28" t="str">
        <f t="shared" si="481"/>
        <v/>
      </c>
      <c r="BB62" s="28" t="str">
        <f t="shared" si="481"/>
        <v/>
      </c>
      <c r="BC62" s="58">
        <f>OFFSET('00_Regnskab_01'!$A$1,MATCH(A62,'00_Regnskab_01'!$A$1:$A$25)-1,2)</f>
        <v>43491</v>
      </c>
      <c r="BE62" s="80">
        <f t="shared" ref="BE62:BH62" si="482">if(U62&gt;0,1+BE61,0)</f>
        <v>0</v>
      </c>
      <c r="BF62" s="28">
        <f t="shared" si="482"/>
        <v>0</v>
      </c>
      <c r="BG62" s="28">
        <f t="shared" si="482"/>
        <v>0</v>
      </c>
      <c r="BH62" s="28">
        <f t="shared" si="482"/>
        <v>1</v>
      </c>
      <c r="BJ62" s="28">
        <f t="shared" ref="BJ62:BM62" si="483">if(U62&lt;0,1+BJ61,0)</f>
        <v>1</v>
      </c>
      <c r="BK62" s="28">
        <f t="shared" si="483"/>
        <v>2</v>
      </c>
      <c r="BL62" s="28">
        <f t="shared" si="483"/>
        <v>1</v>
      </c>
      <c r="BM62" s="28">
        <f t="shared" si="483"/>
        <v>0</v>
      </c>
      <c r="BO62" s="74">
        <f t="shared" ref="BO62:BR62" si="484">if(U62&gt;0,U62+BO61,0)</f>
        <v>0</v>
      </c>
      <c r="BP62" s="74">
        <f t="shared" si="484"/>
        <v>0</v>
      </c>
      <c r="BQ62" s="74">
        <f t="shared" si="484"/>
        <v>0</v>
      </c>
      <c r="BR62" s="74">
        <f t="shared" si="484"/>
        <v>12</v>
      </c>
      <c r="BT62" s="28">
        <f t="shared" ref="BT62:BW62" si="485">if(U62&lt;0,U62+BT61,0)</f>
        <v>-4</v>
      </c>
      <c r="BU62" s="28">
        <f t="shared" si="485"/>
        <v>-20</v>
      </c>
      <c r="BV62" s="28">
        <f t="shared" si="485"/>
        <v>-4</v>
      </c>
      <c r="BW62" s="28">
        <f t="shared" si="485"/>
        <v>0</v>
      </c>
    </row>
    <row r="63">
      <c r="A63" s="53">
        <v>9.0</v>
      </c>
      <c r="B63" s="28">
        <f>'09_26-01-2019'!A6</f>
        <v>3</v>
      </c>
      <c r="C63" s="75">
        <f>'09_26-01-2019'!B6</f>
        <v>24</v>
      </c>
      <c r="D63" s="28">
        <f>'09_26-01-2019'!C6</f>
        <v>-8</v>
      </c>
      <c r="E63" s="28">
        <f>'09_26-01-2019'!D6</f>
        <v>0</v>
      </c>
      <c r="F63" s="28">
        <f>'09_26-01-2019'!E6</f>
        <v>-16</v>
      </c>
      <c r="G63" s="28">
        <f>'09_26-01-2019'!F6</f>
        <v>0</v>
      </c>
      <c r="H63" s="28" t="str">
        <f>'09_26-01-2019'!G6</f>
        <v>Thomas</v>
      </c>
      <c r="J63" s="76" t="str">
        <f>'09_26-01-2019'!H6</f>
        <v>Peter</v>
      </c>
      <c r="K63" s="28" t="str">
        <f>'09_26-01-2019'!I6</f>
        <v>9 halve</v>
      </c>
      <c r="L63" s="56"/>
      <c r="M63" s="25">
        <v>9.0</v>
      </c>
      <c r="N63" s="25" t="s">
        <v>94</v>
      </c>
      <c r="T63" s="56"/>
      <c r="U63" s="77">
        <f t="shared" ref="U63:X63" si="486">C63-C62</f>
        <v>12</v>
      </c>
      <c r="V63" s="28">
        <f t="shared" si="486"/>
        <v>12</v>
      </c>
      <c r="W63" s="28">
        <f t="shared" si="486"/>
        <v>-12</v>
      </c>
      <c r="X63" s="28">
        <f t="shared" si="486"/>
        <v>-12</v>
      </c>
      <c r="AB63" s="28">
        <f t="shared" ref="AB63:AE63" si="487">IF(AB$3=$H63,U63,"")</f>
        <v>12</v>
      </c>
      <c r="AC63" s="28" t="str">
        <f t="shared" si="487"/>
        <v/>
      </c>
      <c r="AD63" s="28" t="str">
        <f t="shared" si="487"/>
        <v/>
      </c>
      <c r="AE63" s="28" t="str">
        <f t="shared" si="487"/>
        <v/>
      </c>
      <c r="AH63" s="28">
        <f t="shared" si="22"/>
        <v>12</v>
      </c>
      <c r="AI63" s="28">
        <f t="shared" si="23"/>
        <v>0</v>
      </c>
      <c r="AK63" s="78" t="str">
        <f t="shared" ref="AK63:AN63" si="488">IF(U63&gt;0,AK$3,"")</f>
        <v>Thomas</v>
      </c>
      <c r="AL63" s="78" t="str">
        <f t="shared" si="488"/>
        <v>Peter</v>
      </c>
      <c r="AM63" s="78" t="str">
        <f t="shared" si="488"/>
        <v/>
      </c>
      <c r="AN63" s="78" t="str">
        <f t="shared" si="488"/>
        <v/>
      </c>
      <c r="AO63" s="56">
        <f t="shared" si="25"/>
        <v>2</v>
      </c>
      <c r="AP63" s="8" t="str">
        <f t="shared" si="26"/>
        <v>Thomas</v>
      </c>
      <c r="AQ63" s="73" t="str">
        <f>IFERROR(__xludf.DUMMYFUNCTION("IFNA(QUERY(transpose(AY63:BB63),""Select Col1 where Col1 is not null limit 1"",0))"),"Peter")</f>
        <v>Peter</v>
      </c>
      <c r="AR63" s="56"/>
      <c r="AS63" s="28" t="str">
        <f t="shared" ref="AS63:AV63" si="489">IF(AK63=AS$3,"",AS$3)</f>
        <v/>
      </c>
      <c r="AT63" s="28" t="str">
        <f t="shared" si="489"/>
        <v/>
      </c>
      <c r="AU63" s="28" t="str">
        <f t="shared" si="489"/>
        <v>Janus</v>
      </c>
      <c r="AV63" s="28" t="str">
        <f t="shared" si="489"/>
        <v>Christian</v>
      </c>
      <c r="AW63" s="56">
        <f t="shared" si="28"/>
        <v>2</v>
      </c>
      <c r="AX63" s="28">
        <f t="shared" si="29"/>
        <v>12</v>
      </c>
      <c r="AY63" s="28" t="str">
        <f t="shared" ref="AY63:BB63" si="490">IFNA(IFS(AY$3=$AP63,"",$AX63=U63,AY$3),"")</f>
        <v/>
      </c>
      <c r="AZ63" s="28" t="str">
        <f t="shared" si="490"/>
        <v>Peter</v>
      </c>
      <c r="BA63" s="28" t="str">
        <f t="shared" si="490"/>
        <v/>
      </c>
      <c r="BB63" s="28" t="str">
        <f t="shared" si="490"/>
        <v/>
      </c>
      <c r="BC63" s="58">
        <f>OFFSET('00_Regnskab_01'!$A$1,MATCH(A63,'00_Regnskab_01'!$A$1:$A$25)-1,2)</f>
        <v>43491</v>
      </c>
      <c r="BE63" s="80">
        <f t="shared" ref="BE63:BH63" si="491">if(U63&gt;0,1+BE62,0)</f>
        <v>1</v>
      </c>
      <c r="BF63" s="28">
        <f t="shared" si="491"/>
        <v>1</v>
      </c>
      <c r="BG63" s="28">
        <f t="shared" si="491"/>
        <v>0</v>
      </c>
      <c r="BH63" s="28">
        <f t="shared" si="491"/>
        <v>0</v>
      </c>
      <c r="BJ63" s="28">
        <f t="shared" ref="BJ63:BM63" si="492">if(U63&lt;0,1+BJ62,0)</f>
        <v>0</v>
      </c>
      <c r="BK63" s="28">
        <f t="shared" si="492"/>
        <v>0</v>
      </c>
      <c r="BL63" s="28">
        <f t="shared" si="492"/>
        <v>2</v>
      </c>
      <c r="BM63" s="28">
        <f t="shared" si="492"/>
        <v>1</v>
      </c>
      <c r="BO63" s="74">
        <f t="shared" ref="BO63:BR63" si="493">if(U63&gt;0,U63+BO62,0)</f>
        <v>12</v>
      </c>
      <c r="BP63" s="74">
        <f t="shared" si="493"/>
        <v>12</v>
      </c>
      <c r="BQ63" s="74">
        <f t="shared" si="493"/>
        <v>0</v>
      </c>
      <c r="BR63" s="74">
        <f t="shared" si="493"/>
        <v>0</v>
      </c>
      <c r="BT63" s="28">
        <f t="shared" ref="BT63:BW63" si="494">if(U63&lt;0,U63+BT62,0)</f>
        <v>0</v>
      </c>
      <c r="BU63" s="28">
        <f t="shared" si="494"/>
        <v>0</v>
      </c>
      <c r="BV63" s="28">
        <f t="shared" si="494"/>
        <v>-16</v>
      </c>
      <c r="BW63" s="28">
        <f t="shared" si="494"/>
        <v>-12</v>
      </c>
    </row>
    <row r="64">
      <c r="A64" s="53">
        <v>9.0</v>
      </c>
      <c r="B64" s="28">
        <f>'09_26-01-2019'!A7</f>
        <v>4</v>
      </c>
      <c r="C64" s="75">
        <f>'09_26-01-2019'!B7</f>
        <v>16</v>
      </c>
      <c r="D64" s="28">
        <f>'09_26-01-2019'!C7</f>
        <v>-16</v>
      </c>
      <c r="E64" s="28">
        <f>'09_26-01-2019'!D7</f>
        <v>24</v>
      </c>
      <c r="F64" s="28">
        <f>'09_26-01-2019'!E7</f>
        <v>-24</v>
      </c>
      <c r="G64" s="28">
        <f>'09_26-01-2019'!F7</f>
        <v>0</v>
      </c>
      <c r="H64" s="28" t="str">
        <f>'09_26-01-2019'!G7</f>
        <v>Janus</v>
      </c>
      <c r="J64" s="76" t="str">
        <f>'09_26-01-2019'!H7</f>
        <v>Janus</v>
      </c>
      <c r="K64" s="28" t="str">
        <f>'09_26-01-2019'!I7</f>
        <v>Ren sol</v>
      </c>
      <c r="L64" s="56"/>
      <c r="N64" s="25" t="s">
        <v>97</v>
      </c>
      <c r="T64" s="56"/>
      <c r="U64" s="77">
        <f t="shared" ref="U64:X64" si="495">C64-C63</f>
        <v>-8</v>
      </c>
      <c r="V64" s="28">
        <f t="shared" si="495"/>
        <v>-8</v>
      </c>
      <c r="W64" s="28">
        <f t="shared" si="495"/>
        <v>24</v>
      </c>
      <c r="X64" s="28">
        <f t="shared" si="495"/>
        <v>-8</v>
      </c>
      <c r="AB64" s="28" t="str">
        <f t="shared" ref="AB64:AE64" si="496">IF(AB$3=$H64,U64,"")</f>
        <v/>
      </c>
      <c r="AC64" s="28" t="str">
        <f t="shared" si="496"/>
        <v/>
      </c>
      <c r="AD64" s="28">
        <f t="shared" si="496"/>
        <v>24</v>
      </c>
      <c r="AE64" s="28" t="str">
        <f t="shared" si="496"/>
        <v/>
      </c>
      <c r="AH64" s="28">
        <f t="shared" si="22"/>
        <v>24</v>
      </c>
      <c r="AI64" s="28">
        <f t="shared" si="23"/>
        <v>0</v>
      </c>
      <c r="AK64" s="78" t="str">
        <f t="shared" ref="AK64:AN64" si="497">IF(U64&gt;0,AK$3,"")</f>
        <v/>
      </c>
      <c r="AL64" s="78" t="str">
        <f t="shared" si="497"/>
        <v/>
      </c>
      <c r="AM64" s="78" t="str">
        <f t="shared" si="497"/>
        <v>Janus</v>
      </c>
      <c r="AN64" s="78" t="str">
        <f t="shared" si="497"/>
        <v/>
      </c>
      <c r="AO64" s="56">
        <f t="shared" si="25"/>
        <v>1</v>
      </c>
      <c r="AP64" s="8" t="str">
        <f t="shared" si="26"/>
        <v>Janus</v>
      </c>
      <c r="AQ64" s="73" t="str">
        <f>IFERROR(__xludf.DUMMYFUNCTION("IFNA(QUERY(transpose(AY64:BB64),""Select Col1 where Col1 is not null limit 1"",0))"),"")</f>
        <v/>
      </c>
      <c r="AR64" s="56"/>
      <c r="AS64" s="28" t="str">
        <f t="shared" ref="AS64:AV64" si="498">IF(AK64=AS$3,"",AS$3)</f>
        <v>Thomas</v>
      </c>
      <c r="AT64" s="28" t="str">
        <f t="shared" si="498"/>
        <v>Peter</v>
      </c>
      <c r="AU64" s="28" t="str">
        <f t="shared" si="498"/>
        <v/>
      </c>
      <c r="AV64" s="28" t="str">
        <f t="shared" si="498"/>
        <v>Christian</v>
      </c>
      <c r="AW64" s="56">
        <f t="shared" si="28"/>
        <v>3</v>
      </c>
      <c r="AX64" s="28">
        <f t="shared" si="29"/>
        <v>24</v>
      </c>
      <c r="AY64" s="28" t="str">
        <f t="shared" ref="AY64:BB64" si="499">IFNA(IFS(AY$3=$AP64,"",$AX64=U64,AY$3),"")</f>
        <v/>
      </c>
      <c r="AZ64" s="28" t="str">
        <f t="shared" si="499"/>
        <v/>
      </c>
      <c r="BA64" s="28" t="str">
        <f t="shared" si="499"/>
        <v/>
      </c>
      <c r="BB64" s="28" t="str">
        <f t="shared" si="499"/>
        <v/>
      </c>
      <c r="BC64" s="58">
        <f>OFFSET('00_Regnskab_01'!$A$1,MATCH(A64,'00_Regnskab_01'!$A$1:$A$25)-1,2)</f>
        <v>43491</v>
      </c>
      <c r="BE64" s="80">
        <f t="shared" ref="BE64:BH64" si="500">if(U64&gt;0,1+BE63,0)</f>
        <v>0</v>
      </c>
      <c r="BF64" s="28">
        <f t="shared" si="500"/>
        <v>0</v>
      </c>
      <c r="BG64" s="28">
        <f t="shared" si="500"/>
        <v>1</v>
      </c>
      <c r="BH64" s="28">
        <f t="shared" si="500"/>
        <v>0</v>
      </c>
      <c r="BJ64" s="28">
        <f t="shared" ref="BJ64:BM64" si="501">if(U64&lt;0,1+BJ63,0)</f>
        <v>1</v>
      </c>
      <c r="BK64" s="28">
        <f t="shared" si="501"/>
        <v>1</v>
      </c>
      <c r="BL64" s="28">
        <f t="shared" si="501"/>
        <v>0</v>
      </c>
      <c r="BM64" s="28">
        <f t="shared" si="501"/>
        <v>2</v>
      </c>
      <c r="BO64" s="74">
        <f t="shared" ref="BO64:BR64" si="502">if(U64&gt;0,U64+BO63,0)</f>
        <v>0</v>
      </c>
      <c r="BP64" s="74">
        <f t="shared" si="502"/>
        <v>0</v>
      </c>
      <c r="BQ64" s="74">
        <f t="shared" si="502"/>
        <v>24</v>
      </c>
      <c r="BR64" s="74">
        <f t="shared" si="502"/>
        <v>0</v>
      </c>
      <c r="BT64" s="28">
        <f t="shared" ref="BT64:BW64" si="503">if(U64&lt;0,U64+BT63,0)</f>
        <v>-8</v>
      </c>
      <c r="BU64" s="28">
        <f t="shared" si="503"/>
        <v>-8</v>
      </c>
      <c r="BV64" s="28">
        <f t="shared" si="503"/>
        <v>0</v>
      </c>
      <c r="BW64" s="28">
        <f t="shared" si="503"/>
        <v>-20</v>
      </c>
    </row>
    <row r="65">
      <c r="A65" s="53">
        <v>9.0</v>
      </c>
      <c r="B65" s="28">
        <f>'09_26-01-2019'!A8</f>
        <v>5</v>
      </c>
      <c r="C65" s="75">
        <f>'09_26-01-2019'!B8</f>
        <v>24</v>
      </c>
      <c r="D65" s="28">
        <f>'09_26-01-2019'!C8</f>
        <v>-24</v>
      </c>
      <c r="E65" s="28">
        <f>'09_26-01-2019'!D8</f>
        <v>30</v>
      </c>
      <c r="F65" s="28">
        <f>'09_26-01-2019'!E8</f>
        <v>-30</v>
      </c>
      <c r="G65" s="28">
        <f>'09_26-01-2019'!F8</f>
        <v>0</v>
      </c>
      <c r="H65" s="28" t="str">
        <f>'09_26-01-2019'!G8</f>
        <v>Janus</v>
      </c>
      <c r="J65" s="76" t="str">
        <f>'09_26-01-2019'!H8</f>
        <v>Christian</v>
      </c>
      <c r="K65" s="28" t="str">
        <f>'09_26-01-2019'!I8</f>
        <v>10 alm</v>
      </c>
      <c r="L65" s="56"/>
      <c r="M65" s="25">
        <v>10.0</v>
      </c>
      <c r="N65" s="25" t="s">
        <v>100</v>
      </c>
      <c r="T65" s="56"/>
      <c r="U65" s="77">
        <f t="shared" ref="U65:X65" si="504">C65-C64</f>
        <v>8</v>
      </c>
      <c r="V65" s="28">
        <f t="shared" si="504"/>
        <v>-8</v>
      </c>
      <c r="W65" s="28">
        <f t="shared" si="504"/>
        <v>6</v>
      </c>
      <c r="X65" s="28">
        <f t="shared" si="504"/>
        <v>-6</v>
      </c>
      <c r="AB65" s="28" t="str">
        <f t="shared" ref="AB65:AE65" si="505">IF(AB$3=$H65,U65,"")</f>
        <v/>
      </c>
      <c r="AC65" s="28" t="str">
        <f t="shared" si="505"/>
        <v/>
      </c>
      <c r="AD65" s="28">
        <f t="shared" si="505"/>
        <v>6</v>
      </c>
      <c r="AE65" s="28" t="str">
        <f t="shared" si="505"/>
        <v/>
      </c>
      <c r="AH65" s="28">
        <f t="shared" si="22"/>
        <v>6</v>
      </c>
      <c r="AI65" s="28">
        <f t="shared" si="23"/>
        <v>0</v>
      </c>
      <c r="AK65" s="78" t="str">
        <f t="shared" ref="AK65:AN65" si="506">IF(U65&gt;0,AK$3,"")</f>
        <v>Thomas</v>
      </c>
      <c r="AL65" s="78" t="str">
        <f t="shared" si="506"/>
        <v/>
      </c>
      <c r="AM65" s="78" t="str">
        <f t="shared" si="506"/>
        <v>Janus</v>
      </c>
      <c r="AN65" s="78" t="str">
        <f t="shared" si="506"/>
        <v/>
      </c>
      <c r="AO65" s="56">
        <f t="shared" si="25"/>
        <v>2</v>
      </c>
      <c r="AP65" s="8" t="str">
        <f t="shared" si="26"/>
        <v>Janus</v>
      </c>
      <c r="AQ65" s="73" t="str">
        <f>IFERROR(__xludf.DUMMYFUNCTION("IFNA(QUERY(transpose(AY65:BB65),""Select Col1 where Col1 is not null limit 1"",0))"),"")</f>
        <v/>
      </c>
      <c r="AR65" s="56"/>
      <c r="AS65" s="28" t="str">
        <f t="shared" ref="AS65:AV65" si="507">IF(AK65=AS$3,"",AS$3)</f>
        <v/>
      </c>
      <c r="AT65" s="28" t="str">
        <f t="shared" si="507"/>
        <v>Peter</v>
      </c>
      <c r="AU65" s="28" t="str">
        <f t="shared" si="507"/>
        <v/>
      </c>
      <c r="AV65" s="28" t="str">
        <f t="shared" si="507"/>
        <v>Christian</v>
      </c>
      <c r="AW65" s="56">
        <f t="shared" si="28"/>
        <v>2</v>
      </c>
      <c r="AX65" s="28">
        <f t="shared" si="29"/>
        <v>6</v>
      </c>
      <c r="AY65" s="28" t="str">
        <f t="shared" ref="AY65:BB65" si="508">IFNA(IFS(AY$3=$AP65,"",$AX65=U65,AY$3),"")</f>
        <v/>
      </c>
      <c r="AZ65" s="28" t="str">
        <f t="shared" si="508"/>
        <v/>
      </c>
      <c r="BA65" s="28" t="str">
        <f t="shared" si="508"/>
        <v/>
      </c>
      <c r="BB65" s="28" t="str">
        <f t="shared" si="508"/>
        <v/>
      </c>
      <c r="BC65" s="58">
        <f>OFFSET('00_Regnskab_01'!$A$1,MATCH(A65,'00_Regnskab_01'!$A$1:$A$25)-1,2)</f>
        <v>43491</v>
      </c>
      <c r="BE65" s="80">
        <f t="shared" ref="BE65:BH65" si="509">if(U65&gt;0,1+BE64,0)</f>
        <v>1</v>
      </c>
      <c r="BF65" s="28">
        <f t="shared" si="509"/>
        <v>0</v>
      </c>
      <c r="BG65" s="28">
        <f t="shared" si="509"/>
        <v>2</v>
      </c>
      <c r="BH65" s="28">
        <f t="shared" si="509"/>
        <v>0</v>
      </c>
      <c r="BJ65" s="28">
        <f t="shared" ref="BJ65:BM65" si="510">if(U65&lt;0,1+BJ64,0)</f>
        <v>0</v>
      </c>
      <c r="BK65" s="28">
        <f t="shared" si="510"/>
        <v>2</v>
      </c>
      <c r="BL65" s="28">
        <f t="shared" si="510"/>
        <v>0</v>
      </c>
      <c r="BM65" s="28">
        <f t="shared" si="510"/>
        <v>3</v>
      </c>
      <c r="BO65" s="74">
        <f t="shared" ref="BO65:BR65" si="511">if(U65&gt;0,U65+BO64,0)</f>
        <v>8</v>
      </c>
      <c r="BP65" s="74">
        <f t="shared" si="511"/>
        <v>0</v>
      </c>
      <c r="BQ65" s="74">
        <f t="shared" si="511"/>
        <v>30</v>
      </c>
      <c r="BR65" s="74">
        <f t="shared" si="511"/>
        <v>0</v>
      </c>
      <c r="BT65" s="28">
        <f t="shared" ref="BT65:BW65" si="512">if(U65&lt;0,U65+BT64,0)</f>
        <v>0</v>
      </c>
      <c r="BU65" s="28">
        <f t="shared" si="512"/>
        <v>-16</v>
      </c>
      <c r="BV65" s="28">
        <f t="shared" si="512"/>
        <v>0</v>
      </c>
      <c r="BW65" s="28">
        <f t="shared" si="512"/>
        <v>-26</v>
      </c>
    </row>
    <row r="66">
      <c r="A66" s="53">
        <v>9.0</v>
      </c>
      <c r="B66" s="28">
        <f>'09_26-01-2019'!A9</f>
        <v>6</v>
      </c>
      <c r="C66" s="75">
        <f>'09_26-01-2019'!B9</f>
        <v>8</v>
      </c>
      <c r="D66" s="28">
        <f>'09_26-01-2019'!C9</f>
        <v>-8</v>
      </c>
      <c r="E66" s="28">
        <f>'09_26-01-2019'!D9</f>
        <v>14</v>
      </c>
      <c r="F66" s="28">
        <f>'09_26-01-2019'!E9</f>
        <v>-14</v>
      </c>
      <c r="G66" s="28">
        <f>'09_26-01-2019'!F9</f>
        <v>0</v>
      </c>
      <c r="H66" s="28" t="str">
        <f>'09_26-01-2019'!G9</f>
        <v>Peter+Christian</v>
      </c>
      <c r="J66" s="76" t="str">
        <f>'09_26-01-2019'!H9</f>
        <v>Thomas</v>
      </c>
      <c r="K66" s="28" t="str">
        <f>'09_26-01-2019'!I9</f>
        <v>2 gange sol</v>
      </c>
      <c r="L66" s="56"/>
      <c r="N66" s="25" t="s">
        <v>99</v>
      </c>
      <c r="Q66" s="25" t="s">
        <v>15</v>
      </c>
      <c r="T66" s="56"/>
      <c r="U66" s="77">
        <f t="shared" ref="U66:X66" si="513">C66-C65</f>
        <v>-16</v>
      </c>
      <c r="V66" s="28">
        <f t="shared" si="513"/>
        <v>16</v>
      </c>
      <c r="W66" s="28">
        <f t="shared" si="513"/>
        <v>-16</v>
      </c>
      <c r="X66" s="28">
        <f t="shared" si="513"/>
        <v>16</v>
      </c>
      <c r="AB66" s="28" t="str">
        <f t="shared" ref="AB66:AE66" si="514">IF(AB$3=$H66,U66,"")</f>
        <v/>
      </c>
      <c r="AC66" s="28" t="str">
        <f t="shared" si="514"/>
        <v/>
      </c>
      <c r="AD66" s="28" t="str">
        <f t="shared" si="514"/>
        <v/>
      </c>
      <c r="AE66" s="28" t="str">
        <f t="shared" si="514"/>
        <v/>
      </c>
      <c r="AH66" s="28">
        <f t="shared" si="22"/>
        <v>0</v>
      </c>
      <c r="AI66" s="28">
        <f t="shared" si="23"/>
        <v>0</v>
      </c>
      <c r="AK66" s="78" t="str">
        <f t="shared" ref="AK66:AN66" si="515">IF(U66&gt;0,AK$3,"")</f>
        <v/>
      </c>
      <c r="AL66" s="78" t="str">
        <f t="shared" si="515"/>
        <v>Peter</v>
      </c>
      <c r="AM66" s="78" t="str">
        <f t="shared" si="515"/>
        <v/>
      </c>
      <c r="AN66" s="78" t="str">
        <f t="shared" si="515"/>
        <v>Christian</v>
      </c>
      <c r="AO66" s="56">
        <f t="shared" si="25"/>
        <v>2</v>
      </c>
      <c r="AP66" s="8" t="str">
        <f t="shared" si="26"/>
        <v>Peter+Christian</v>
      </c>
      <c r="AQ66" s="73" t="str">
        <f>IFERROR(__xludf.DUMMYFUNCTION("IFNA(QUERY(transpose(AY66:BB66),""Select Col1 where Col1 is not null limit 1"",0))"),"")</f>
        <v/>
      </c>
      <c r="AR66" s="56"/>
      <c r="AS66" s="28" t="str">
        <f t="shared" ref="AS66:AV66" si="516">IF(AK66=AS$3,"",AS$3)</f>
        <v>Thomas</v>
      </c>
      <c r="AT66" s="28" t="str">
        <f t="shared" si="516"/>
        <v/>
      </c>
      <c r="AU66" s="28" t="str">
        <f t="shared" si="516"/>
        <v>Janus</v>
      </c>
      <c r="AV66" s="28" t="str">
        <f t="shared" si="516"/>
        <v/>
      </c>
      <c r="AW66" s="56">
        <f t="shared" si="28"/>
        <v>2</v>
      </c>
      <c r="AX66" s="28">
        <f t="shared" si="29"/>
        <v>0</v>
      </c>
      <c r="AY66" s="28" t="str">
        <f t="shared" ref="AY66:BB66" si="517">IFNA(IFS(AY$3=$AP66,"",$AX66=U66,AY$3),"")</f>
        <v/>
      </c>
      <c r="AZ66" s="28" t="str">
        <f t="shared" si="517"/>
        <v/>
      </c>
      <c r="BA66" s="28" t="str">
        <f t="shared" si="517"/>
        <v/>
      </c>
      <c r="BB66" s="28" t="str">
        <f t="shared" si="517"/>
        <v/>
      </c>
      <c r="BC66" s="58">
        <f>OFFSET('00_Regnskab_01'!$A$1,MATCH(A66,'00_Regnskab_01'!$A$1:$A$25)-1,2)</f>
        <v>43491</v>
      </c>
      <c r="BE66" s="80">
        <f t="shared" ref="BE66:BH66" si="518">if(U66&gt;0,1+BE65,0)</f>
        <v>0</v>
      </c>
      <c r="BF66" s="28">
        <f t="shared" si="518"/>
        <v>1</v>
      </c>
      <c r="BG66" s="28">
        <f t="shared" si="518"/>
        <v>0</v>
      </c>
      <c r="BH66" s="28">
        <f t="shared" si="518"/>
        <v>1</v>
      </c>
      <c r="BJ66" s="28">
        <f t="shared" ref="BJ66:BM66" si="519">if(U66&lt;0,1+BJ65,0)</f>
        <v>1</v>
      </c>
      <c r="BK66" s="28">
        <f t="shared" si="519"/>
        <v>0</v>
      </c>
      <c r="BL66" s="28">
        <f t="shared" si="519"/>
        <v>1</v>
      </c>
      <c r="BM66" s="28">
        <f t="shared" si="519"/>
        <v>0</v>
      </c>
      <c r="BO66" s="74">
        <f t="shared" ref="BO66:BR66" si="520">if(U66&gt;0,U66+BO65,0)</f>
        <v>0</v>
      </c>
      <c r="BP66" s="74">
        <f t="shared" si="520"/>
        <v>16</v>
      </c>
      <c r="BQ66" s="74">
        <f t="shared" si="520"/>
        <v>0</v>
      </c>
      <c r="BR66" s="74">
        <f t="shared" si="520"/>
        <v>16</v>
      </c>
      <c r="BT66" s="28">
        <f t="shared" ref="BT66:BW66" si="521">if(U66&lt;0,U66+BT65,0)</f>
        <v>-16</v>
      </c>
      <c r="BU66" s="28">
        <f t="shared" si="521"/>
        <v>0</v>
      </c>
      <c r="BV66" s="28">
        <f t="shared" si="521"/>
        <v>-16</v>
      </c>
      <c r="BW66" s="28">
        <f t="shared" si="521"/>
        <v>0</v>
      </c>
    </row>
    <row r="67">
      <c r="A67" s="53">
        <v>9.0</v>
      </c>
      <c r="B67" s="28">
        <f>'09_26-01-2019'!A10</f>
        <v>7</v>
      </c>
      <c r="C67" s="75">
        <f>'09_26-01-2019'!B10</f>
        <v>0</v>
      </c>
      <c r="D67" s="28">
        <f>'09_26-01-2019'!C10</f>
        <v>0</v>
      </c>
      <c r="E67" s="28">
        <f>'09_26-01-2019'!D10</f>
        <v>6</v>
      </c>
      <c r="F67" s="28">
        <f>'09_26-01-2019'!E10</f>
        <v>-6</v>
      </c>
      <c r="G67" s="28">
        <f>'09_26-01-2019'!F10</f>
        <v>0</v>
      </c>
      <c r="H67" s="28" t="str">
        <f>'09_26-01-2019'!G10</f>
        <v>Christian</v>
      </c>
      <c r="J67" s="76" t="str">
        <f>'09_26-01-2019'!H10</f>
        <v>Peter</v>
      </c>
      <c r="K67" s="28" t="str">
        <f>'09_26-01-2019'!I10</f>
        <v>9 gode</v>
      </c>
      <c r="L67" s="56"/>
      <c r="M67" s="25">
        <v>9.0</v>
      </c>
      <c r="N67" s="25" t="s">
        <v>95</v>
      </c>
      <c r="T67" s="56"/>
      <c r="U67" s="77">
        <f t="shared" ref="U67:X67" si="522">C67-C66</f>
        <v>-8</v>
      </c>
      <c r="V67" s="28">
        <f t="shared" si="522"/>
        <v>8</v>
      </c>
      <c r="W67" s="28">
        <f t="shared" si="522"/>
        <v>-8</v>
      </c>
      <c r="X67" s="28">
        <f t="shared" si="522"/>
        <v>8</v>
      </c>
      <c r="AB67" s="28" t="str">
        <f t="shared" ref="AB67:AE67" si="523">IF(AB$3=$H67,U67,"")</f>
        <v/>
      </c>
      <c r="AC67" s="28" t="str">
        <f t="shared" si="523"/>
        <v/>
      </c>
      <c r="AD67" s="28" t="str">
        <f t="shared" si="523"/>
        <v/>
      </c>
      <c r="AE67" s="28">
        <f t="shared" si="523"/>
        <v>8</v>
      </c>
      <c r="AH67" s="28">
        <f t="shared" si="22"/>
        <v>8</v>
      </c>
      <c r="AI67" s="28">
        <f t="shared" si="23"/>
        <v>0</v>
      </c>
      <c r="AK67" s="78" t="str">
        <f t="shared" ref="AK67:AN67" si="524">IF(U67&gt;0,AK$3,"")</f>
        <v/>
      </c>
      <c r="AL67" s="78" t="str">
        <f t="shared" si="524"/>
        <v>Peter</v>
      </c>
      <c r="AM67" s="78" t="str">
        <f t="shared" si="524"/>
        <v/>
      </c>
      <c r="AN67" s="78" t="str">
        <f t="shared" si="524"/>
        <v>Christian</v>
      </c>
      <c r="AO67" s="56">
        <f t="shared" si="25"/>
        <v>2</v>
      </c>
      <c r="AP67" s="8" t="str">
        <f t="shared" si="26"/>
        <v>Christian</v>
      </c>
      <c r="AQ67" s="73" t="str">
        <f>IFERROR(__xludf.DUMMYFUNCTION("IFNA(QUERY(transpose(AY67:BB67),""Select Col1 where Col1 is not null limit 1"",0))"),"Peter")</f>
        <v>Peter</v>
      </c>
      <c r="AR67" s="56"/>
      <c r="AS67" s="28" t="str">
        <f t="shared" ref="AS67:AV67" si="525">IF(AK67=AS$3,"",AS$3)</f>
        <v>Thomas</v>
      </c>
      <c r="AT67" s="28" t="str">
        <f t="shared" si="525"/>
        <v/>
      </c>
      <c r="AU67" s="28" t="str">
        <f t="shared" si="525"/>
        <v>Janus</v>
      </c>
      <c r="AV67" s="28" t="str">
        <f t="shared" si="525"/>
        <v/>
      </c>
      <c r="AW67" s="56">
        <f t="shared" si="28"/>
        <v>2</v>
      </c>
      <c r="AX67" s="28">
        <f t="shared" si="29"/>
        <v>8</v>
      </c>
      <c r="AY67" s="28" t="str">
        <f t="shared" ref="AY67:BB67" si="526">IFNA(IFS(AY$3=$AP67,"",$AX67=U67,AY$3),"")</f>
        <v/>
      </c>
      <c r="AZ67" s="28" t="str">
        <f t="shared" si="526"/>
        <v>Peter</v>
      </c>
      <c r="BA67" s="28" t="str">
        <f t="shared" si="526"/>
        <v/>
      </c>
      <c r="BB67" s="28" t="str">
        <f t="shared" si="526"/>
        <v/>
      </c>
      <c r="BC67" s="58">
        <f>OFFSET('00_Regnskab_01'!$A$1,MATCH(A67,'00_Regnskab_01'!$A$1:$A$25)-1,2)</f>
        <v>43491</v>
      </c>
      <c r="BE67" s="80">
        <f t="shared" ref="BE67:BH67" si="527">if(U67&gt;0,1+BE66,0)</f>
        <v>0</v>
      </c>
      <c r="BF67" s="28">
        <f t="shared" si="527"/>
        <v>2</v>
      </c>
      <c r="BG67" s="28">
        <f t="shared" si="527"/>
        <v>0</v>
      </c>
      <c r="BH67" s="28">
        <f t="shared" si="527"/>
        <v>2</v>
      </c>
      <c r="BJ67" s="28">
        <f t="shared" ref="BJ67:BM67" si="528">if(U67&lt;0,1+BJ66,0)</f>
        <v>2</v>
      </c>
      <c r="BK67" s="28">
        <f t="shared" si="528"/>
        <v>0</v>
      </c>
      <c r="BL67" s="28">
        <f t="shared" si="528"/>
        <v>2</v>
      </c>
      <c r="BM67" s="28">
        <f t="shared" si="528"/>
        <v>0</v>
      </c>
      <c r="BO67" s="74">
        <f t="shared" ref="BO67:BR67" si="529">if(U67&gt;0,U67+BO66,0)</f>
        <v>0</v>
      </c>
      <c r="BP67" s="74">
        <f t="shared" si="529"/>
        <v>24</v>
      </c>
      <c r="BQ67" s="74">
        <f t="shared" si="529"/>
        <v>0</v>
      </c>
      <c r="BR67" s="74">
        <f t="shared" si="529"/>
        <v>24</v>
      </c>
      <c r="BT67" s="28">
        <f t="shared" ref="BT67:BW67" si="530">if(U67&lt;0,U67+BT66,0)</f>
        <v>-24</v>
      </c>
      <c r="BU67" s="28">
        <f t="shared" si="530"/>
        <v>0</v>
      </c>
      <c r="BV67" s="28">
        <f t="shared" si="530"/>
        <v>-24</v>
      </c>
      <c r="BW67" s="28">
        <f t="shared" si="530"/>
        <v>0</v>
      </c>
    </row>
    <row r="68">
      <c r="A68" s="53">
        <v>9.0</v>
      </c>
      <c r="B68" s="28">
        <f>'09_26-01-2019'!A11</f>
        <v>8</v>
      </c>
      <c r="C68" s="75">
        <f>'09_26-01-2019'!B11</f>
        <v>40</v>
      </c>
      <c r="D68" s="28">
        <f>'09_26-01-2019'!C11</f>
        <v>-40</v>
      </c>
      <c r="E68" s="28">
        <f>'09_26-01-2019'!D11</f>
        <v>-34</v>
      </c>
      <c r="F68" s="28">
        <f>'09_26-01-2019'!E11</f>
        <v>34</v>
      </c>
      <c r="G68" s="28">
        <f>'09_26-01-2019'!F11</f>
        <v>0</v>
      </c>
      <c r="H68" s="28" t="str">
        <f>'09_26-01-2019'!G11</f>
        <v>Thomas</v>
      </c>
      <c r="J68" s="76" t="str">
        <f>'09_26-01-2019'!H11</f>
        <v>Janus</v>
      </c>
      <c r="K68" s="28" t="str">
        <f>'09_26-01-2019'!I11</f>
        <v>9 vip i 2.</v>
      </c>
      <c r="L68" s="56"/>
      <c r="M68" s="25">
        <v>9.0</v>
      </c>
      <c r="N68" s="25" t="s">
        <v>86</v>
      </c>
      <c r="O68" s="25">
        <v>2.0</v>
      </c>
      <c r="T68" s="56"/>
      <c r="U68" s="77">
        <f t="shared" ref="U68:X68" si="531">C68-C67</f>
        <v>40</v>
      </c>
      <c r="V68" s="28">
        <f t="shared" si="531"/>
        <v>-40</v>
      </c>
      <c r="W68" s="28">
        <f t="shared" si="531"/>
        <v>-40</v>
      </c>
      <c r="X68" s="28">
        <f t="shared" si="531"/>
        <v>40</v>
      </c>
      <c r="AB68" s="28">
        <f t="shared" ref="AB68:AE68" si="532">IF(AB$3=$H68,U68,"")</f>
        <v>40</v>
      </c>
      <c r="AC68" s="28" t="str">
        <f t="shared" si="532"/>
        <v/>
      </c>
      <c r="AD68" s="28" t="str">
        <f t="shared" si="532"/>
        <v/>
      </c>
      <c r="AE68" s="28" t="str">
        <f t="shared" si="532"/>
        <v/>
      </c>
      <c r="AH68" s="28">
        <f t="shared" si="22"/>
        <v>40</v>
      </c>
      <c r="AI68" s="28">
        <f t="shared" si="23"/>
        <v>0</v>
      </c>
      <c r="AK68" s="78" t="str">
        <f t="shared" ref="AK68:AN68" si="533">IF(U68&gt;0,AK$3,"")</f>
        <v>Thomas</v>
      </c>
      <c r="AL68" s="78" t="str">
        <f t="shared" si="533"/>
        <v/>
      </c>
      <c r="AM68" s="78" t="str">
        <f t="shared" si="533"/>
        <v/>
      </c>
      <c r="AN68" s="78" t="str">
        <f t="shared" si="533"/>
        <v>Christian</v>
      </c>
      <c r="AO68" s="56">
        <f t="shared" si="25"/>
        <v>2</v>
      </c>
      <c r="AP68" s="8" t="str">
        <f t="shared" si="26"/>
        <v>Thomas</v>
      </c>
      <c r="AQ68" s="73" t="str">
        <f>IFERROR(__xludf.DUMMYFUNCTION("IFNA(QUERY(transpose(AY68:BB68),""Select Col1 where Col1 is not null limit 1"",0))"),"Christian")</f>
        <v>Christian</v>
      </c>
      <c r="AR68" s="56"/>
      <c r="AS68" s="28" t="str">
        <f t="shared" ref="AS68:AV68" si="534">IF(AK68=AS$3,"",AS$3)</f>
        <v/>
      </c>
      <c r="AT68" s="28" t="str">
        <f t="shared" si="534"/>
        <v>Peter</v>
      </c>
      <c r="AU68" s="28" t="str">
        <f t="shared" si="534"/>
        <v>Janus</v>
      </c>
      <c r="AV68" s="28" t="str">
        <f t="shared" si="534"/>
        <v/>
      </c>
      <c r="AW68" s="56">
        <f t="shared" si="28"/>
        <v>2</v>
      </c>
      <c r="AX68" s="28">
        <f t="shared" si="29"/>
        <v>40</v>
      </c>
      <c r="AY68" s="28" t="str">
        <f t="shared" ref="AY68:BB68" si="535">IFNA(IFS(AY$3=$AP68,"",$AX68=U68,AY$3),"")</f>
        <v/>
      </c>
      <c r="AZ68" s="28" t="str">
        <f t="shared" si="535"/>
        <v/>
      </c>
      <c r="BA68" s="28" t="str">
        <f t="shared" si="535"/>
        <v/>
      </c>
      <c r="BB68" s="28" t="str">
        <f t="shared" si="535"/>
        <v>Christian</v>
      </c>
      <c r="BC68" s="58">
        <f>OFFSET('00_Regnskab_01'!$A$1,MATCH(A68,'00_Regnskab_01'!$A$1:$A$25)-1,2)</f>
        <v>43491</v>
      </c>
      <c r="BE68" s="80">
        <f t="shared" ref="BE68:BH68" si="536">if(U68&gt;0,1+BE67,0)</f>
        <v>1</v>
      </c>
      <c r="BF68" s="28">
        <f t="shared" si="536"/>
        <v>0</v>
      </c>
      <c r="BG68" s="28">
        <f t="shared" si="536"/>
        <v>0</v>
      </c>
      <c r="BH68" s="28">
        <f t="shared" si="536"/>
        <v>3</v>
      </c>
      <c r="BJ68" s="28">
        <f t="shared" ref="BJ68:BM68" si="537">if(U68&lt;0,1+BJ67,0)</f>
        <v>0</v>
      </c>
      <c r="BK68" s="28">
        <f t="shared" si="537"/>
        <v>1</v>
      </c>
      <c r="BL68" s="28">
        <f t="shared" si="537"/>
        <v>3</v>
      </c>
      <c r="BM68" s="28">
        <f t="shared" si="537"/>
        <v>0</v>
      </c>
      <c r="BO68" s="74">
        <f t="shared" ref="BO68:BR68" si="538">if(U68&gt;0,U68+BO67,0)</f>
        <v>40</v>
      </c>
      <c r="BP68" s="74">
        <f t="shared" si="538"/>
        <v>0</v>
      </c>
      <c r="BQ68" s="74">
        <f t="shared" si="538"/>
        <v>0</v>
      </c>
      <c r="BR68" s="74">
        <f t="shared" si="538"/>
        <v>64</v>
      </c>
      <c r="BT68" s="28">
        <f t="shared" ref="BT68:BW68" si="539">if(U68&lt;0,U68+BT67,0)</f>
        <v>0</v>
      </c>
      <c r="BU68" s="28">
        <f t="shared" si="539"/>
        <v>-40</v>
      </c>
      <c r="BV68" s="28">
        <f t="shared" si="539"/>
        <v>-64</v>
      </c>
      <c r="BW68" s="28">
        <f t="shared" si="539"/>
        <v>0</v>
      </c>
    </row>
    <row r="69">
      <c r="A69" s="53">
        <v>9.0</v>
      </c>
      <c r="B69" s="28">
        <f>'09_26-01-2019'!A12</f>
        <v>9</v>
      </c>
      <c r="C69" s="75">
        <f>'09_26-01-2019'!B12</f>
        <v>48</v>
      </c>
      <c r="D69" s="28">
        <f>'09_26-01-2019'!C12</f>
        <v>-32</v>
      </c>
      <c r="E69" s="28">
        <f>'09_26-01-2019'!D12</f>
        <v>-42</v>
      </c>
      <c r="F69" s="28">
        <f>'09_26-01-2019'!E12</f>
        <v>26</v>
      </c>
      <c r="G69" s="28">
        <f>'09_26-01-2019'!F12</f>
        <v>0</v>
      </c>
      <c r="H69" s="28" t="str">
        <f>'09_26-01-2019'!G12</f>
        <v>Janus</v>
      </c>
      <c r="J69" s="76" t="str">
        <f>'09_26-01-2019'!H12</f>
        <v>Christian</v>
      </c>
      <c r="K69" s="28" t="str">
        <f>'09_26-01-2019'!I12</f>
        <v>9 halve</v>
      </c>
      <c r="L69" s="56"/>
      <c r="M69" s="25">
        <v>9.0</v>
      </c>
      <c r="N69" s="25" t="s">
        <v>94</v>
      </c>
      <c r="T69" s="56"/>
      <c r="U69" s="77">
        <f t="shared" ref="U69:X69" si="540">C69-C68</f>
        <v>8</v>
      </c>
      <c r="V69" s="28">
        <f t="shared" si="540"/>
        <v>8</v>
      </c>
      <c r="W69" s="28">
        <f t="shared" si="540"/>
        <v>-8</v>
      </c>
      <c r="X69" s="28">
        <f t="shared" si="540"/>
        <v>-8</v>
      </c>
      <c r="AB69" s="28" t="str">
        <f t="shared" ref="AB69:AE69" si="541">IF(AB$3=$H69,U69,"")</f>
        <v/>
      </c>
      <c r="AC69" s="28" t="str">
        <f t="shared" si="541"/>
        <v/>
      </c>
      <c r="AD69" s="28">
        <f t="shared" si="541"/>
        <v>-8</v>
      </c>
      <c r="AE69" s="28" t="str">
        <f t="shared" si="541"/>
        <v/>
      </c>
      <c r="AH69" s="28">
        <f t="shared" si="22"/>
        <v>0</v>
      </c>
      <c r="AI69" s="28">
        <f t="shared" si="23"/>
        <v>-8</v>
      </c>
      <c r="AK69" s="78" t="str">
        <f t="shared" ref="AK69:AN69" si="542">IF(U69&gt;0,AK$3,"")</f>
        <v>Thomas</v>
      </c>
      <c r="AL69" s="78" t="str">
        <f t="shared" si="542"/>
        <v>Peter</v>
      </c>
      <c r="AM69" s="78" t="str">
        <f t="shared" si="542"/>
        <v/>
      </c>
      <c r="AN69" s="78" t="str">
        <f t="shared" si="542"/>
        <v/>
      </c>
      <c r="AO69" s="56">
        <f t="shared" si="25"/>
        <v>2</v>
      </c>
      <c r="AP69" s="8" t="str">
        <f t="shared" si="26"/>
        <v>Janus</v>
      </c>
      <c r="AQ69" s="73" t="str">
        <f>IFERROR(__xludf.DUMMYFUNCTION("IFNA(QUERY(transpose(AY69:BB69),""Select Col1 where Col1 is not null limit 1"",0))"),"Christian")</f>
        <v>Christian</v>
      </c>
      <c r="AR69" s="56"/>
      <c r="AS69" s="28" t="str">
        <f t="shared" ref="AS69:AV69" si="543">IF(AK69=AS$3,"",AS$3)</f>
        <v/>
      </c>
      <c r="AT69" s="28" t="str">
        <f t="shared" si="543"/>
        <v/>
      </c>
      <c r="AU69" s="28" t="str">
        <f t="shared" si="543"/>
        <v>Janus</v>
      </c>
      <c r="AV69" s="28" t="str">
        <f t="shared" si="543"/>
        <v>Christian</v>
      </c>
      <c r="AW69" s="56">
        <f t="shared" si="28"/>
        <v>2</v>
      </c>
      <c r="AX69" s="28">
        <f t="shared" si="29"/>
        <v>-8</v>
      </c>
      <c r="AY69" s="28" t="str">
        <f t="shared" ref="AY69:BB69" si="544">IFNA(IFS(AY$3=$AP69,"",$AX69=U69,AY$3),"")</f>
        <v/>
      </c>
      <c r="AZ69" s="28" t="str">
        <f t="shared" si="544"/>
        <v/>
      </c>
      <c r="BA69" s="28" t="str">
        <f t="shared" si="544"/>
        <v/>
      </c>
      <c r="BB69" s="28" t="str">
        <f t="shared" si="544"/>
        <v>Christian</v>
      </c>
      <c r="BC69" s="58">
        <f>OFFSET('00_Regnskab_01'!$A$1,MATCH(A69,'00_Regnskab_01'!$A$1:$A$25)-1,2)</f>
        <v>43491</v>
      </c>
      <c r="BE69" s="80">
        <f t="shared" ref="BE69:BH69" si="545">if(U69&gt;0,1+BE68,0)</f>
        <v>2</v>
      </c>
      <c r="BF69" s="28">
        <f t="shared" si="545"/>
        <v>1</v>
      </c>
      <c r="BG69" s="28">
        <f t="shared" si="545"/>
        <v>0</v>
      </c>
      <c r="BH69" s="28">
        <f t="shared" si="545"/>
        <v>0</v>
      </c>
      <c r="BJ69" s="28">
        <f t="shared" ref="BJ69:BM69" si="546">if(U69&lt;0,1+BJ68,0)</f>
        <v>0</v>
      </c>
      <c r="BK69" s="28">
        <f t="shared" si="546"/>
        <v>0</v>
      </c>
      <c r="BL69" s="28">
        <f t="shared" si="546"/>
        <v>4</v>
      </c>
      <c r="BM69" s="28">
        <f t="shared" si="546"/>
        <v>1</v>
      </c>
      <c r="BO69" s="74">
        <f t="shared" ref="BO69:BR69" si="547">if(U69&gt;0,U69+BO68,0)</f>
        <v>48</v>
      </c>
      <c r="BP69" s="74">
        <f t="shared" si="547"/>
        <v>8</v>
      </c>
      <c r="BQ69" s="74">
        <f t="shared" si="547"/>
        <v>0</v>
      </c>
      <c r="BR69" s="74">
        <f t="shared" si="547"/>
        <v>0</v>
      </c>
      <c r="BT69" s="28">
        <f t="shared" ref="BT69:BW69" si="548">if(U69&lt;0,U69+BT68,0)</f>
        <v>0</v>
      </c>
      <c r="BU69" s="28">
        <f t="shared" si="548"/>
        <v>0</v>
      </c>
      <c r="BV69" s="28">
        <f t="shared" si="548"/>
        <v>-72</v>
      </c>
      <c r="BW69" s="28">
        <f t="shared" si="548"/>
        <v>-8</v>
      </c>
    </row>
    <row r="70">
      <c r="A70" s="53">
        <v>9.0</v>
      </c>
      <c r="B70" s="28">
        <f>'09_26-01-2019'!A13</f>
        <v>10</v>
      </c>
      <c r="C70" s="75">
        <f>'09_26-01-2019'!B13</f>
        <v>-48</v>
      </c>
      <c r="D70" s="28">
        <f>'09_26-01-2019'!C13</f>
        <v>64</v>
      </c>
      <c r="E70" s="28">
        <f>'09_26-01-2019'!D13</f>
        <v>54</v>
      </c>
      <c r="F70" s="28">
        <f>'09_26-01-2019'!E13</f>
        <v>-70</v>
      </c>
      <c r="G70" s="28">
        <f>'09_26-01-2019'!F13</f>
        <v>0</v>
      </c>
      <c r="H70" s="28" t="str">
        <f>'09_26-01-2019'!G13</f>
        <v>Thomas</v>
      </c>
      <c r="J70" s="76" t="str">
        <f>'09_26-01-2019'!H13</f>
        <v>Thomas</v>
      </c>
      <c r="K70" s="28" t="str">
        <f>'09_26-01-2019'!I13</f>
        <v>9 vip i 3.</v>
      </c>
      <c r="L70" s="56"/>
      <c r="M70" s="25">
        <v>9.0</v>
      </c>
      <c r="N70" s="25" t="s">
        <v>86</v>
      </c>
      <c r="O70" s="25">
        <v>3.0</v>
      </c>
      <c r="T70" s="56"/>
      <c r="U70" s="77">
        <f t="shared" ref="U70:X70" si="549">C70-C69</f>
        <v>-96</v>
      </c>
      <c r="V70" s="28">
        <f t="shared" si="549"/>
        <v>96</v>
      </c>
      <c r="W70" s="28">
        <f t="shared" si="549"/>
        <v>96</v>
      </c>
      <c r="X70" s="28">
        <f t="shared" si="549"/>
        <v>-96</v>
      </c>
      <c r="AB70" s="28">
        <f t="shared" ref="AB70:AE70" si="550">IF(AB$3=$H70,U70,"")</f>
        <v>-96</v>
      </c>
      <c r="AC70" s="28" t="str">
        <f t="shared" si="550"/>
        <v/>
      </c>
      <c r="AD70" s="28" t="str">
        <f t="shared" si="550"/>
        <v/>
      </c>
      <c r="AE70" s="28" t="str">
        <f t="shared" si="550"/>
        <v/>
      </c>
      <c r="AH70" s="28">
        <f t="shared" si="22"/>
        <v>0</v>
      </c>
      <c r="AI70" s="28">
        <f t="shared" si="23"/>
        <v>-96</v>
      </c>
      <c r="AK70" s="78" t="str">
        <f t="shared" ref="AK70:AN70" si="551">IF(U70&gt;0,AK$3,"")</f>
        <v/>
      </c>
      <c r="AL70" s="78" t="str">
        <f t="shared" si="551"/>
        <v>Peter</v>
      </c>
      <c r="AM70" s="78" t="str">
        <f t="shared" si="551"/>
        <v>Janus</v>
      </c>
      <c r="AN70" s="78" t="str">
        <f t="shared" si="551"/>
        <v/>
      </c>
      <c r="AO70" s="56">
        <f t="shared" si="25"/>
        <v>2</v>
      </c>
      <c r="AP70" s="8" t="str">
        <f t="shared" si="26"/>
        <v>Thomas</v>
      </c>
      <c r="AQ70" s="73" t="str">
        <f>IFERROR(__xludf.DUMMYFUNCTION("IFNA(QUERY(transpose(AY70:BB70),""Select Col1 where Col1 is not null limit 1"",0))"),"Christian")</f>
        <v>Christian</v>
      </c>
      <c r="AR70" s="56"/>
      <c r="AS70" s="28" t="str">
        <f t="shared" ref="AS70:AV70" si="552">IF(AK70=AS$3,"",AS$3)</f>
        <v>Thomas</v>
      </c>
      <c r="AT70" s="28" t="str">
        <f t="shared" si="552"/>
        <v/>
      </c>
      <c r="AU70" s="28" t="str">
        <f t="shared" si="552"/>
        <v/>
      </c>
      <c r="AV70" s="28" t="str">
        <f t="shared" si="552"/>
        <v>Christian</v>
      </c>
      <c r="AW70" s="56">
        <f t="shared" si="28"/>
        <v>2</v>
      </c>
      <c r="AX70" s="28">
        <f t="shared" si="29"/>
        <v>-96</v>
      </c>
      <c r="AY70" s="28" t="str">
        <f t="shared" ref="AY70:BB70" si="553">IFNA(IFS(AY$3=$AP70,"",$AX70=U70,AY$3),"")</f>
        <v/>
      </c>
      <c r="AZ70" s="28" t="str">
        <f t="shared" si="553"/>
        <v/>
      </c>
      <c r="BA70" s="28" t="str">
        <f t="shared" si="553"/>
        <v/>
      </c>
      <c r="BB70" s="28" t="str">
        <f t="shared" si="553"/>
        <v>Christian</v>
      </c>
      <c r="BC70" s="58">
        <f>OFFSET('00_Regnskab_01'!$A$1,MATCH(A70,'00_Regnskab_01'!$A$1:$A$25)-1,2)</f>
        <v>43491</v>
      </c>
      <c r="BE70" s="80">
        <f t="shared" ref="BE70:BH70" si="554">if(U70&gt;0,1+BE69,0)</f>
        <v>0</v>
      </c>
      <c r="BF70" s="28">
        <f t="shared" si="554"/>
        <v>2</v>
      </c>
      <c r="BG70" s="28">
        <f t="shared" si="554"/>
        <v>1</v>
      </c>
      <c r="BH70" s="28">
        <f t="shared" si="554"/>
        <v>0</v>
      </c>
      <c r="BJ70" s="28">
        <f t="shared" ref="BJ70:BM70" si="555">if(U70&lt;0,1+BJ69,0)</f>
        <v>1</v>
      </c>
      <c r="BK70" s="28">
        <f t="shared" si="555"/>
        <v>0</v>
      </c>
      <c r="BL70" s="28">
        <f t="shared" si="555"/>
        <v>0</v>
      </c>
      <c r="BM70" s="28">
        <f t="shared" si="555"/>
        <v>2</v>
      </c>
      <c r="BO70" s="74">
        <f t="shared" ref="BO70:BR70" si="556">if(U70&gt;0,U70+BO69,0)</f>
        <v>0</v>
      </c>
      <c r="BP70" s="74">
        <f t="shared" si="556"/>
        <v>104</v>
      </c>
      <c r="BQ70" s="74">
        <f t="shared" si="556"/>
        <v>96</v>
      </c>
      <c r="BR70" s="74">
        <f t="shared" si="556"/>
        <v>0</v>
      </c>
      <c r="BT70" s="28">
        <f t="shared" ref="BT70:BW70" si="557">if(U70&lt;0,U70+BT69,0)</f>
        <v>-96</v>
      </c>
      <c r="BU70" s="28">
        <f t="shared" si="557"/>
        <v>0</v>
      </c>
      <c r="BV70" s="28">
        <f t="shared" si="557"/>
        <v>0</v>
      </c>
      <c r="BW70" s="28">
        <f t="shared" si="557"/>
        <v>-104</v>
      </c>
    </row>
    <row r="71">
      <c r="A71" s="53">
        <v>9.0</v>
      </c>
      <c r="B71" s="28">
        <f>'09_26-01-2019'!A14</f>
        <v>11</v>
      </c>
      <c r="C71" s="75">
        <f>'09_26-01-2019'!B14</f>
        <v>-112</v>
      </c>
      <c r="D71" s="28">
        <f>'09_26-01-2019'!C14</f>
        <v>128</v>
      </c>
      <c r="E71" s="28">
        <f>'09_26-01-2019'!D14</f>
        <v>118</v>
      </c>
      <c r="F71" s="28">
        <f>'09_26-01-2019'!E14</f>
        <v>-134</v>
      </c>
      <c r="G71" s="28">
        <f>'09_26-01-2019'!F14</f>
        <v>0</v>
      </c>
      <c r="H71" s="28" t="str">
        <f>'09_26-01-2019'!G14</f>
        <v>Thomas</v>
      </c>
      <c r="J71" s="76" t="str">
        <f>'09_26-01-2019'!H14</f>
        <v>Peter</v>
      </c>
      <c r="K71" s="28" t="str">
        <f>'09_26-01-2019'!I14</f>
        <v>9 vip i 3.</v>
      </c>
      <c r="L71" s="56"/>
      <c r="M71" s="25">
        <v>9.0</v>
      </c>
      <c r="N71" s="25" t="s">
        <v>86</v>
      </c>
      <c r="O71" s="25">
        <v>3.0</v>
      </c>
      <c r="T71" s="56"/>
      <c r="U71" s="77">
        <f t="shared" ref="U71:X71" si="558">C71-C70</f>
        <v>-64</v>
      </c>
      <c r="V71" s="28">
        <f t="shared" si="558"/>
        <v>64</v>
      </c>
      <c r="W71" s="28">
        <f t="shared" si="558"/>
        <v>64</v>
      </c>
      <c r="X71" s="28">
        <f t="shared" si="558"/>
        <v>-64</v>
      </c>
      <c r="AB71" s="28">
        <f t="shared" ref="AB71:AE71" si="559">IF(AB$3=$H71,U71,"")</f>
        <v>-64</v>
      </c>
      <c r="AC71" s="28" t="str">
        <f t="shared" si="559"/>
        <v/>
      </c>
      <c r="AD71" s="28" t="str">
        <f t="shared" si="559"/>
        <v/>
      </c>
      <c r="AE71" s="28" t="str">
        <f t="shared" si="559"/>
        <v/>
      </c>
      <c r="AH71" s="28">
        <f t="shared" si="22"/>
        <v>0</v>
      </c>
      <c r="AI71" s="28">
        <f t="shared" si="23"/>
        <v>-64</v>
      </c>
      <c r="AK71" s="78" t="str">
        <f t="shared" ref="AK71:AN71" si="560">IF(U71&gt;0,AK$3,"")</f>
        <v/>
      </c>
      <c r="AL71" s="78" t="str">
        <f t="shared" si="560"/>
        <v>Peter</v>
      </c>
      <c r="AM71" s="78" t="str">
        <f t="shared" si="560"/>
        <v>Janus</v>
      </c>
      <c r="AN71" s="78" t="str">
        <f t="shared" si="560"/>
        <v/>
      </c>
      <c r="AO71" s="56">
        <f t="shared" si="25"/>
        <v>2</v>
      </c>
      <c r="AP71" s="8" t="str">
        <f t="shared" si="26"/>
        <v>Thomas</v>
      </c>
      <c r="AQ71" s="73" t="str">
        <f>IFERROR(__xludf.DUMMYFUNCTION("IFNA(QUERY(transpose(AY71:BB71),""Select Col1 where Col1 is not null limit 1"",0))"),"Christian")</f>
        <v>Christian</v>
      </c>
      <c r="AR71" s="56"/>
      <c r="AS71" s="28" t="str">
        <f t="shared" ref="AS71:AV71" si="561">IF(AK71=AS$3,"",AS$3)</f>
        <v>Thomas</v>
      </c>
      <c r="AT71" s="28" t="str">
        <f t="shared" si="561"/>
        <v/>
      </c>
      <c r="AU71" s="28" t="str">
        <f t="shared" si="561"/>
        <v/>
      </c>
      <c r="AV71" s="28" t="str">
        <f t="shared" si="561"/>
        <v>Christian</v>
      </c>
      <c r="AW71" s="56">
        <f t="shared" si="28"/>
        <v>2</v>
      </c>
      <c r="AX71" s="28">
        <f t="shared" si="29"/>
        <v>-64</v>
      </c>
      <c r="AY71" s="28" t="str">
        <f t="shared" ref="AY71:BB71" si="562">IFNA(IFS(AY$3=$AP71,"",$AX71=U71,AY$3),"")</f>
        <v/>
      </c>
      <c r="AZ71" s="28" t="str">
        <f t="shared" si="562"/>
        <v/>
      </c>
      <c r="BA71" s="28" t="str">
        <f t="shared" si="562"/>
        <v/>
      </c>
      <c r="BB71" s="28" t="str">
        <f t="shared" si="562"/>
        <v>Christian</v>
      </c>
      <c r="BC71" s="58">
        <f>OFFSET('00_Regnskab_01'!$A$1,MATCH(A71,'00_Regnskab_01'!$A$1:$A$25)-1,2)</f>
        <v>43491</v>
      </c>
      <c r="BE71" s="80">
        <f t="shared" ref="BE71:BH71" si="563">if(U71&gt;0,1+BE70,0)</f>
        <v>0</v>
      </c>
      <c r="BF71" s="28">
        <f t="shared" si="563"/>
        <v>3</v>
      </c>
      <c r="BG71" s="28">
        <f t="shared" si="563"/>
        <v>2</v>
      </c>
      <c r="BH71" s="28">
        <f t="shared" si="563"/>
        <v>0</v>
      </c>
      <c r="BJ71" s="28">
        <f t="shared" ref="BJ71:BM71" si="564">if(U71&lt;0,1+BJ70,0)</f>
        <v>2</v>
      </c>
      <c r="BK71" s="28">
        <f t="shared" si="564"/>
        <v>0</v>
      </c>
      <c r="BL71" s="28">
        <f t="shared" si="564"/>
        <v>0</v>
      </c>
      <c r="BM71" s="28">
        <f t="shared" si="564"/>
        <v>3</v>
      </c>
      <c r="BO71" s="74">
        <f t="shared" ref="BO71:BR71" si="565">if(U71&gt;0,U71+BO70,0)</f>
        <v>0</v>
      </c>
      <c r="BP71" s="74">
        <f t="shared" si="565"/>
        <v>168</v>
      </c>
      <c r="BQ71" s="74">
        <f t="shared" si="565"/>
        <v>160</v>
      </c>
      <c r="BR71" s="74">
        <f t="shared" si="565"/>
        <v>0</v>
      </c>
      <c r="BT71" s="28">
        <f t="shared" ref="BT71:BW71" si="566">if(U71&lt;0,U71+BT70,0)</f>
        <v>-160</v>
      </c>
      <c r="BU71" s="28">
        <f t="shared" si="566"/>
        <v>0</v>
      </c>
      <c r="BV71" s="28">
        <f t="shared" si="566"/>
        <v>0</v>
      </c>
      <c r="BW71" s="28">
        <f t="shared" si="566"/>
        <v>-168</v>
      </c>
    </row>
    <row r="72">
      <c r="A72" s="53">
        <v>9.0</v>
      </c>
      <c r="B72" s="28">
        <f>'09_26-01-2019'!A15</f>
        <v>12</v>
      </c>
      <c r="C72" s="75">
        <f>'09_26-01-2019'!B15</f>
        <v>-160</v>
      </c>
      <c r="D72" s="28">
        <f>'09_26-01-2019'!C15</f>
        <v>80</v>
      </c>
      <c r="E72" s="28">
        <f>'09_26-01-2019'!D15</f>
        <v>166</v>
      </c>
      <c r="F72" s="28">
        <f>'09_26-01-2019'!E15</f>
        <v>-86</v>
      </c>
      <c r="G72" s="28">
        <f>'09_26-01-2019'!F15</f>
        <v>0</v>
      </c>
      <c r="H72" s="28" t="str">
        <f>'09_26-01-2019'!G15</f>
        <v>Christian</v>
      </c>
      <c r="J72" s="76" t="str">
        <f>'09_26-01-2019'!H15</f>
        <v>Janus</v>
      </c>
      <c r="K72" s="28" t="str">
        <f>'09_26-01-2019'!I15</f>
        <v>9 vip i 3.</v>
      </c>
      <c r="L72" s="56"/>
      <c r="M72" s="25">
        <v>9.0</v>
      </c>
      <c r="N72" s="25" t="s">
        <v>86</v>
      </c>
      <c r="O72" s="25">
        <v>3.0</v>
      </c>
      <c r="T72" s="56"/>
      <c r="U72" s="77">
        <f t="shared" ref="U72:X72" si="567">C72-C71</f>
        <v>-48</v>
      </c>
      <c r="V72" s="28">
        <f t="shared" si="567"/>
        <v>-48</v>
      </c>
      <c r="W72" s="28">
        <f t="shared" si="567"/>
        <v>48</v>
      </c>
      <c r="X72" s="28">
        <f t="shared" si="567"/>
        <v>48</v>
      </c>
      <c r="AB72" s="28" t="str">
        <f t="shared" ref="AB72:AE72" si="568">IF(AB$3=$H72,U72,"")</f>
        <v/>
      </c>
      <c r="AC72" s="28" t="str">
        <f t="shared" si="568"/>
        <v/>
      </c>
      <c r="AD72" s="28" t="str">
        <f t="shared" si="568"/>
        <v/>
      </c>
      <c r="AE72" s="28">
        <f t="shared" si="568"/>
        <v>48</v>
      </c>
      <c r="AH72" s="28">
        <f t="shared" si="22"/>
        <v>48</v>
      </c>
      <c r="AI72" s="28">
        <f t="shared" si="23"/>
        <v>0</v>
      </c>
      <c r="AK72" s="78" t="str">
        <f t="shared" ref="AK72:AN72" si="569">IF(U72&gt;0,AK$3,"")</f>
        <v/>
      </c>
      <c r="AL72" s="78" t="str">
        <f t="shared" si="569"/>
        <v/>
      </c>
      <c r="AM72" s="78" t="str">
        <f t="shared" si="569"/>
        <v>Janus</v>
      </c>
      <c r="AN72" s="78" t="str">
        <f t="shared" si="569"/>
        <v>Christian</v>
      </c>
      <c r="AO72" s="56">
        <f t="shared" si="25"/>
        <v>2</v>
      </c>
      <c r="AP72" s="8" t="str">
        <f t="shared" si="26"/>
        <v>Christian</v>
      </c>
      <c r="AQ72" s="73" t="str">
        <f>IFERROR(__xludf.DUMMYFUNCTION("IFNA(QUERY(transpose(AY72:BB72),""Select Col1 where Col1 is not null limit 1"",0))"),"Janus")</f>
        <v>Janus</v>
      </c>
      <c r="AR72" s="56"/>
      <c r="AS72" s="28" t="str">
        <f t="shared" ref="AS72:AV72" si="570">IF(AK72=AS$3,"",AS$3)</f>
        <v>Thomas</v>
      </c>
      <c r="AT72" s="28" t="str">
        <f t="shared" si="570"/>
        <v>Peter</v>
      </c>
      <c r="AU72" s="28" t="str">
        <f t="shared" si="570"/>
        <v/>
      </c>
      <c r="AV72" s="28" t="str">
        <f t="shared" si="570"/>
        <v/>
      </c>
      <c r="AW72" s="56">
        <f t="shared" si="28"/>
        <v>2</v>
      </c>
      <c r="AX72" s="28">
        <f t="shared" si="29"/>
        <v>48</v>
      </c>
      <c r="AY72" s="28" t="str">
        <f t="shared" ref="AY72:BB72" si="571">IFNA(IFS(AY$3=$AP72,"",$AX72=U72,AY$3),"")</f>
        <v/>
      </c>
      <c r="AZ72" s="28" t="str">
        <f t="shared" si="571"/>
        <v/>
      </c>
      <c r="BA72" s="28" t="str">
        <f t="shared" si="571"/>
        <v>Janus</v>
      </c>
      <c r="BB72" s="28" t="str">
        <f t="shared" si="571"/>
        <v/>
      </c>
      <c r="BC72" s="58">
        <f>OFFSET('00_Regnskab_01'!$A$1,MATCH(A72,'00_Regnskab_01'!$A$1:$A$25)-1,2)</f>
        <v>43491</v>
      </c>
      <c r="BE72" s="80">
        <f t="shared" ref="BE72:BH72" si="572">if(U72&gt;0,1+BE71,0)</f>
        <v>0</v>
      </c>
      <c r="BF72" s="28">
        <f t="shared" si="572"/>
        <v>0</v>
      </c>
      <c r="BG72" s="28">
        <f t="shared" si="572"/>
        <v>3</v>
      </c>
      <c r="BH72" s="28">
        <f t="shared" si="572"/>
        <v>1</v>
      </c>
      <c r="BJ72" s="28">
        <f t="shared" ref="BJ72:BM72" si="573">if(U72&lt;0,1+BJ71,0)</f>
        <v>3</v>
      </c>
      <c r="BK72" s="28">
        <f t="shared" si="573"/>
        <v>1</v>
      </c>
      <c r="BL72" s="28">
        <f t="shared" si="573"/>
        <v>0</v>
      </c>
      <c r="BM72" s="28">
        <f t="shared" si="573"/>
        <v>0</v>
      </c>
      <c r="BO72" s="74">
        <f t="shared" ref="BO72:BR72" si="574">if(U72&gt;0,U72+BO71,0)</f>
        <v>0</v>
      </c>
      <c r="BP72" s="74">
        <f t="shared" si="574"/>
        <v>0</v>
      </c>
      <c r="BQ72" s="74">
        <f t="shared" si="574"/>
        <v>208</v>
      </c>
      <c r="BR72" s="74">
        <f t="shared" si="574"/>
        <v>48</v>
      </c>
      <c r="BT72" s="28">
        <f t="shared" ref="BT72:BW72" si="575">if(U72&lt;0,U72+BT71,0)</f>
        <v>-208</v>
      </c>
      <c r="BU72" s="28">
        <f t="shared" si="575"/>
        <v>-48</v>
      </c>
      <c r="BV72" s="28">
        <f t="shared" si="575"/>
        <v>0</v>
      </c>
      <c r="BW72" s="28">
        <f t="shared" si="575"/>
        <v>0</v>
      </c>
    </row>
    <row r="73">
      <c r="A73" s="53">
        <v>9.0</v>
      </c>
      <c r="B73" s="28">
        <f>'09_26-01-2019'!A16</f>
        <v>13</v>
      </c>
      <c r="C73" s="75">
        <f>'09_26-01-2019'!B16</f>
        <v>-136</v>
      </c>
      <c r="D73" s="28">
        <f>'09_26-01-2019'!C16</f>
        <v>8</v>
      </c>
      <c r="E73" s="28">
        <f>'09_26-01-2019'!D16</f>
        <v>190</v>
      </c>
      <c r="F73" s="28">
        <f>'09_26-01-2019'!E16</f>
        <v>-62</v>
      </c>
      <c r="G73" s="28">
        <f>'09_26-01-2019'!F16</f>
        <v>0</v>
      </c>
      <c r="H73" s="28" t="str">
        <f>'09_26-01-2019'!G16</f>
        <v>Peter</v>
      </c>
      <c r="J73" s="76" t="str">
        <f>'09_26-01-2019'!H16</f>
        <v>Christian</v>
      </c>
      <c r="K73" s="28" t="str">
        <f>'09_26-01-2019'!I16</f>
        <v>duestraf</v>
      </c>
      <c r="L73" s="56"/>
      <c r="T73" s="46" t="s">
        <v>8</v>
      </c>
      <c r="U73" s="77">
        <f t="shared" ref="U73:X73" si="576">C73-C72</f>
        <v>24</v>
      </c>
      <c r="V73" s="28">
        <f t="shared" si="576"/>
        <v>-72</v>
      </c>
      <c r="W73" s="28">
        <f t="shared" si="576"/>
        <v>24</v>
      </c>
      <c r="X73" s="28">
        <f t="shared" si="576"/>
        <v>24</v>
      </c>
      <c r="AB73" s="28" t="str">
        <f t="shared" ref="AB73:AE73" si="577">IF(AB$3=$H73,U73,"")</f>
        <v/>
      </c>
      <c r="AC73" s="28">
        <f t="shared" si="577"/>
        <v>-72</v>
      </c>
      <c r="AD73" s="28" t="str">
        <f t="shared" si="577"/>
        <v/>
      </c>
      <c r="AE73" s="28" t="str">
        <f t="shared" si="577"/>
        <v/>
      </c>
      <c r="AH73" s="28">
        <f t="shared" si="22"/>
        <v>0</v>
      </c>
      <c r="AI73" s="28">
        <f t="shared" si="23"/>
        <v>-72</v>
      </c>
      <c r="AK73" s="78" t="str">
        <f t="shared" ref="AK73:AN73" si="578">IF(U73&gt;0,AK$3,"")</f>
        <v>Thomas</v>
      </c>
      <c r="AL73" s="78" t="str">
        <f t="shared" si="578"/>
        <v/>
      </c>
      <c r="AM73" s="78" t="str">
        <f t="shared" si="578"/>
        <v>Janus</v>
      </c>
      <c r="AN73" s="78" t="str">
        <f t="shared" si="578"/>
        <v>Christian</v>
      </c>
      <c r="AO73" s="56">
        <f t="shared" si="25"/>
        <v>3</v>
      </c>
      <c r="AP73" s="8" t="str">
        <f t="shared" si="26"/>
        <v>Peter</v>
      </c>
      <c r="AQ73" s="73" t="str">
        <f>IFERROR(__xludf.DUMMYFUNCTION("IFNA(QUERY(transpose(AY73:BB73),""Select Col1 where Col1 is not null limit 1"",0))"),"")</f>
        <v/>
      </c>
      <c r="AR73" s="56"/>
      <c r="AS73" s="28" t="str">
        <f t="shared" ref="AS73:AV73" si="579">IF(AK73=AS$3,"",AS$3)</f>
        <v/>
      </c>
      <c r="AT73" s="28" t="str">
        <f t="shared" si="579"/>
        <v>Peter</v>
      </c>
      <c r="AU73" s="28" t="str">
        <f t="shared" si="579"/>
        <v/>
      </c>
      <c r="AV73" s="28" t="str">
        <f t="shared" si="579"/>
        <v/>
      </c>
      <c r="AW73" s="56">
        <f t="shared" si="28"/>
        <v>1</v>
      </c>
      <c r="AX73" s="28">
        <f t="shared" si="29"/>
        <v>-72</v>
      </c>
      <c r="AY73" s="28" t="str">
        <f t="shared" ref="AY73:BB73" si="580">IFNA(IFS(AY$3=$AP73,"",$AX73=U73,AY$3),"")</f>
        <v/>
      </c>
      <c r="AZ73" s="28" t="str">
        <f t="shared" si="580"/>
        <v/>
      </c>
      <c r="BA73" s="28" t="str">
        <f t="shared" si="580"/>
        <v/>
      </c>
      <c r="BB73" s="28" t="str">
        <f t="shared" si="580"/>
        <v/>
      </c>
      <c r="BC73" s="58">
        <f>OFFSET('00_Regnskab_01'!$A$1,MATCH(A73,'00_Regnskab_01'!$A$1:$A$25)-1,2)</f>
        <v>43491</v>
      </c>
      <c r="BE73" s="80">
        <f t="shared" ref="BE73:BH73" si="581">if(U73&gt;0,1+BE72,0)</f>
        <v>1</v>
      </c>
      <c r="BF73" s="28">
        <f t="shared" si="581"/>
        <v>0</v>
      </c>
      <c r="BG73" s="28">
        <f t="shared" si="581"/>
        <v>4</v>
      </c>
      <c r="BH73" s="28">
        <f t="shared" si="581"/>
        <v>2</v>
      </c>
      <c r="BJ73" s="28">
        <f t="shared" ref="BJ73:BM73" si="582">if(U73&lt;0,1+BJ72,0)</f>
        <v>0</v>
      </c>
      <c r="BK73" s="28">
        <f t="shared" si="582"/>
        <v>2</v>
      </c>
      <c r="BL73" s="28">
        <f t="shared" si="582"/>
        <v>0</v>
      </c>
      <c r="BM73" s="28">
        <f t="shared" si="582"/>
        <v>0</v>
      </c>
      <c r="BO73" s="74">
        <f t="shared" ref="BO73:BR73" si="583">if(U73&gt;0,U73+BO72,0)</f>
        <v>24</v>
      </c>
      <c r="BP73" s="74">
        <f t="shared" si="583"/>
        <v>0</v>
      </c>
      <c r="BQ73" s="74">
        <f t="shared" si="583"/>
        <v>232</v>
      </c>
      <c r="BR73" s="74">
        <f t="shared" si="583"/>
        <v>72</v>
      </c>
      <c r="BT73" s="28">
        <f t="shared" ref="BT73:BW73" si="584">if(U73&lt;0,U73+BT72,0)</f>
        <v>0</v>
      </c>
      <c r="BU73" s="28">
        <f t="shared" si="584"/>
        <v>-120</v>
      </c>
      <c r="BV73" s="28">
        <f t="shared" si="584"/>
        <v>0</v>
      </c>
      <c r="BW73" s="28">
        <f t="shared" si="584"/>
        <v>0</v>
      </c>
    </row>
    <row r="74">
      <c r="A74" s="53">
        <v>9.0</v>
      </c>
      <c r="B74" s="28">
        <f>'09_26-01-2019'!A17</f>
        <v>14</v>
      </c>
      <c r="C74" s="75">
        <f>'09_26-01-2019'!B17</f>
        <v>-144</v>
      </c>
      <c r="D74" s="28">
        <f>'09_26-01-2019'!C17</f>
        <v>0</v>
      </c>
      <c r="E74" s="28">
        <f>'09_26-01-2019'!D17</f>
        <v>198</v>
      </c>
      <c r="F74" s="28">
        <f>'09_26-01-2019'!E17</f>
        <v>-54</v>
      </c>
      <c r="G74" s="28">
        <f>'09_26-01-2019'!F17</f>
        <v>0</v>
      </c>
      <c r="H74" s="28" t="str">
        <f>'09_26-01-2019'!G17</f>
        <v>Thomas</v>
      </c>
      <c r="J74" s="76" t="str">
        <f>'09_26-01-2019'!H17</f>
        <v>Janus</v>
      </c>
      <c r="K74" s="28" t="str">
        <f>'09_26-01-2019'!I17</f>
        <v>9 halve</v>
      </c>
      <c r="L74" s="56"/>
      <c r="M74" s="25">
        <v>9.0</v>
      </c>
      <c r="N74" s="25" t="s">
        <v>94</v>
      </c>
      <c r="T74" s="56"/>
      <c r="U74" s="77">
        <f t="shared" ref="U74:X74" si="585">C74-C73</f>
        <v>-8</v>
      </c>
      <c r="V74" s="28">
        <f t="shared" si="585"/>
        <v>-8</v>
      </c>
      <c r="W74" s="28">
        <f t="shared" si="585"/>
        <v>8</v>
      </c>
      <c r="X74" s="28">
        <f t="shared" si="585"/>
        <v>8</v>
      </c>
      <c r="AB74" s="28">
        <f t="shared" ref="AB74:AE74" si="586">IF(AB$3=$H74,U74,"")</f>
        <v>-8</v>
      </c>
      <c r="AC74" s="28" t="str">
        <f t="shared" si="586"/>
        <v/>
      </c>
      <c r="AD74" s="28" t="str">
        <f t="shared" si="586"/>
        <v/>
      </c>
      <c r="AE74" s="28" t="str">
        <f t="shared" si="586"/>
        <v/>
      </c>
      <c r="AH74" s="28">
        <f t="shared" si="22"/>
        <v>0</v>
      </c>
      <c r="AI74" s="28">
        <f t="shared" si="23"/>
        <v>-8</v>
      </c>
      <c r="AK74" s="78" t="str">
        <f t="shared" ref="AK74:AN74" si="587">IF(U74&gt;0,AK$3,"")</f>
        <v/>
      </c>
      <c r="AL74" s="78" t="str">
        <f t="shared" si="587"/>
        <v/>
      </c>
      <c r="AM74" s="78" t="str">
        <f t="shared" si="587"/>
        <v>Janus</v>
      </c>
      <c r="AN74" s="78" t="str">
        <f t="shared" si="587"/>
        <v>Christian</v>
      </c>
      <c r="AO74" s="56">
        <f t="shared" si="25"/>
        <v>2</v>
      </c>
      <c r="AP74" s="8" t="str">
        <f t="shared" si="26"/>
        <v>Thomas</v>
      </c>
      <c r="AQ74" s="73" t="str">
        <f>IFERROR(__xludf.DUMMYFUNCTION("IFNA(QUERY(transpose(AY74:BB74),""Select Col1 where Col1 is not null limit 1"",0))"),"Peter")</f>
        <v>Peter</v>
      </c>
      <c r="AR74" s="56"/>
      <c r="AS74" s="28" t="str">
        <f t="shared" ref="AS74:AV74" si="588">IF(AK74=AS$3,"",AS$3)</f>
        <v>Thomas</v>
      </c>
      <c r="AT74" s="28" t="str">
        <f t="shared" si="588"/>
        <v>Peter</v>
      </c>
      <c r="AU74" s="28" t="str">
        <f t="shared" si="588"/>
        <v/>
      </c>
      <c r="AV74" s="28" t="str">
        <f t="shared" si="588"/>
        <v/>
      </c>
      <c r="AW74" s="56">
        <f t="shared" si="28"/>
        <v>2</v>
      </c>
      <c r="AX74" s="28">
        <f t="shared" si="29"/>
        <v>-8</v>
      </c>
      <c r="AY74" s="28" t="str">
        <f t="shared" ref="AY74:BB74" si="589">IFNA(IFS(AY$3=$AP74,"",$AX74=U74,AY$3),"")</f>
        <v/>
      </c>
      <c r="AZ74" s="28" t="str">
        <f t="shared" si="589"/>
        <v>Peter</v>
      </c>
      <c r="BA74" s="28" t="str">
        <f t="shared" si="589"/>
        <v/>
      </c>
      <c r="BB74" s="28" t="str">
        <f t="shared" si="589"/>
        <v/>
      </c>
      <c r="BC74" s="58">
        <f>OFFSET('00_Regnskab_01'!$A$1,MATCH(A74,'00_Regnskab_01'!$A$1:$A$25)-1,2)</f>
        <v>43491</v>
      </c>
      <c r="BE74" s="80">
        <f t="shared" ref="BE74:BH74" si="590">if(U74&gt;0,1+BE73,0)</f>
        <v>0</v>
      </c>
      <c r="BF74" s="28">
        <f t="shared" si="590"/>
        <v>0</v>
      </c>
      <c r="BG74" s="28">
        <f t="shared" si="590"/>
        <v>5</v>
      </c>
      <c r="BH74" s="28">
        <f t="shared" si="590"/>
        <v>3</v>
      </c>
      <c r="BJ74" s="28">
        <f t="shared" ref="BJ74:BM74" si="591">if(U74&lt;0,1+BJ73,0)</f>
        <v>1</v>
      </c>
      <c r="BK74" s="28">
        <f t="shared" si="591"/>
        <v>3</v>
      </c>
      <c r="BL74" s="28">
        <f t="shared" si="591"/>
        <v>0</v>
      </c>
      <c r="BM74" s="28">
        <f t="shared" si="591"/>
        <v>0</v>
      </c>
      <c r="BO74" s="74">
        <f t="shared" ref="BO74:BR74" si="592">if(U74&gt;0,U74+BO73,0)</f>
        <v>0</v>
      </c>
      <c r="BP74" s="74">
        <f t="shared" si="592"/>
        <v>0</v>
      </c>
      <c r="BQ74" s="74">
        <f t="shared" si="592"/>
        <v>240</v>
      </c>
      <c r="BR74" s="74">
        <f t="shared" si="592"/>
        <v>80</v>
      </c>
      <c r="BT74" s="28">
        <f t="shared" ref="BT74:BW74" si="593">if(U74&lt;0,U74+BT73,0)</f>
        <v>-8</v>
      </c>
      <c r="BU74" s="28">
        <f t="shared" si="593"/>
        <v>-128</v>
      </c>
      <c r="BV74" s="28">
        <f t="shared" si="593"/>
        <v>0</v>
      </c>
      <c r="BW74" s="28">
        <f t="shared" si="593"/>
        <v>0</v>
      </c>
    </row>
    <row r="75">
      <c r="A75" s="53">
        <v>9.0</v>
      </c>
      <c r="B75" s="28">
        <f>'09_26-01-2019'!A18</f>
        <v>15</v>
      </c>
      <c r="C75" s="75">
        <f>'09_26-01-2019'!B18</f>
        <v>-152</v>
      </c>
      <c r="D75" s="28">
        <f>'09_26-01-2019'!C18</f>
        <v>8</v>
      </c>
      <c r="E75" s="28">
        <f>'09_26-01-2019'!D18</f>
        <v>190</v>
      </c>
      <c r="F75" s="28">
        <f>'09_26-01-2019'!E18</f>
        <v>-46</v>
      </c>
      <c r="G75" s="28">
        <f>'09_26-01-2019'!F18</f>
        <v>0</v>
      </c>
      <c r="H75" s="28" t="str">
        <f>'09_26-01-2019'!G18</f>
        <v>Thomas</v>
      </c>
      <c r="J75" s="76" t="str">
        <f>'09_26-01-2019'!H18</f>
        <v>Christian</v>
      </c>
      <c r="K75" s="28" t="str">
        <f>'09_26-01-2019'!I18</f>
        <v>9 halve</v>
      </c>
      <c r="L75" s="56"/>
      <c r="M75" s="25">
        <v>9.0</v>
      </c>
      <c r="N75" s="25" t="s">
        <v>94</v>
      </c>
      <c r="T75" s="56"/>
      <c r="U75" s="77">
        <f t="shared" ref="U75:X75" si="594">C75-C74</f>
        <v>-8</v>
      </c>
      <c r="V75" s="28">
        <f t="shared" si="594"/>
        <v>8</v>
      </c>
      <c r="W75" s="28">
        <f t="shared" si="594"/>
        <v>-8</v>
      </c>
      <c r="X75" s="28">
        <f t="shared" si="594"/>
        <v>8</v>
      </c>
      <c r="AB75" s="28">
        <f t="shared" ref="AB75:AE75" si="595">IF(AB$3=$H75,U75,"")</f>
        <v>-8</v>
      </c>
      <c r="AC75" s="28" t="str">
        <f t="shared" si="595"/>
        <v/>
      </c>
      <c r="AD75" s="28" t="str">
        <f t="shared" si="595"/>
        <v/>
      </c>
      <c r="AE75" s="28" t="str">
        <f t="shared" si="595"/>
        <v/>
      </c>
      <c r="AH75" s="28">
        <f t="shared" si="22"/>
        <v>0</v>
      </c>
      <c r="AI75" s="28">
        <f t="shared" si="23"/>
        <v>-8</v>
      </c>
      <c r="AK75" s="78" t="str">
        <f t="shared" ref="AK75:AN75" si="596">IF(U75&gt;0,AK$3,"")</f>
        <v/>
      </c>
      <c r="AL75" s="78" t="str">
        <f t="shared" si="596"/>
        <v>Peter</v>
      </c>
      <c r="AM75" s="78" t="str">
        <f t="shared" si="596"/>
        <v/>
      </c>
      <c r="AN75" s="78" t="str">
        <f t="shared" si="596"/>
        <v>Christian</v>
      </c>
      <c r="AO75" s="56">
        <f t="shared" si="25"/>
        <v>2</v>
      </c>
      <c r="AP75" s="8" t="str">
        <f t="shared" si="26"/>
        <v>Thomas</v>
      </c>
      <c r="AQ75" s="73" t="str">
        <f>IFERROR(__xludf.DUMMYFUNCTION("IFNA(QUERY(transpose(AY75:BB75),""Select Col1 where Col1 is not null limit 1"",0))"),"Janus")</f>
        <v>Janus</v>
      </c>
      <c r="AR75" s="56"/>
      <c r="AS75" s="28" t="str">
        <f t="shared" ref="AS75:AV75" si="597">IF(AK75=AS$3,"",AS$3)</f>
        <v>Thomas</v>
      </c>
      <c r="AT75" s="28" t="str">
        <f t="shared" si="597"/>
        <v/>
      </c>
      <c r="AU75" s="28" t="str">
        <f t="shared" si="597"/>
        <v>Janus</v>
      </c>
      <c r="AV75" s="28" t="str">
        <f t="shared" si="597"/>
        <v/>
      </c>
      <c r="AW75" s="56">
        <f t="shared" si="28"/>
        <v>2</v>
      </c>
      <c r="AX75" s="28">
        <f t="shared" si="29"/>
        <v>-8</v>
      </c>
      <c r="AY75" s="28" t="str">
        <f t="shared" ref="AY75:BB75" si="598">IFNA(IFS(AY$3=$AP75,"",$AX75=U75,AY$3),"")</f>
        <v/>
      </c>
      <c r="AZ75" s="28" t="str">
        <f t="shared" si="598"/>
        <v/>
      </c>
      <c r="BA75" s="28" t="str">
        <f t="shared" si="598"/>
        <v>Janus</v>
      </c>
      <c r="BB75" s="28" t="str">
        <f t="shared" si="598"/>
        <v/>
      </c>
      <c r="BC75" s="58">
        <f>OFFSET('00_Regnskab_01'!$A$1,MATCH(A75,'00_Regnskab_01'!$A$1:$A$25)-1,2)</f>
        <v>43491</v>
      </c>
      <c r="BE75" s="80">
        <f t="shared" ref="BE75:BH75" si="599">if(U75&gt;0,1+BE74,0)</f>
        <v>0</v>
      </c>
      <c r="BF75" s="28">
        <f t="shared" si="599"/>
        <v>1</v>
      </c>
      <c r="BG75" s="28">
        <f t="shared" si="599"/>
        <v>0</v>
      </c>
      <c r="BH75" s="28">
        <f t="shared" si="599"/>
        <v>4</v>
      </c>
      <c r="BJ75" s="28">
        <f t="shared" ref="BJ75:BM75" si="600">if(U75&lt;0,1+BJ74,0)</f>
        <v>2</v>
      </c>
      <c r="BK75" s="28">
        <f t="shared" si="600"/>
        <v>0</v>
      </c>
      <c r="BL75" s="28">
        <f t="shared" si="600"/>
        <v>1</v>
      </c>
      <c r="BM75" s="28">
        <f t="shared" si="600"/>
        <v>0</v>
      </c>
      <c r="BO75" s="74">
        <f t="shared" ref="BO75:BR75" si="601">if(U75&gt;0,U75+BO74,0)</f>
        <v>0</v>
      </c>
      <c r="BP75" s="74">
        <f t="shared" si="601"/>
        <v>8</v>
      </c>
      <c r="BQ75" s="74">
        <f t="shared" si="601"/>
        <v>0</v>
      </c>
      <c r="BR75" s="74">
        <f t="shared" si="601"/>
        <v>88</v>
      </c>
      <c r="BT75" s="28">
        <f t="shared" ref="BT75:BW75" si="602">if(U75&lt;0,U75+BT74,0)</f>
        <v>-16</v>
      </c>
      <c r="BU75" s="28">
        <f t="shared" si="602"/>
        <v>0</v>
      </c>
      <c r="BV75" s="28">
        <f t="shared" si="602"/>
        <v>-8</v>
      </c>
      <c r="BW75" s="28">
        <f t="shared" si="602"/>
        <v>0</v>
      </c>
    </row>
    <row r="76">
      <c r="A76" s="53">
        <v>9.0</v>
      </c>
      <c r="B76" s="28">
        <f>'09_26-01-2019'!A19</f>
        <v>16</v>
      </c>
      <c r="C76" s="75">
        <f>'09_26-01-2019'!B19</f>
        <v>-184</v>
      </c>
      <c r="D76" s="28">
        <f>'09_26-01-2019'!C19</f>
        <v>-24</v>
      </c>
      <c r="E76" s="28">
        <f>'09_26-01-2019'!D19</f>
        <v>222</v>
      </c>
      <c r="F76" s="28">
        <f>'09_26-01-2019'!E19</f>
        <v>-14</v>
      </c>
      <c r="G76" s="28">
        <f>'09_26-01-2019'!F19</f>
        <v>0</v>
      </c>
      <c r="H76" s="28" t="str">
        <f>'09_26-01-2019'!G19</f>
        <v>Thomas</v>
      </c>
      <c r="J76" s="76" t="str">
        <f>'09_26-01-2019'!H19</f>
        <v>Thomas</v>
      </c>
      <c r="K76" s="28" t="str">
        <f>'09_26-01-2019'!I19</f>
        <v>9 vip i 2.</v>
      </c>
      <c r="L76" s="56"/>
      <c r="M76" s="25">
        <v>9.0</v>
      </c>
      <c r="N76" s="25" t="s">
        <v>86</v>
      </c>
      <c r="O76" s="25">
        <v>2.0</v>
      </c>
      <c r="T76" s="56"/>
      <c r="U76" s="77">
        <f t="shared" ref="U76:X76" si="603">C76-C75</f>
        <v>-32</v>
      </c>
      <c r="V76" s="28">
        <f t="shared" si="603"/>
        <v>-32</v>
      </c>
      <c r="W76" s="28">
        <f t="shared" si="603"/>
        <v>32</v>
      </c>
      <c r="X76" s="28">
        <f t="shared" si="603"/>
        <v>32</v>
      </c>
      <c r="AB76" s="28">
        <f t="shared" ref="AB76:AE76" si="604">IF(AB$3=$H76,U76,"")</f>
        <v>-32</v>
      </c>
      <c r="AC76" s="28" t="str">
        <f t="shared" si="604"/>
        <v/>
      </c>
      <c r="AD76" s="28" t="str">
        <f t="shared" si="604"/>
        <v/>
      </c>
      <c r="AE76" s="28" t="str">
        <f t="shared" si="604"/>
        <v/>
      </c>
      <c r="AH76" s="28">
        <f t="shared" si="22"/>
        <v>0</v>
      </c>
      <c r="AI76" s="28">
        <f t="shared" si="23"/>
        <v>-32</v>
      </c>
      <c r="AK76" s="78" t="str">
        <f t="shared" ref="AK76:AN76" si="605">IF(U76&gt;0,AK$3,"")</f>
        <v/>
      </c>
      <c r="AL76" s="78" t="str">
        <f t="shared" si="605"/>
        <v/>
      </c>
      <c r="AM76" s="78" t="str">
        <f t="shared" si="605"/>
        <v>Janus</v>
      </c>
      <c r="AN76" s="78" t="str">
        <f t="shared" si="605"/>
        <v>Christian</v>
      </c>
      <c r="AO76" s="56">
        <f t="shared" si="25"/>
        <v>2</v>
      </c>
      <c r="AP76" s="8" t="str">
        <f t="shared" si="26"/>
        <v>Thomas</v>
      </c>
      <c r="AQ76" s="73" t="str">
        <f>IFERROR(__xludf.DUMMYFUNCTION("IFNA(QUERY(transpose(AY76:BB76),""Select Col1 where Col1 is not null limit 1"",0))"),"Peter")</f>
        <v>Peter</v>
      </c>
      <c r="AR76" s="56"/>
      <c r="AS76" s="28" t="str">
        <f t="shared" ref="AS76:AV76" si="606">IF(AK76=AS$3,"",AS$3)</f>
        <v>Thomas</v>
      </c>
      <c r="AT76" s="28" t="str">
        <f t="shared" si="606"/>
        <v>Peter</v>
      </c>
      <c r="AU76" s="28" t="str">
        <f t="shared" si="606"/>
        <v/>
      </c>
      <c r="AV76" s="28" t="str">
        <f t="shared" si="606"/>
        <v/>
      </c>
      <c r="AW76" s="56">
        <f t="shared" si="28"/>
        <v>2</v>
      </c>
      <c r="AX76" s="28">
        <f t="shared" si="29"/>
        <v>-32</v>
      </c>
      <c r="AY76" s="28" t="str">
        <f t="shared" ref="AY76:BB76" si="607">IFNA(IFS(AY$3=$AP76,"",$AX76=U76,AY$3),"")</f>
        <v/>
      </c>
      <c r="AZ76" s="28" t="str">
        <f t="shared" si="607"/>
        <v>Peter</v>
      </c>
      <c r="BA76" s="28" t="str">
        <f t="shared" si="607"/>
        <v/>
      </c>
      <c r="BB76" s="28" t="str">
        <f t="shared" si="607"/>
        <v/>
      </c>
      <c r="BC76" s="58">
        <f>OFFSET('00_Regnskab_01'!$A$1,MATCH(A76,'00_Regnskab_01'!$A$1:$A$25)-1,2)</f>
        <v>43491</v>
      </c>
      <c r="BE76" s="80">
        <f t="shared" ref="BE76:BH76" si="608">if(U76&gt;0,1+BE75,0)</f>
        <v>0</v>
      </c>
      <c r="BF76" s="28">
        <f t="shared" si="608"/>
        <v>0</v>
      </c>
      <c r="BG76" s="28">
        <f t="shared" si="608"/>
        <v>1</v>
      </c>
      <c r="BH76" s="28">
        <f t="shared" si="608"/>
        <v>5</v>
      </c>
      <c r="BJ76" s="28">
        <f t="shared" ref="BJ76:BM76" si="609">if(U76&lt;0,1+BJ75,0)</f>
        <v>3</v>
      </c>
      <c r="BK76" s="28">
        <f t="shared" si="609"/>
        <v>1</v>
      </c>
      <c r="BL76" s="28">
        <f t="shared" si="609"/>
        <v>0</v>
      </c>
      <c r="BM76" s="28">
        <f t="shared" si="609"/>
        <v>0</v>
      </c>
      <c r="BO76" s="74">
        <f t="shared" ref="BO76:BR76" si="610">if(U76&gt;0,U76+BO75,0)</f>
        <v>0</v>
      </c>
      <c r="BP76" s="74">
        <f t="shared" si="610"/>
        <v>0</v>
      </c>
      <c r="BQ76" s="74">
        <f t="shared" si="610"/>
        <v>32</v>
      </c>
      <c r="BR76" s="74">
        <f t="shared" si="610"/>
        <v>120</v>
      </c>
      <c r="BT76" s="28">
        <f t="shared" ref="BT76:BW76" si="611">if(U76&lt;0,U76+BT75,0)</f>
        <v>-48</v>
      </c>
      <c r="BU76" s="28">
        <f t="shared" si="611"/>
        <v>-32</v>
      </c>
      <c r="BV76" s="28">
        <f t="shared" si="611"/>
        <v>0</v>
      </c>
      <c r="BW76" s="28">
        <f t="shared" si="611"/>
        <v>0</v>
      </c>
    </row>
    <row r="77">
      <c r="A77" s="53">
        <v>9.0</v>
      </c>
      <c r="B77" s="28">
        <f>'09_26-01-2019'!A20</f>
        <v>17</v>
      </c>
      <c r="C77" s="75">
        <f>'09_26-01-2019'!B20</f>
        <v>-172</v>
      </c>
      <c r="D77" s="28">
        <f>'09_26-01-2019'!C20</f>
        <v>-36</v>
      </c>
      <c r="E77" s="28">
        <f>'09_26-01-2019'!D20</f>
        <v>234</v>
      </c>
      <c r="F77" s="28">
        <f>'09_26-01-2019'!E20</f>
        <v>-26</v>
      </c>
      <c r="G77" s="28">
        <f>'09_26-01-2019'!F20</f>
        <v>0</v>
      </c>
      <c r="H77" s="28" t="str">
        <f>'09_26-01-2019'!G20</f>
        <v>Thomas</v>
      </c>
      <c r="J77" s="76" t="str">
        <f>'09_26-01-2019'!H20</f>
        <v>Peter</v>
      </c>
      <c r="K77" s="28" t="str">
        <f>'09_26-01-2019'!I20</f>
        <v>9 halve</v>
      </c>
      <c r="L77" s="56"/>
      <c r="M77" s="25">
        <v>9.0</v>
      </c>
      <c r="N77" s="25" t="s">
        <v>94</v>
      </c>
      <c r="T77" s="56"/>
      <c r="U77" s="77">
        <f t="shared" ref="U77:X77" si="612">C77-C76</f>
        <v>12</v>
      </c>
      <c r="V77" s="28">
        <f t="shared" si="612"/>
        <v>-12</v>
      </c>
      <c r="W77" s="28">
        <f t="shared" si="612"/>
        <v>12</v>
      </c>
      <c r="X77" s="28">
        <f t="shared" si="612"/>
        <v>-12</v>
      </c>
      <c r="AB77" s="28">
        <f t="shared" ref="AB77:AE77" si="613">IF(AB$3=$H77,U77,"")</f>
        <v>12</v>
      </c>
      <c r="AC77" s="28" t="str">
        <f t="shared" si="613"/>
        <v/>
      </c>
      <c r="AD77" s="28" t="str">
        <f t="shared" si="613"/>
        <v/>
      </c>
      <c r="AE77" s="28" t="str">
        <f t="shared" si="613"/>
        <v/>
      </c>
      <c r="AH77" s="28">
        <f t="shared" si="22"/>
        <v>12</v>
      </c>
      <c r="AI77" s="28">
        <f t="shared" si="23"/>
        <v>0</v>
      </c>
      <c r="AK77" s="78" t="str">
        <f t="shared" ref="AK77:AN77" si="614">IF(U77&gt;0,AK$3,"")</f>
        <v>Thomas</v>
      </c>
      <c r="AL77" s="78" t="str">
        <f t="shared" si="614"/>
        <v/>
      </c>
      <c r="AM77" s="78" t="str">
        <f t="shared" si="614"/>
        <v>Janus</v>
      </c>
      <c r="AN77" s="78" t="str">
        <f t="shared" si="614"/>
        <v/>
      </c>
      <c r="AO77" s="56">
        <f t="shared" si="25"/>
        <v>2</v>
      </c>
      <c r="AP77" s="8" t="str">
        <f t="shared" si="26"/>
        <v>Thomas</v>
      </c>
      <c r="AQ77" s="73" t="str">
        <f>IFERROR(__xludf.DUMMYFUNCTION("IFNA(QUERY(transpose(AY77:BB77),""Select Col1 where Col1 is not null limit 1"",0))"),"Janus")</f>
        <v>Janus</v>
      </c>
      <c r="AR77" s="56"/>
      <c r="AS77" s="28" t="str">
        <f t="shared" ref="AS77:AV77" si="615">IF(AK77=AS$3,"",AS$3)</f>
        <v/>
      </c>
      <c r="AT77" s="28" t="str">
        <f t="shared" si="615"/>
        <v>Peter</v>
      </c>
      <c r="AU77" s="28" t="str">
        <f t="shared" si="615"/>
        <v/>
      </c>
      <c r="AV77" s="28" t="str">
        <f t="shared" si="615"/>
        <v>Christian</v>
      </c>
      <c r="AW77" s="56">
        <f t="shared" si="28"/>
        <v>2</v>
      </c>
      <c r="AX77" s="28">
        <f t="shared" si="29"/>
        <v>12</v>
      </c>
      <c r="AY77" s="28" t="str">
        <f t="shared" ref="AY77:BB77" si="616">IFNA(IFS(AY$3=$AP77,"",$AX77=U77,AY$3),"")</f>
        <v/>
      </c>
      <c r="AZ77" s="28" t="str">
        <f t="shared" si="616"/>
        <v/>
      </c>
      <c r="BA77" s="28" t="str">
        <f t="shared" si="616"/>
        <v>Janus</v>
      </c>
      <c r="BB77" s="28" t="str">
        <f t="shared" si="616"/>
        <v/>
      </c>
      <c r="BC77" s="58">
        <f>OFFSET('00_Regnskab_01'!$A$1,MATCH(A77,'00_Regnskab_01'!$A$1:$A$25)-1,2)</f>
        <v>43491</v>
      </c>
      <c r="BE77" s="80">
        <f t="shared" ref="BE77:BH77" si="617">if(U77&gt;0,1+BE76,0)</f>
        <v>1</v>
      </c>
      <c r="BF77" s="28">
        <f t="shared" si="617"/>
        <v>0</v>
      </c>
      <c r="BG77" s="28">
        <f t="shared" si="617"/>
        <v>2</v>
      </c>
      <c r="BH77" s="28">
        <f t="shared" si="617"/>
        <v>0</v>
      </c>
      <c r="BJ77" s="28">
        <f t="shared" ref="BJ77:BM77" si="618">if(U77&lt;0,1+BJ76,0)</f>
        <v>0</v>
      </c>
      <c r="BK77" s="28">
        <f t="shared" si="618"/>
        <v>2</v>
      </c>
      <c r="BL77" s="28">
        <f t="shared" si="618"/>
        <v>0</v>
      </c>
      <c r="BM77" s="28">
        <f t="shared" si="618"/>
        <v>1</v>
      </c>
      <c r="BO77" s="74">
        <f t="shared" ref="BO77:BR77" si="619">if(U77&gt;0,U77+BO76,0)</f>
        <v>12</v>
      </c>
      <c r="BP77" s="74">
        <f t="shared" si="619"/>
        <v>0</v>
      </c>
      <c r="BQ77" s="74">
        <f t="shared" si="619"/>
        <v>44</v>
      </c>
      <c r="BR77" s="74">
        <f t="shared" si="619"/>
        <v>0</v>
      </c>
      <c r="BT77" s="28">
        <f t="shared" ref="BT77:BW77" si="620">if(U77&lt;0,U77+BT76,0)</f>
        <v>0</v>
      </c>
      <c r="BU77" s="28">
        <f t="shared" si="620"/>
        <v>-44</v>
      </c>
      <c r="BV77" s="28">
        <f t="shared" si="620"/>
        <v>0</v>
      </c>
      <c r="BW77" s="28">
        <f t="shared" si="620"/>
        <v>-12</v>
      </c>
    </row>
    <row r="78">
      <c r="A78" s="53">
        <v>9.0</v>
      </c>
      <c r="B78" s="28">
        <f>'09_26-01-2019'!A21</f>
        <v>18</v>
      </c>
      <c r="C78" s="75">
        <f>'09_26-01-2019'!B21</f>
        <v>-180</v>
      </c>
      <c r="D78" s="28">
        <f>'09_26-01-2019'!C21</f>
        <v>-44</v>
      </c>
      <c r="E78" s="28">
        <f>'09_26-01-2019'!D21</f>
        <v>226</v>
      </c>
      <c r="F78" s="28">
        <f>'09_26-01-2019'!E21</f>
        <v>-2</v>
      </c>
      <c r="G78" s="28">
        <f>'09_26-01-2019'!F21</f>
        <v>0</v>
      </c>
      <c r="H78" s="28" t="str">
        <f>'09_26-01-2019'!G21</f>
        <v>Christian</v>
      </c>
      <c r="J78" s="76" t="str">
        <f>'09_26-01-2019'!H21</f>
        <v>Janus</v>
      </c>
      <c r="K78" s="28" t="str">
        <f>'09_26-01-2019'!I21</f>
        <v>sol</v>
      </c>
      <c r="L78" s="56"/>
      <c r="N78" s="25" t="s">
        <v>99</v>
      </c>
      <c r="T78" s="56"/>
      <c r="U78" s="77">
        <f t="shared" ref="U78:X78" si="621">C78-C77</f>
        <v>-8</v>
      </c>
      <c r="V78" s="28">
        <f t="shared" si="621"/>
        <v>-8</v>
      </c>
      <c r="W78" s="28">
        <f t="shared" si="621"/>
        <v>-8</v>
      </c>
      <c r="X78" s="28">
        <f t="shared" si="621"/>
        <v>24</v>
      </c>
      <c r="AB78" s="28" t="str">
        <f t="shared" ref="AB78:AE78" si="622">IF(AB$3=$H78,U78,"")</f>
        <v/>
      </c>
      <c r="AC78" s="28" t="str">
        <f t="shared" si="622"/>
        <v/>
      </c>
      <c r="AD78" s="28" t="str">
        <f t="shared" si="622"/>
        <v/>
      </c>
      <c r="AE78" s="28">
        <f t="shared" si="622"/>
        <v>24</v>
      </c>
      <c r="AH78" s="28">
        <f t="shared" si="22"/>
        <v>24</v>
      </c>
      <c r="AI78" s="28">
        <f t="shared" si="23"/>
        <v>0</v>
      </c>
      <c r="AK78" s="78" t="str">
        <f t="shared" ref="AK78:AN78" si="623">IF(U78&gt;0,AK$3,"")</f>
        <v/>
      </c>
      <c r="AL78" s="78" t="str">
        <f t="shared" si="623"/>
        <v/>
      </c>
      <c r="AM78" s="78" t="str">
        <f t="shared" si="623"/>
        <v/>
      </c>
      <c r="AN78" s="78" t="str">
        <f t="shared" si="623"/>
        <v>Christian</v>
      </c>
      <c r="AO78" s="56">
        <f t="shared" si="25"/>
        <v>1</v>
      </c>
      <c r="AP78" s="8" t="str">
        <f t="shared" si="26"/>
        <v>Christian</v>
      </c>
      <c r="AQ78" s="73" t="str">
        <f>IFERROR(__xludf.DUMMYFUNCTION("IFNA(QUERY(transpose(AY78:BB78),""Select Col1 where Col1 is not null limit 1"",0))"),"")</f>
        <v/>
      </c>
      <c r="AR78" s="56"/>
      <c r="AS78" s="28" t="str">
        <f t="shared" ref="AS78:AV78" si="624">IF(AK78=AS$3,"",AS$3)</f>
        <v>Thomas</v>
      </c>
      <c r="AT78" s="28" t="str">
        <f t="shared" si="624"/>
        <v>Peter</v>
      </c>
      <c r="AU78" s="28" t="str">
        <f t="shared" si="624"/>
        <v>Janus</v>
      </c>
      <c r="AV78" s="28" t="str">
        <f t="shared" si="624"/>
        <v/>
      </c>
      <c r="AW78" s="56">
        <f t="shared" si="28"/>
        <v>3</v>
      </c>
      <c r="AX78" s="28">
        <f t="shared" si="29"/>
        <v>24</v>
      </c>
      <c r="AY78" s="28" t="str">
        <f t="shared" ref="AY78:BB78" si="625">IFNA(IFS(AY$3=$AP78,"",$AX78=U78,AY$3),"")</f>
        <v/>
      </c>
      <c r="AZ78" s="28" t="str">
        <f t="shared" si="625"/>
        <v/>
      </c>
      <c r="BA78" s="28" t="str">
        <f t="shared" si="625"/>
        <v/>
      </c>
      <c r="BB78" s="28" t="str">
        <f t="shared" si="625"/>
        <v/>
      </c>
      <c r="BC78" s="58">
        <f>OFFSET('00_Regnskab_01'!$A$1,MATCH(A78,'00_Regnskab_01'!$A$1:$A$25)-1,2)</f>
        <v>43491</v>
      </c>
      <c r="BE78" s="80">
        <f t="shared" ref="BE78:BH78" si="626">if(U78&gt;0,1+BE77,0)</f>
        <v>0</v>
      </c>
      <c r="BF78" s="28">
        <f t="shared" si="626"/>
        <v>0</v>
      </c>
      <c r="BG78" s="28">
        <f t="shared" si="626"/>
        <v>0</v>
      </c>
      <c r="BH78" s="28">
        <f t="shared" si="626"/>
        <v>1</v>
      </c>
      <c r="BJ78" s="28">
        <f t="shared" ref="BJ78:BM78" si="627">if(U78&lt;0,1+BJ77,0)</f>
        <v>1</v>
      </c>
      <c r="BK78" s="28">
        <f t="shared" si="627"/>
        <v>3</v>
      </c>
      <c r="BL78" s="28">
        <f t="shared" si="627"/>
        <v>1</v>
      </c>
      <c r="BM78" s="28">
        <f t="shared" si="627"/>
        <v>0</v>
      </c>
      <c r="BO78" s="74">
        <f t="shared" ref="BO78:BR78" si="628">if(U78&gt;0,U78+BO77,0)</f>
        <v>0</v>
      </c>
      <c r="BP78" s="74">
        <f t="shared" si="628"/>
        <v>0</v>
      </c>
      <c r="BQ78" s="74">
        <f t="shared" si="628"/>
        <v>0</v>
      </c>
      <c r="BR78" s="74">
        <f t="shared" si="628"/>
        <v>24</v>
      </c>
      <c r="BT78" s="28">
        <f t="shared" ref="BT78:BW78" si="629">if(U78&lt;0,U78+BT77,0)</f>
        <v>-8</v>
      </c>
      <c r="BU78" s="28">
        <f t="shared" si="629"/>
        <v>-52</v>
      </c>
      <c r="BV78" s="28">
        <f t="shared" si="629"/>
        <v>-8</v>
      </c>
      <c r="BW78" s="28">
        <f t="shared" si="629"/>
        <v>0</v>
      </c>
    </row>
    <row r="79">
      <c r="A79" s="53">
        <v>9.0</v>
      </c>
      <c r="B79" s="28">
        <f>'09_26-01-2019'!A22</f>
        <v>19</v>
      </c>
      <c r="C79" s="75">
        <f>'09_26-01-2019'!B22</f>
        <v>-168</v>
      </c>
      <c r="D79" s="28">
        <f>'09_26-01-2019'!C22</f>
        <v>-48</v>
      </c>
      <c r="E79" s="28">
        <f>'09_26-01-2019'!D22</f>
        <v>222</v>
      </c>
      <c r="F79" s="28">
        <f>'09_26-01-2019'!E22</f>
        <v>-6</v>
      </c>
      <c r="G79" s="28">
        <f>'09_26-01-2019'!F22</f>
        <v>0</v>
      </c>
      <c r="H79" s="28" t="str">
        <f>'09_26-01-2019'!G22</f>
        <v>Thomas</v>
      </c>
      <c r="J79" s="76" t="str">
        <f>'09_26-01-2019'!H22</f>
        <v>Christian</v>
      </c>
      <c r="K79" s="28" t="str">
        <f>'09_26-01-2019'!I22</f>
        <v>sol</v>
      </c>
      <c r="L79" s="56"/>
      <c r="N79" s="25" t="s">
        <v>99</v>
      </c>
      <c r="T79" s="56"/>
      <c r="U79" s="77">
        <f t="shared" ref="U79:X79" si="630">C79-C78</f>
        <v>12</v>
      </c>
      <c r="V79" s="28">
        <f t="shared" si="630"/>
        <v>-4</v>
      </c>
      <c r="W79" s="28">
        <f t="shared" si="630"/>
        <v>-4</v>
      </c>
      <c r="X79" s="28">
        <f t="shared" si="630"/>
        <v>-4</v>
      </c>
      <c r="AB79" s="28">
        <f t="shared" ref="AB79:AE79" si="631">IF(AB$3=$H79,U79,"")</f>
        <v>12</v>
      </c>
      <c r="AC79" s="28" t="str">
        <f t="shared" si="631"/>
        <v/>
      </c>
      <c r="AD79" s="28" t="str">
        <f t="shared" si="631"/>
        <v/>
      </c>
      <c r="AE79" s="28" t="str">
        <f t="shared" si="631"/>
        <v/>
      </c>
      <c r="AH79" s="28">
        <f t="shared" si="22"/>
        <v>12</v>
      </c>
      <c r="AI79" s="28">
        <f t="shared" si="23"/>
        <v>0</v>
      </c>
      <c r="AK79" s="78" t="str">
        <f t="shared" ref="AK79:AN79" si="632">IF(U79&gt;0,AK$3,"")</f>
        <v>Thomas</v>
      </c>
      <c r="AL79" s="78" t="str">
        <f t="shared" si="632"/>
        <v/>
      </c>
      <c r="AM79" s="78" t="str">
        <f t="shared" si="632"/>
        <v/>
      </c>
      <c r="AN79" s="78" t="str">
        <f t="shared" si="632"/>
        <v/>
      </c>
      <c r="AO79" s="56">
        <f t="shared" si="25"/>
        <v>1</v>
      </c>
      <c r="AP79" s="8" t="str">
        <f t="shared" si="26"/>
        <v>Thomas</v>
      </c>
      <c r="AQ79" s="73" t="str">
        <f>IFERROR(__xludf.DUMMYFUNCTION("IFNA(QUERY(transpose(AY79:BB79),""Select Col1 where Col1 is not null limit 1"",0))"),"")</f>
        <v/>
      </c>
      <c r="AR79" s="56"/>
      <c r="AS79" s="28" t="str">
        <f t="shared" ref="AS79:AV79" si="633">IF(AK79=AS$3,"",AS$3)</f>
        <v/>
      </c>
      <c r="AT79" s="28" t="str">
        <f t="shared" si="633"/>
        <v>Peter</v>
      </c>
      <c r="AU79" s="28" t="str">
        <f t="shared" si="633"/>
        <v>Janus</v>
      </c>
      <c r="AV79" s="28" t="str">
        <f t="shared" si="633"/>
        <v>Christian</v>
      </c>
      <c r="AW79" s="56">
        <f t="shared" si="28"/>
        <v>3</v>
      </c>
      <c r="AX79" s="28">
        <f t="shared" si="29"/>
        <v>12</v>
      </c>
      <c r="AY79" s="28" t="str">
        <f t="shared" ref="AY79:BB79" si="634">IFNA(IFS(AY$3=$AP79,"",$AX79=U79,AY$3),"")</f>
        <v/>
      </c>
      <c r="AZ79" s="28" t="str">
        <f t="shared" si="634"/>
        <v/>
      </c>
      <c r="BA79" s="28" t="str">
        <f t="shared" si="634"/>
        <v/>
      </c>
      <c r="BB79" s="28" t="str">
        <f t="shared" si="634"/>
        <v/>
      </c>
      <c r="BC79" s="58">
        <f>OFFSET('00_Regnskab_01'!$A$1,MATCH(A79,'00_Regnskab_01'!$A$1:$A$25)-1,2)</f>
        <v>43491</v>
      </c>
      <c r="BE79" s="80">
        <f t="shared" ref="BE79:BH79" si="635">if(U79&gt;0,1+BE78,0)</f>
        <v>1</v>
      </c>
      <c r="BF79" s="28">
        <f t="shared" si="635"/>
        <v>0</v>
      </c>
      <c r="BG79" s="28">
        <f t="shared" si="635"/>
        <v>0</v>
      </c>
      <c r="BH79" s="28">
        <f t="shared" si="635"/>
        <v>0</v>
      </c>
      <c r="BJ79" s="28">
        <f t="shared" ref="BJ79:BM79" si="636">if(U79&lt;0,1+BJ78,0)</f>
        <v>0</v>
      </c>
      <c r="BK79" s="28">
        <f t="shared" si="636"/>
        <v>4</v>
      </c>
      <c r="BL79" s="28">
        <f t="shared" si="636"/>
        <v>2</v>
      </c>
      <c r="BM79" s="28">
        <f t="shared" si="636"/>
        <v>1</v>
      </c>
      <c r="BO79" s="74">
        <f t="shared" ref="BO79:BR79" si="637">if(U79&gt;0,U79+BO78,0)</f>
        <v>12</v>
      </c>
      <c r="BP79" s="74">
        <f t="shared" si="637"/>
        <v>0</v>
      </c>
      <c r="BQ79" s="74">
        <f t="shared" si="637"/>
        <v>0</v>
      </c>
      <c r="BR79" s="74">
        <f t="shared" si="637"/>
        <v>0</v>
      </c>
      <c r="BT79" s="28">
        <f t="shared" ref="BT79:BW79" si="638">if(U79&lt;0,U79+BT78,0)</f>
        <v>0</v>
      </c>
      <c r="BU79" s="28">
        <f t="shared" si="638"/>
        <v>-56</v>
      </c>
      <c r="BV79" s="28">
        <f t="shared" si="638"/>
        <v>-12</v>
      </c>
      <c r="BW79" s="28">
        <f t="shared" si="638"/>
        <v>-4</v>
      </c>
    </row>
    <row r="80">
      <c r="A80" s="53">
        <v>9.0</v>
      </c>
      <c r="B80" s="28">
        <f>'09_26-01-2019'!A23</f>
        <v>20</v>
      </c>
      <c r="C80" s="75">
        <f>'09_26-01-2019'!B23</f>
        <v>-180</v>
      </c>
      <c r="D80" s="28">
        <f>'09_26-01-2019'!C23</f>
        <v>-60</v>
      </c>
      <c r="E80" s="28">
        <f>'09_26-01-2019'!D23</f>
        <v>234</v>
      </c>
      <c r="F80" s="28">
        <f>'09_26-01-2019'!E23</f>
        <v>6</v>
      </c>
      <c r="G80" s="28">
        <f>'09_26-01-2019'!F23</f>
        <v>0</v>
      </c>
      <c r="H80" s="28" t="str">
        <f>'09_26-01-2019'!G23</f>
        <v>Peter</v>
      </c>
      <c r="J80" s="76" t="str">
        <f>'09_26-01-2019'!H23</f>
        <v>Thomas</v>
      </c>
      <c r="K80" s="28" t="str">
        <f>'09_26-01-2019'!I23</f>
        <v>9 halve</v>
      </c>
      <c r="L80" s="56"/>
      <c r="M80" s="25">
        <v>9.0</v>
      </c>
      <c r="N80" s="25" t="s">
        <v>94</v>
      </c>
      <c r="T80" s="56"/>
      <c r="U80" s="77">
        <f t="shared" ref="U80:X80" si="639">C80-C79</f>
        <v>-12</v>
      </c>
      <c r="V80" s="28">
        <f t="shared" si="639"/>
        <v>-12</v>
      </c>
      <c r="W80" s="28">
        <f t="shared" si="639"/>
        <v>12</v>
      </c>
      <c r="X80" s="28">
        <f t="shared" si="639"/>
        <v>12</v>
      </c>
      <c r="AB80" s="28" t="str">
        <f t="shared" ref="AB80:AE80" si="640">IF(AB$3=$H80,U80,"")</f>
        <v/>
      </c>
      <c r="AC80" s="28">
        <f t="shared" si="640"/>
        <v>-12</v>
      </c>
      <c r="AD80" s="28" t="str">
        <f t="shared" si="640"/>
        <v/>
      </c>
      <c r="AE80" s="28" t="str">
        <f t="shared" si="640"/>
        <v/>
      </c>
      <c r="AH80" s="28">
        <f t="shared" si="22"/>
        <v>0</v>
      </c>
      <c r="AI80" s="28">
        <f t="shared" si="23"/>
        <v>-12</v>
      </c>
      <c r="AK80" s="78" t="str">
        <f t="shared" ref="AK80:AN80" si="641">IF(U80&gt;0,AK$3,"")</f>
        <v/>
      </c>
      <c r="AL80" s="78" t="str">
        <f t="shared" si="641"/>
        <v/>
      </c>
      <c r="AM80" s="78" t="str">
        <f t="shared" si="641"/>
        <v>Janus</v>
      </c>
      <c r="AN80" s="78" t="str">
        <f t="shared" si="641"/>
        <v>Christian</v>
      </c>
      <c r="AO80" s="56">
        <f t="shared" si="25"/>
        <v>2</v>
      </c>
      <c r="AP80" s="8" t="str">
        <f t="shared" si="26"/>
        <v>Peter</v>
      </c>
      <c r="AQ80" s="73" t="str">
        <f>IFERROR(__xludf.DUMMYFUNCTION("IFNA(QUERY(transpose(AY80:BB80),""Select Col1 where Col1 is not null limit 1"",0))"),"Thomas")</f>
        <v>Thomas</v>
      </c>
      <c r="AR80" s="56"/>
      <c r="AS80" s="28" t="str">
        <f t="shared" ref="AS80:AV80" si="642">IF(AK80=AS$3,"",AS$3)</f>
        <v>Thomas</v>
      </c>
      <c r="AT80" s="28" t="str">
        <f t="shared" si="642"/>
        <v>Peter</v>
      </c>
      <c r="AU80" s="28" t="str">
        <f t="shared" si="642"/>
        <v/>
      </c>
      <c r="AV80" s="28" t="str">
        <f t="shared" si="642"/>
        <v/>
      </c>
      <c r="AW80" s="56">
        <f t="shared" si="28"/>
        <v>2</v>
      </c>
      <c r="AX80" s="28">
        <f t="shared" si="29"/>
        <v>-12</v>
      </c>
      <c r="AY80" s="28" t="str">
        <f t="shared" ref="AY80:BB80" si="643">IFNA(IFS(AY$3=$AP80,"",$AX80=U80,AY$3),"")</f>
        <v>Thomas</v>
      </c>
      <c r="AZ80" s="28" t="str">
        <f t="shared" si="643"/>
        <v/>
      </c>
      <c r="BA80" s="28" t="str">
        <f t="shared" si="643"/>
        <v/>
      </c>
      <c r="BB80" s="28" t="str">
        <f t="shared" si="643"/>
        <v/>
      </c>
      <c r="BC80" s="58">
        <f>OFFSET('00_Regnskab_01'!$A$1,MATCH(A80,'00_Regnskab_01'!$A$1:$A$25)-1,2)</f>
        <v>43491</v>
      </c>
      <c r="BE80" s="80">
        <f t="shared" ref="BE80:BH80" si="644">if(U80&gt;0,1+BE79,0)</f>
        <v>0</v>
      </c>
      <c r="BF80" s="28">
        <f t="shared" si="644"/>
        <v>0</v>
      </c>
      <c r="BG80" s="28">
        <f t="shared" si="644"/>
        <v>1</v>
      </c>
      <c r="BH80" s="28">
        <f t="shared" si="644"/>
        <v>1</v>
      </c>
      <c r="BJ80" s="28">
        <f t="shared" ref="BJ80:BM80" si="645">if(U80&lt;0,1+BJ79,0)</f>
        <v>1</v>
      </c>
      <c r="BK80" s="28">
        <f t="shared" si="645"/>
        <v>5</v>
      </c>
      <c r="BL80" s="28">
        <f t="shared" si="645"/>
        <v>0</v>
      </c>
      <c r="BM80" s="28">
        <f t="shared" si="645"/>
        <v>0</v>
      </c>
      <c r="BO80" s="74">
        <f t="shared" ref="BO80:BR80" si="646">if(U80&gt;0,U80+BO79,0)</f>
        <v>0</v>
      </c>
      <c r="BP80" s="74">
        <f t="shared" si="646"/>
        <v>0</v>
      </c>
      <c r="BQ80" s="74">
        <f t="shared" si="646"/>
        <v>12</v>
      </c>
      <c r="BR80" s="74">
        <f t="shared" si="646"/>
        <v>12</v>
      </c>
      <c r="BT80" s="28">
        <f t="shared" ref="BT80:BW80" si="647">if(U80&lt;0,U80+BT79,0)</f>
        <v>-12</v>
      </c>
      <c r="BU80" s="28">
        <f t="shared" si="647"/>
        <v>-68</v>
      </c>
      <c r="BV80" s="28">
        <f t="shared" si="647"/>
        <v>0</v>
      </c>
      <c r="BW80" s="28">
        <f t="shared" si="647"/>
        <v>0</v>
      </c>
    </row>
    <row r="81">
      <c r="A81" s="53">
        <v>9.0</v>
      </c>
      <c r="B81" s="28">
        <f>'09_26-01-2019'!A24</f>
        <v>21</v>
      </c>
      <c r="C81" s="75">
        <f>'09_26-01-2019'!B24</f>
        <v>-168</v>
      </c>
      <c r="D81" s="28">
        <f>'09_26-01-2019'!C24</f>
        <v>-72</v>
      </c>
      <c r="E81" s="28">
        <f>'09_26-01-2019'!D24</f>
        <v>246</v>
      </c>
      <c r="F81" s="28">
        <f>'09_26-01-2019'!E24</f>
        <v>-6</v>
      </c>
      <c r="G81" s="28">
        <f>'09_26-01-2019'!F24</f>
        <v>0</v>
      </c>
      <c r="H81" s="28" t="str">
        <f>'09_26-01-2019'!G24</f>
        <v>Christian</v>
      </c>
      <c r="J81" s="76" t="str">
        <f>'09_26-01-2019'!H24</f>
        <v>Peter</v>
      </c>
      <c r="K81" s="28" t="str">
        <f>'09_26-01-2019'!I24</f>
        <v>9 halve</v>
      </c>
      <c r="L81" s="56"/>
      <c r="M81" s="25">
        <v>9.0</v>
      </c>
      <c r="N81" s="25" t="s">
        <v>94</v>
      </c>
      <c r="T81" s="56"/>
      <c r="U81" s="77">
        <f t="shared" ref="U81:X81" si="648">C81-C80</f>
        <v>12</v>
      </c>
      <c r="V81" s="28">
        <f t="shared" si="648"/>
        <v>-12</v>
      </c>
      <c r="W81" s="28">
        <f t="shared" si="648"/>
        <v>12</v>
      </c>
      <c r="X81" s="28">
        <f t="shared" si="648"/>
        <v>-12</v>
      </c>
      <c r="AB81" s="28" t="str">
        <f t="shared" ref="AB81:AE81" si="649">IF(AB$3=$H81,U81,"")</f>
        <v/>
      </c>
      <c r="AC81" s="28" t="str">
        <f t="shared" si="649"/>
        <v/>
      </c>
      <c r="AD81" s="28" t="str">
        <f t="shared" si="649"/>
        <v/>
      </c>
      <c r="AE81" s="28">
        <f t="shared" si="649"/>
        <v>-12</v>
      </c>
      <c r="AH81" s="28">
        <f t="shared" si="22"/>
        <v>0</v>
      </c>
      <c r="AI81" s="28">
        <f t="shared" si="23"/>
        <v>-12</v>
      </c>
      <c r="AK81" s="78" t="str">
        <f t="shared" ref="AK81:AN81" si="650">IF(U81&gt;0,AK$3,"")</f>
        <v>Thomas</v>
      </c>
      <c r="AL81" s="78" t="str">
        <f t="shared" si="650"/>
        <v/>
      </c>
      <c r="AM81" s="78" t="str">
        <f t="shared" si="650"/>
        <v>Janus</v>
      </c>
      <c r="AN81" s="78" t="str">
        <f t="shared" si="650"/>
        <v/>
      </c>
      <c r="AO81" s="56">
        <f t="shared" si="25"/>
        <v>2</v>
      </c>
      <c r="AP81" s="8" t="str">
        <f t="shared" si="26"/>
        <v>Christian</v>
      </c>
      <c r="AQ81" s="73" t="str">
        <f>IFERROR(__xludf.DUMMYFUNCTION("IFNA(QUERY(transpose(AY81:BB81),""Select Col1 where Col1 is not null limit 1"",0))"),"Peter")</f>
        <v>Peter</v>
      </c>
      <c r="AR81" s="56"/>
      <c r="AS81" s="28" t="str">
        <f t="shared" ref="AS81:AV81" si="651">IF(AK81=AS$3,"",AS$3)</f>
        <v/>
      </c>
      <c r="AT81" s="28" t="str">
        <f t="shared" si="651"/>
        <v>Peter</v>
      </c>
      <c r="AU81" s="28" t="str">
        <f t="shared" si="651"/>
        <v/>
      </c>
      <c r="AV81" s="28" t="str">
        <f t="shared" si="651"/>
        <v>Christian</v>
      </c>
      <c r="AW81" s="56">
        <f t="shared" si="28"/>
        <v>2</v>
      </c>
      <c r="AX81" s="28">
        <f t="shared" si="29"/>
        <v>-12</v>
      </c>
      <c r="AY81" s="28" t="str">
        <f t="shared" ref="AY81:BB81" si="652">IFNA(IFS(AY$3=$AP81,"",$AX81=U81,AY$3),"")</f>
        <v/>
      </c>
      <c r="AZ81" s="28" t="str">
        <f t="shared" si="652"/>
        <v>Peter</v>
      </c>
      <c r="BA81" s="28" t="str">
        <f t="shared" si="652"/>
        <v/>
      </c>
      <c r="BB81" s="28" t="str">
        <f t="shared" si="652"/>
        <v/>
      </c>
      <c r="BC81" s="58">
        <f>OFFSET('00_Regnskab_01'!$A$1,MATCH(A81,'00_Regnskab_01'!$A$1:$A$25)-1,2)</f>
        <v>43491</v>
      </c>
      <c r="BE81" s="80">
        <f t="shared" ref="BE81:BH81" si="653">if(U81&gt;0,1+BE80,0)</f>
        <v>1</v>
      </c>
      <c r="BF81" s="28">
        <f t="shared" si="653"/>
        <v>0</v>
      </c>
      <c r="BG81" s="28">
        <f t="shared" si="653"/>
        <v>2</v>
      </c>
      <c r="BH81" s="28">
        <f t="shared" si="653"/>
        <v>0</v>
      </c>
      <c r="BJ81" s="28">
        <f t="shared" ref="BJ81:BM81" si="654">if(U81&lt;0,1+BJ80,0)</f>
        <v>0</v>
      </c>
      <c r="BK81" s="28">
        <f t="shared" si="654"/>
        <v>6</v>
      </c>
      <c r="BL81" s="28">
        <f t="shared" si="654"/>
        <v>0</v>
      </c>
      <c r="BM81" s="28">
        <f t="shared" si="654"/>
        <v>1</v>
      </c>
      <c r="BO81" s="74">
        <f t="shared" ref="BO81:BR81" si="655">if(U81&gt;0,U81+BO80,0)</f>
        <v>12</v>
      </c>
      <c r="BP81" s="74">
        <f t="shared" si="655"/>
        <v>0</v>
      </c>
      <c r="BQ81" s="74">
        <f t="shared" si="655"/>
        <v>24</v>
      </c>
      <c r="BR81" s="74">
        <f t="shared" si="655"/>
        <v>0</v>
      </c>
      <c r="BT81" s="28">
        <f t="shared" ref="BT81:BW81" si="656">if(U81&lt;0,U81+BT80,0)</f>
        <v>0</v>
      </c>
      <c r="BU81" s="28">
        <f t="shared" si="656"/>
        <v>-80</v>
      </c>
      <c r="BV81" s="28">
        <f t="shared" si="656"/>
        <v>0</v>
      </c>
      <c r="BW81" s="28">
        <f t="shared" si="656"/>
        <v>-12</v>
      </c>
    </row>
    <row r="82">
      <c r="A82" s="53">
        <v>9.0</v>
      </c>
      <c r="B82" s="28">
        <f>'09_26-01-2019'!A25</f>
        <v>22</v>
      </c>
      <c r="C82" s="75">
        <f>'09_26-01-2019'!B25</f>
        <v>-180</v>
      </c>
      <c r="D82" s="28">
        <f>'09_26-01-2019'!C25</f>
        <v>-60</v>
      </c>
      <c r="E82" s="28">
        <f>'09_26-01-2019'!D25</f>
        <v>234</v>
      </c>
      <c r="F82" s="28">
        <f>'09_26-01-2019'!E25</f>
        <v>6</v>
      </c>
      <c r="G82" s="28">
        <f>'09_26-01-2019'!F25</f>
        <v>0</v>
      </c>
      <c r="H82" s="28" t="str">
        <f>'09_26-01-2019'!G25</f>
        <v>Thomas</v>
      </c>
      <c r="J82" s="76" t="str">
        <f>'09_26-01-2019'!H25</f>
        <v>Janus</v>
      </c>
      <c r="K82" s="28" t="str">
        <f>'09_26-01-2019'!I25</f>
        <v>9 halve</v>
      </c>
      <c r="L82" s="56"/>
      <c r="M82" s="25">
        <v>9.0</v>
      </c>
      <c r="N82" s="25" t="s">
        <v>94</v>
      </c>
      <c r="T82" s="56"/>
      <c r="U82" s="77">
        <f t="shared" ref="U82:X82" si="657">C82-C81</f>
        <v>-12</v>
      </c>
      <c r="V82" s="28">
        <f t="shared" si="657"/>
        <v>12</v>
      </c>
      <c r="W82" s="28">
        <f t="shared" si="657"/>
        <v>-12</v>
      </c>
      <c r="X82" s="28">
        <f t="shared" si="657"/>
        <v>12</v>
      </c>
      <c r="AB82" s="28">
        <f t="shared" ref="AB82:AE82" si="658">IF(AB$3=$H82,U82,"")</f>
        <v>-12</v>
      </c>
      <c r="AC82" s="28" t="str">
        <f t="shared" si="658"/>
        <v/>
      </c>
      <c r="AD82" s="28" t="str">
        <f t="shared" si="658"/>
        <v/>
      </c>
      <c r="AE82" s="28" t="str">
        <f t="shared" si="658"/>
        <v/>
      </c>
      <c r="AH82" s="28">
        <f t="shared" si="22"/>
        <v>0</v>
      </c>
      <c r="AI82" s="28">
        <f t="shared" si="23"/>
        <v>-12</v>
      </c>
      <c r="AK82" s="78" t="str">
        <f t="shared" ref="AK82:AN82" si="659">IF(U82&gt;0,AK$3,"")</f>
        <v/>
      </c>
      <c r="AL82" s="78" t="str">
        <f t="shared" si="659"/>
        <v>Peter</v>
      </c>
      <c r="AM82" s="78" t="str">
        <f t="shared" si="659"/>
        <v/>
      </c>
      <c r="AN82" s="78" t="str">
        <f t="shared" si="659"/>
        <v>Christian</v>
      </c>
      <c r="AO82" s="56">
        <f t="shared" si="25"/>
        <v>2</v>
      </c>
      <c r="AP82" s="8" t="str">
        <f t="shared" si="26"/>
        <v>Thomas</v>
      </c>
      <c r="AQ82" s="73" t="str">
        <f>IFERROR(__xludf.DUMMYFUNCTION("IFNA(QUERY(transpose(AY82:BB82),""Select Col1 where Col1 is not null limit 1"",0))"),"Janus")</f>
        <v>Janus</v>
      </c>
      <c r="AR82" s="56"/>
      <c r="AS82" s="28" t="str">
        <f t="shared" ref="AS82:AV82" si="660">IF(AK82=AS$3,"",AS$3)</f>
        <v>Thomas</v>
      </c>
      <c r="AT82" s="28" t="str">
        <f t="shared" si="660"/>
        <v/>
      </c>
      <c r="AU82" s="28" t="str">
        <f t="shared" si="660"/>
        <v>Janus</v>
      </c>
      <c r="AV82" s="28" t="str">
        <f t="shared" si="660"/>
        <v/>
      </c>
      <c r="AW82" s="56">
        <f t="shared" si="28"/>
        <v>2</v>
      </c>
      <c r="AX82" s="28">
        <f t="shared" si="29"/>
        <v>-12</v>
      </c>
      <c r="AY82" s="28" t="str">
        <f t="shared" ref="AY82:BB82" si="661">IFNA(IFS(AY$3=$AP82,"",$AX82=U82,AY$3),"")</f>
        <v/>
      </c>
      <c r="AZ82" s="28" t="str">
        <f t="shared" si="661"/>
        <v/>
      </c>
      <c r="BA82" s="28" t="str">
        <f t="shared" si="661"/>
        <v>Janus</v>
      </c>
      <c r="BB82" s="28" t="str">
        <f t="shared" si="661"/>
        <v/>
      </c>
      <c r="BC82" s="58">
        <f>OFFSET('00_Regnskab_01'!$A$1,MATCH(A82,'00_Regnskab_01'!$A$1:$A$25)-1,2)</f>
        <v>43491</v>
      </c>
      <c r="BE82" s="80">
        <f t="shared" ref="BE82:BH82" si="662">if(U82&gt;0,1+BE81,0)</f>
        <v>0</v>
      </c>
      <c r="BF82" s="28">
        <f t="shared" si="662"/>
        <v>1</v>
      </c>
      <c r="BG82" s="28">
        <f t="shared" si="662"/>
        <v>0</v>
      </c>
      <c r="BH82" s="28">
        <f t="shared" si="662"/>
        <v>1</v>
      </c>
      <c r="BJ82" s="28">
        <f t="shared" ref="BJ82:BM82" si="663">if(U82&lt;0,1+BJ81,0)</f>
        <v>1</v>
      </c>
      <c r="BK82" s="28">
        <f t="shared" si="663"/>
        <v>0</v>
      </c>
      <c r="BL82" s="28">
        <f t="shared" si="663"/>
        <v>1</v>
      </c>
      <c r="BM82" s="28">
        <f t="shared" si="663"/>
        <v>0</v>
      </c>
      <c r="BO82" s="74">
        <f t="shared" ref="BO82:BR82" si="664">if(U82&gt;0,U82+BO81,0)</f>
        <v>0</v>
      </c>
      <c r="BP82" s="74">
        <f t="shared" si="664"/>
        <v>12</v>
      </c>
      <c r="BQ82" s="74">
        <f t="shared" si="664"/>
        <v>0</v>
      </c>
      <c r="BR82" s="74">
        <f t="shared" si="664"/>
        <v>12</v>
      </c>
      <c r="BT82" s="28">
        <f t="shared" ref="BT82:BW82" si="665">if(U82&lt;0,U82+BT81,0)</f>
        <v>-12</v>
      </c>
      <c r="BU82" s="28">
        <f t="shared" si="665"/>
        <v>0</v>
      </c>
      <c r="BV82" s="28">
        <f t="shared" si="665"/>
        <v>-12</v>
      </c>
      <c r="BW82" s="28">
        <f t="shared" si="665"/>
        <v>0</v>
      </c>
    </row>
    <row r="83">
      <c r="A83" s="53">
        <v>9.0</v>
      </c>
      <c r="B83" s="28">
        <f>'09_26-01-2019'!A26</f>
        <v>23</v>
      </c>
      <c r="C83" s="75">
        <f>'09_26-01-2019'!B26</f>
        <v>-168</v>
      </c>
      <c r="D83" s="28">
        <f>'09_26-01-2019'!C26</f>
        <v>-48</v>
      </c>
      <c r="E83" s="28">
        <f>'09_26-01-2019'!D26</f>
        <v>198</v>
      </c>
      <c r="F83" s="28">
        <f>'09_26-01-2019'!E26</f>
        <v>18</v>
      </c>
      <c r="G83" s="28">
        <f>'09_26-01-2019'!F26</f>
        <v>0</v>
      </c>
      <c r="H83" s="28" t="str">
        <f>'09_26-01-2019'!G26</f>
        <v>Janus</v>
      </c>
      <c r="J83" s="76" t="str">
        <f>'09_26-01-2019'!H26</f>
        <v>Christian</v>
      </c>
      <c r="K83" s="28" t="str">
        <f>'09_26-01-2019'!I26</f>
        <v>9 halve (selvmakker)</v>
      </c>
      <c r="L83" s="56"/>
      <c r="M83" s="25">
        <v>9.0</v>
      </c>
      <c r="N83" s="25" t="s">
        <v>94</v>
      </c>
      <c r="R83" s="25" t="s">
        <v>15</v>
      </c>
      <c r="S83" s="25"/>
      <c r="T83" s="56"/>
      <c r="U83" s="77">
        <f t="shared" ref="U83:X83" si="666">C83-C82</f>
        <v>12</v>
      </c>
      <c r="V83" s="28">
        <f t="shared" si="666"/>
        <v>12</v>
      </c>
      <c r="W83" s="28">
        <f t="shared" si="666"/>
        <v>-36</v>
      </c>
      <c r="X83" s="28">
        <f t="shared" si="666"/>
        <v>12</v>
      </c>
      <c r="AB83" s="28" t="str">
        <f t="shared" ref="AB83:AE83" si="667">IF(AB$3=$H83,U83,"")</f>
        <v/>
      </c>
      <c r="AC83" s="28" t="str">
        <f t="shared" si="667"/>
        <v/>
      </c>
      <c r="AD83" s="28">
        <f t="shared" si="667"/>
        <v>-36</v>
      </c>
      <c r="AE83" s="28" t="str">
        <f t="shared" si="667"/>
        <v/>
      </c>
      <c r="AH83" s="28">
        <f t="shared" si="22"/>
        <v>0</v>
      </c>
      <c r="AI83" s="28">
        <f t="shared" si="23"/>
        <v>-36</v>
      </c>
      <c r="AK83" s="78" t="str">
        <f t="shared" ref="AK83:AN83" si="668">IF(U83&gt;0,AK$3,"")</f>
        <v>Thomas</v>
      </c>
      <c r="AL83" s="78" t="str">
        <f t="shared" si="668"/>
        <v>Peter</v>
      </c>
      <c r="AM83" s="78" t="str">
        <f t="shared" si="668"/>
        <v/>
      </c>
      <c r="AN83" s="78" t="str">
        <f t="shared" si="668"/>
        <v>Christian</v>
      </c>
      <c r="AO83" s="56">
        <f t="shared" si="25"/>
        <v>3</v>
      </c>
      <c r="AP83" s="8" t="str">
        <f t="shared" si="26"/>
        <v>Janus</v>
      </c>
      <c r="AQ83" s="73" t="str">
        <f>IFERROR(__xludf.DUMMYFUNCTION("IFNA(QUERY(transpose(AY83:BB83),""Select Col1 where Col1 is not null limit 1"",0))"),"")</f>
        <v/>
      </c>
      <c r="AR83" s="56"/>
      <c r="AS83" s="28" t="str">
        <f t="shared" ref="AS83:AV83" si="669">IF(AK83=AS$3,"",AS$3)</f>
        <v/>
      </c>
      <c r="AT83" s="28" t="str">
        <f t="shared" si="669"/>
        <v/>
      </c>
      <c r="AU83" s="28" t="str">
        <f t="shared" si="669"/>
        <v>Janus</v>
      </c>
      <c r="AV83" s="28" t="str">
        <f t="shared" si="669"/>
        <v/>
      </c>
      <c r="AW83" s="56">
        <f t="shared" si="28"/>
        <v>1</v>
      </c>
      <c r="AX83" s="28">
        <f t="shared" si="29"/>
        <v>-36</v>
      </c>
      <c r="AY83" s="28" t="str">
        <f t="shared" ref="AY83:BB83" si="670">IFNA(IFS(AY$3=$AP83,"",$AX83=U83,AY$3),"")</f>
        <v/>
      </c>
      <c r="AZ83" s="28" t="str">
        <f t="shared" si="670"/>
        <v/>
      </c>
      <c r="BA83" s="28" t="str">
        <f t="shared" si="670"/>
        <v/>
      </c>
      <c r="BB83" s="28" t="str">
        <f t="shared" si="670"/>
        <v/>
      </c>
      <c r="BC83" s="58">
        <f>OFFSET('00_Regnskab_01'!$A$1,MATCH(A83,'00_Regnskab_01'!$A$1:$A$25)-1,2)</f>
        <v>43491</v>
      </c>
      <c r="BE83" s="80">
        <f t="shared" ref="BE83:BH83" si="671">if(U83&gt;0,1+BE82,0)</f>
        <v>1</v>
      </c>
      <c r="BF83" s="28">
        <f t="shared" si="671"/>
        <v>2</v>
      </c>
      <c r="BG83" s="28">
        <f t="shared" si="671"/>
        <v>0</v>
      </c>
      <c r="BH83" s="28">
        <f t="shared" si="671"/>
        <v>2</v>
      </c>
      <c r="BJ83" s="28">
        <f t="shared" ref="BJ83:BM83" si="672">if(U83&lt;0,1+BJ82,0)</f>
        <v>0</v>
      </c>
      <c r="BK83" s="28">
        <f t="shared" si="672"/>
        <v>0</v>
      </c>
      <c r="BL83" s="28">
        <f t="shared" si="672"/>
        <v>2</v>
      </c>
      <c r="BM83" s="28">
        <f t="shared" si="672"/>
        <v>0</v>
      </c>
      <c r="BO83" s="74">
        <f t="shared" ref="BO83:BR83" si="673">if(U83&gt;0,U83+BO82,0)</f>
        <v>12</v>
      </c>
      <c r="BP83" s="74">
        <f t="shared" si="673"/>
        <v>24</v>
      </c>
      <c r="BQ83" s="74">
        <f t="shared" si="673"/>
        <v>0</v>
      </c>
      <c r="BR83" s="74">
        <f t="shared" si="673"/>
        <v>24</v>
      </c>
      <c r="BT83" s="28">
        <f t="shared" ref="BT83:BW83" si="674">if(U83&lt;0,U83+BT82,0)</f>
        <v>0</v>
      </c>
      <c r="BU83" s="28">
        <f t="shared" si="674"/>
        <v>0</v>
      </c>
      <c r="BV83" s="28">
        <f t="shared" si="674"/>
        <v>-48</v>
      </c>
      <c r="BW83" s="28">
        <f t="shared" si="674"/>
        <v>0</v>
      </c>
    </row>
    <row r="84">
      <c r="A84" s="53">
        <v>9.0</v>
      </c>
      <c r="B84" s="28">
        <f>'09_26-01-2019'!A27</f>
        <v>24</v>
      </c>
      <c r="C84" s="75">
        <f>'09_26-01-2019'!B27</f>
        <v>-72</v>
      </c>
      <c r="D84" s="28">
        <f>'09_26-01-2019'!C27</f>
        <v>-144</v>
      </c>
      <c r="E84" s="28">
        <f>'09_26-01-2019'!D27</f>
        <v>294</v>
      </c>
      <c r="F84" s="28">
        <f>'09_26-01-2019'!E27</f>
        <v>-78</v>
      </c>
      <c r="G84" s="28">
        <f>'09_26-01-2019'!F27</f>
        <v>0</v>
      </c>
      <c r="H84" s="28" t="str">
        <f>'09_26-01-2019'!G27</f>
        <v>Thomas</v>
      </c>
      <c r="J84" s="76" t="str">
        <f>'09_26-01-2019'!H27</f>
        <v>Thomas</v>
      </c>
      <c r="K84" s="28" t="str">
        <f>'09_26-01-2019'!I27</f>
        <v>9 vip i 3. (gode)</v>
      </c>
      <c r="L84" s="56"/>
      <c r="M84" s="25">
        <v>9.0</v>
      </c>
      <c r="N84" s="25" t="s">
        <v>86</v>
      </c>
      <c r="O84" s="25">
        <v>3.0</v>
      </c>
      <c r="P84" s="25" t="s">
        <v>15</v>
      </c>
      <c r="T84" s="56"/>
      <c r="U84" s="77">
        <f t="shared" ref="U84:X84" si="675">C84-C83</f>
        <v>96</v>
      </c>
      <c r="V84" s="28">
        <f t="shared" si="675"/>
        <v>-96</v>
      </c>
      <c r="W84" s="28">
        <f t="shared" si="675"/>
        <v>96</v>
      </c>
      <c r="X84" s="28">
        <f t="shared" si="675"/>
        <v>-96</v>
      </c>
      <c r="AB84" s="28">
        <f t="shared" ref="AB84:AE84" si="676">IF(AB$3=$H84,U84,"")</f>
        <v>96</v>
      </c>
      <c r="AC84" s="28" t="str">
        <f t="shared" si="676"/>
        <v/>
      </c>
      <c r="AD84" s="28" t="str">
        <f t="shared" si="676"/>
        <v/>
      </c>
      <c r="AE84" s="28" t="str">
        <f t="shared" si="676"/>
        <v/>
      </c>
      <c r="AH84" s="28">
        <f t="shared" si="22"/>
        <v>96</v>
      </c>
      <c r="AI84" s="28">
        <f t="shared" si="23"/>
        <v>0</v>
      </c>
      <c r="AK84" s="78" t="str">
        <f t="shared" ref="AK84:AN84" si="677">IF(U84&gt;0,AK$3,"")</f>
        <v>Thomas</v>
      </c>
      <c r="AL84" s="78" t="str">
        <f t="shared" si="677"/>
        <v/>
      </c>
      <c r="AM84" s="78" t="str">
        <f t="shared" si="677"/>
        <v>Janus</v>
      </c>
      <c r="AN84" s="78" t="str">
        <f t="shared" si="677"/>
        <v/>
      </c>
      <c r="AO84" s="56">
        <f t="shared" si="25"/>
        <v>2</v>
      </c>
      <c r="AP84" s="8" t="str">
        <f t="shared" si="26"/>
        <v>Thomas</v>
      </c>
      <c r="AQ84" s="73" t="str">
        <f>IFERROR(__xludf.DUMMYFUNCTION("IFNA(QUERY(transpose(AY84:BB84),""Select Col1 where Col1 is not null limit 1"",0))"),"Janus")</f>
        <v>Janus</v>
      </c>
      <c r="AR84" s="56"/>
      <c r="AS84" s="28" t="str">
        <f t="shared" ref="AS84:AV84" si="678">IF(AK84=AS$3,"",AS$3)</f>
        <v/>
      </c>
      <c r="AT84" s="28" t="str">
        <f t="shared" si="678"/>
        <v>Peter</v>
      </c>
      <c r="AU84" s="28" t="str">
        <f t="shared" si="678"/>
        <v/>
      </c>
      <c r="AV84" s="28" t="str">
        <f t="shared" si="678"/>
        <v>Christian</v>
      </c>
      <c r="AW84" s="56">
        <f t="shared" si="28"/>
        <v>2</v>
      </c>
      <c r="AX84" s="28">
        <f t="shared" si="29"/>
        <v>96</v>
      </c>
      <c r="AY84" s="28" t="str">
        <f t="shared" ref="AY84:BB84" si="679">IFNA(IFS(AY$3=$AP84,"",$AX84=U84,AY$3),"")</f>
        <v/>
      </c>
      <c r="AZ84" s="28" t="str">
        <f t="shared" si="679"/>
        <v/>
      </c>
      <c r="BA84" s="28" t="str">
        <f t="shared" si="679"/>
        <v>Janus</v>
      </c>
      <c r="BB84" s="28" t="str">
        <f t="shared" si="679"/>
        <v/>
      </c>
      <c r="BC84" s="58">
        <f>OFFSET('00_Regnskab_01'!$A$1,MATCH(A84,'00_Regnskab_01'!$A$1:$A$25)-1,2)</f>
        <v>43491</v>
      </c>
      <c r="BE84" s="80">
        <f t="shared" ref="BE84:BH84" si="680">if(U84&gt;0,1+BE83,0)</f>
        <v>2</v>
      </c>
      <c r="BF84" s="28">
        <f t="shared" si="680"/>
        <v>0</v>
      </c>
      <c r="BG84" s="28">
        <f t="shared" si="680"/>
        <v>1</v>
      </c>
      <c r="BH84" s="28">
        <f t="shared" si="680"/>
        <v>0</v>
      </c>
      <c r="BJ84" s="28">
        <f t="shared" ref="BJ84:BM84" si="681">if(U84&lt;0,1+BJ83,0)</f>
        <v>0</v>
      </c>
      <c r="BK84" s="28">
        <f t="shared" si="681"/>
        <v>1</v>
      </c>
      <c r="BL84" s="28">
        <f t="shared" si="681"/>
        <v>0</v>
      </c>
      <c r="BM84" s="28">
        <f t="shared" si="681"/>
        <v>1</v>
      </c>
      <c r="BO84" s="74">
        <f t="shared" ref="BO84:BR84" si="682">if(U84&gt;0,U84+BO83,0)</f>
        <v>108</v>
      </c>
      <c r="BP84" s="74">
        <f t="shared" si="682"/>
        <v>0</v>
      </c>
      <c r="BQ84" s="74">
        <f t="shared" si="682"/>
        <v>96</v>
      </c>
      <c r="BR84" s="74">
        <f t="shared" si="682"/>
        <v>0</v>
      </c>
      <c r="BT84" s="28">
        <f t="shared" ref="BT84:BW84" si="683">if(U84&lt;0,U84+BT83,0)</f>
        <v>0</v>
      </c>
      <c r="BU84" s="28">
        <f t="shared" si="683"/>
        <v>-96</v>
      </c>
      <c r="BV84" s="28">
        <f t="shared" si="683"/>
        <v>0</v>
      </c>
      <c r="BW84" s="28">
        <f t="shared" si="683"/>
        <v>-96</v>
      </c>
    </row>
    <row r="85">
      <c r="A85" s="53">
        <v>9.0</v>
      </c>
      <c r="B85" s="28">
        <f>'09_26-01-2019'!A28</f>
        <v>25</v>
      </c>
      <c r="C85" s="75">
        <f>'09_26-01-2019'!B28</f>
        <v>-56</v>
      </c>
      <c r="D85" s="28">
        <f>'09_26-01-2019'!C28</f>
        <v>-160</v>
      </c>
      <c r="E85" s="28">
        <f>'09_26-01-2019'!D28</f>
        <v>278</v>
      </c>
      <c r="F85" s="28">
        <f>'09_26-01-2019'!E28</f>
        <v>-62</v>
      </c>
      <c r="G85" s="28">
        <f>'09_26-01-2019'!F28</f>
        <v>0</v>
      </c>
      <c r="H85" s="28" t="str">
        <f>'09_26-01-2019'!G28</f>
        <v>Thomas</v>
      </c>
      <c r="J85" s="76" t="str">
        <f>'09_26-01-2019'!H28</f>
        <v>Peter</v>
      </c>
      <c r="K85" s="28" t="str">
        <f>'09_26-01-2019'!I28</f>
        <v>9 gode</v>
      </c>
      <c r="L85" s="56"/>
      <c r="M85" s="25">
        <v>9.0</v>
      </c>
      <c r="N85" s="25" t="s">
        <v>95</v>
      </c>
      <c r="T85" s="56"/>
      <c r="U85" s="77">
        <f t="shared" ref="U85:X85" si="684">C85-C84</f>
        <v>16</v>
      </c>
      <c r="V85" s="28">
        <f t="shared" si="684"/>
        <v>-16</v>
      </c>
      <c r="W85" s="28">
        <f t="shared" si="684"/>
        <v>-16</v>
      </c>
      <c r="X85" s="28">
        <f t="shared" si="684"/>
        <v>16</v>
      </c>
      <c r="AB85" s="28">
        <f t="shared" ref="AB85:AE85" si="685">IF(AB$3=$H85,U85,"")</f>
        <v>16</v>
      </c>
      <c r="AC85" s="28" t="str">
        <f t="shared" si="685"/>
        <v/>
      </c>
      <c r="AD85" s="28" t="str">
        <f t="shared" si="685"/>
        <v/>
      </c>
      <c r="AE85" s="28" t="str">
        <f t="shared" si="685"/>
        <v/>
      </c>
      <c r="AH85" s="28">
        <f t="shared" si="22"/>
        <v>16</v>
      </c>
      <c r="AI85" s="28">
        <f t="shared" si="23"/>
        <v>0</v>
      </c>
      <c r="AK85" s="78" t="str">
        <f t="shared" ref="AK85:AN85" si="686">IF(U85&gt;0,AK$3,"")</f>
        <v>Thomas</v>
      </c>
      <c r="AL85" s="78" t="str">
        <f t="shared" si="686"/>
        <v/>
      </c>
      <c r="AM85" s="78" t="str">
        <f t="shared" si="686"/>
        <v/>
      </c>
      <c r="AN85" s="78" t="str">
        <f t="shared" si="686"/>
        <v>Christian</v>
      </c>
      <c r="AO85" s="56">
        <f t="shared" si="25"/>
        <v>2</v>
      </c>
      <c r="AP85" s="8" t="str">
        <f t="shared" si="26"/>
        <v>Thomas</v>
      </c>
      <c r="AQ85" s="73" t="str">
        <f>IFERROR(__xludf.DUMMYFUNCTION("IFNA(QUERY(transpose(AY85:BB85),""Select Col1 where Col1 is not null limit 1"",0))"),"Christian")</f>
        <v>Christian</v>
      </c>
      <c r="AR85" s="56"/>
      <c r="AS85" s="28" t="str">
        <f t="shared" ref="AS85:AV85" si="687">IF(AK85=AS$3,"",AS$3)</f>
        <v/>
      </c>
      <c r="AT85" s="28" t="str">
        <f t="shared" si="687"/>
        <v>Peter</v>
      </c>
      <c r="AU85" s="28" t="str">
        <f t="shared" si="687"/>
        <v>Janus</v>
      </c>
      <c r="AV85" s="28" t="str">
        <f t="shared" si="687"/>
        <v/>
      </c>
      <c r="AW85" s="56">
        <f t="shared" si="28"/>
        <v>2</v>
      </c>
      <c r="AX85" s="28">
        <f t="shared" si="29"/>
        <v>16</v>
      </c>
      <c r="AY85" s="28" t="str">
        <f t="shared" ref="AY85:BB85" si="688">IFNA(IFS(AY$3=$AP85,"",$AX85=U85,AY$3),"")</f>
        <v/>
      </c>
      <c r="AZ85" s="28" t="str">
        <f t="shared" si="688"/>
        <v/>
      </c>
      <c r="BA85" s="28" t="str">
        <f t="shared" si="688"/>
        <v/>
      </c>
      <c r="BB85" s="28" t="str">
        <f t="shared" si="688"/>
        <v>Christian</v>
      </c>
      <c r="BC85" s="58">
        <f>OFFSET('00_Regnskab_01'!$A$1,MATCH(A85,'00_Regnskab_01'!$A$1:$A$25)-1,2)</f>
        <v>43491</v>
      </c>
      <c r="BE85" s="80">
        <f t="shared" ref="BE85:BH85" si="689">if(U85&gt;0,1+BE84,0)</f>
        <v>3</v>
      </c>
      <c r="BF85" s="28">
        <f t="shared" si="689"/>
        <v>0</v>
      </c>
      <c r="BG85" s="28">
        <f t="shared" si="689"/>
        <v>0</v>
      </c>
      <c r="BH85" s="28">
        <f t="shared" si="689"/>
        <v>1</v>
      </c>
      <c r="BJ85" s="28">
        <f t="shared" ref="BJ85:BM85" si="690">if(U85&lt;0,1+BJ84,0)</f>
        <v>0</v>
      </c>
      <c r="BK85" s="28">
        <f t="shared" si="690"/>
        <v>2</v>
      </c>
      <c r="BL85" s="28">
        <f t="shared" si="690"/>
        <v>1</v>
      </c>
      <c r="BM85" s="28">
        <f t="shared" si="690"/>
        <v>0</v>
      </c>
      <c r="BO85" s="74">
        <f t="shared" ref="BO85:BR85" si="691">if(U85&gt;0,U85+BO84,0)</f>
        <v>124</v>
      </c>
      <c r="BP85" s="74">
        <f t="shared" si="691"/>
        <v>0</v>
      </c>
      <c r="BQ85" s="74">
        <f t="shared" si="691"/>
        <v>0</v>
      </c>
      <c r="BR85" s="74">
        <f t="shared" si="691"/>
        <v>16</v>
      </c>
      <c r="BT85" s="28">
        <f t="shared" ref="BT85:BW85" si="692">if(U85&lt;0,U85+BT84,0)</f>
        <v>0</v>
      </c>
      <c r="BU85" s="28">
        <f t="shared" si="692"/>
        <v>-112</v>
      </c>
      <c r="BV85" s="28">
        <f t="shared" si="692"/>
        <v>-16</v>
      </c>
      <c r="BW85" s="28">
        <f t="shared" si="692"/>
        <v>0</v>
      </c>
    </row>
    <row r="86">
      <c r="A86" s="53">
        <v>9.0</v>
      </c>
      <c r="B86" s="28">
        <f>'09_26-01-2019'!A29</f>
        <v>26</v>
      </c>
      <c r="C86" s="75">
        <f>'09_26-01-2019'!B29</f>
        <v>-44</v>
      </c>
      <c r="D86" s="28">
        <f>'09_26-01-2019'!C29</f>
        <v>-172</v>
      </c>
      <c r="E86" s="28">
        <f>'09_26-01-2019'!D29</f>
        <v>266</v>
      </c>
      <c r="F86" s="28">
        <f>'09_26-01-2019'!E29</f>
        <v>-50</v>
      </c>
      <c r="G86" s="28">
        <f>'09_26-01-2019'!F29</f>
        <v>0</v>
      </c>
      <c r="H86" s="28" t="str">
        <f>'09_26-01-2019'!G29</f>
        <v>Janus</v>
      </c>
      <c r="J86" s="76" t="str">
        <f>'09_26-01-2019'!H29</f>
        <v>Janus</v>
      </c>
      <c r="K86" s="28" t="str">
        <f>'09_26-01-2019'!I29</f>
        <v>9 halve</v>
      </c>
      <c r="L86" s="56"/>
      <c r="M86" s="25">
        <v>9.0</v>
      </c>
      <c r="N86" s="25" t="s">
        <v>94</v>
      </c>
      <c r="T86" s="56"/>
      <c r="U86" s="77">
        <f t="shared" ref="U86:X86" si="693">C86-C85</f>
        <v>12</v>
      </c>
      <c r="V86" s="28">
        <f t="shared" si="693"/>
        <v>-12</v>
      </c>
      <c r="W86" s="28">
        <f t="shared" si="693"/>
        <v>-12</v>
      </c>
      <c r="X86" s="28">
        <f t="shared" si="693"/>
        <v>12</v>
      </c>
      <c r="AB86" s="28" t="str">
        <f t="shared" ref="AB86:AE86" si="694">IF(AB$3=$H86,U86,"")</f>
        <v/>
      </c>
      <c r="AC86" s="28" t="str">
        <f t="shared" si="694"/>
        <v/>
      </c>
      <c r="AD86" s="28">
        <f t="shared" si="694"/>
        <v>-12</v>
      </c>
      <c r="AE86" s="28" t="str">
        <f t="shared" si="694"/>
        <v/>
      </c>
      <c r="AH86" s="28">
        <f t="shared" si="22"/>
        <v>0</v>
      </c>
      <c r="AI86" s="28">
        <f t="shared" si="23"/>
        <v>-12</v>
      </c>
      <c r="AK86" s="78" t="str">
        <f t="shared" ref="AK86:AN86" si="695">IF(U86&gt;0,AK$3,"")</f>
        <v>Thomas</v>
      </c>
      <c r="AL86" s="78" t="str">
        <f t="shared" si="695"/>
        <v/>
      </c>
      <c r="AM86" s="78" t="str">
        <f t="shared" si="695"/>
        <v/>
      </c>
      <c r="AN86" s="78" t="str">
        <f t="shared" si="695"/>
        <v>Christian</v>
      </c>
      <c r="AO86" s="56">
        <f t="shared" si="25"/>
        <v>2</v>
      </c>
      <c r="AP86" s="8" t="str">
        <f t="shared" si="26"/>
        <v>Janus</v>
      </c>
      <c r="AQ86" s="73" t="str">
        <f>IFERROR(__xludf.DUMMYFUNCTION("IFNA(QUERY(transpose(AY86:BB86),""Select Col1 where Col1 is not null limit 1"",0))"),"Peter")</f>
        <v>Peter</v>
      </c>
      <c r="AR86" s="56"/>
      <c r="AS86" s="28" t="str">
        <f t="shared" ref="AS86:AV86" si="696">IF(AK86=AS$3,"",AS$3)</f>
        <v/>
      </c>
      <c r="AT86" s="28" t="str">
        <f t="shared" si="696"/>
        <v>Peter</v>
      </c>
      <c r="AU86" s="28" t="str">
        <f t="shared" si="696"/>
        <v>Janus</v>
      </c>
      <c r="AV86" s="28" t="str">
        <f t="shared" si="696"/>
        <v/>
      </c>
      <c r="AW86" s="56">
        <f t="shared" si="28"/>
        <v>2</v>
      </c>
      <c r="AX86" s="28">
        <f t="shared" si="29"/>
        <v>-12</v>
      </c>
      <c r="AY86" s="28" t="str">
        <f t="shared" ref="AY86:BB86" si="697">IFNA(IFS(AY$3=$AP86,"",$AX86=U86,AY$3),"")</f>
        <v/>
      </c>
      <c r="AZ86" s="28" t="str">
        <f t="shared" si="697"/>
        <v>Peter</v>
      </c>
      <c r="BA86" s="28" t="str">
        <f t="shared" si="697"/>
        <v/>
      </c>
      <c r="BB86" s="28" t="str">
        <f t="shared" si="697"/>
        <v/>
      </c>
      <c r="BC86" s="58">
        <f>OFFSET('00_Regnskab_01'!$A$1,MATCH(A86,'00_Regnskab_01'!$A$1:$A$25)-1,2)</f>
        <v>43491</v>
      </c>
      <c r="BE86" s="80">
        <f t="shared" ref="BE86:BH86" si="698">if(U86&gt;0,1+BE85,0)</f>
        <v>4</v>
      </c>
      <c r="BF86" s="28">
        <f t="shared" si="698"/>
        <v>0</v>
      </c>
      <c r="BG86" s="28">
        <f t="shared" si="698"/>
        <v>0</v>
      </c>
      <c r="BH86" s="28">
        <f t="shared" si="698"/>
        <v>2</v>
      </c>
      <c r="BJ86" s="28">
        <f t="shared" ref="BJ86:BM86" si="699">if(U86&lt;0,1+BJ85,0)</f>
        <v>0</v>
      </c>
      <c r="BK86" s="28">
        <f t="shared" si="699"/>
        <v>3</v>
      </c>
      <c r="BL86" s="28">
        <f t="shared" si="699"/>
        <v>2</v>
      </c>
      <c r="BM86" s="28">
        <f t="shared" si="699"/>
        <v>0</v>
      </c>
      <c r="BO86" s="74">
        <f t="shared" ref="BO86:BR86" si="700">if(U86&gt;0,U86+BO85,0)</f>
        <v>136</v>
      </c>
      <c r="BP86" s="74">
        <f t="shared" si="700"/>
        <v>0</v>
      </c>
      <c r="BQ86" s="74">
        <f t="shared" si="700"/>
        <v>0</v>
      </c>
      <c r="BR86" s="74">
        <f t="shared" si="700"/>
        <v>28</v>
      </c>
      <c r="BT86" s="28">
        <f t="shared" ref="BT86:BW86" si="701">if(U86&lt;0,U86+BT85,0)</f>
        <v>0</v>
      </c>
      <c r="BU86" s="28">
        <f t="shared" si="701"/>
        <v>-124</v>
      </c>
      <c r="BV86" s="28">
        <f t="shared" si="701"/>
        <v>-28</v>
      </c>
      <c r="BW86" s="28">
        <f t="shared" si="701"/>
        <v>0</v>
      </c>
    </row>
    <row r="87">
      <c r="A87" s="53">
        <v>9.0</v>
      </c>
      <c r="B87" s="28">
        <f>'09_26-01-2019'!A30</f>
        <v>27</v>
      </c>
      <c r="C87" s="75">
        <f>'09_26-01-2019'!B30</f>
        <v>-20</v>
      </c>
      <c r="D87" s="28">
        <f>'09_26-01-2019'!C30</f>
        <v>-196</v>
      </c>
      <c r="E87" s="28">
        <f>'09_26-01-2019'!D30</f>
        <v>290</v>
      </c>
      <c r="F87" s="28">
        <f>'09_26-01-2019'!E30</f>
        <v>-74</v>
      </c>
      <c r="G87" s="28">
        <f>'09_26-01-2019'!F30</f>
        <v>0</v>
      </c>
      <c r="H87" s="28" t="str">
        <f>'09_26-01-2019'!G30</f>
        <v>Peter</v>
      </c>
      <c r="J87" s="76" t="str">
        <f>'09_26-01-2019'!H30</f>
        <v>Christian</v>
      </c>
      <c r="K87" s="28" t="str">
        <f>'09_26-01-2019'!I30</f>
        <v>9 vip i 2.</v>
      </c>
      <c r="L87" s="56"/>
      <c r="M87" s="25">
        <v>9.0</v>
      </c>
      <c r="N87" s="25" t="s">
        <v>86</v>
      </c>
      <c r="O87" s="25">
        <v>2.0</v>
      </c>
      <c r="T87" s="56"/>
      <c r="U87" s="77">
        <f t="shared" ref="U87:X87" si="702">C87-C86</f>
        <v>24</v>
      </c>
      <c r="V87" s="28">
        <f t="shared" si="702"/>
        <v>-24</v>
      </c>
      <c r="W87" s="28">
        <f t="shared" si="702"/>
        <v>24</v>
      </c>
      <c r="X87" s="28">
        <f t="shared" si="702"/>
        <v>-24</v>
      </c>
      <c r="AB87" s="28" t="str">
        <f t="shared" ref="AB87:AE87" si="703">IF(AB$3=$H87,U87,"")</f>
        <v/>
      </c>
      <c r="AC87" s="28">
        <f t="shared" si="703"/>
        <v>-24</v>
      </c>
      <c r="AD87" s="28" t="str">
        <f t="shared" si="703"/>
        <v/>
      </c>
      <c r="AE87" s="28" t="str">
        <f t="shared" si="703"/>
        <v/>
      </c>
      <c r="AH87" s="28">
        <f t="shared" si="22"/>
        <v>0</v>
      </c>
      <c r="AI87" s="28">
        <f t="shared" si="23"/>
        <v>-24</v>
      </c>
      <c r="AK87" s="78" t="str">
        <f t="shared" ref="AK87:AN87" si="704">IF(U87&gt;0,AK$3,"")</f>
        <v>Thomas</v>
      </c>
      <c r="AL87" s="78" t="str">
        <f t="shared" si="704"/>
        <v/>
      </c>
      <c r="AM87" s="78" t="str">
        <f t="shared" si="704"/>
        <v>Janus</v>
      </c>
      <c r="AN87" s="78" t="str">
        <f t="shared" si="704"/>
        <v/>
      </c>
      <c r="AO87" s="56">
        <f t="shared" si="25"/>
        <v>2</v>
      </c>
      <c r="AP87" s="8" t="str">
        <f t="shared" si="26"/>
        <v>Peter</v>
      </c>
      <c r="AQ87" s="73" t="str">
        <f>IFERROR(__xludf.DUMMYFUNCTION("IFNA(QUERY(transpose(AY87:BB87),""Select Col1 where Col1 is not null limit 1"",0))"),"Christian")</f>
        <v>Christian</v>
      </c>
      <c r="AR87" s="56"/>
      <c r="AS87" s="28" t="str">
        <f t="shared" ref="AS87:AV87" si="705">IF(AK87=AS$3,"",AS$3)</f>
        <v/>
      </c>
      <c r="AT87" s="28" t="str">
        <f t="shared" si="705"/>
        <v>Peter</v>
      </c>
      <c r="AU87" s="28" t="str">
        <f t="shared" si="705"/>
        <v/>
      </c>
      <c r="AV87" s="28" t="str">
        <f t="shared" si="705"/>
        <v>Christian</v>
      </c>
      <c r="AW87" s="56">
        <f t="shared" si="28"/>
        <v>2</v>
      </c>
      <c r="AX87" s="28">
        <f t="shared" si="29"/>
        <v>-24</v>
      </c>
      <c r="AY87" s="28" t="str">
        <f t="shared" ref="AY87:BB87" si="706">IFNA(IFS(AY$3=$AP87,"",$AX87=U87,AY$3),"")</f>
        <v/>
      </c>
      <c r="AZ87" s="28" t="str">
        <f t="shared" si="706"/>
        <v/>
      </c>
      <c r="BA87" s="28" t="str">
        <f t="shared" si="706"/>
        <v/>
      </c>
      <c r="BB87" s="28" t="str">
        <f t="shared" si="706"/>
        <v>Christian</v>
      </c>
      <c r="BC87" s="58">
        <f>OFFSET('00_Regnskab_01'!$A$1,MATCH(A87,'00_Regnskab_01'!$A$1:$A$25)-1,2)</f>
        <v>43491</v>
      </c>
      <c r="BE87" s="80">
        <f t="shared" ref="BE87:BH87" si="707">if(U87&gt;0,1+BE86,0)</f>
        <v>5</v>
      </c>
      <c r="BF87" s="28">
        <f t="shared" si="707"/>
        <v>0</v>
      </c>
      <c r="BG87" s="28">
        <f t="shared" si="707"/>
        <v>1</v>
      </c>
      <c r="BH87" s="28">
        <f t="shared" si="707"/>
        <v>0</v>
      </c>
      <c r="BJ87" s="28">
        <f t="shared" ref="BJ87:BM87" si="708">if(U87&lt;0,1+BJ86,0)</f>
        <v>0</v>
      </c>
      <c r="BK87" s="28">
        <f t="shared" si="708"/>
        <v>4</v>
      </c>
      <c r="BL87" s="28">
        <f t="shared" si="708"/>
        <v>0</v>
      </c>
      <c r="BM87" s="28">
        <f t="shared" si="708"/>
        <v>1</v>
      </c>
      <c r="BO87" s="74">
        <f t="shared" ref="BO87:BR87" si="709">if(U87&gt;0,U87+BO86,0)</f>
        <v>160</v>
      </c>
      <c r="BP87" s="74">
        <f t="shared" si="709"/>
        <v>0</v>
      </c>
      <c r="BQ87" s="74">
        <f t="shared" si="709"/>
        <v>24</v>
      </c>
      <c r="BR87" s="74">
        <f t="shared" si="709"/>
        <v>0</v>
      </c>
      <c r="BT87" s="28">
        <f t="shared" ref="BT87:BW87" si="710">if(U87&lt;0,U87+BT86,0)</f>
        <v>0</v>
      </c>
      <c r="BU87" s="28">
        <f t="shared" si="710"/>
        <v>-148</v>
      </c>
      <c r="BV87" s="28">
        <f t="shared" si="710"/>
        <v>0</v>
      </c>
      <c r="BW87" s="28">
        <f t="shared" si="710"/>
        <v>-24</v>
      </c>
    </row>
    <row r="88">
      <c r="A88" s="53">
        <v>9.0</v>
      </c>
      <c r="B88" s="28">
        <f>'09_26-01-2019'!A31</f>
        <v>28</v>
      </c>
      <c r="C88" s="75">
        <f>'09_26-01-2019'!B31</f>
        <v>-28</v>
      </c>
      <c r="D88" s="28">
        <f>'09_26-01-2019'!C31</f>
        <v>-204</v>
      </c>
      <c r="E88" s="28">
        <f>'09_26-01-2019'!D31</f>
        <v>314</v>
      </c>
      <c r="F88" s="28">
        <f>'09_26-01-2019'!E31</f>
        <v>-82</v>
      </c>
      <c r="G88" s="28">
        <f>'09_26-01-2019'!F31</f>
        <v>0</v>
      </c>
      <c r="H88" s="28" t="str">
        <f>'09_26-01-2019'!G31</f>
        <v>Janus</v>
      </c>
      <c r="J88" s="76" t="str">
        <f>'09_26-01-2019'!H31</f>
        <v>Thomas</v>
      </c>
      <c r="K88" s="28" t="str">
        <f>'09_26-01-2019'!I31</f>
        <v>sol</v>
      </c>
      <c r="L88" s="56"/>
      <c r="N88" s="25" t="s">
        <v>99</v>
      </c>
      <c r="T88" s="56"/>
      <c r="U88" s="77">
        <f t="shared" ref="U88:X88" si="711">C88-C87</f>
        <v>-8</v>
      </c>
      <c r="V88" s="28">
        <f t="shared" si="711"/>
        <v>-8</v>
      </c>
      <c r="W88" s="28">
        <f t="shared" si="711"/>
        <v>24</v>
      </c>
      <c r="X88" s="28">
        <f t="shared" si="711"/>
        <v>-8</v>
      </c>
      <c r="AB88" s="28" t="str">
        <f t="shared" ref="AB88:AE88" si="712">IF(AB$3=$H88,U88,"")</f>
        <v/>
      </c>
      <c r="AC88" s="28" t="str">
        <f t="shared" si="712"/>
        <v/>
      </c>
      <c r="AD88" s="28">
        <f t="shared" si="712"/>
        <v>24</v>
      </c>
      <c r="AE88" s="28" t="str">
        <f t="shared" si="712"/>
        <v/>
      </c>
      <c r="AH88" s="28">
        <f t="shared" si="22"/>
        <v>24</v>
      </c>
      <c r="AI88" s="28">
        <f t="shared" si="23"/>
        <v>0</v>
      </c>
      <c r="AK88" s="78" t="str">
        <f t="shared" ref="AK88:AN88" si="713">IF(U88&gt;0,AK$3,"")</f>
        <v/>
      </c>
      <c r="AL88" s="78" t="str">
        <f t="shared" si="713"/>
        <v/>
      </c>
      <c r="AM88" s="78" t="str">
        <f t="shared" si="713"/>
        <v>Janus</v>
      </c>
      <c r="AN88" s="78" t="str">
        <f t="shared" si="713"/>
        <v/>
      </c>
      <c r="AO88" s="56">
        <f t="shared" si="25"/>
        <v>1</v>
      </c>
      <c r="AP88" s="8" t="str">
        <f t="shared" si="26"/>
        <v>Janus</v>
      </c>
      <c r="AQ88" s="73" t="str">
        <f>IFERROR(__xludf.DUMMYFUNCTION("IFNA(QUERY(transpose(AY88:BB88),""Select Col1 where Col1 is not null limit 1"",0))"),"")</f>
        <v/>
      </c>
      <c r="AR88" s="56"/>
      <c r="AS88" s="28" t="str">
        <f t="shared" ref="AS88:AV88" si="714">IF(AK88=AS$3,"",AS$3)</f>
        <v>Thomas</v>
      </c>
      <c r="AT88" s="28" t="str">
        <f t="shared" si="714"/>
        <v>Peter</v>
      </c>
      <c r="AU88" s="28" t="str">
        <f t="shared" si="714"/>
        <v/>
      </c>
      <c r="AV88" s="28" t="str">
        <f t="shared" si="714"/>
        <v>Christian</v>
      </c>
      <c r="AW88" s="56">
        <f t="shared" si="28"/>
        <v>3</v>
      </c>
      <c r="AX88" s="28">
        <f t="shared" si="29"/>
        <v>24</v>
      </c>
      <c r="AY88" s="28" t="str">
        <f t="shared" ref="AY88:BB88" si="715">IFNA(IFS(AY$3=$AP88,"",$AX88=U88,AY$3),"")</f>
        <v/>
      </c>
      <c r="AZ88" s="28" t="str">
        <f t="shared" si="715"/>
        <v/>
      </c>
      <c r="BA88" s="28" t="str">
        <f t="shared" si="715"/>
        <v/>
      </c>
      <c r="BB88" s="28" t="str">
        <f t="shared" si="715"/>
        <v/>
      </c>
      <c r="BC88" s="58">
        <f>OFFSET('00_Regnskab_01'!$A$1,MATCH(A88,'00_Regnskab_01'!$A$1:$A$25)-1,2)</f>
        <v>43491</v>
      </c>
      <c r="BE88" s="80">
        <f t="shared" ref="BE88:BH88" si="716">if(U88&gt;0,1+BE87,0)</f>
        <v>0</v>
      </c>
      <c r="BF88" s="28">
        <f t="shared" si="716"/>
        <v>0</v>
      </c>
      <c r="BG88" s="28">
        <f t="shared" si="716"/>
        <v>2</v>
      </c>
      <c r="BH88" s="28">
        <f t="shared" si="716"/>
        <v>0</v>
      </c>
      <c r="BJ88" s="28">
        <f t="shared" ref="BJ88:BM88" si="717">if(U88&lt;0,1+BJ87,0)</f>
        <v>1</v>
      </c>
      <c r="BK88" s="28">
        <f t="shared" si="717"/>
        <v>5</v>
      </c>
      <c r="BL88" s="28">
        <f t="shared" si="717"/>
        <v>0</v>
      </c>
      <c r="BM88" s="28">
        <f t="shared" si="717"/>
        <v>2</v>
      </c>
      <c r="BO88" s="74">
        <f t="shared" ref="BO88:BR88" si="718">if(U88&gt;0,U88+BO87,0)</f>
        <v>0</v>
      </c>
      <c r="BP88" s="74">
        <f t="shared" si="718"/>
        <v>0</v>
      </c>
      <c r="BQ88" s="74">
        <f t="shared" si="718"/>
        <v>48</v>
      </c>
      <c r="BR88" s="74">
        <f t="shared" si="718"/>
        <v>0</v>
      </c>
      <c r="BT88" s="28">
        <f t="shared" ref="BT88:BW88" si="719">if(U88&lt;0,U88+BT87,0)</f>
        <v>-8</v>
      </c>
      <c r="BU88" s="28">
        <f t="shared" si="719"/>
        <v>-156</v>
      </c>
      <c r="BV88" s="28">
        <f t="shared" si="719"/>
        <v>0</v>
      </c>
      <c r="BW88" s="28">
        <f t="shared" si="719"/>
        <v>-32</v>
      </c>
    </row>
    <row r="89">
      <c r="A89" s="53">
        <v>9.0</v>
      </c>
      <c r="B89" s="28">
        <f>'09_26-01-2019'!A32</f>
        <v>29</v>
      </c>
      <c r="C89" s="75">
        <f>'09_26-01-2019'!B32</f>
        <v>-44</v>
      </c>
      <c r="D89" s="28">
        <f>'09_26-01-2019'!C32</f>
        <v>-156</v>
      </c>
      <c r="E89" s="28">
        <f>'09_26-01-2019'!D32</f>
        <v>298</v>
      </c>
      <c r="F89" s="28">
        <f>'09_26-01-2019'!E32</f>
        <v>-98</v>
      </c>
      <c r="G89" s="28">
        <f>'09_26-01-2019'!F32</f>
        <v>0</v>
      </c>
      <c r="H89" s="28" t="str">
        <f>'09_26-01-2019'!G32</f>
        <v>Peter</v>
      </c>
      <c r="J89" s="76" t="str">
        <f>'09_26-01-2019'!H32</f>
        <v>Peter</v>
      </c>
      <c r="K89" s="28" t="str">
        <f>'09_26-01-2019'!I32</f>
        <v>9 gode</v>
      </c>
      <c r="L89" s="56"/>
      <c r="M89" s="25">
        <v>9.0</v>
      </c>
      <c r="N89" s="25" t="s">
        <v>95</v>
      </c>
      <c r="T89" s="56"/>
      <c r="U89" s="77">
        <f t="shared" ref="U89:X89" si="720">C89-C88</f>
        <v>-16</v>
      </c>
      <c r="V89" s="28">
        <f t="shared" si="720"/>
        <v>48</v>
      </c>
      <c r="W89" s="28">
        <f t="shared" si="720"/>
        <v>-16</v>
      </c>
      <c r="X89" s="28">
        <f t="shared" si="720"/>
        <v>-16</v>
      </c>
      <c r="AB89" s="28" t="str">
        <f t="shared" ref="AB89:AE89" si="721">IF(AB$3=$H89,U89,"")</f>
        <v/>
      </c>
      <c r="AC89" s="28">
        <f t="shared" si="721"/>
        <v>48</v>
      </c>
      <c r="AD89" s="28" t="str">
        <f t="shared" si="721"/>
        <v/>
      </c>
      <c r="AE89" s="28" t="str">
        <f t="shared" si="721"/>
        <v/>
      </c>
      <c r="AH89" s="28">
        <f t="shared" si="22"/>
        <v>48</v>
      </c>
      <c r="AI89" s="28">
        <f t="shared" si="23"/>
        <v>0</v>
      </c>
      <c r="AK89" s="78" t="str">
        <f t="shared" ref="AK89:AN89" si="722">IF(U89&gt;0,AK$3,"")</f>
        <v/>
      </c>
      <c r="AL89" s="78" t="str">
        <f t="shared" si="722"/>
        <v>Peter</v>
      </c>
      <c r="AM89" s="78" t="str">
        <f t="shared" si="722"/>
        <v/>
      </c>
      <c r="AN89" s="78" t="str">
        <f t="shared" si="722"/>
        <v/>
      </c>
      <c r="AO89" s="56">
        <f t="shared" si="25"/>
        <v>1</v>
      </c>
      <c r="AP89" s="8" t="str">
        <f t="shared" si="26"/>
        <v>Peter</v>
      </c>
      <c r="AQ89" s="73" t="str">
        <f>IFERROR(__xludf.DUMMYFUNCTION("IFNA(QUERY(transpose(AY89:BB89),""Select Col1 where Col1 is not null limit 1"",0))"),"")</f>
        <v/>
      </c>
      <c r="AR89" s="56"/>
      <c r="AS89" s="28" t="str">
        <f t="shared" ref="AS89:AV89" si="723">IF(AK89=AS$3,"",AS$3)</f>
        <v>Thomas</v>
      </c>
      <c r="AT89" s="28" t="str">
        <f t="shared" si="723"/>
        <v/>
      </c>
      <c r="AU89" s="28" t="str">
        <f t="shared" si="723"/>
        <v>Janus</v>
      </c>
      <c r="AV89" s="28" t="str">
        <f t="shared" si="723"/>
        <v>Christian</v>
      </c>
      <c r="AW89" s="56">
        <f t="shared" si="28"/>
        <v>3</v>
      </c>
      <c r="AX89" s="28">
        <f t="shared" si="29"/>
        <v>48</v>
      </c>
      <c r="AY89" s="28" t="str">
        <f t="shared" ref="AY89:BB89" si="724">IFNA(IFS(AY$3=$AP89,"",$AX89=U89,AY$3),"")</f>
        <v/>
      </c>
      <c r="AZ89" s="28" t="str">
        <f t="shared" si="724"/>
        <v/>
      </c>
      <c r="BA89" s="28" t="str">
        <f t="shared" si="724"/>
        <v/>
      </c>
      <c r="BB89" s="28" t="str">
        <f t="shared" si="724"/>
        <v/>
      </c>
      <c r="BC89" s="58">
        <f>OFFSET('00_Regnskab_01'!$A$1,MATCH(A89,'00_Regnskab_01'!$A$1:$A$25)-1,2)</f>
        <v>43491</v>
      </c>
      <c r="BE89" s="80">
        <f t="shared" ref="BE89:BH89" si="725">if(U89&gt;0,1+BE88,0)</f>
        <v>0</v>
      </c>
      <c r="BF89" s="28">
        <f t="shared" si="725"/>
        <v>1</v>
      </c>
      <c r="BG89" s="28">
        <f t="shared" si="725"/>
        <v>0</v>
      </c>
      <c r="BH89" s="28">
        <f t="shared" si="725"/>
        <v>0</v>
      </c>
      <c r="BJ89" s="28">
        <f t="shared" ref="BJ89:BM89" si="726">if(U89&lt;0,1+BJ88,0)</f>
        <v>2</v>
      </c>
      <c r="BK89" s="28">
        <f t="shared" si="726"/>
        <v>0</v>
      </c>
      <c r="BL89" s="28">
        <f t="shared" si="726"/>
        <v>1</v>
      </c>
      <c r="BM89" s="28">
        <f t="shared" si="726"/>
        <v>3</v>
      </c>
      <c r="BO89" s="74">
        <f t="shared" ref="BO89:BR89" si="727">if(U89&gt;0,U89+BO88,0)</f>
        <v>0</v>
      </c>
      <c r="BP89" s="74">
        <f t="shared" si="727"/>
        <v>48</v>
      </c>
      <c r="BQ89" s="74">
        <f t="shared" si="727"/>
        <v>0</v>
      </c>
      <c r="BR89" s="74">
        <f t="shared" si="727"/>
        <v>0</v>
      </c>
      <c r="BT89" s="28">
        <f t="shared" ref="BT89:BW89" si="728">if(U89&lt;0,U89+BT88,0)</f>
        <v>-24</v>
      </c>
      <c r="BU89" s="28">
        <f t="shared" si="728"/>
        <v>0</v>
      </c>
      <c r="BV89" s="28">
        <f t="shared" si="728"/>
        <v>-16</v>
      </c>
      <c r="BW89" s="28">
        <f t="shared" si="728"/>
        <v>-48</v>
      </c>
    </row>
    <row r="90">
      <c r="A90" s="53">
        <v>9.0</v>
      </c>
      <c r="B90" s="28">
        <f>'09_26-01-2019'!A33</f>
        <v>30</v>
      </c>
      <c r="C90" s="75">
        <f>'09_26-01-2019'!B33</f>
        <v>-32</v>
      </c>
      <c r="D90" s="28">
        <f>'09_26-01-2019'!C33</f>
        <v>-168</v>
      </c>
      <c r="E90" s="28">
        <f>'09_26-01-2019'!D33</f>
        <v>286</v>
      </c>
      <c r="F90" s="28">
        <f>'09_26-01-2019'!E33</f>
        <v>-86</v>
      </c>
      <c r="G90" s="28">
        <f>'09_26-01-2019'!F33</f>
        <v>0</v>
      </c>
      <c r="H90" s="28" t="str">
        <f>'09_26-01-2019'!G33</f>
        <v>Thomas</v>
      </c>
      <c r="J90" s="76" t="str">
        <f>'09_26-01-2019'!H33</f>
        <v>Janus</v>
      </c>
      <c r="K90" s="28" t="str">
        <f>'09_26-01-2019'!I33</f>
        <v>9 vip i 1.</v>
      </c>
      <c r="L90" s="56"/>
      <c r="M90" s="25">
        <v>9.0</v>
      </c>
      <c r="N90" s="25" t="s">
        <v>86</v>
      </c>
      <c r="O90" s="25">
        <v>1.0</v>
      </c>
      <c r="T90" s="56"/>
      <c r="U90" s="77">
        <f t="shared" ref="U90:X90" si="729">C90-C89</f>
        <v>12</v>
      </c>
      <c r="V90" s="28">
        <f t="shared" si="729"/>
        <v>-12</v>
      </c>
      <c r="W90" s="28">
        <f t="shared" si="729"/>
        <v>-12</v>
      </c>
      <c r="X90" s="28">
        <f t="shared" si="729"/>
        <v>12</v>
      </c>
      <c r="AB90" s="28">
        <f t="shared" ref="AB90:AE90" si="730">IF(AB$3=$H90,U90,"")</f>
        <v>12</v>
      </c>
      <c r="AC90" s="28" t="str">
        <f t="shared" si="730"/>
        <v/>
      </c>
      <c r="AD90" s="28" t="str">
        <f t="shared" si="730"/>
        <v/>
      </c>
      <c r="AE90" s="28" t="str">
        <f t="shared" si="730"/>
        <v/>
      </c>
      <c r="AH90" s="28">
        <f t="shared" si="22"/>
        <v>12</v>
      </c>
      <c r="AI90" s="28">
        <f t="shared" si="23"/>
        <v>0</v>
      </c>
      <c r="AK90" s="78" t="str">
        <f t="shared" ref="AK90:AN90" si="731">IF(U90&gt;0,AK$3,"")</f>
        <v>Thomas</v>
      </c>
      <c r="AL90" s="78" t="str">
        <f t="shared" si="731"/>
        <v/>
      </c>
      <c r="AM90" s="78" t="str">
        <f t="shared" si="731"/>
        <v/>
      </c>
      <c r="AN90" s="78" t="str">
        <f t="shared" si="731"/>
        <v>Christian</v>
      </c>
      <c r="AO90" s="56">
        <f t="shared" si="25"/>
        <v>2</v>
      </c>
      <c r="AP90" s="8" t="str">
        <f t="shared" si="26"/>
        <v>Thomas</v>
      </c>
      <c r="AQ90" s="73" t="str">
        <f>IFERROR(__xludf.DUMMYFUNCTION("IFNA(QUERY(transpose(AY90:BB90),""Select Col1 where Col1 is not null limit 1"",0))"),"Christian")</f>
        <v>Christian</v>
      </c>
      <c r="AR90" s="56"/>
      <c r="AS90" s="28" t="str">
        <f t="shared" ref="AS90:AV90" si="732">IF(AK90=AS$3,"",AS$3)</f>
        <v/>
      </c>
      <c r="AT90" s="28" t="str">
        <f t="shared" si="732"/>
        <v>Peter</v>
      </c>
      <c r="AU90" s="28" t="str">
        <f t="shared" si="732"/>
        <v>Janus</v>
      </c>
      <c r="AV90" s="28" t="str">
        <f t="shared" si="732"/>
        <v/>
      </c>
      <c r="AW90" s="56">
        <f t="shared" si="28"/>
        <v>2</v>
      </c>
      <c r="AX90" s="28">
        <f t="shared" si="29"/>
        <v>12</v>
      </c>
      <c r="AY90" s="28" t="str">
        <f t="shared" ref="AY90:BB90" si="733">IFNA(IFS(AY$3=$AP90,"",$AX90=U90,AY$3),"")</f>
        <v/>
      </c>
      <c r="AZ90" s="28" t="str">
        <f t="shared" si="733"/>
        <v/>
      </c>
      <c r="BA90" s="28" t="str">
        <f t="shared" si="733"/>
        <v/>
      </c>
      <c r="BB90" s="28" t="str">
        <f t="shared" si="733"/>
        <v>Christian</v>
      </c>
      <c r="BC90" s="58">
        <f>OFFSET('00_Regnskab_01'!$A$1,MATCH(A90,'00_Regnskab_01'!$A$1:$A$25)-1,2)</f>
        <v>43491</v>
      </c>
      <c r="BE90" s="80">
        <f t="shared" ref="BE90:BH90" si="734">if(U90&gt;0,1+BE89,0)</f>
        <v>1</v>
      </c>
      <c r="BF90" s="28">
        <f t="shared" si="734"/>
        <v>0</v>
      </c>
      <c r="BG90" s="28">
        <f t="shared" si="734"/>
        <v>0</v>
      </c>
      <c r="BH90" s="28">
        <f t="shared" si="734"/>
        <v>1</v>
      </c>
      <c r="BJ90" s="28">
        <f t="shared" ref="BJ90:BM90" si="735">if(U90&lt;0,1+BJ89,0)</f>
        <v>0</v>
      </c>
      <c r="BK90" s="28">
        <f t="shared" si="735"/>
        <v>1</v>
      </c>
      <c r="BL90" s="28">
        <f t="shared" si="735"/>
        <v>2</v>
      </c>
      <c r="BM90" s="28">
        <f t="shared" si="735"/>
        <v>0</v>
      </c>
      <c r="BO90" s="74">
        <f t="shared" ref="BO90:BR90" si="736">if(U90&gt;0,U90+BO89,0)</f>
        <v>12</v>
      </c>
      <c r="BP90" s="74">
        <f t="shared" si="736"/>
        <v>0</v>
      </c>
      <c r="BQ90" s="74">
        <f t="shared" si="736"/>
        <v>0</v>
      </c>
      <c r="BR90" s="74">
        <f t="shared" si="736"/>
        <v>12</v>
      </c>
      <c r="BT90" s="28">
        <f t="shared" ref="BT90:BW90" si="737">if(U90&lt;0,U90+BT89,0)</f>
        <v>0</v>
      </c>
      <c r="BU90" s="28">
        <f t="shared" si="737"/>
        <v>-12</v>
      </c>
      <c r="BV90" s="28">
        <f t="shared" si="737"/>
        <v>-28</v>
      </c>
      <c r="BW90" s="28">
        <f t="shared" si="737"/>
        <v>0</v>
      </c>
    </row>
    <row r="91">
      <c r="A91" s="53">
        <v>9.0</v>
      </c>
      <c r="B91" s="28">
        <f>'09_26-01-2019'!A34</f>
        <v>31</v>
      </c>
      <c r="C91" s="75">
        <f>'09_26-01-2019'!B34</f>
        <v>16</v>
      </c>
      <c r="D91" s="28">
        <f>'09_26-01-2019'!C34</f>
        <v>-120</v>
      </c>
      <c r="E91" s="28">
        <f>'09_26-01-2019'!D34</f>
        <v>238</v>
      </c>
      <c r="F91" s="28">
        <f>'09_26-01-2019'!E34</f>
        <v>-134</v>
      </c>
      <c r="G91" s="28">
        <f>'09_26-01-2019'!F34</f>
        <v>0</v>
      </c>
      <c r="H91" s="28" t="str">
        <f>'09_26-01-2019'!G34</f>
        <v>Thomas</v>
      </c>
      <c r="J91" s="76" t="str">
        <f>'09_26-01-2019'!H34</f>
        <v>Christian</v>
      </c>
      <c r="K91" s="28" t="str">
        <f>'09_26-01-2019'!I34</f>
        <v>9 vip i 3.</v>
      </c>
      <c r="L91" s="56"/>
      <c r="M91" s="25">
        <v>9.0</v>
      </c>
      <c r="N91" s="25" t="s">
        <v>86</v>
      </c>
      <c r="O91" s="25">
        <v>3.0</v>
      </c>
      <c r="T91" s="56"/>
      <c r="U91" s="77">
        <f t="shared" ref="U91:X91" si="738">C91-C90</f>
        <v>48</v>
      </c>
      <c r="V91" s="28">
        <f t="shared" si="738"/>
        <v>48</v>
      </c>
      <c r="W91" s="28">
        <f t="shared" si="738"/>
        <v>-48</v>
      </c>
      <c r="X91" s="28">
        <f t="shared" si="738"/>
        <v>-48</v>
      </c>
      <c r="AB91" s="28">
        <f t="shared" ref="AB91:AE91" si="739">IF(AB$3=$H91,U91,"")</f>
        <v>48</v>
      </c>
      <c r="AC91" s="28" t="str">
        <f t="shared" si="739"/>
        <v/>
      </c>
      <c r="AD91" s="28" t="str">
        <f t="shared" si="739"/>
        <v/>
      </c>
      <c r="AE91" s="28" t="str">
        <f t="shared" si="739"/>
        <v/>
      </c>
      <c r="AH91" s="28">
        <f t="shared" si="22"/>
        <v>48</v>
      </c>
      <c r="AI91" s="28">
        <f t="shared" si="23"/>
        <v>0</v>
      </c>
      <c r="AK91" s="78" t="str">
        <f t="shared" ref="AK91:AN91" si="740">IF(U91&gt;0,AK$3,"")</f>
        <v>Thomas</v>
      </c>
      <c r="AL91" s="78" t="str">
        <f t="shared" si="740"/>
        <v>Peter</v>
      </c>
      <c r="AM91" s="78" t="str">
        <f t="shared" si="740"/>
        <v/>
      </c>
      <c r="AN91" s="78" t="str">
        <f t="shared" si="740"/>
        <v/>
      </c>
      <c r="AO91" s="56">
        <f t="shared" si="25"/>
        <v>2</v>
      </c>
      <c r="AP91" s="8" t="str">
        <f t="shared" si="26"/>
        <v>Thomas</v>
      </c>
      <c r="AQ91" s="73" t="str">
        <f>IFERROR(__xludf.DUMMYFUNCTION("IFNA(QUERY(transpose(AY91:BB91),""Select Col1 where Col1 is not null limit 1"",0))"),"Peter")</f>
        <v>Peter</v>
      </c>
      <c r="AR91" s="56"/>
      <c r="AS91" s="28" t="str">
        <f t="shared" ref="AS91:AV91" si="741">IF(AK91=AS$3,"",AS$3)</f>
        <v/>
      </c>
      <c r="AT91" s="28" t="str">
        <f t="shared" si="741"/>
        <v/>
      </c>
      <c r="AU91" s="28" t="str">
        <f t="shared" si="741"/>
        <v>Janus</v>
      </c>
      <c r="AV91" s="28" t="str">
        <f t="shared" si="741"/>
        <v>Christian</v>
      </c>
      <c r="AW91" s="56">
        <f t="shared" si="28"/>
        <v>2</v>
      </c>
      <c r="AX91" s="28">
        <f t="shared" si="29"/>
        <v>48</v>
      </c>
      <c r="AY91" s="28" t="str">
        <f t="shared" ref="AY91:BB91" si="742">IFNA(IFS(AY$3=$AP91,"",$AX91=U91,AY$3),"")</f>
        <v/>
      </c>
      <c r="AZ91" s="28" t="str">
        <f t="shared" si="742"/>
        <v>Peter</v>
      </c>
      <c r="BA91" s="28" t="str">
        <f t="shared" si="742"/>
        <v/>
      </c>
      <c r="BB91" s="28" t="str">
        <f t="shared" si="742"/>
        <v/>
      </c>
      <c r="BC91" s="58">
        <f>OFFSET('00_Regnskab_01'!$A$1,MATCH(A91,'00_Regnskab_01'!$A$1:$A$25)-1,2)</f>
        <v>43491</v>
      </c>
      <c r="BE91" s="80">
        <f t="shared" ref="BE91:BH91" si="743">if(U91&gt;0,1+BE90,0)</f>
        <v>2</v>
      </c>
      <c r="BF91" s="28">
        <f t="shared" si="743"/>
        <v>1</v>
      </c>
      <c r="BG91" s="28">
        <f t="shared" si="743"/>
        <v>0</v>
      </c>
      <c r="BH91" s="28">
        <f t="shared" si="743"/>
        <v>0</v>
      </c>
      <c r="BJ91" s="28">
        <f t="shared" ref="BJ91:BM91" si="744">if(U91&lt;0,1+BJ90,0)</f>
        <v>0</v>
      </c>
      <c r="BK91" s="28">
        <f t="shared" si="744"/>
        <v>0</v>
      </c>
      <c r="BL91" s="28">
        <f t="shared" si="744"/>
        <v>3</v>
      </c>
      <c r="BM91" s="28">
        <f t="shared" si="744"/>
        <v>1</v>
      </c>
      <c r="BO91" s="74">
        <f t="shared" ref="BO91:BR91" si="745">if(U91&gt;0,U91+BO90,0)</f>
        <v>60</v>
      </c>
      <c r="BP91" s="74">
        <f t="shared" si="745"/>
        <v>48</v>
      </c>
      <c r="BQ91" s="74">
        <f t="shared" si="745"/>
        <v>0</v>
      </c>
      <c r="BR91" s="74">
        <f t="shared" si="745"/>
        <v>0</v>
      </c>
      <c r="BT91" s="28">
        <f t="shared" ref="BT91:BW91" si="746">if(U91&lt;0,U91+BT90,0)</f>
        <v>0</v>
      </c>
      <c r="BU91" s="28">
        <f t="shared" si="746"/>
        <v>0</v>
      </c>
      <c r="BV91" s="28">
        <f t="shared" si="746"/>
        <v>-76</v>
      </c>
      <c r="BW91" s="28">
        <f t="shared" si="746"/>
        <v>-48</v>
      </c>
    </row>
    <row r="92">
      <c r="A92" s="53">
        <v>9.0</v>
      </c>
      <c r="B92" s="28">
        <f>'09_26-01-2019'!A35</f>
        <v>32</v>
      </c>
      <c r="C92" s="75">
        <f>'09_26-01-2019'!B35</f>
        <v>4</v>
      </c>
      <c r="D92" s="28">
        <f>'09_26-01-2019'!C35</f>
        <v>-132</v>
      </c>
      <c r="E92" s="28">
        <f>'09_26-01-2019'!D35</f>
        <v>250</v>
      </c>
      <c r="F92" s="28">
        <f>'09_26-01-2019'!E35</f>
        <v>-122</v>
      </c>
      <c r="G92" s="28">
        <f>'09_26-01-2019'!F35</f>
        <v>0</v>
      </c>
      <c r="H92" s="28" t="str">
        <f>'09_26-01-2019'!G35</f>
        <v>Peter</v>
      </c>
      <c r="J92" s="76" t="str">
        <f>'09_26-01-2019'!H35</f>
        <v>Thomas</v>
      </c>
      <c r="K92" s="28" t="str">
        <f>'09_26-01-2019'!I35</f>
        <v>sol</v>
      </c>
      <c r="L92" s="56"/>
      <c r="N92" s="25" t="s">
        <v>99</v>
      </c>
      <c r="T92" s="56"/>
      <c r="U92" s="77">
        <f t="shared" ref="U92:X92" si="747">C92-C91</f>
        <v>-12</v>
      </c>
      <c r="V92" s="28">
        <f t="shared" si="747"/>
        <v>-12</v>
      </c>
      <c r="W92" s="28">
        <f t="shared" si="747"/>
        <v>12</v>
      </c>
      <c r="X92" s="28">
        <f t="shared" si="747"/>
        <v>12</v>
      </c>
      <c r="AB92" s="28" t="str">
        <f t="shared" ref="AB92:AE92" si="748">IF(AB$3=$H92,U92,"")</f>
        <v/>
      </c>
      <c r="AC92" s="28">
        <f t="shared" si="748"/>
        <v>-12</v>
      </c>
      <c r="AD92" s="28" t="str">
        <f t="shared" si="748"/>
        <v/>
      </c>
      <c r="AE92" s="28" t="str">
        <f t="shared" si="748"/>
        <v/>
      </c>
      <c r="AH92" s="28">
        <f t="shared" si="22"/>
        <v>0</v>
      </c>
      <c r="AI92" s="28">
        <f t="shared" si="23"/>
        <v>-12</v>
      </c>
      <c r="AK92" s="78" t="str">
        <f t="shared" ref="AK92:AN92" si="749">IF(U92&gt;0,AK$3,"")</f>
        <v/>
      </c>
      <c r="AL92" s="78" t="str">
        <f t="shared" si="749"/>
        <v/>
      </c>
      <c r="AM92" s="78" t="str">
        <f t="shared" si="749"/>
        <v>Janus</v>
      </c>
      <c r="AN92" s="78" t="str">
        <f t="shared" si="749"/>
        <v>Christian</v>
      </c>
      <c r="AO92" s="56">
        <f t="shared" si="25"/>
        <v>2</v>
      </c>
      <c r="AP92" s="8" t="str">
        <f t="shared" si="26"/>
        <v>Peter</v>
      </c>
      <c r="AQ92" s="73" t="str">
        <f>IFERROR(__xludf.DUMMYFUNCTION("IFNA(QUERY(transpose(AY92:BB92),""Select Col1 where Col1 is not null limit 1"",0))"),"Thomas")</f>
        <v>Thomas</v>
      </c>
      <c r="AR92" s="56"/>
      <c r="AS92" s="28" t="str">
        <f t="shared" ref="AS92:AV92" si="750">IF(AK92=AS$3,"",AS$3)</f>
        <v>Thomas</v>
      </c>
      <c r="AT92" s="28" t="str">
        <f t="shared" si="750"/>
        <v>Peter</v>
      </c>
      <c r="AU92" s="28" t="str">
        <f t="shared" si="750"/>
        <v/>
      </c>
      <c r="AV92" s="28" t="str">
        <f t="shared" si="750"/>
        <v/>
      </c>
      <c r="AW92" s="56">
        <f t="shared" si="28"/>
        <v>2</v>
      </c>
      <c r="AX92" s="28">
        <f t="shared" si="29"/>
        <v>-12</v>
      </c>
      <c r="AY92" s="28" t="str">
        <f t="shared" ref="AY92:BB92" si="751">IFNA(IFS(AY$3=$AP92,"",$AX92=U92,AY$3),"")</f>
        <v>Thomas</v>
      </c>
      <c r="AZ92" s="28" t="str">
        <f t="shared" si="751"/>
        <v/>
      </c>
      <c r="BA92" s="28" t="str">
        <f t="shared" si="751"/>
        <v/>
      </c>
      <c r="BB92" s="28" t="str">
        <f t="shared" si="751"/>
        <v/>
      </c>
      <c r="BC92" s="58">
        <f>OFFSET('00_Regnskab_01'!$A$1,MATCH(A92,'00_Regnskab_01'!$A$1:$A$25)-1,2)</f>
        <v>43491</v>
      </c>
      <c r="BE92" s="80">
        <f t="shared" ref="BE92:BH92" si="752">if(U92&gt;0,1+BE91,0)</f>
        <v>0</v>
      </c>
      <c r="BF92" s="28">
        <f t="shared" si="752"/>
        <v>0</v>
      </c>
      <c r="BG92" s="28">
        <f t="shared" si="752"/>
        <v>1</v>
      </c>
      <c r="BH92" s="28">
        <f t="shared" si="752"/>
        <v>1</v>
      </c>
      <c r="BJ92" s="28">
        <f t="shared" ref="BJ92:BM92" si="753">if(U92&lt;0,1+BJ91,0)</f>
        <v>1</v>
      </c>
      <c r="BK92" s="28">
        <f t="shared" si="753"/>
        <v>1</v>
      </c>
      <c r="BL92" s="28">
        <f t="shared" si="753"/>
        <v>0</v>
      </c>
      <c r="BM92" s="28">
        <f t="shared" si="753"/>
        <v>0</v>
      </c>
      <c r="BO92" s="74">
        <f t="shared" ref="BO92:BR92" si="754">if(U92&gt;0,U92+BO91,0)</f>
        <v>0</v>
      </c>
      <c r="BP92" s="74">
        <f t="shared" si="754"/>
        <v>0</v>
      </c>
      <c r="BQ92" s="74">
        <f t="shared" si="754"/>
        <v>12</v>
      </c>
      <c r="BR92" s="74">
        <f t="shared" si="754"/>
        <v>12</v>
      </c>
      <c r="BT92" s="28">
        <f t="shared" ref="BT92:BW92" si="755">if(U92&lt;0,U92+BT91,0)</f>
        <v>-12</v>
      </c>
      <c r="BU92" s="28">
        <f t="shared" si="755"/>
        <v>-12</v>
      </c>
      <c r="BV92" s="28">
        <f t="shared" si="755"/>
        <v>0</v>
      </c>
      <c r="BW92" s="28">
        <f t="shared" si="755"/>
        <v>0</v>
      </c>
    </row>
    <row r="93">
      <c r="A93" s="53">
        <v>9.0</v>
      </c>
      <c r="B93" s="28">
        <f>'09_26-01-2019'!A36</f>
        <v>33</v>
      </c>
      <c r="C93" s="75">
        <f>'09_26-01-2019'!B36</f>
        <v>-6</v>
      </c>
      <c r="D93" s="28">
        <f>'09_26-01-2019'!C36</f>
        <v>-122</v>
      </c>
      <c r="E93" s="28">
        <f>'09_26-01-2019'!D36</f>
        <v>240</v>
      </c>
      <c r="F93" s="28">
        <f>'09_26-01-2019'!E36</f>
        <v>-112</v>
      </c>
      <c r="G93" s="28">
        <f>'09_26-01-2019'!F36</f>
        <v>0</v>
      </c>
      <c r="H93" s="28" t="str">
        <f>'09_26-01-2019'!G36</f>
        <v>Christian</v>
      </c>
      <c r="J93" s="76" t="str">
        <f>'09_26-01-2019'!H36</f>
        <v>Peter</v>
      </c>
      <c r="K93" s="82" t="str">
        <f>'09_26-01-2019'!I36</f>
        <v>9 ren</v>
      </c>
      <c r="L93" s="56"/>
      <c r="M93" s="25">
        <v>9.0</v>
      </c>
      <c r="N93" s="25" t="s">
        <v>97</v>
      </c>
      <c r="T93" s="56"/>
      <c r="U93" s="77">
        <f t="shared" ref="U93:X93" si="756">C93-C92</f>
        <v>-10</v>
      </c>
      <c r="V93" s="28">
        <f t="shared" si="756"/>
        <v>10</v>
      </c>
      <c r="W93" s="28">
        <f t="shared" si="756"/>
        <v>-10</v>
      </c>
      <c r="X93" s="28">
        <f t="shared" si="756"/>
        <v>10</v>
      </c>
      <c r="AB93" s="28" t="str">
        <f t="shared" ref="AB93:AE93" si="757">IF(AB$3=$H93,U93,"")</f>
        <v/>
      </c>
      <c r="AC93" s="28" t="str">
        <f t="shared" si="757"/>
        <v/>
      </c>
      <c r="AD93" s="28" t="str">
        <f t="shared" si="757"/>
        <v/>
      </c>
      <c r="AE93" s="28">
        <f t="shared" si="757"/>
        <v>10</v>
      </c>
      <c r="AH93" s="28">
        <f t="shared" si="22"/>
        <v>10</v>
      </c>
      <c r="AI93" s="28">
        <f t="shared" si="23"/>
        <v>0</v>
      </c>
      <c r="AK93" s="78" t="str">
        <f t="shared" ref="AK93:AN93" si="758">IF(U93&gt;0,AK$3,"")</f>
        <v/>
      </c>
      <c r="AL93" s="78" t="str">
        <f t="shared" si="758"/>
        <v>Peter</v>
      </c>
      <c r="AM93" s="78" t="str">
        <f t="shared" si="758"/>
        <v/>
      </c>
      <c r="AN93" s="78" t="str">
        <f t="shared" si="758"/>
        <v>Christian</v>
      </c>
      <c r="AO93" s="56">
        <f t="shared" si="25"/>
        <v>2</v>
      </c>
      <c r="AP93" s="8" t="str">
        <f t="shared" si="26"/>
        <v>Christian</v>
      </c>
      <c r="AQ93" s="73" t="str">
        <f>IFERROR(__xludf.DUMMYFUNCTION("IFNA(QUERY(transpose(AY93:BB93),""Select Col1 where Col1 is not null limit 1"",0))"),"Peter")</f>
        <v>Peter</v>
      </c>
      <c r="AR93" s="56"/>
      <c r="AS93" s="28" t="str">
        <f t="shared" ref="AS93:AV93" si="759">IF(AK93=AS$3,"",AS$3)</f>
        <v>Thomas</v>
      </c>
      <c r="AT93" s="28" t="str">
        <f t="shared" si="759"/>
        <v/>
      </c>
      <c r="AU93" s="28" t="str">
        <f t="shared" si="759"/>
        <v>Janus</v>
      </c>
      <c r="AV93" s="28" t="str">
        <f t="shared" si="759"/>
        <v/>
      </c>
      <c r="AW93" s="56">
        <f t="shared" si="28"/>
        <v>2</v>
      </c>
      <c r="AX93" s="28">
        <f t="shared" si="29"/>
        <v>10</v>
      </c>
      <c r="AY93" s="28" t="str">
        <f t="shared" ref="AY93:BB93" si="760">IFNA(IFS(AY$3=$AP93,"",$AX93=U93,AY$3),"")</f>
        <v/>
      </c>
      <c r="AZ93" s="28" t="str">
        <f t="shared" si="760"/>
        <v>Peter</v>
      </c>
      <c r="BA93" s="28" t="str">
        <f t="shared" si="760"/>
        <v/>
      </c>
      <c r="BB93" s="28" t="str">
        <f t="shared" si="760"/>
        <v/>
      </c>
      <c r="BC93" s="58">
        <f>OFFSET('00_Regnskab_01'!$A$1,MATCH(A93,'00_Regnskab_01'!$A$1:$A$25)-1,2)</f>
        <v>43491</v>
      </c>
      <c r="BE93" s="80">
        <f t="shared" ref="BE93:BH93" si="761">if(U93&gt;0,1+BE92,0)</f>
        <v>0</v>
      </c>
      <c r="BF93" s="28">
        <f t="shared" si="761"/>
        <v>1</v>
      </c>
      <c r="BG93" s="28">
        <f t="shared" si="761"/>
        <v>0</v>
      </c>
      <c r="BH93" s="28">
        <f t="shared" si="761"/>
        <v>2</v>
      </c>
      <c r="BJ93" s="28">
        <f t="shared" ref="BJ93:BM93" si="762">if(U93&lt;0,1+BJ92,0)</f>
        <v>2</v>
      </c>
      <c r="BK93" s="28">
        <f t="shared" si="762"/>
        <v>0</v>
      </c>
      <c r="BL93" s="28">
        <f t="shared" si="762"/>
        <v>1</v>
      </c>
      <c r="BM93" s="28">
        <f t="shared" si="762"/>
        <v>0</v>
      </c>
      <c r="BO93" s="74">
        <f t="shared" ref="BO93:BR93" si="763">if(U93&gt;0,U93+BO92,0)</f>
        <v>0</v>
      </c>
      <c r="BP93" s="74">
        <f t="shared" si="763"/>
        <v>10</v>
      </c>
      <c r="BQ93" s="74">
        <f t="shared" si="763"/>
        <v>0</v>
      </c>
      <c r="BR93" s="74">
        <f t="shared" si="763"/>
        <v>22</v>
      </c>
      <c r="BT93" s="28">
        <f t="shared" ref="BT93:BW93" si="764">if(U93&lt;0,U93+BT92,0)</f>
        <v>-22</v>
      </c>
      <c r="BU93" s="28">
        <f t="shared" si="764"/>
        <v>0</v>
      </c>
      <c r="BV93" s="28">
        <f t="shared" si="764"/>
        <v>-10</v>
      </c>
      <c r="BW93" s="28">
        <f t="shared" si="764"/>
        <v>0</v>
      </c>
    </row>
    <row r="94">
      <c r="A94" s="53">
        <v>9.0</v>
      </c>
      <c r="B94" s="28">
        <f>'09_26-01-2019'!A37</f>
        <v>34</v>
      </c>
      <c r="C94" s="75">
        <f>'09_26-01-2019'!B37</f>
        <v>-54</v>
      </c>
      <c r="D94" s="28">
        <f>'09_26-01-2019'!C37</f>
        <v>-106</v>
      </c>
      <c r="E94" s="28">
        <f>'09_26-01-2019'!D37</f>
        <v>256</v>
      </c>
      <c r="F94" s="28">
        <f>'09_26-01-2019'!E37</f>
        <v>-96</v>
      </c>
      <c r="G94" s="28">
        <f>'09_26-01-2019'!F37</f>
        <v>0</v>
      </c>
      <c r="H94" s="28" t="str">
        <f>'09_26-01-2019'!G37</f>
        <v>Thomas</v>
      </c>
      <c r="J94" s="76" t="str">
        <f>'09_26-01-2019'!H37</f>
        <v>Janus</v>
      </c>
      <c r="K94" s="28" t="str">
        <f>'09_26-01-2019'!I37</f>
        <v>9 halve</v>
      </c>
      <c r="L94" s="56"/>
      <c r="M94" s="25">
        <v>9.0</v>
      </c>
      <c r="N94" s="25" t="s">
        <v>94</v>
      </c>
      <c r="T94" s="56"/>
      <c r="U94" s="77">
        <f t="shared" ref="U94:X94" si="765">C94-C93</f>
        <v>-48</v>
      </c>
      <c r="V94" s="28">
        <f t="shared" si="765"/>
        <v>16</v>
      </c>
      <c r="W94" s="28">
        <f t="shared" si="765"/>
        <v>16</v>
      </c>
      <c r="X94" s="28">
        <f t="shared" si="765"/>
        <v>16</v>
      </c>
      <c r="AB94" s="28">
        <f t="shared" ref="AB94:AE94" si="766">IF(AB$3=$H94,U94,"")</f>
        <v>-48</v>
      </c>
      <c r="AC94" s="28" t="str">
        <f t="shared" si="766"/>
        <v/>
      </c>
      <c r="AD94" s="28" t="str">
        <f t="shared" si="766"/>
        <v/>
      </c>
      <c r="AE94" s="28" t="str">
        <f t="shared" si="766"/>
        <v/>
      </c>
      <c r="AH94" s="28">
        <f t="shared" si="22"/>
        <v>0</v>
      </c>
      <c r="AI94" s="28">
        <f t="shared" si="23"/>
        <v>-48</v>
      </c>
      <c r="AK94" s="78" t="str">
        <f t="shared" ref="AK94:AN94" si="767">IF(U94&gt;0,AK$3,"")</f>
        <v/>
      </c>
      <c r="AL94" s="78" t="str">
        <f t="shared" si="767"/>
        <v>Peter</v>
      </c>
      <c r="AM94" s="78" t="str">
        <f t="shared" si="767"/>
        <v>Janus</v>
      </c>
      <c r="AN94" s="78" t="str">
        <f t="shared" si="767"/>
        <v>Christian</v>
      </c>
      <c r="AO94" s="56">
        <f t="shared" si="25"/>
        <v>3</v>
      </c>
      <c r="AP94" s="8" t="str">
        <f t="shared" si="26"/>
        <v>Thomas</v>
      </c>
      <c r="AQ94" s="73" t="str">
        <f>IFERROR(__xludf.DUMMYFUNCTION("IFNA(QUERY(transpose(AY94:BB94),""Select Col1 where Col1 is not null limit 1"",0))"),"")</f>
        <v/>
      </c>
      <c r="AR94" s="56"/>
      <c r="AS94" s="28" t="str">
        <f t="shared" ref="AS94:AV94" si="768">IF(AK94=AS$3,"",AS$3)</f>
        <v>Thomas</v>
      </c>
      <c r="AT94" s="28" t="str">
        <f t="shared" si="768"/>
        <v/>
      </c>
      <c r="AU94" s="28" t="str">
        <f t="shared" si="768"/>
        <v/>
      </c>
      <c r="AV94" s="28" t="str">
        <f t="shared" si="768"/>
        <v/>
      </c>
      <c r="AW94" s="56">
        <f t="shared" si="28"/>
        <v>1</v>
      </c>
      <c r="AX94" s="28">
        <f t="shared" si="29"/>
        <v>-48</v>
      </c>
      <c r="AY94" s="28" t="str">
        <f t="shared" ref="AY94:BB94" si="769">IFNA(IFS(AY$3=$AP94,"",$AX94=U94,AY$3),"")</f>
        <v/>
      </c>
      <c r="AZ94" s="28" t="str">
        <f t="shared" si="769"/>
        <v/>
      </c>
      <c r="BA94" s="28" t="str">
        <f t="shared" si="769"/>
        <v/>
      </c>
      <c r="BB94" s="28" t="str">
        <f t="shared" si="769"/>
        <v/>
      </c>
      <c r="BC94" s="58">
        <f>OFFSET('00_Regnskab_01'!$A$1,MATCH(A94,'00_Regnskab_01'!$A$1:$A$25)-1,2)</f>
        <v>43491</v>
      </c>
      <c r="BE94" s="80">
        <f t="shared" ref="BE94:BH94" si="770">if(U94&gt;0,1+BE93,0)</f>
        <v>0</v>
      </c>
      <c r="BF94" s="28">
        <f t="shared" si="770"/>
        <v>2</v>
      </c>
      <c r="BG94" s="28">
        <f t="shared" si="770"/>
        <v>1</v>
      </c>
      <c r="BH94" s="28">
        <f t="shared" si="770"/>
        <v>3</v>
      </c>
      <c r="BJ94" s="28">
        <f t="shared" ref="BJ94:BM94" si="771">if(U94&lt;0,1+BJ93,0)</f>
        <v>3</v>
      </c>
      <c r="BK94" s="28">
        <f t="shared" si="771"/>
        <v>0</v>
      </c>
      <c r="BL94" s="28">
        <f t="shared" si="771"/>
        <v>0</v>
      </c>
      <c r="BM94" s="28">
        <f t="shared" si="771"/>
        <v>0</v>
      </c>
      <c r="BO94" s="74">
        <f t="shared" ref="BO94:BR94" si="772">if(U94&gt;0,U94+BO93,0)</f>
        <v>0</v>
      </c>
      <c r="BP94" s="74">
        <f t="shared" si="772"/>
        <v>26</v>
      </c>
      <c r="BQ94" s="74">
        <f t="shared" si="772"/>
        <v>16</v>
      </c>
      <c r="BR94" s="74">
        <f t="shared" si="772"/>
        <v>38</v>
      </c>
      <c r="BT94" s="28">
        <f t="shared" ref="BT94:BW94" si="773">if(U94&lt;0,U94+BT93,0)</f>
        <v>-70</v>
      </c>
      <c r="BU94" s="28">
        <f t="shared" si="773"/>
        <v>0</v>
      </c>
      <c r="BV94" s="28">
        <f t="shared" si="773"/>
        <v>0</v>
      </c>
      <c r="BW94" s="28">
        <f t="shared" si="773"/>
        <v>0</v>
      </c>
    </row>
    <row r="95">
      <c r="A95" s="53">
        <v>9.0</v>
      </c>
      <c r="B95" s="28">
        <f>'09_26-01-2019'!A38</f>
        <v>35</v>
      </c>
      <c r="C95" s="75">
        <f>'09_26-01-2019'!B38</f>
        <v>-42</v>
      </c>
      <c r="D95" s="28">
        <f>'09_26-01-2019'!C38</f>
        <v>-110</v>
      </c>
      <c r="E95" s="28">
        <f>'09_26-01-2019'!D38</f>
        <v>252</v>
      </c>
      <c r="F95" s="28">
        <f>'09_26-01-2019'!E38</f>
        <v>-100</v>
      </c>
      <c r="G95" s="28">
        <f>'09_26-01-2019'!F38</f>
        <v>0</v>
      </c>
      <c r="H95" s="28" t="str">
        <f>'09_26-01-2019'!G38</f>
        <v>Thomas</v>
      </c>
      <c r="J95" s="76" t="str">
        <f>'09_26-01-2019'!H38</f>
        <v>Christian</v>
      </c>
      <c r="K95" s="28" t="str">
        <f>'09_26-01-2019'!I38</f>
        <v>sol</v>
      </c>
      <c r="L95" s="56"/>
      <c r="N95" s="25" t="s">
        <v>99</v>
      </c>
      <c r="T95" s="56"/>
      <c r="U95" s="77">
        <f t="shared" ref="U95:X95" si="774">C95-C94</f>
        <v>12</v>
      </c>
      <c r="V95" s="28">
        <f t="shared" si="774"/>
        <v>-4</v>
      </c>
      <c r="W95" s="28">
        <f t="shared" si="774"/>
        <v>-4</v>
      </c>
      <c r="X95" s="28">
        <f t="shared" si="774"/>
        <v>-4</v>
      </c>
      <c r="AB95" s="28">
        <f t="shared" ref="AB95:AE95" si="775">IF(AB$3=$H95,U95,"")</f>
        <v>12</v>
      </c>
      <c r="AC95" s="28" t="str">
        <f t="shared" si="775"/>
        <v/>
      </c>
      <c r="AD95" s="28" t="str">
        <f t="shared" si="775"/>
        <v/>
      </c>
      <c r="AE95" s="28" t="str">
        <f t="shared" si="775"/>
        <v/>
      </c>
      <c r="AH95" s="28">
        <f t="shared" si="22"/>
        <v>12</v>
      </c>
      <c r="AI95" s="28">
        <f t="shared" si="23"/>
        <v>0</v>
      </c>
      <c r="AK95" s="78" t="str">
        <f t="shared" ref="AK95:AN95" si="776">IF(U95&gt;0,AK$3,"")</f>
        <v>Thomas</v>
      </c>
      <c r="AL95" s="78" t="str">
        <f t="shared" si="776"/>
        <v/>
      </c>
      <c r="AM95" s="78" t="str">
        <f t="shared" si="776"/>
        <v/>
      </c>
      <c r="AN95" s="78" t="str">
        <f t="shared" si="776"/>
        <v/>
      </c>
      <c r="AO95" s="56">
        <f t="shared" si="25"/>
        <v>1</v>
      </c>
      <c r="AP95" s="8" t="str">
        <f t="shared" si="26"/>
        <v>Thomas</v>
      </c>
      <c r="AQ95" s="73" t="str">
        <f>IFERROR(__xludf.DUMMYFUNCTION("IFNA(QUERY(transpose(AY95:BB95),""Select Col1 where Col1 is not null limit 1"",0))"),"")</f>
        <v/>
      </c>
      <c r="AR95" s="56"/>
      <c r="AS95" s="28" t="str">
        <f t="shared" ref="AS95:AV95" si="777">IF(AK95=AS$3,"",AS$3)</f>
        <v/>
      </c>
      <c r="AT95" s="28" t="str">
        <f t="shared" si="777"/>
        <v>Peter</v>
      </c>
      <c r="AU95" s="28" t="str">
        <f t="shared" si="777"/>
        <v>Janus</v>
      </c>
      <c r="AV95" s="28" t="str">
        <f t="shared" si="777"/>
        <v>Christian</v>
      </c>
      <c r="AW95" s="56">
        <f t="shared" si="28"/>
        <v>3</v>
      </c>
      <c r="AX95" s="28">
        <f t="shared" si="29"/>
        <v>12</v>
      </c>
      <c r="AY95" s="28" t="str">
        <f t="shared" ref="AY95:BB95" si="778">IFNA(IFS(AY$3=$AP95,"",$AX95=U95,AY$3),"")</f>
        <v/>
      </c>
      <c r="AZ95" s="28" t="str">
        <f t="shared" si="778"/>
        <v/>
      </c>
      <c r="BA95" s="28" t="str">
        <f t="shared" si="778"/>
        <v/>
      </c>
      <c r="BB95" s="28" t="str">
        <f t="shared" si="778"/>
        <v/>
      </c>
      <c r="BC95" s="58">
        <f>OFFSET('00_Regnskab_01'!$A$1,MATCH(A95,'00_Regnskab_01'!$A$1:$A$25)-1,2)</f>
        <v>43491</v>
      </c>
      <c r="BE95" s="80">
        <f t="shared" ref="BE95:BH95" si="779">if(U95&gt;0,1+BE94,0)</f>
        <v>1</v>
      </c>
      <c r="BF95" s="28">
        <f t="shared" si="779"/>
        <v>0</v>
      </c>
      <c r="BG95" s="28">
        <f t="shared" si="779"/>
        <v>0</v>
      </c>
      <c r="BH95" s="28">
        <f t="shared" si="779"/>
        <v>0</v>
      </c>
      <c r="BJ95" s="28">
        <f t="shared" ref="BJ95:BM95" si="780">if(U95&lt;0,1+BJ94,0)</f>
        <v>0</v>
      </c>
      <c r="BK95" s="28">
        <f t="shared" si="780"/>
        <v>1</v>
      </c>
      <c r="BL95" s="28">
        <f t="shared" si="780"/>
        <v>1</v>
      </c>
      <c r="BM95" s="28">
        <f t="shared" si="780"/>
        <v>1</v>
      </c>
      <c r="BO95" s="74">
        <f t="shared" ref="BO95:BR95" si="781">if(U95&gt;0,U95+BO94,0)</f>
        <v>12</v>
      </c>
      <c r="BP95" s="74">
        <f t="shared" si="781"/>
        <v>0</v>
      </c>
      <c r="BQ95" s="74">
        <f t="shared" si="781"/>
        <v>0</v>
      </c>
      <c r="BR95" s="74">
        <f t="shared" si="781"/>
        <v>0</v>
      </c>
      <c r="BT95" s="28">
        <f t="shared" ref="BT95:BW95" si="782">if(U95&lt;0,U95+BT94,0)</f>
        <v>0</v>
      </c>
      <c r="BU95" s="28">
        <f t="shared" si="782"/>
        <v>-4</v>
      </c>
      <c r="BV95" s="28">
        <f t="shared" si="782"/>
        <v>-4</v>
      </c>
      <c r="BW95" s="28">
        <f t="shared" si="782"/>
        <v>-4</v>
      </c>
    </row>
    <row r="96">
      <c r="A96" s="53">
        <v>9.0</v>
      </c>
      <c r="B96" s="28">
        <f>'09_26-01-2019'!A39</f>
        <v>36</v>
      </c>
      <c r="C96" s="75">
        <f>'09_26-01-2019'!B39</f>
        <v>-66</v>
      </c>
      <c r="D96" s="28">
        <f>'09_26-01-2019'!C39</f>
        <v>-102</v>
      </c>
      <c r="E96" s="28">
        <f>'09_26-01-2019'!D39</f>
        <v>260</v>
      </c>
      <c r="F96" s="28">
        <f>'09_26-01-2019'!E39</f>
        <v>-92</v>
      </c>
      <c r="G96" s="28">
        <f>'09_26-01-2019'!F39</f>
        <v>0</v>
      </c>
      <c r="H96" s="28" t="str">
        <f>'09_26-01-2019'!G39</f>
        <v>Thomas</v>
      </c>
      <c r="J96" s="76" t="str">
        <f>'09_26-01-2019'!H39</f>
        <v>Peter</v>
      </c>
      <c r="K96" s="28" t="str">
        <f>'09_26-01-2019'!I39</f>
        <v>sol</v>
      </c>
      <c r="L96" s="56"/>
      <c r="N96" s="25" t="s">
        <v>99</v>
      </c>
      <c r="T96" s="56"/>
      <c r="U96" s="77">
        <f t="shared" ref="U96:X96" si="783">C96-C95</f>
        <v>-24</v>
      </c>
      <c r="V96" s="28">
        <f t="shared" si="783"/>
        <v>8</v>
      </c>
      <c r="W96" s="28">
        <f t="shared" si="783"/>
        <v>8</v>
      </c>
      <c r="X96" s="28">
        <f t="shared" si="783"/>
        <v>8</v>
      </c>
      <c r="AB96" s="28">
        <f t="shared" ref="AB96:AE96" si="784">IF(AB$3=$H96,U96,"")</f>
        <v>-24</v>
      </c>
      <c r="AC96" s="28" t="str">
        <f t="shared" si="784"/>
        <v/>
      </c>
      <c r="AD96" s="28" t="str">
        <f t="shared" si="784"/>
        <v/>
      </c>
      <c r="AE96" s="28" t="str">
        <f t="shared" si="784"/>
        <v/>
      </c>
      <c r="AH96" s="28">
        <f t="shared" si="22"/>
        <v>0</v>
      </c>
      <c r="AI96" s="28">
        <f t="shared" si="23"/>
        <v>-24</v>
      </c>
      <c r="AK96" s="78" t="str">
        <f t="shared" ref="AK96:AN96" si="785">IF(U96&gt;0,AK$3,"")</f>
        <v/>
      </c>
      <c r="AL96" s="78" t="str">
        <f t="shared" si="785"/>
        <v>Peter</v>
      </c>
      <c r="AM96" s="78" t="str">
        <f t="shared" si="785"/>
        <v>Janus</v>
      </c>
      <c r="AN96" s="78" t="str">
        <f t="shared" si="785"/>
        <v>Christian</v>
      </c>
      <c r="AO96" s="56">
        <f t="shared" si="25"/>
        <v>3</v>
      </c>
      <c r="AP96" s="8" t="str">
        <f t="shared" si="26"/>
        <v>Thomas</v>
      </c>
      <c r="AQ96" s="73" t="str">
        <f>IFERROR(__xludf.DUMMYFUNCTION("IFNA(QUERY(transpose(AY96:BB96),""Select Col1 where Col1 is not null limit 1"",0))"),"")</f>
        <v/>
      </c>
      <c r="AR96" s="56"/>
      <c r="AS96" s="28" t="str">
        <f t="shared" ref="AS96:AV96" si="786">IF(AK96=AS$3,"",AS$3)</f>
        <v>Thomas</v>
      </c>
      <c r="AT96" s="28" t="str">
        <f t="shared" si="786"/>
        <v/>
      </c>
      <c r="AU96" s="28" t="str">
        <f t="shared" si="786"/>
        <v/>
      </c>
      <c r="AV96" s="28" t="str">
        <f t="shared" si="786"/>
        <v/>
      </c>
      <c r="AW96" s="56">
        <f t="shared" si="28"/>
        <v>1</v>
      </c>
      <c r="AX96" s="28">
        <f t="shared" si="29"/>
        <v>-24</v>
      </c>
      <c r="AY96" s="28" t="str">
        <f t="shared" ref="AY96:BB96" si="787">IFNA(IFS(AY$3=$AP96,"",$AX96=U96,AY$3),"")</f>
        <v/>
      </c>
      <c r="AZ96" s="28" t="str">
        <f t="shared" si="787"/>
        <v/>
      </c>
      <c r="BA96" s="28" t="str">
        <f t="shared" si="787"/>
        <v/>
      </c>
      <c r="BB96" s="28" t="str">
        <f t="shared" si="787"/>
        <v/>
      </c>
      <c r="BC96" s="58">
        <f>OFFSET('00_Regnskab_01'!$A$1,MATCH(A96,'00_Regnskab_01'!$A$1:$A$25)-1,2)</f>
        <v>43491</v>
      </c>
      <c r="BE96" s="80">
        <f t="shared" ref="BE96:BH96" si="788">if(U96&gt;0,1+BE95,0)</f>
        <v>0</v>
      </c>
      <c r="BF96" s="28">
        <f t="shared" si="788"/>
        <v>1</v>
      </c>
      <c r="BG96" s="28">
        <f t="shared" si="788"/>
        <v>1</v>
      </c>
      <c r="BH96" s="28">
        <f t="shared" si="788"/>
        <v>1</v>
      </c>
      <c r="BJ96" s="28">
        <f t="shared" ref="BJ96:BM96" si="789">if(U96&lt;0,1+BJ95,0)</f>
        <v>1</v>
      </c>
      <c r="BK96" s="28">
        <f t="shared" si="789"/>
        <v>0</v>
      </c>
      <c r="BL96" s="28">
        <f t="shared" si="789"/>
        <v>0</v>
      </c>
      <c r="BM96" s="28">
        <f t="shared" si="789"/>
        <v>0</v>
      </c>
      <c r="BO96" s="74">
        <f t="shared" ref="BO96:BR96" si="790">if(U96&gt;0,U96+BO95,0)</f>
        <v>0</v>
      </c>
      <c r="BP96" s="74">
        <f t="shared" si="790"/>
        <v>8</v>
      </c>
      <c r="BQ96" s="74">
        <f t="shared" si="790"/>
        <v>8</v>
      </c>
      <c r="BR96" s="74">
        <f t="shared" si="790"/>
        <v>8</v>
      </c>
      <c r="BT96" s="28">
        <f t="shared" ref="BT96:BW96" si="791">if(U96&lt;0,U96+BT95,0)</f>
        <v>-24</v>
      </c>
      <c r="BU96" s="28">
        <f t="shared" si="791"/>
        <v>0</v>
      </c>
      <c r="BV96" s="28">
        <f t="shared" si="791"/>
        <v>0</v>
      </c>
      <c r="BW96" s="28">
        <f t="shared" si="791"/>
        <v>0</v>
      </c>
    </row>
    <row r="97">
      <c r="A97" s="53">
        <v>9.0</v>
      </c>
      <c r="B97" s="28">
        <f>'09_26-01-2019'!A40</f>
        <v>37</v>
      </c>
      <c r="C97" s="75">
        <f>'09_26-01-2019'!B40</f>
        <v>-84</v>
      </c>
      <c r="D97" s="28">
        <f>'09_26-01-2019'!C40</f>
        <v>-96</v>
      </c>
      <c r="E97" s="28">
        <f>'09_26-01-2019'!D40</f>
        <v>266</v>
      </c>
      <c r="F97" s="28">
        <f>'09_26-01-2019'!E40</f>
        <v>-86</v>
      </c>
      <c r="G97" s="28">
        <f>'09_26-01-2019'!F40</f>
        <v>0</v>
      </c>
      <c r="H97" s="28" t="str">
        <f>'09_26-01-2019'!G40</f>
        <v>Thomas</v>
      </c>
      <c r="J97" s="76" t="str">
        <f>'09_26-01-2019'!H40</f>
        <v>Janus</v>
      </c>
      <c r="K97" s="28" t="str">
        <f>'09_26-01-2019'!I40</f>
        <v>8 gode (selvmakker)</v>
      </c>
      <c r="L97" s="56"/>
      <c r="M97" s="25">
        <v>8.0</v>
      </c>
      <c r="N97" s="25" t="s">
        <v>95</v>
      </c>
      <c r="R97" s="25" t="s">
        <v>15</v>
      </c>
      <c r="S97" s="25"/>
      <c r="T97" s="56"/>
      <c r="U97" s="77">
        <f t="shared" ref="U97:X97" si="792">C97-C96</f>
        <v>-18</v>
      </c>
      <c r="V97" s="28">
        <f t="shared" si="792"/>
        <v>6</v>
      </c>
      <c r="W97" s="28">
        <f t="shared" si="792"/>
        <v>6</v>
      </c>
      <c r="X97" s="28">
        <f t="shared" si="792"/>
        <v>6</v>
      </c>
      <c r="AB97" s="28">
        <f t="shared" ref="AB97:AE97" si="793">IF(AB$3=$H97,U97,"")</f>
        <v>-18</v>
      </c>
      <c r="AC97" s="28" t="str">
        <f t="shared" si="793"/>
        <v/>
      </c>
      <c r="AD97" s="28" t="str">
        <f t="shared" si="793"/>
        <v/>
      </c>
      <c r="AE97" s="28" t="str">
        <f t="shared" si="793"/>
        <v/>
      </c>
      <c r="AH97" s="28">
        <f t="shared" si="22"/>
        <v>0</v>
      </c>
      <c r="AI97" s="28">
        <f t="shared" si="23"/>
        <v>-18</v>
      </c>
      <c r="AK97" s="78" t="str">
        <f t="shared" ref="AK97:AN97" si="794">IF(U97&gt;0,AK$3,"")</f>
        <v/>
      </c>
      <c r="AL97" s="78" t="str">
        <f t="shared" si="794"/>
        <v>Peter</v>
      </c>
      <c r="AM97" s="78" t="str">
        <f t="shared" si="794"/>
        <v>Janus</v>
      </c>
      <c r="AN97" s="78" t="str">
        <f t="shared" si="794"/>
        <v>Christian</v>
      </c>
      <c r="AO97" s="56">
        <f t="shared" si="25"/>
        <v>3</v>
      </c>
      <c r="AP97" s="8" t="str">
        <f t="shared" si="26"/>
        <v>Thomas</v>
      </c>
      <c r="AQ97" s="73" t="str">
        <f>IFERROR(__xludf.DUMMYFUNCTION("IFNA(QUERY(transpose(AY97:BB97),""Select Col1 where Col1 is not null limit 1"",0))"),"")</f>
        <v/>
      </c>
      <c r="AR97" s="56"/>
      <c r="AS97" s="28" t="str">
        <f t="shared" ref="AS97:AV97" si="795">IF(AK97=AS$3,"",AS$3)</f>
        <v>Thomas</v>
      </c>
      <c r="AT97" s="28" t="str">
        <f t="shared" si="795"/>
        <v/>
      </c>
      <c r="AU97" s="28" t="str">
        <f t="shared" si="795"/>
        <v/>
      </c>
      <c r="AV97" s="28" t="str">
        <f t="shared" si="795"/>
        <v/>
      </c>
      <c r="AW97" s="56">
        <f t="shared" si="28"/>
        <v>1</v>
      </c>
      <c r="AX97" s="28">
        <f t="shared" si="29"/>
        <v>-18</v>
      </c>
      <c r="AY97" s="28" t="str">
        <f t="shared" ref="AY97:BB97" si="796">IFNA(IFS(AY$3=$AP97,"",$AX97=U97,AY$3),"")</f>
        <v/>
      </c>
      <c r="AZ97" s="28" t="str">
        <f t="shared" si="796"/>
        <v/>
      </c>
      <c r="BA97" s="28" t="str">
        <f t="shared" si="796"/>
        <v/>
      </c>
      <c r="BB97" s="28" t="str">
        <f t="shared" si="796"/>
        <v/>
      </c>
      <c r="BC97" s="58">
        <f>OFFSET('00_Regnskab_01'!$A$1,MATCH(A97,'00_Regnskab_01'!$A$1:$A$25)-1,2)</f>
        <v>43491</v>
      </c>
      <c r="BE97" s="80">
        <f t="shared" ref="BE97:BH97" si="797">if(U97&gt;0,1+BE96,0)</f>
        <v>0</v>
      </c>
      <c r="BF97" s="28">
        <f t="shared" si="797"/>
        <v>2</v>
      </c>
      <c r="BG97" s="28">
        <f t="shared" si="797"/>
        <v>2</v>
      </c>
      <c r="BH97" s="28">
        <f t="shared" si="797"/>
        <v>2</v>
      </c>
      <c r="BJ97" s="28">
        <f t="shared" ref="BJ97:BM97" si="798">if(U97&lt;0,1+BJ96,0)</f>
        <v>2</v>
      </c>
      <c r="BK97" s="28">
        <f t="shared" si="798"/>
        <v>0</v>
      </c>
      <c r="BL97" s="28">
        <f t="shared" si="798"/>
        <v>0</v>
      </c>
      <c r="BM97" s="28">
        <f t="shared" si="798"/>
        <v>0</v>
      </c>
      <c r="BO97" s="74">
        <f t="shared" ref="BO97:BR97" si="799">if(U97&gt;0,U97+BO96,0)</f>
        <v>0</v>
      </c>
      <c r="BP97" s="74">
        <f t="shared" si="799"/>
        <v>14</v>
      </c>
      <c r="BQ97" s="74">
        <f t="shared" si="799"/>
        <v>14</v>
      </c>
      <c r="BR97" s="74">
        <f t="shared" si="799"/>
        <v>14</v>
      </c>
      <c r="BT97" s="28">
        <f t="shared" ref="BT97:BW97" si="800">if(U97&lt;0,U97+BT96,0)</f>
        <v>-42</v>
      </c>
      <c r="BU97" s="28">
        <f t="shared" si="800"/>
        <v>0</v>
      </c>
      <c r="BV97" s="28">
        <f t="shared" si="800"/>
        <v>0</v>
      </c>
      <c r="BW97" s="28">
        <f t="shared" si="800"/>
        <v>0</v>
      </c>
    </row>
    <row r="98">
      <c r="A98" s="53">
        <v>9.0</v>
      </c>
      <c r="B98" s="28">
        <f>'09_26-01-2019'!A41</f>
        <v>38</v>
      </c>
      <c r="C98" s="75">
        <f>'09_26-01-2019'!B41</f>
        <v>-148</v>
      </c>
      <c r="D98" s="28">
        <f>'09_26-01-2019'!C41</f>
        <v>-160</v>
      </c>
      <c r="E98" s="28">
        <f>'09_26-01-2019'!D41</f>
        <v>330</v>
      </c>
      <c r="F98" s="28">
        <f>'09_26-01-2019'!E41</f>
        <v>-22</v>
      </c>
      <c r="G98" s="28">
        <f>'09_26-01-2019'!F41</f>
        <v>0</v>
      </c>
      <c r="H98" s="28" t="str">
        <f>'09_26-01-2019'!G41</f>
        <v>Thomas</v>
      </c>
      <c r="J98" s="76" t="str">
        <f>'09_26-01-2019'!H41</f>
        <v>Christian</v>
      </c>
      <c r="K98" s="28" t="str">
        <f>'09_26-01-2019'!I41</f>
        <v>10 vip i 3.</v>
      </c>
      <c r="L98" s="56"/>
      <c r="M98" s="25">
        <v>10.0</v>
      </c>
      <c r="N98" s="25" t="s">
        <v>86</v>
      </c>
      <c r="O98" s="25">
        <v>3.0</v>
      </c>
      <c r="T98" s="56"/>
      <c r="U98" s="77">
        <f t="shared" ref="U98:X98" si="801">C98-C97</f>
        <v>-64</v>
      </c>
      <c r="V98" s="28">
        <f t="shared" si="801"/>
        <v>-64</v>
      </c>
      <c r="W98" s="28">
        <f t="shared" si="801"/>
        <v>64</v>
      </c>
      <c r="X98" s="28">
        <f t="shared" si="801"/>
        <v>64</v>
      </c>
      <c r="AB98" s="28">
        <f t="shared" ref="AB98:AE98" si="802">IF(AB$3=$H98,U98,"")</f>
        <v>-64</v>
      </c>
      <c r="AC98" s="28" t="str">
        <f t="shared" si="802"/>
        <v/>
      </c>
      <c r="AD98" s="28" t="str">
        <f t="shared" si="802"/>
        <v/>
      </c>
      <c r="AE98" s="28" t="str">
        <f t="shared" si="802"/>
        <v/>
      </c>
      <c r="AH98" s="28">
        <f t="shared" si="22"/>
        <v>0</v>
      </c>
      <c r="AI98" s="28">
        <f t="shared" si="23"/>
        <v>-64</v>
      </c>
      <c r="AK98" s="78" t="str">
        <f t="shared" ref="AK98:AN98" si="803">IF(U98&gt;0,AK$3,"")</f>
        <v/>
      </c>
      <c r="AL98" s="78" t="str">
        <f t="shared" si="803"/>
        <v/>
      </c>
      <c r="AM98" s="78" t="str">
        <f t="shared" si="803"/>
        <v>Janus</v>
      </c>
      <c r="AN98" s="78" t="str">
        <f t="shared" si="803"/>
        <v>Christian</v>
      </c>
      <c r="AO98" s="56">
        <f t="shared" si="25"/>
        <v>2</v>
      </c>
      <c r="AP98" s="8" t="str">
        <f t="shared" si="26"/>
        <v>Thomas</v>
      </c>
      <c r="AQ98" s="73" t="str">
        <f>IFERROR(__xludf.DUMMYFUNCTION("IFNA(QUERY(transpose(AY98:BB98),""Select Col1 where Col1 is not null limit 1"",0))"),"Peter")</f>
        <v>Peter</v>
      </c>
      <c r="AR98" s="56"/>
      <c r="AS98" s="28" t="str">
        <f t="shared" ref="AS98:AV98" si="804">IF(AK98=AS$3,"",AS$3)</f>
        <v>Thomas</v>
      </c>
      <c r="AT98" s="28" t="str">
        <f t="shared" si="804"/>
        <v>Peter</v>
      </c>
      <c r="AU98" s="28" t="str">
        <f t="shared" si="804"/>
        <v/>
      </c>
      <c r="AV98" s="28" t="str">
        <f t="shared" si="804"/>
        <v/>
      </c>
      <c r="AW98" s="56">
        <f t="shared" si="28"/>
        <v>2</v>
      </c>
      <c r="AX98" s="28">
        <f t="shared" si="29"/>
        <v>-64</v>
      </c>
      <c r="AY98" s="28" t="str">
        <f t="shared" ref="AY98:BB98" si="805">IFNA(IFS(AY$3=$AP98,"",$AX98=U98,AY$3),"")</f>
        <v/>
      </c>
      <c r="AZ98" s="28" t="str">
        <f t="shared" si="805"/>
        <v>Peter</v>
      </c>
      <c r="BA98" s="28" t="str">
        <f t="shared" si="805"/>
        <v/>
      </c>
      <c r="BB98" s="28" t="str">
        <f t="shared" si="805"/>
        <v/>
      </c>
      <c r="BC98" s="58">
        <f>OFFSET('00_Regnskab_01'!$A$1,MATCH(A98,'00_Regnskab_01'!$A$1:$A$25)-1,2)</f>
        <v>43491</v>
      </c>
      <c r="BE98" s="80">
        <f t="shared" ref="BE98:BH98" si="806">if(U98&gt;0,1+BE97,0)</f>
        <v>0</v>
      </c>
      <c r="BF98" s="28">
        <f t="shared" si="806"/>
        <v>0</v>
      </c>
      <c r="BG98" s="28">
        <f t="shared" si="806"/>
        <v>3</v>
      </c>
      <c r="BH98" s="28">
        <f t="shared" si="806"/>
        <v>3</v>
      </c>
      <c r="BJ98" s="28">
        <f t="shared" ref="BJ98:BM98" si="807">if(U98&lt;0,1+BJ97,0)</f>
        <v>3</v>
      </c>
      <c r="BK98" s="28">
        <f t="shared" si="807"/>
        <v>1</v>
      </c>
      <c r="BL98" s="28">
        <f t="shared" si="807"/>
        <v>0</v>
      </c>
      <c r="BM98" s="28">
        <f t="shared" si="807"/>
        <v>0</v>
      </c>
      <c r="BO98" s="74">
        <f t="shared" ref="BO98:BR98" si="808">if(U98&gt;0,U98+BO97,0)</f>
        <v>0</v>
      </c>
      <c r="BP98" s="74">
        <f t="shared" si="808"/>
        <v>0</v>
      </c>
      <c r="BQ98" s="74">
        <f t="shared" si="808"/>
        <v>78</v>
      </c>
      <c r="BR98" s="74">
        <f t="shared" si="808"/>
        <v>78</v>
      </c>
      <c r="BT98" s="28">
        <f t="shared" ref="BT98:BW98" si="809">if(U98&lt;0,U98+BT97,0)</f>
        <v>-106</v>
      </c>
      <c r="BU98" s="28">
        <f t="shared" si="809"/>
        <v>-64</v>
      </c>
      <c r="BV98" s="28">
        <f t="shared" si="809"/>
        <v>0</v>
      </c>
      <c r="BW98" s="28">
        <f t="shared" si="809"/>
        <v>0</v>
      </c>
    </row>
    <row r="99">
      <c r="A99" s="53">
        <v>9.0</v>
      </c>
      <c r="B99" s="28">
        <f>'09_26-01-2019'!A42</f>
        <v>39</v>
      </c>
      <c r="C99" s="75">
        <f>'09_26-01-2019'!B42</f>
        <v>-164</v>
      </c>
      <c r="D99" s="28">
        <f>'09_26-01-2019'!C42</f>
        <v>-144</v>
      </c>
      <c r="E99" s="28">
        <f>'09_26-01-2019'!D42</f>
        <v>314</v>
      </c>
      <c r="F99" s="28">
        <f>'09_26-01-2019'!E42</f>
        <v>-6</v>
      </c>
      <c r="G99" s="28">
        <f>'09_26-01-2019'!F42</f>
        <v>0</v>
      </c>
      <c r="H99" s="28" t="str">
        <f>'09_26-01-2019'!G42</f>
        <v>Peter</v>
      </c>
      <c r="J99" s="76" t="str">
        <f>'09_26-01-2019'!H42</f>
        <v>Thomas</v>
      </c>
      <c r="K99" s="28" t="str">
        <f>'09_26-01-2019'!I42</f>
        <v/>
      </c>
      <c r="L99" s="56"/>
      <c r="T99" s="56"/>
      <c r="U99" s="77">
        <f t="shared" ref="U99:X99" si="810">C99-C98</f>
        <v>-16</v>
      </c>
      <c r="V99" s="28">
        <f t="shared" si="810"/>
        <v>16</v>
      </c>
      <c r="W99" s="28">
        <f t="shared" si="810"/>
        <v>-16</v>
      </c>
      <c r="X99" s="28">
        <f t="shared" si="810"/>
        <v>16</v>
      </c>
      <c r="AB99" s="28" t="str">
        <f t="shared" ref="AB99:AE99" si="811">IF(AB$3=$H99,U99,"")</f>
        <v/>
      </c>
      <c r="AC99" s="28">
        <f t="shared" si="811"/>
        <v>16</v>
      </c>
      <c r="AD99" s="28" t="str">
        <f t="shared" si="811"/>
        <v/>
      </c>
      <c r="AE99" s="28" t="str">
        <f t="shared" si="811"/>
        <v/>
      </c>
      <c r="AH99" s="28">
        <f t="shared" si="22"/>
        <v>16</v>
      </c>
      <c r="AI99" s="28">
        <f t="shared" si="23"/>
        <v>0</v>
      </c>
      <c r="AK99" s="78" t="str">
        <f t="shared" ref="AK99:AN99" si="812">IF(U99&gt;0,AK$3,"")</f>
        <v/>
      </c>
      <c r="AL99" s="78" t="str">
        <f t="shared" si="812"/>
        <v>Peter</v>
      </c>
      <c r="AM99" s="78" t="str">
        <f t="shared" si="812"/>
        <v/>
      </c>
      <c r="AN99" s="78" t="str">
        <f t="shared" si="812"/>
        <v>Christian</v>
      </c>
      <c r="AO99" s="56">
        <f t="shared" si="25"/>
        <v>2</v>
      </c>
      <c r="AP99" s="8" t="str">
        <f t="shared" si="26"/>
        <v>Peter</v>
      </c>
      <c r="AQ99" s="73" t="str">
        <f>IFERROR(__xludf.DUMMYFUNCTION("IFNA(QUERY(transpose(AY99:BB99),""Select Col1 where Col1 is not null limit 1"",0))"),"Christian")</f>
        <v>Christian</v>
      </c>
      <c r="AR99" s="56"/>
      <c r="AS99" s="28" t="str">
        <f t="shared" ref="AS99:AV99" si="813">IF(AK99=AS$3,"",AS$3)</f>
        <v>Thomas</v>
      </c>
      <c r="AT99" s="28" t="str">
        <f t="shared" si="813"/>
        <v/>
      </c>
      <c r="AU99" s="28" t="str">
        <f t="shared" si="813"/>
        <v>Janus</v>
      </c>
      <c r="AV99" s="28" t="str">
        <f t="shared" si="813"/>
        <v/>
      </c>
      <c r="AW99" s="56">
        <f t="shared" si="28"/>
        <v>2</v>
      </c>
      <c r="AX99" s="28">
        <f t="shared" si="29"/>
        <v>16</v>
      </c>
      <c r="AY99" s="28" t="str">
        <f t="shared" ref="AY99:BB99" si="814">IFNA(IFS(AY$3=$AP99,"",$AX99=U99,AY$3),"")</f>
        <v/>
      </c>
      <c r="AZ99" s="28" t="str">
        <f t="shared" si="814"/>
        <v/>
      </c>
      <c r="BA99" s="28" t="str">
        <f t="shared" si="814"/>
        <v/>
      </c>
      <c r="BB99" s="28" t="str">
        <f t="shared" si="814"/>
        <v>Christian</v>
      </c>
      <c r="BC99" s="58">
        <f>OFFSET('00_Regnskab_01'!$A$1,MATCH(A99,'00_Regnskab_01'!$A$1:$A$25)-1,2)</f>
        <v>43491</v>
      </c>
      <c r="BE99" s="80">
        <f t="shared" ref="BE99:BH99" si="815">if(U99&gt;0,1+BE98,0)</f>
        <v>0</v>
      </c>
      <c r="BF99" s="28">
        <f t="shared" si="815"/>
        <v>1</v>
      </c>
      <c r="BG99" s="28">
        <f t="shared" si="815"/>
        <v>0</v>
      </c>
      <c r="BH99" s="28">
        <f t="shared" si="815"/>
        <v>4</v>
      </c>
      <c r="BJ99" s="28">
        <f t="shared" ref="BJ99:BM99" si="816">if(U99&lt;0,1+BJ98,0)</f>
        <v>4</v>
      </c>
      <c r="BK99" s="28">
        <f t="shared" si="816"/>
        <v>0</v>
      </c>
      <c r="BL99" s="28">
        <f t="shared" si="816"/>
        <v>1</v>
      </c>
      <c r="BM99" s="28">
        <f t="shared" si="816"/>
        <v>0</v>
      </c>
      <c r="BO99" s="74">
        <f t="shared" ref="BO99:BR99" si="817">if(U99&gt;0,U99+BO98,0)</f>
        <v>0</v>
      </c>
      <c r="BP99" s="74">
        <f t="shared" si="817"/>
        <v>16</v>
      </c>
      <c r="BQ99" s="74">
        <f t="shared" si="817"/>
        <v>0</v>
      </c>
      <c r="BR99" s="74">
        <f t="shared" si="817"/>
        <v>94</v>
      </c>
      <c r="BT99" s="28">
        <f t="shared" ref="BT99:BW99" si="818">if(U99&lt;0,U99+BT98,0)</f>
        <v>-122</v>
      </c>
      <c r="BU99" s="28">
        <f t="shared" si="818"/>
        <v>0</v>
      </c>
      <c r="BV99" s="28">
        <f t="shared" si="818"/>
        <v>-16</v>
      </c>
      <c r="BW99" s="28">
        <f t="shared" si="818"/>
        <v>0</v>
      </c>
    </row>
    <row r="100">
      <c r="A100" s="53">
        <v>9.0</v>
      </c>
      <c r="B100" s="28">
        <f>'09_26-01-2019'!A43</f>
        <v>40</v>
      </c>
      <c r="C100" s="75">
        <f>'09_26-01-2019'!B43</f>
        <v>-156</v>
      </c>
      <c r="D100" s="28">
        <f>'09_26-01-2019'!C43</f>
        <v>-136</v>
      </c>
      <c r="E100" s="28">
        <f>'09_26-01-2019'!D43</f>
        <v>306</v>
      </c>
      <c r="F100" s="28">
        <f>'09_26-01-2019'!E43</f>
        <v>-14</v>
      </c>
      <c r="G100" s="28">
        <f>'09_26-01-2019'!F43</f>
        <v>0</v>
      </c>
      <c r="H100" s="28" t="str">
        <f>'09_26-01-2019'!G43</f>
        <v>Thomas</v>
      </c>
      <c r="J100" s="76" t="str">
        <f>'09_26-01-2019'!H43</f>
        <v>Peter</v>
      </c>
      <c r="K100" s="28" t="str">
        <f>'09_26-01-2019'!I43</f>
        <v>vip i ?</v>
      </c>
      <c r="L100" s="56"/>
      <c r="N100" s="25" t="s">
        <v>86</v>
      </c>
      <c r="T100" s="56"/>
      <c r="U100" s="77">
        <f t="shared" ref="U100:X100" si="819">C100-C99</f>
        <v>8</v>
      </c>
      <c r="V100" s="28">
        <f t="shared" si="819"/>
        <v>8</v>
      </c>
      <c r="W100" s="28">
        <f t="shared" si="819"/>
        <v>-8</v>
      </c>
      <c r="X100" s="28">
        <f t="shared" si="819"/>
        <v>-8</v>
      </c>
      <c r="AB100" s="28">
        <f t="shared" ref="AB100:AE100" si="820">IF(AB$3=$H100,U100,"")</f>
        <v>8</v>
      </c>
      <c r="AC100" s="28" t="str">
        <f t="shared" si="820"/>
        <v/>
      </c>
      <c r="AD100" s="28" t="str">
        <f t="shared" si="820"/>
        <v/>
      </c>
      <c r="AE100" s="28" t="str">
        <f t="shared" si="820"/>
        <v/>
      </c>
      <c r="AH100" s="28">
        <f t="shared" si="22"/>
        <v>8</v>
      </c>
      <c r="AI100" s="28">
        <f t="shared" si="23"/>
        <v>0</v>
      </c>
      <c r="AK100" s="78" t="str">
        <f t="shared" ref="AK100:AN100" si="821">IF(U100&gt;0,AK$3,"")</f>
        <v>Thomas</v>
      </c>
      <c r="AL100" s="78" t="str">
        <f t="shared" si="821"/>
        <v>Peter</v>
      </c>
      <c r="AM100" s="78" t="str">
        <f t="shared" si="821"/>
        <v/>
      </c>
      <c r="AN100" s="78" t="str">
        <f t="shared" si="821"/>
        <v/>
      </c>
      <c r="AO100" s="56">
        <f t="shared" si="25"/>
        <v>2</v>
      </c>
      <c r="AP100" s="8" t="str">
        <f t="shared" si="26"/>
        <v>Thomas</v>
      </c>
      <c r="AQ100" s="73" t="str">
        <f>IFERROR(__xludf.DUMMYFUNCTION("IFNA(QUERY(transpose(AY100:BB100),""Select Col1 where Col1 is not null limit 1"",0))"),"Peter")</f>
        <v>Peter</v>
      </c>
      <c r="AR100" s="56"/>
      <c r="AS100" s="28" t="str">
        <f t="shared" ref="AS100:AV100" si="822">IF(AK100=AS$3,"",AS$3)</f>
        <v/>
      </c>
      <c r="AT100" s="28" t="str">
        <f t="shared" si="822"/>
        <v/>
      </c>
      <c r="AU100" s="28" t="str">
        <f t="shared" si="822"/>
        <v>Janus</v>
      </c>
      <c r="AV100" s="28" t="str">
        <f t="shared" si="822"/>
        <v>Christian</v>
      </c>
      <c r="AW100" s="56">
        <f t="shared" si="28"/>
        <v>2</v>
      </c>
      <c r="AX100" s="28">
        <f t="shared" si="29"/>
        <v>8</v>
      </c>
      <c r="AY100" s="28" t="str">
        <f t="shared" ref="AY100:BB100" si="823">IFNA(IFS(AY$3=$AP100,"",$AX100=U100,AY$3),"")</f>
        <v/>
      </c>
      <c r="AZ100" s="28" t="str">
        <f t="shared" si="823"/>
        <v>Peter</v>
      </c>
      <c r="BA100" s="28" t="str">
        <f t="shared" si="823"/>
        <v/>
      </c>
      <c r="BB100" s="28" t="str">
        <f t="shared" si="823"/>
        <v/>
      </c>
      <c r="BC100" s="58">
        <f>OFFSET('00_Regnskab_01'!$A$1,MATCH(A100,'00_Regnskab_01'!$A$1:$A$25)-1,2)</f>
        <v>43491</v>
      </c>
      <c r="BE100" s="80">
        <f t="shared" ref="BE100:BH100" si="824">if(U100&gt;0,1+BE99,0)</f>
        <v>1</v>
      </c>
      <c r="BF100" s="28">
        <f t="shared" si="824"/>
        <v>2</v>
      </c>
      <c r="BG100" s="28">
        <f t="shared" si="824"/>
        <v>0</v>
      </c>
      <c r="BH100" s="28">
        <f t="shared" si="824"/>
        <v>0</v>
      </c>
      <c r="BJ100" s="28">
        <f t="shared" ref="BJ100:BM100" si="825">if(U100&lt;0,1+BJ99,0)</f>
        <v>0</v>
      </c>
      <c r="BK100" s="28">
        <f t="shared" si="825"/>
        <v>0</v>
      </c>
      <c r="BL100" s="28">
        <f t="shared" si="825"/>
        <v>2</v>
      </c>
      <c r="BM100" s="28">
        <f t="shared" si="825"/>
        <v>1</v>
      </c>
      <c r="BO100" s="74">
        <f t="shared" ref="BO100:BR100" si="826">if(U100&gt;0,U100+BO99,0)</f>
        <v>8</v>
      </c>
      <c r="BP100" s="74">
        <f t="shared" si="826"/>
        <v>24</v>
      </c>
      <c r="BQ100" s="74">
        <f t="shared" si="826"/>
        <v>0</v>
      </c>
      <c r="BR100" s="74">
        <f t="shared" si="826"/>
        <v>0</v>
      </c>
      <c r="BT100" s="28">
        <f t="shared" ref="BT100:BW100" si="827">if(U100&lt;0,U100+BT99,0)</f>
        <v>0</v>
      </c>
      <c r="BU100" s="28">
        <f t="shared" si="827"/>
        <v>0</v>
      </c>
      <c r="BV100" s="28">
        <f t="shared" si="827"/>
        <v>-24</v>
      </c>
      <c r="BW100" s="28">
        <f t="shared" si="827"/>
        <v>-8</v>
      </c>
    </row>
    <row r="101">
      <c r="A101" s="83">
        <v>9.0</v>
      </c>
      <c r="B101" s="84">
        <f>'09_26-01-2019'!A44</f>
        <v>41</v>
      </c>
      <c r="C101" s="85">
        <f>'09_26-01-2019'!B44</f>
        <v>-132</v>
      </c>
      <c r="D101" s="84">
        <f>'09_26-01-2019'!C44</f>
        <v>-160</v>
      </c>
      <c r="E101" s="84">
        <f>'09_26-01-2019'!D44</f>
        <v>282</v>
      </c>
      <c r="F101" s="84">
        <f>'09_26-01-2019'!E44</f>
        <v>10</v>
      </c>
      <c r="G101" s="84">
        <f>'09_26-01-2019'!F44</f>
        <v>0</v>
      </c>
      <c r="H101" s="84" t="str">
        <f>'09_26-01-2019'!G44</f>
        <v>Thomas</v>
      </c>
      <c r="I101" s="84"/>
      <c r="J101" s="86" t="str">
        <f>'09_26-01-2019'!H44</f>
        <v>Christian</v>
      </c>
      <c r="K101" s="84" t="str">
        <f>'09_26-01-2019'!I44</f>
        <v>10 halve</v>
      </c>
      <c r="L101" s="84"/>
      <c r="M101" s="87">
        <v>10.0</v>
      </c>
      <c r="N101" s="87" t="s">
        <v>94</v>
      </c>
      <c r="O101" s="84"/>
      <c r="P101" s="84"/>
      <c r="Q101" s="84"/>
      <c r="R101" s="84"/>
      <c r="S101" s="84"/>
      <c r="T101" s="84"/>
      <c r="U101" s="77">
        <f t="shared" ref="U101:X101" si="828">C101-C100</f>
        <v>24</v>
      </c>
      <c r="V101" s="28">
        <f t="shared" si="828"/>
        <v>-24</v>
      </c>
      <c r="W101" s="28">
        <f t="shared" si="828"/>
        <v>-24</v>
      </c>
      <c r="X101" s="28">
        <f t="shared" si="828"/>
        <v>24</v>
      </c>
      <c r="Y101" s="84"/>
      <c r="Z101" s="84"/>
      <c r="AA101" s="84"/>
      <c r="AB101" s="28">
        <f t="shared" ref="AB101:AE101" si="829">IF(AB$3=$H101,U101,"")</f>
        <v>24</v>
      </c>
      <c r="AC101" s="28" t="str">
        <f t="shared" si="829"/>
        <v/>
      </c>
      <c r="AD101" s="28" t="str">
        <f t="shared" si="829"/>
        <v/>
      </c>
      <c r="AE101" s="28" t="str">
        <f t="shared" si="829"/>
        <v/>
      </c>
      <c r="AH101" s="28">
        <f t="shared" si="22"/>
        <v>24</v>
      </c>
      <c r="AI101" s="28">
        <f t="shared" si="23"/>
        <v>0</v>
      </c>
      <c r="AJ101" s="84"/>
      <c r="AK101" s="78" t="str">
        <f t="shared" ref="AK101:AN101" si="830">IF(U101&gt;0,AK$3,"")</f>
        <v>Thomas</v>
      </c>
      <c r="AL101" s="78" t="str">
        <f t="shared" si="830"/>
        <v/>
      </c>
      <c r="AM101" s="78" t="str">
        <f t="shared" si="830"/>
        <v/>
      </c>
      <c r="AN101" s="78" t="str">
        <f t="shared" si="830"/>
        <v>Christian</v>
      </c>
      <c r="AO101" s="56">
        <f t="shared" si="25"/>
        <v>2</v>
      </c>
      <c r="AP101" s="8" t="str">
        <f t="shared" si="26"/>
        <v>Thomas</v>
      </c>
      <c r="AQ101" s="73" t="str">
        <f>IFERROR(__xludf.DUMMYFUNCTION("IFNA(QUERY(transpose(AY101:BB101),""Select Col1 where Col1 is not null limit 1"",0))"),"Christian")</f>
        <v>Christian</v>
      </c>
      <c r="AR101" s="56"/>
      <c r="AS101" s="28" t="str">
        <f t="shared" ref="AS101:AV101" si="831">IF(AK101=AS$3,"",AS$3)</f>
        <v/>
      </c>
      <c r="AT101" s="28" t="str">
        <f t="shared" si="831"/>
        <v>Peter</v>
      </c>
      <c r="AU101" s="28" t="str">
        <f t="shared" si="831"/>
        <v>Janus</v>
      </c>
      <c r="AV101" s="28" t="str">
        <f t="shared" si="831"/>
        <v/>
      </c>
      <c r="AW101" s="56">
        <f t="shared" si="28"/>
        <v>2</v>
      </c>
      <c r="AX101" s="28">
        <f t="shared" si="29"/>
        <v>24</v>
      </c>
      <c r="AY101" s="28" t="str">
        <f t="shared" ref="AY101:BB101" si="832">IFNA(IFS(AY$3=$AP101,"",$AX101=U101,AY$3),"")</f>
        <v/>
      </c>
      <c r="AZ101" s="28" t="str">
        <f t="shared" si="832"/>
        <v/>
      </c>
      <c r="BA101" s="28" t="str">
        <f t="shared" si="832"/>
        <v/>
      </c>
      <c r="BB101" s="28" t="str">
        <f t="shared" si="832"/>
        <v>Christian</v>
      </c>
      <c r="BC101" s="58">
        <f>OFFSET('00_Regnskab_01'!$A$1,MATCH(A101,'00_Regnskab_01'!$A$1:$A$25)-1,2)</f>
        <v>43491</v>
      </c>
      <c r="BD101" s="84"/>
      <c r="BE101" s="80">
        <f t="shared" ref="BE101:BH101" si="833">if(U101&gt;0,1+BE100,0)</f>
        <v>2</v>
      </c>
      <c r="BF101" s="28">
        <f t="shared" si="833"/>
        <v>0</v>
      </c>
      <c r="BG101" s="28">
        <f t="shared" si="833"/>
        <v>0</v>
      </c>
      <c r="BH101" s="28">
        <f t="shared" si="833"/>
        <v>1</v>
      </c>
      <c r="BI101" s="84"/>
      <c r="BJ101" s="28">
        <f t="shared" ref="BJ101:BM101" si="834">if(U101&lt;0,1+BJ100,0)</f>
        <v>0</v>
      </c>
      <c r="BK101" s="28">
        <f t="shared" si="834"/>
        <v>1</v>
      </c>
      <c r="BL101" s="28">
        <f t="shared" si="834"/>
        <v>3</v>
      </c>
      <c r="BM101" s="28">
        <f t="shared" si="834"/>
        <v>0</v>
      </c>
      <c r="BO101" s="74">
        <f t="shared" ref="BO101:BR101" si="835">if(U101&gt;0,U101+BO100,0)</f>
        <v>32</v>
      </c>
      <c r="BP101" s="74">
        <f t="shared" si="835"/>
        <v>0</v>
      </c>
      <c r="BQ101" s="74">
        <f t="shared" si="835"/>
        <v>0</v>
      </c>
      <c r="BR101" s="74">
        <f t="shared" si="835"/>
        <v>24</v>
      </c>
      <c r="BT101" s="28">
        <f t="shared" ref="BT101:BW101" si="836">if(U101&lt;0,U101+BT100,0)</f>
        <v>0</v>
      </c>
      <c r="BU101" s="28">
        <f t="shared" si="836"/>
        <v>-24</v>
      </c>
      <c r="BV101" s="28">
        <f t="shared" si="836"/>
        <v>-48</v>
      </c>
      <c r="BW101" s="28">
        <f t="shared" si="836"/>
        <v>0</v>
      </c>
      <c r="BX101" s="84"/>
      <c r="BY101" s="84"/>
    </row>
    <row r="102">
      <c r="A102" s="51">
        <v>10.0</v>
      </c>
      <c r="B102" s="32">
        <f>'10_28-06-2019'!A3</f>
        <v>1</v>
      </c>
      <c r="C102" s="69">
        <f>'10_28-06-2019'!D3</f>
        <v>16</v>
      </c>
      <c r="D102" s="32">
        <f>'10_28-06-2019'!C3</f>
        <v>-16</v>
      </c>
      <c r="E102" s="32">
        <f>'10_28-06-2019'!E3</f>
        <v>-16</v>
      </c>
      <c r="F102" s="32">
        <f>'10_28-06-2019'!B3</f>
        <v>16</v>
      </c>
      <c r="G102" s="32">
        <f>'10_28-06-2019'!F3</f>
        <v>0</v>
      </c>
      <c r="H102" s="32" t="str">
        <f>'10_28-06-2019'!I3</f>
        <v>Thomas</v>
      </c>
      <c r="I102" s="32"/>
      <c r="J102" s="70" t="str">
        <f>'10_28-06-2019'!H3</f>
        <v>Janus</v>
      </c>
      <c r="K102" s="32" t="str">
        <f>'10_28-06-2019'!G3</f>
        <v>9 halve</v>
      </c>
      <c r="L102" s="32"/>
      <c r="M102" s="48">
        <v>9.0</v>
      </c>
      <c r="N102" s="48" t="s">
        <v>94</v>
      </c>
      <c r="O102" s="32"/>
      <c r="P102" s="32"/>
      <c r="Q102" s="32"/>
      <c r="R102" s="32"/>
      <c r="S102" s="32"/>
      <c r="T102" s="32"/>
      <c r="U102" s="71">
        <f t="shared" ref="U102:X102" si="837">C102</f>
        <v>16</v>
      </c>
      <c r="V102" s="32">
        <f t="shared" si="837"/>
        <v>-16</v>
      </c>
      <c r="W102" s="32">
        <f t="shared" si="837"/>
        <v>-16</v>
      </c>
      <c r="X102" s="32">
        <f t="shared" si="837"/>
        <v>16</v>
      </c>
      <c r="Y102" s="32"/>
      <c r="Z102" s="32"/>
      <c r="AA102" s="32"/>
      <c r="AB102" s="28">
        <f t="shared" ref="AB102:AE102" si="838">IF(AB$3=$H102,U102,"")</f>
        <v>16</v>
      </c>
      <c r="AC102" s="28" t="str">
        <f t="shared" si="838"/>
        <v/>
      </c>
      <c r="AD102" s="28" t="str">
        <f t="shared" si="838"/>
        <v/>
      </c>
      <c r="AE102" s="28" t="str">
        <f t="shared" si="838"/>
        <v/>
      </c>
      <c r="AH102" s="28">
        <f t="shared" si="22"/>
        <v>16</v>
      </c>
      <c r="AI102" s="28">
        <f t="shared" si="23"/>
        <v>0</v>
      </c>
      <c r="AJ102" s="32"/>
      <c r="AK102" s="78" t="str">
        <f t="shared" ref="AK102:AN102" si="839">IF(U102&gt;0,AK$3,"")</f>
        <v>Thomas</v>
      </c>
      <c r="AL102" s="78" t="str">
        <f t="shared" si="839"/>
        <v/>
      </c>
      <c r="AM102" s="78" t="str">
        <f t="shared" si="839"/>
        <v/>
      </c>
      <c r="AN102" s="78" t="str">
        <f t="shared" si="839"/>
        <v>Christian</v>
      </c>
      <c r="AO102" s="56">
        <f t="shared" si="25"/>
        <v>2</v>
      </c>
      <c r="AP102" s="8" t="str">
        <f t="shared" si="26"/>
        <v>Thomas</v>
      </c>
      <c r="AQ102" s="73" t="str">
        <f>IFERROR(__xludf.DUMMYFUNCTION("IFNA(QUERY(transpose(AY102:BB102),""Select Col1 where Col1 is not null limit 1"",0))"),"Christian")</f>
        <v>Christian</v>
      </c>
      <c r="AR102" s="56"/>
      <c r="AS102" s="28" t="str">
        <f t="shared" ref="AS102:AV102" si="840">IF(AK102=AS$3,"",AS$3)</f>
        <v/>
      </c>
      <c r="AT102" s="28" t="str">
        <f t="shared" si="840"/>
        <v>Peter</v>
      </c>
      <c r="AU102" s="28" t="str">
        <f t="shared" si="840"/>
        <v>Janus</v>
      </c>
      <c r="AV102" s="28" t="str">
        <f t="shared" si="840"/>
        <v/>
      </c>
      <c r="AW102" s="56">
        <f t="shared" si="28"/>
        <v>2</v>
      </c>
      <c r="AX102" s="28">
        <f t="shared" si="29"/>
        <v>16</v>
      </c>
      <c r="AY102" s="28" t="str">
        <f t="shared" ref="AY102:BB102" si="841">IFNA(IFS(AY$3=$AP102,"",$AX102=U102,AY$3),"")</f>
        <v/>
      </c>
      <c r="AZ102" s="28" t="str">
        <f t="shared" si="841"/>
        <v/>
      </c>
      <c r="BA102" s="28" t="str">
        <f t="shared" si="841"/>
        <v/>
      </c>
      <c r="BB102" s="28" t="str">
        <f t="shared" si="841"/>
        <v>Christian</v>
      </c>
      <c r="BC102" s="58">
        <f>OFFSET('00_Regnskab_01'!$A$1,MATCH(A102,'00_Regnskab_01'!$A$1:$A$25)-1,2)</f>
        <v>43644</v>
      </c>
      <c r="BD102" s="32"/>
      <c r="BE102" s="80">
        <f t="shared" ref="BE102:BH102" si="842">if(U102&gt;0,1+BE101,0)</f>
        <v>3</v>
      </c>
      <c r="BF102" s="28">
        <f t="shared" si="842"/>
        <v>0</v>
      </c>
      <c r="BG102" s="28">
        <f t="shared" si="842"/>
        <v>0</v>
      </c>
      <c r="BH102" s="28">
        <f t="shared" si="842"/>
        <v>2</v>
      </c>
      <c r="BI102" s="32"/>
      <c r="BJ102" s="28">
        <f t="shared" ref="BJ102:BM102" si="843">if(U102&lt;0,1+BJ101,0)</f>
        <v>0</v>
      </c>
      <c r="BK102" s="28">
        <f t="shared" si="843"/>
        <v>2</v>
      </c>
      <c r="BL102" s="28">
        <f t="shared" si="843"/>
        <v>4</v>
      </c>
      <c r="BM102" s="28">
        <f t="shared" si="843"/>
        <v>0</v>
      </c>
      <c r="BO102" s="74">
        <f t="shared" ref="BO102:BR102" si="844">if(U102&gt;0,U102+BO101,0)</f>
        <v>48</v>
      </c>
      <c r="BP102" s="74">
        <f t="shared" si="844"/>
        <v>0</v>
      </c>
      <c r="BQ102" s="74">
        <f t="shared" si="844"/>
        <v>0</v>
      </c>
      <c r="BR102" s="74">
        <f t="shared" si="844"/>
        <v>40</v>
      </c>
      <c r="BT102" s="28">
        <f t="shared" ref="BT102:BW102" si="845">if(U102&lt;0,U102+BT101,0)</f>
        <v>0</v>
      </c>
      <c r="BU102" s="28">
        <f t="shared" si="845"/>
        <v>-40</v>
      </c>
      <c r="BV102" s="28">
        <f t="shared" si="845"/>
        <v>-64</v>
      </c>
      <c r="BW102" s="28">
        <f t="shared" si="845"/>
        <v>0</v>
      </c>
      <c r="BX102" s="32"/>
      <c r="BY102" s="32"/>
    </row>
    <row r="103">
      <c r="A103" s="53">
        <v>10.0</v>
      </c>
      <c r="B103" s="28">
        <f>'10_28-06-2019'!A4</f>
        <v>2</v>
      </c>
      <c r="C103" s="75">
        <f>'10_28-06-2019'!D4</f>
        <v>112</v>
      </c>
      <c r="D103" s="28">
        <f>'10_28-06-2019'!C4</f>
        <v>-112</v>
      </c>
      <c r="E103" s="28">
        <f>'10_28-06-2019'!E4</f>
        <v>80</v>
      </c>
      <c r="F103" s="28">
        <f>'10_28-06-2019'!B4</f>
        <v>-80</v>
      </c>
      <c r="G103" s="28">
        <f>'10_28-06-2019'!F4</f>
        <v>0</v>
      </c>
      <c r="H103" s="28" t="str">
        <f>'10_28-06-2019'!I4</f>
        <v>Thomas</v>
      </c>
      <c r="J103" s="76" t="str">
        <f>'10_28-06-2019'!H4</f>
        <v>Christian</v>
      </c>
      <c r="K103" s="28" t="str">
        <f>'10_28-06-2019'!G4</f>
        <v>9 vip i 2.andet</v>
      </c>
      <c r="L103" s="56"/>
      <c r="M103" s="25">
        <v>9.0</v>
      </c>
      <c r="N103" s="25" t="s">
        <v>86</v>
      </c>
      <c r="O103" s="25">
        <v>2.0</v>
      </c>
      <c r="T103" s="56"/>
      <c r="U103" s="77">
        <f t="shared" ref="U103:X103" si="846">C103-C102</f>
        <v>96</v>
      </c>
      <c r="V103" s="28">
        <f t="shared" si="846"/>
        <v>-96</v>
      </c>
      <c r="W103" s="28">
        <f t="shared" si="846"/>
        <v>96</v>
      </c>
      <c r="X103" s="28">
        <f t="shared" si="846"/>
        <v>-96</v>
      </c>
      <c r="AB103" s="28">
        <f t="shared" ref="AB103:AE103" si="847">IF(AB$3=$H103,U103,"")</f>
        <v>96</v>
      </c>
      <c r="AC103" s="28" t="str">
        <f t="shared" si="847"/>
        <v/>
      </c>
      <c r="AD103" s="28" t="str">
        <f t="shared" si="847"/>
        <v/>
      </c>
      <c r="AE103" s="28" t="str">
        <f t="shared" si="847"/>
        <v/>
      </c>
      <c r="AH103" s="28">
        <f t="shared" si="22"/>
        <v>96</v>
      </c>
      <c r="AI103" s="28">
        <f t="shared" si="23"/>
        <v>0</v>
      </c>
      <c r="AK103" s="78" t="str">
        <f t="shared" ref="AK103:AN103" si="848">IF(U103&gt;0,AK$3,"")</f>
        <v>Thomas</v>
      </c>
      <c r="AL103" s="78" t="str">
        <f t="shared" si="848"/>
        <v/>
      </c>
      <c r="AM103" s="78" t="str">
        <f t="shared" si="848"/>
        <v>Janus</v>
      </c>
      <c r="AN103" s="78" t="str">
        <f t="shared" si="848"/>
        <v/>
      </c>
      <c r="AO103" s="56">
        <f t="shared" si="25"/>
        <v>2</v>
      </c>
      <c r="AP103" s="8" t="str">
        <f t="shared" si="26"/>
        <v>Thomas</v>
      </c>
      <c r="AQ103" s="73" t="str">
        <f>IFERROR(__xludf.DUMMYFUNCTION("IFNA(QUERY(transpose(AY103:BB103),""Select Col1 where Col1 is not null limit 1"",0))"),"Janus")</f>
        <v>Janus</v>
      </c>
      <c r="AR103" s="56"/>
      <c r="AS103" s="28" t="str">
        <f t="shared" ref="AS103:AV103" si="849">IF(AK103=AS$3,"",AS$3)</f>
        <v/>
      </c>
      <c r="AT103" s="28" t="str">
        <f t="shared" si="849"/>
        <v>Peter</v>
      </c>
      <c r="AU103" s="28" t="str">
        <f t="shared" si="849"/>
        <v/>
      </c>
      <c r="AV103" s="28" t="str">
        <f t="shared" si="849"/>
        <v>Christian</v>
      </c>
      <c r="AW103" s="56">
        <f t="shared" si="28"/>
        <v>2</v>
      </c>
      <c r="AX103" s="28">
        <f t="shared" si="29"/>
        <v>96</v>
      </c>
      <c r="AY103" s="28" t="str">
        <f t="shared" ref="AY103:BB103" si="850">IFNA(IFS(AY$3=$AP103,"",$AX103=U103,AY$3),"")</f>
        <v/>
      </c>
      <c r="AZ103" s="28" t="str">
        <f t="shared" si="850"/>
        <v/>
      </c>
      <c r="BA103" s="28" t="str">
        <f t="shared" si="850"/>
        <v>Janus</v>
      </c>
      <c r="BB103" s="28" t="str">
        <f t="shared" si="850"/>
        <v/>
      </c>
      <c r="BC103" s="58">
        <f>OFFSET('00_Regnskab_01'!$A$1,MATCH(A103,'00_Regnskab_01'!$A$1:$A$25)-1,2)</f>
        <v>43644</v>
      </c>
      <c r="BE103" s="80">
        <f t="shared" ref="BE103:BH103" si="851">if(U103&gt;0,1+BE102,0)</f>
        <v>4</v>
      </c>
      <c r="BF103" s="28">
        <f t="shared" si="851"/>
        <v>0</v>
      </c>
      <c r="BG103" s="28">
        <f t="shared" si="851"/>
        <v>1</v>
      </c>
      <c r="BH103" s="28">
        <f t="shared" si="851"/>
        <v>0</v>
      </c>
      <c r="BJ103" s="28">
        <f t="shared" ref="BJ103:BM103" si="852">if(U103&lt;0,1+BJ102,0)</f>
        <v>0</v>
      </c>
      <c r="BK103" s="28">
        <f t="shared" si="852"/>
        <v>3</v>
      </c>
      <c r="BL103" s="28">
        <f t="shared" si="852"/>
        <v>0</v>
      </c>
      <c r="BM103" s="28">
        <f t="shared" si="852"/>
        <v>1</v>
      </c>
      <c r="BO103" s="74">
        <f t="shared" ref="BO103:BR103" si="853">if(U103&gt;0,U103+BO102,0)</f>
        <v>144</v>
      </c>
      <c r="BP103" s="74">
        <f t="shared" si="853"/>
        <v>0</v>
      </c>
      <c r="BQ103" s="74">
        <f t="shared" si="853"/>
        <v>96</v>
      </c>
      <c r="BR103" s="74">
        <f t="shared" si="853"/>
        <v>0</v>
      </c>
      <c r="BT103" s="28">
        <f t="shared" ref="BT103:BW103" si="854">if(U103&lt;0,U103+BT102,0)</f>
        <v>0</v>
      </c>
      <c r="BU103" s="28">
        <f t="shared" si="854"/>
        <v>-136</v>
      </c>
      <c r="BV103" s="28">
        <f t="shared" si="854"/>
        <v>0</v>
      </c>
      <c r="BW103" s="28">
        <f t="shared" si="854"/>
        <v>-96</v>
      </c>
    </row>
    <row r="104">
      <c r="A104" s="53">
        <v>10.0</v>
      </c>
      <c r="B104" s="28">
        <f>'10_28-06-2019'!A5</f>
        <v>3</v>
      </c>
      <c r="C104" s="75">
        <f>'10_28-06-2019'!D5</f>
        <v>136</v>
      </c>
      <c r="D104" s="28">
        <f>'10_28-06-2019'!C5</f>
        <v>-120</v>
      </c>
      <c r="E104" s="28">
        <f>'10_28-06-2019'!E5</f>
        <v>72</v>
      </c>
      <c r="F104" s="28">
        <f>'10_28-06-2019'!B5</f>
        <v>-88</v>
      </c>
      <c r="G104" s="28">
        <f>'10_28-06-2019'!F5</f>
        <v>0</v>
      </c>
      <c r="H104" s="28" t="str">
        <f>'10_28-06-2019'!I5</f>
        <v>Thomas</v>
      </c>
      <c r="J104" s="76" t="str">
        <f>'10_28-06-2019'!H5</f>
        <v>Peter</v>
      </c>
      <c r="K104" s="28" t="str">
        <f>'10_28-06-2019'!G5</f>
        <v>Sol</v>
      </c>
      <c r="L104" s="56"/>
      <c r="N104" s="25" t="s">
        <v>99</v>
      </c>
      <c r="T104" s="56"/>
      <c r="U104" s="77">
        <f t="shared" ref="U104:X104" si="855">C104-C103</f>
        <v>24</v>
      </c>
      <c r="V104" s="28">
        <f t="shared" si="855"/>
        <v>-8</v>
      </c>
      <c r="W104" s="28">
        <f t="shared" si="855"/>
        <v>-8</v>
      </c>
      <c r="X104" s="28">
        <f t="shared" si="855"/>
        <v>-8</v>
      </c>
      <c r="AB104" s="28">
        <f t="shared" ref="AB104:AE104" si="856">IF(AB$3=$H104,U104,"")</f>
        <v>24</v>
      </c>
      <c r="AC104" s="28" t="str">
        <f t="shared" si="856"/>
        <v/>
      </c>
      <c r="AD104" s="28" t="str">
        <f t="shared" si="856"/>
        <v/>
      </c>
      <c r="AE104" s="28" t="str">
        <f t="shared" si="856"/>
        <v/>
      </c>
      <c r="AH104" s="28">
        <f t="shared" si="22"/>
        <v>24</v>
      </c>
      <c r="AI104" s="28">
        <f t="shared" si="23"/>
        <v>0</v>
      </c>
      <c r="AK104" s="78" t="str">
        <f t="shared" ref="AK104:AN104" si="857">IF(U104&gt;0,AK$3,"")</f>
        <v>Thomas</v>
      </c>
      <c r="AL104" s="78" t="str">
        <f t="shared" si="857"/>
        <v/>
      </c>
      <c r="AM104" s="78" t="str">
        <f t="shared" si="857"/>
        <v/>
      </c>
      <c r="AN104" s="78" t="str">
        <f t="shared" si="857"/>
        <v/>
      </c>
      <c r="AO104" s="56">
        <f t="shared" si="25"/>
        <v>1</v>
      </c>
      <c r="AP104" s="8" t="str">
        <f t="shared" si="26"/>
        <v>Thomas</v>
      </c>
      <c r="AQ104" s="73" t="str">
        <f>IFERROR(__xludf.DUMMYFUNCTION("IFNA(QUERY(transpose(AY104:BB104),""Select Col1 where Col1 is not null limit 1"",0))"),"")</f>
        <v/>
      </c>
      <c r="AR104" s="56"/>
      <c r="AS104" s="28" t="str">
        <f t="shared" ref="AS104:AV104" si="858">IF(AK104=AS$3,"",AS$3)</f>
        <v/>
      </c>
      <c r="AT104" s="28" t="str">
        <f t="shared" si="858"/>
        <v>Peter</v>
      </c>
      <c r="AU104" s="28" t="str">
        <f t="shared" si="858"/>
        <v>Janus</v>
      </c>
      <c r="AV104" s="28" t="str">
        <f t="shared" si="858"/>
        <v>Christian</v>
      </c>
      <c r="AW104" s="56">
        <f t="shared" si="28"/>
        <v>3</v>
      </c>
      <c r="AX104" s="28">
        <f t="shared" si="29"/>
        <v>24</v>
      </c>
      <c r="AY104" s="28" t="str">
        <f t="shared" ref="AY104:BB104" si="859">IFNA(IFS(AY$3=$AP104,"",$AX104=U104,AY$3),"")</f>
        <v/>
      </c>
      <c r="AZ104" s="28" t="str">
        <f t="shared" si="859"/>
        <v/>
      </c>
      <c r="BA104" s="28" t="str">
        <f t="shared" si="859"/>
        <v/>
      </c>
      <c r="BB104" s="28" t="str">
        <f t="shared" si="859"/>
        <v/>
      </c>
      <c r="BC104" s="58">
        <f>OFFSET('00_Regnskab_01'!$A$1,MATCH(A104,'00_Regnskab_01'!$A$1:$A$25)-1,2)</f>
        <v>43644</v>
      </c>
      <c r="BE104" s="80">
        <f t="shared" ref="BE104:BH104" si="860">if(U104&gt;0,1+BE103,0)</f>
        <v>5</v>
      </c>
      <c r="BF104" s="28">
        <f t="shared" si="860"/>
        <v>0</v>
      </c>
      <c r="BG104" s="28">
        <f t="shared" si="860"/>
        <v>0</v>
      </c>
      <c r="BH104" s="28">
        <f t="shared" si="860"/>
        <v>0</v>
      </c>
      <c r="BJ104" s="28">
        <f t="shared" ref="BJ104:BM104" si="861">if(U104&lt;0,1+BJ103,0)</f>
        <v>0</v>
      </c>
      <c r="BK104" s="28">
        <f t="shared" si="861"/>
        <v>4</v>
      </c>
      <c r="BL104" s="28">
        <f t="shared" si="861"/>
        <v>1</v>
      </c>
      <c r="BM104" s="28">
        <f t="shared" si="861"/>
        <v>2</v>
      </c>
      <c r="BO104" s="74">
        <f t="shared" ref="BO104:BR104" si="862">if(U104&gt;0,U104+BO103,0)</f>
        <v>168</v>
      </c>
      <c r="BP104" s="74">
        <f t="shared" si="862"/>
        <v>0</v>
      </c>
      <c r="BQ104" s="74">
        <f t="shared" si="862"/>
        <v>0</v>
      </c>
      <c r="BR104" s="74">
        <f t="shared" si="862"/>
        <v>0</v>
      </c>
      <c r="BT104" s="28">
        <f t="shared" ref="BT104:BW104" si="863">if(U104&lt;0,U104+BT103,0)</f>
        <v>0</v>
      </c>
      <c r="BU104" s="28">
        <f t="shared" si="863"/>
        <v>-144</v>
      </c>
      <c r="BV104" s="28">
        <f t="shared" si="863"/>
        <v>-8</v>
      </c>
      <c r="BW104" s="28">
        <f t="shared" si="863"/>
        <v>-104</v>
      </c>
    </row>
    <row r="105">
      <c r="A105" s="53">
        <v>10.0</v>
      </c>
      <c r="B105" s="28">
        <f>'10_28-06-2019'!A6</f>
        <v>4</v>
      </c>
      <c r="C105" s="75">
        <f>'10_28-06-2019'!D6</f>
        <v>148</v>
      </c>
      <c r="D105" s="28">
        <f>'10_28-06-2019'!C6</f>
        <v>-156</v>
      </c>
      <c r="E105" s="28">
        <f>'10_28-06-2019'!E6</f>
        <v>84</v>
      </c>
      <c r="F105" s="28">
        <f>'10_28-06-2019'!B6</f>
        <v>-76</v>
      </c>
      <c r="G105" s="28">
        <f>'10_28-06-2019'!F6</f>
        <v>0</v>
      </c>
      <c r="H105" s="28" t="str">
        <f>'10_28-06-2019'!I6</f>
        <v>Peter</v>
      </c>
      <c r="J105" s="76" t="str">
        <f>'10_28-06-2019'!H6</f>
        <v>Thomas</v>
      </c>
      <c r="K105" s="28" t="str">
        <f>'10_28-06-2019'!G6</f>
        <v>9 halve</v>
      </c>
      <c r="L105" s="56"/>
      <c r="M105" s="25">
        <v>9.0</v>
      </c>
      <c r="N105" s="25" t="s">
        <v>94</v>
      </c>
      <c r="T105" s="56"/>
      <c r="U105" s="77">
        <f t="shared" ref="U105:X105" si="864">C105-C104</f>
        <v>12</v>
      </c>
      <c r="V105" s="28">
        <f t="shared" si="864"/>
        <v>-36</v>
      </c>
      <c r="W105" s="28">
        <f t="shared" si="864"/>
        <v>12</v>
      </c>
      <c r="X105" s="28">
        <f t="shared" si="864"/>
        <v>12</v>
      </c>
      <c r="AB105" s="28" t="str">
        <f t="shared" ref="AB105:AE105" si="865">IF(AB$3=$H105,U105,"")</f>
        <v/>
      </c>
      <c r="AC105" s="28">
        <f t="shared" si="865"/>
        <v>-36</v>
      </c>
      <c r="AD105" s="28" t="str">
        <f t="shared" si="865"/>
        <v/>
      </c>
      <c r="AE105" s="28" t="str">
        <f t="shared" si="865"/>
        <v/>
      </c>
      <c r="AH105" s="28">
        <f t="shared" si="22"/>
        <v>0</v>
      </c>
      <c r="AI105" s="28">
        <f t="shared" si="23"/>
        <v>-36</v>
      </c>
      <c r="AK105" s="78" t="str">
        <f t="shared" ref="AK105:AN105" si="866">IF(U105&gt;0,AK$3,"")</f>
        <v>Thomas</v>
      </c>
      <c r="AL105" s="78" t="str">
        <f t="shared" si="866"/>
        <v/>
      </c>
      <c r="AM105" s="78" t="str">
        <f t="shared" si="866"/>
        <v>Janus</v>
      </c>
      <c r="AN105" s="78" t="str">
        <f t="shared" si="866"/>
        <v>Christian</v>
      </c>
      <c r="AO105" s="56">
        <f t="shared" si="25"/>
        <v>3</v>
      </c>
      <c r="AP105" s="8" t="str">
        <f t="shared" si="26"/>
        <v>Peter</v>
      </c>
      <c r="AQ105" s="73" t="str">
        <f>IFERROR(__xludf.DUMMYFUNCTION("IFNA(QUERY(transpose(AY105:BB105),""Select Col1 where Col1 is not null limit 1"",0))"),"")</f>
        <v/>
      </c>
      <c r="AR105" s="56"/>
      <c r="AS105" s="28" t="str">
        <f t="shared" ref="AS105:AV105" si="867">IF(AK105=AS$3,"",AS$3)</f>
        <v/>
      </c>
      <c r="AT105" s="28" t="str">
        <f t="shared" si="867"/>
        <v>Peter</v>
      </c>
      <c r="AU105" s="28" t="str">
        <f t="shared" si="867"/>
        <v/>
      </c>
      <c r="AV105" s="28" t="str">
        <f t="shared" si="867"/>
        <v/>
      </c>
      <c r="AW105" s="56">
        <f t="shared" si="28"/>
        <v>1</v>
      </c>
      <c r="AX105" s="28">
        <f t="shared" si="29"/>
        <v>-36</v>
      </c>
      <c r="AY105" s="28" t="str">
        <f t="shared" ref="AY105:BB105" si="868">IFNA(IFS(AY$3=$AP105,"",$AX105=U105,AY$3),"")</f>
        <v/>
      </c>
      <c r="AZ105" s="28" t="str">
        <f t="shared" si="868"/>
        <v/>
      </c>
      <c r="BA105" s="28" t="str">
        <f t="shared" si="868"/>
        <v/>
      </c>
      <c r="BB105" s="28" t="str">
        <f t="shared" si="868"/>
        <v/>
      </c>
      <c r="BC105" s="58">
        <f>OFFSET('00_Regnskab_01'!$A$1,MATCH(A105,'00_Regnskab_01'!$A$1:$A$25)-1,2)</f>
        <v>43644</v>
      </c>
      <c r="BE105" s="80">
        <f t="shared" ref="BE105:BH105" si="869">if(U105&gt;0,1+BE104,0)</f>
        <v>6</v>
      </c>
      <c r="BF105" s="28">
        <f t="shared" si="869"/>
        <v>0</v>
      </c>
      <c r="BG105" s="28">
        <f t="shared" si="869"/>
        <v>1</v>
      </c>
      <c r="BH105" s="28">
        <f t="shared" si="869"/>
        <v>1</v>
      </c>
      <c r="BJ105" s="28">
        <f t="shared" ref="BJ105:BM105" si="870">if(U105&lt;0,1+BJ104,0)</f>
        <v>0</v>
      </c>
      <c r="BK105" s="28">
        <f t="shared" si="870"/>
        <v>5</v>
      </c>
      <c r="BL105" s="28">
        <f t="shared" si="870"/>
        <v>0</v>
      </c>
      <c r="BM105" s="28">
        <f t="shared" si="870"/>
        <v>0</v>
      </c>
      <c r="BO105" s="74">
        <f t="shared" ref="BO105:BR105" si="871">if(U105&gt;0,U105+BO104,0)</f>
        <v>180</v>
      </c>
      <c r="BP105" s="74">
        <f t="shared" si="871"/>
        <v>0</v>
      </c>
      <c r="BQ105" s="74">
        <f t="shared" si="871"/>
        <v>12</v>
      </c>
      <c r="BR105" s="74">
        <f t="shared" si="871"/>
        <v>12</v>
      </c>
      <c r="BT105" s="28">
        <f t="shared" ref="BT105:BW105" si="872">if(U105&lt;0,U105+BT104,0)</f>
        <v>0</v>
      </c>
      <c r="BU105" s="28">
        <f t="shared" si="872"/>
        <v>-180</v>
      </c>
      <c r="BV105" s="28">
        <f t="shared" si="872"/>
        <v>0</v>
      </c>
      <c r="BW105" s="28">
        <f t="shared" si="872"/>
        <v>0</v>
      </c>
    </row>
    <row r="106">
      <c r="A106" s="53">
        <v>10.0</v>
      </c>
      <c r="B106" s="28">
        <f>'10_28-06-2019'!A7</f>
        <v>5</v>
      </c>
      <c r="C106" s="75">
        <f>'10_28-06-2019'!D7</f>
        <v>160</v>
      </c>
      <c r="D106" s="28">
        <f>'10_28-06-2019'!C7</f>
        <v>-168</v>
      </c>
      <c r="E106" s="28">
        <f>'10_28-06-2019'!E7</f>
        <v>96</v>
      </c>
      <c r="F106" s="28">
        <f>'10_28-06-2019'!B7</f>
        <v>-88</v>
      </c>
      <c r="G106" s="28">
        <f>'10_28-06-2019'!F7</f>
        <v>0</v>
      </c>
      <c r="H106" s="28" t="str">
        <f>'10_28-06-2019'!I7</f>
        <v>Thomas</v>
      </c>
      <c r="J106" s="76" t="str">
        <f>'10_28-06-2019'!H7</f>
        <v>Janus</v>
      </c>
      <c r="K106" s="28" t="str">
        <f>'10_28-06-2019'!G7</f>
        <v>9 vip i 1.</v>
      </c>
      <c r="L106" s="56"/>
      <c r="M106" s="25">
        <v>9.0</v>
      </c>
      <c r="N106" s="25" t="s">
        <v>86</v>
      </c>
      <c r="O106" s="25">
        <v>1.0</v>
      </c>
      <c r="T106" s="56"/>
      <c r="U106" s="77">
        <f t="shared" ref="U106:X106" si="873">C106-C105</f>
        <v>12</v>
      </c>
      <c r="V106" s="28">
        <f t="shared" si="873"/>
        <v>-12</v>
      </c>
      <c r="W106" s="28">
        <f t="shared" si="873"/>
        <v>12</v>
      </c>
      <c r="X106" s="28">
        <f t="shared" si="873"/>
        <v>-12</v>
      </c>
      <c r="AB106" s="28">
        <f t="shared" ref="AB106:AE106" si="874">IF(AB$3=$H106,U106,"")</f>
        <v>12</v>
      </c>
      <c r="AC106" s="28" t="str">
        <f t="shared" si="874"/>
        <v/>
      </c>
      <c r="AD106" s="28" t="str">
        <f t="shared" si="874"/>
        <v/>
      </c>
      <c r="AE106" s="28" t="str">
        <f t="shared" si="874"/>
        <v/>
      </c>
      <c r="AH106" s="28">
        <f t="shared" si="22"/>
        <v>12</v>
      </c>
      <c r="AI106" s="28">
        <f t="shared" si="23"/>
        <v>0</v>
      </c>
      <c r="AK106" s="78" t="str">
        <f t="shared" ref="AK106:AN106" si="875">IF(U106&gt;0,AK$3,"")</f>
        <v>Thomas</v>
      </c>
      <c r="AL106" s="78" t="str">
        <f t="shared" si="875"/>
        <v/>
      </c>
      <c r="AM106" s="78" t="str">
        <f t="shared" si="875"/>
        <v>Janus</v>
      </c>
      <c r="AN106" s="78" t="str">
        <f t="shared" si="875"/>
        <v/>
      </c>
      <c r="AO106" s="56">
        <f t="shared" si="25"/>
        <v>2</v>
      </c>
      <c r="AP106" s="8" t="str">
        <f t="shared" si="26"/>
        <v>Thomas</v>
      </c>
      <c r="AQ106" s="73" t="str">
        <f>IFERROR(__xludf.DUMMYFUNCTION("IFNA(QUERY(transpose(AY106:BB106),""Select Col1 where Col1 is not null limit 1"",0))"),"Janus")</f>
        <v>Janus</v>
      </c>
      <c r="AR106" s="56"/>
      <c r="AS106" s="28" t="str">
        <f t="shared" ref="AS106:AV106" si="876">IF(AK106=AS$3,"",AS$3)</f>
        <v/>
      </c>
      <c r="AT106" s="28" t="str">
        <f t="shared" si="876"/>
        <v>Peter</v>
      </c>
      <c r="AU106" s="28" t="str">
        <f t="shared" si="876"/>
        <v/>
      </c>
      <c r="AV106" s="28" t="str">
        <f t="shared" si="876"/>
        <v>Christian</v>
      </c>
      <c r="AW106" s="56">
        <f t="shared" si="28"/>
        <v>2</v>
      </c>
      <c r="AX106" s="28">
        <f t="shared" si="29"/>
        <v>12</v>
      </c>
      <c r="AY106" s="28" t="str">
        <f t="shared" ref="AY106:BB106" si="877">IFNA(IFS(AY$3=$AP106,"",$AX106=U106,AY$3),"")</f>
        <v/>
      </c>
      <c r="AZ106" s="28" t="str">
        <f t="shared" si="877"/>
        <v/>
      </c>
      <c r="BA106" s="28" t="str">
        <f t="shared" si="877"/>
        <v>Janus</v>
      </c>
      <c r="BB106" s="28" t="str">
        <f t="shared" si="877"/>
        <v/>
      </c>
      <c r="BC106" s="58">
        <f>OFFSET('00_Regnskab_01'!$A$1,MATCH(A106,'00_Regnskab_01'!$A$1:$A$25)-1,2)</f>
        <v>43644</v>
      </c>
      <c r="BE106" s="80">
        <f t="shared" ref="BE106:BH106" si="878">if(U106&gt;0,1+BE105,0)</f>
        <v>7</v>
      </c>
      <c r="BF106" s="28">
        <f t="shared" si="878"/>
        <v>0</v>
      </c>
      <c r="BG106" s="28">
        <f t="shared" si="878"/>
        <v>2</v>
      </c>
      <c r="BH106" s="28">
        <f t="shared" si="878"/>
        <v>0</v>
      </c>
      <c r="BJ106" s="28">
        <f t="shared" ref="BJ106:BM106" si="879">if(U106&lt;0,1+BJ105,0)</f>
        <v>0</v>
      </c>
      <c r="BK106" s="28">
        <f t="shared" si="879"/>
        <v>6</v>
      </c>
      <c r="BL106" s="28">
        <f t="shared" si="879"/>
        <v>0</v>
      </c>
      <c r="BM106" s="28">
        <f t="shared" si="879"/>
        <v>1</v>
      </c>
      <c r="BO106" s="74">
        <f t="shared" ref="BO106:BR106" si="880">if(U106&gt;0,U106+BO105,0)</f>
        <v>192</v>
      </c>
      <c r="BP106" s="74">
        <f t="shared" si="880"/>
        <v>0</v>
      </c>
      <c r="BQ106" s="74">
        <f t="shared" si="880"/>
        <v>24</v>
      </c>
      <c r="BR106" s="74">
        <f t="shared" si="880"/>
        <v>0</v>
      </c>
      <c r="BT106" s="28">
        <f t="shared" ref="BT106:BW106" si="881">if(U106&lt;0,U106+BT105,0)</f>
        <v>0</v>
      </c>
      <c r="BU106" s="28">
        <f t="shared" si="881"/>
        <v>-192</v>
      </c>
      <c r="BV106" s="28">
        <f t="shared" si="881"/>
        <v>0</v>
      </c>
      <c r="BW106" s="28">
        <f t="shared" si="881"/>
        <v>-12</v>
      </c>
    </row>
    <row r="107">
      <c r="A107" s="53">
        <v>10.0</v>
      </c>
      <c r="B107" s="28">
        <f>'10_28-06-2019'!A8</f>
        <v>6</v>
      </c>
      <c r="C107" s="75">
        <f>'10_28-06-2019'!D8</f>
        <v>176</v>
      </c>
      <c r="D107" s="28">
        <f>'10_28-06-2019'!C8</f>
        <v>-216</v>
      </c>
      <c r="E107" s="28">
        <f>'10_28-06-2019'!E8</f>
        <v>112</v>
      </c>
      <c r="F107" s="28">
        <f>'10_28-06-2019'!B8</f>
        <v>-72</v>
      </c>
      <c r="G107" s="28">
        <f>'10_28-06-2019'!F8</f>
        <v>0</v>
      </c>
      <c r="H107" s="28" t="str">
        <f>'10_28-06-2019'!I8</f>
        <v>Peter</v>
      </c>
      <c r="J107" s="76" t="str">
        <f>'10_28-06-2019'!H8</f>
        <v>Christian</v>
      </c>
      <c r="K107" s="28" t="str">
        <f>'10_28-06-2019'!G8</f>
        <v>ren sol</v>
      </c>
      <c r="L107" s="56"/>
      <c r="N107" s="25" t="s">
        <v>97</v>
      </c>
      <c r="T107" s="56"/>
      <c r="U107" s="77">
        <f t="shared" ref="U107:X107" si="882">C107-C106</f>
        <v>16</v>
      </c>
      <c r="V107" s="28">
        <f t="shared" si="882"/>
        <v>-48</v>
      </c>
      <c r="W107" s="28">
        <f t="shared" si="882"/>
        <v>16</v>
      </c>
      <c r="X107" s="28">
        <f t="shared" si="882"/>
        <v>16</v>
      </c>
      <c r="AB107" s="28" t="str">
        <f t="shared" ref="AB107:AE107" si="883">IF(AB$3=$H107,U107,"")</f>
        <v/>
      </c>
      <c r="AC107" s="28">
        <f t="shared" si="883"/>
        <v>-48</v>
      </c>
      <c r="AD107" s="28" t="str">
        <f t="shared" si="883"/>
        <v/>
      </c>
      <c r="AE107" s="28" t="str">
        <f t="shared" si="883"/>
        <v/>
      </c>
      <c r="AH107" s="28">
        <f t="shared" si="22"/>
        <v>0</v>
      </c>
      <c r="AI107" s="28">
        <f t="shared" si="23"/>
        <v>-48</v>
      </c>
      <c r="AK107" s="78" t="str">
        <f t="shared" ref="AK107:AN107" si="884">IF(U107&gt;0,AK$3,"")</f>
        <v>Thomas</v>
      </c>
      <c r="AL107" s="78" t="str">
        <f t="shared" si="884"/>
        <v/>
      </c>
      <c r="AM107" s="78" t="str">
        <f t="shared" si="884"/>
        <v>Janus</v>
      </c>
      <c r="AN107" s="78" t="str">
        <f t="shared" si="884"/>
        <v>Christian</v>
      </c>
      <c r="AO107" s="56">
        <f t="shared" si="25"/>
        <v>3</v>
      </c>
      <c r="AP107" s="8" t="str">
        <f t="shared" si="26"/>
        <v>Peter</v>
      </c>
      <c r="AQ107" s="73" t="str">
        <f>IFERROR(__xludf.DUMMYFUNCTION("IFNA(QUERY(transpose(AY107:BB107),""Select Col1 where Col1 is not null limit 1"",0))"),"")</f>
        <v/>
      </c>
      <c r="AR107" s="56"/>
      <c r="AS107" s="28" t="str">
        <f t="shared" ref="AS107:AV107" si="885">IF(AK107=AS$3,"",AS$3)</f>
        <v/>
      </c>
      <c r="AT107" s="28" t="str">
        <f t="shared" si="885"/>
        <v>Peter</v>
      </c>
      <c r="AU107" s="28" t="str">
        <f t="shared" si="885"/>
        <v/>
      </c>
      <c r="AV107" s="28" t="str">
        <f t="shared" si="885"/>
        <v/>
      </c>
      <c r="AW107" s="56">
        <f t="shared" si="28"/>
        <v>1</v>
      </c>
      <c r="AX107" s="28">
        <f t="shared" si="29"/>
        <v>-48</v>
      </c>
      <c r="AY107" s="28" t="str">
        <f t="shared" ref="AY107:BB107" si="886">IFNA(IFS(AY$3=$AP107,"",$AX107=U107,AY$3),"")</f>
        <v/>
      </c>
      <c r="AZ107" s="28" t="str">
        <f t="shared" si="886"/>
        <v/>
      </c>
      <c r="BA107" s="28" t="str">
        <f t="shared" si="886"/>
        <v/>
      </c>
      <c r="BB107" s="28" t="str">
        <f t="shared" si="886"/>
        <v/>
      </c>
      <c r="BC107" s="58">
        <f>OFFSET('00_Regnskab_01'!$A$1,MATCH(A107,'00_Regnskab_01'!$A$1:$A$25)-1,2)</f>
        <v>43644</v>
      </c>
      <c r="BE107" s="80">
        <f t="shared" ref="BE107:BH107" si="887">if(U107&gt;0,1+BE106,0)</f>
        <v>8</v>
      </c>
      <c r="BF107" s="28">
        <f t="shared" si="887"/>
        <v>0</v>
      </c>
      <c r="BG107" s="28">
        <f t="shared" si="887"/>
        <v>3</v>
      </c>
      <c r="BH107" s="28">
        <f t="shared" si="887"/>
        <v>1</v>
      </c>
      <c r="BJ107" s="28">
        <f t="shared" ref="BJ107:BM107" si="888">if(U107&lt;0,1+BJ106,0)</f>
        <v>0</v>
      </c>
      <c r="BK107" s="28">
        <f t="shared" si="888"/>
        <v>7</v>
      </c>
      <c r="BL107" s="28">
        <f t="shared" si="888"/>
        <v>0</v>
      </c>
      <c r="BM107" s="28">
        <f t="shared" si="888"/>
        <v>0</v>
      </c>
      <c r="BO107" s="74">
        <f t="shared" ref="BO107:BR107" si="889">if(U107&gt;0,U107+BO106,0)</f>
        <v>208</v>
      </c>
      <c r="BP107" s="74">
        <f t="shared" si="889"/>
        <v>0</v>
      </c>
      <c r="BQ107" s="74">
        <f t="shared" si="889"/>
        <v>40</v>
      </c>
      <c r="BR107" s="74">
        <f t="shared" si="889"/>
        <v>16</v>
      </c>
      <c r="BT107" s="28">
        <f t="shared" ref="BT107:BW107" si="890">if(U107&lt;0,U107+BT106,0)</f>
        <v>0</v>
      </c>
      <c r="BU107" s="28">
        <f t="shared" si="890"/>
        <v>-240</v>
      </c>
      <c r="BV107" s="28">
        <f t="shared" si="890"/>
        <v>0</v>
      </c>
      <c r="BW107" s="28">
        <f t="shared" si="890"/>
        <v>0</v>
      </c>
    </row>
    <row r="108">
      <c r="A108" s="53">
        <v>10.0</v>
      </c>
      <c r="B108" s="28">
        <f>'10_28-06-2019'!A9</f>
        <v>7</v>
      </c>
      <c r="C108" s="75">
        <f>'10_28-06-2019'!D9</f>
        <v>168</v>
      </c>
      <c r="D108" s="28">
        <f>'10_28-06-2019'!C9</f>
        <v>-224</v>
      </c>
      <c r="E108" s="28">
        <f>'10_28-06-2019'!E9</f>
        <v>120</v>
      </c>
      <c r="F108" s="28">
        <f>'10_28-06-2019'!B9</f>
        <v>-64</v>
      </c>
      <c r="G108" s="28">
        <f>'10_28-06-2019'!F9</f>
        <v>0</v>
      </c>
      <c r="H108" s="28" t="str">
        <f>'10_28-06-2019'!I9</f>
        <v>Thomas</v>
      </c>
      <c r="J108" s="76" t="str">
        <f>'10_28-06-2019'!H9</f>
        <v>Peter</v>
      </c>
      <c r="K108" s="28" t="str">
        <f>'10_28-06-2019'!G9</f>
        <v>9 vip 1. første</v>
      </c>
      <c r="L108" s="56"/>
      <c r="M108" s="25">
        <v>9.0</v>
      </c>
      <c r="N108" s="25" t="s">
        <v>86</v>
      </c>
      <c r="O108" s="25">
        <v>1.0</v>
      </c>
      <c r="T108" s="56"/>
      <c r="U108" s="77">
        <f t="shared" ref="U108:X108" si="891">C108-C107</f>
        <v>-8</v>
      </c>
      <c r="V108" s="28">
        <f t="shared" si="891"/>
        <v>-8</v>
      </c>
      <c r="W108" s="28">
        <f t="shared" si="891"/>
        <v>8</v>
      </c>
      <c r="X108" s="28">
        <f t="shared" si="891"/>
        <v>8</v>
      </c>
      <c r="AB108" s="28">
        <f t="shared" ref="AB108:AE108" si="892">IF(AB$3=$H108,U108,"")</f>
        <v>-8</v>
      </c>
      <c r="AC108" s="28" t="str">
        <f t="shared" si="892"/>
        <v/>
      </c>
      <c r="AD108" s="28" t="str">
        <f t="shared" si="892"/>
        <v/>
      </c>
      <c r="AE108" s="28" t="str">
        <f t="shared" si="892"/>
        <v/>
      </c>
      <c r="AH108" s="28">
        <f t="shared" si="22"/>
        <v>0</v>
      </c>
      <c r="AI108" s="28">
        <f t="shared" si="23"/>
        <v>-8</v>
      </c>
      <c r="AK108" s="78" t="str">
        <f t="shared" ref="AK108:AN108" si="893">IF(U108&gt;0,AK$3,"")</f>
        <v/>
      </c>
      <c r="AL108" s="78" t="str">
        <f t="shared" si="893"/>
        <v/>
      </c>
      <c r="AM108" s="78" t="str">
        <f t="shared" si="893"/>
        <v>Janus</v>
      </c>
      <c r="AN108" s="78" t="str">
        <f t="shared" si="893"/>
        <v>Christian</v>
      </c>
      <c r="AO108" s="56">
        <f t="shared" si="25"/>
        <v>2</v>
      </c>
      <c r="AP108" s="8" t="str">
        <f t="shared" si="26"/>
        <v>Thomas</v>
      </c>
      <c r="AQ108" s="73" t="str">
        <f>IFERROR(__xludf.DUMMYFUNCTION("IFNA(QUERY(transpose(AY108:BB108),""Select Col1 where Col1 is not null limit 1"",0))"),"Peter")</f>
        <v>Peter</v>
      </c>
      <c r="AR108" s="56"/>
      <c r="AS108" s="28" t="str">
        <f t="shared" ref="AS108:AV108" si="894">IF(AK108=AS$3,"",AS$3)</f>
        <v>Thomas</v>
      </c>
      <c r="AT108" s="28" t="str">
        <f t="shared" si="894"/>
        <v>Peter</v>
      </c>
      <c r="AU108" s="28" t="str">
        <f t="shared" si="894"/>
        <v/>
      </c>
      <c r="AV108" s="28" t="str">
        <f t="shared" si="894"/>
        <v/>
      </c>
      <c r="AW108" s="56">
        <f t="shared" si="28"/>
        <v>2</v>
      </c>
      <c r="AX108" s="28">
        <f t="shared" si="29"/>
        <v>-8</v>
      </c>
      <c r="AY108" s="28" t="str">
        <f t="shared" ref="AY108:BB108" si="895">IFNA(IFS(AY$3=$AP108,"",$AX108=U108,AY$3),"")</f>
        <v/>
      </c>
      <c r="AZ108" s="28" t="str">
        <f t="shared" si="895"/>
        <v>Peter</v>
      </c>
      <c r="BA108" s="28" t="str">
        <f t="shared" si="895"/>
        <v/>
      </c>
      <c r="BB108" s="28" t="str">
        <f t="shared" si="895"/>
        <v/>
      </c>
      <c r="BC108" s="58">
        <f>OFFSET('00_Regnskab_01'!$A$1,MATCH(A108,'00_Regnskab_01'!$A$1:$A$25)-1,2)</f>
        <v>43644</v>
      </c>
      <c r="BE108" s="80">
        <f t="shared" ref="BE108:BH108" si="896">if(U108&gt;0,1+BE107,0)</f>
        <v>0</v>
      </c>
      <c r="BF108" s="28">
        <f t="shared" si="896"/>
        <v>0</v>
      </c>
      <c r="BG108" s="28">
        <f t="shared" si="896"/>
        <v>4</v>
      </c>
      <c r="BH108" s="28">
        <f t="shared" si="896"/>
        <v>2</v>
      </c>
      <c r="BJ108" s="28">
        <f t="shared" ref="BJ108:BM108" si="897">if(U108&lt;0,1+BJ107,0)</f>
        <v>1</v>
      </c>
      <c r="BK108" s="28">
        <f t="shared" si="897"/>
        <v>8</v>
      </c>
      <c r="BL108" s="28">
        <f t="shared" si="897"/>
        <v>0</v>
      </c>
      <c r="BM108" s="28">
        <f t="shared" si="897"/>
        <v>0</v>
      </c>
      <c r="BO108" s="74">
        <f t="shared" ref="BO108:BR108" si="898">if(U108&gt;0,U108+BO107,0)</f>
        <v>0</v>
      </c>
      <c r="BP108" s="74">
        <f t="shared" si="898"/>
        <v>0</v>
      </c>
      <c r="BQ108" s="74">
        <f t="shared" si="898"/>
        <v>48</v>
      </c>
      <c r="BR108" s="74">
        <f t="shared" si="898"/>
        <v>24</v>
      </c>
      <c r="BT108" s="28">
        <f t="shared" ref="BT108:BW108" si="899">if(U108&lt;0,U108+BT107,0)</f>
        <v>-8</v>
      </c>
      <c r="BU108" s="28">
        <f t="shared" si="899"/>
        <v>-248</v>
      </c>
      <c r="BV108" s="28">
        <f t="shared" si="899"/>
        <v>0</v>
      </c>
      <c r="BW108" s="28">
        <f t="shared" si="899"/>
        <v>0</v>
      </c>
    </row>
    <row r="109">
      <c r="A109" s="53">
        <v>10.0</v>
      </c>
      <c r="B109" s="28">
        <f>'10_28-06-2019'!A10</f>
        <v>8</v>
      </c>
      <c r="C109" s="75">
        <f>'10_28-06-2019'!D10</f>
        <v>156</v>
      </c>
      <c r="D109" s="28">
        <f>'10_28-06-2019'!C10</f>
        <v>-212</v>
      </c>
      <c r="E109" s="28">
        <f>'10_28-06-2019'!E10</f>
        <v>132</v>
      </c>
      <c r="F109" s="28">
        <f>'10_28-06-2019'!B10</f>
        <v>-76</v>
      </c>
      <c r="G109" s="28">
        <f>'10_28-06-2019'!F10</f>
        <v>0</v>
      </c>
      <c r="H109" s="28" t="str">
        <f>'10_28-06-2019'!I10</f>
        <v>Thomas</v>
      </c>
      <c r="J109" s="76" t="str">
        <f>'10_28-06-2019'!H10</f>
        <v>Thomas</v>
      </c>
      <c r="K109" s="28" t="str">
        <f>'10_28-06-2019'!G10</f>
        <v> 9 halve</v>
      </c>
      <c r="L109" s="56"/>
      <c r="M109" s="25">
        <v>9.0</v>
      </c>
      <c r="N109" s="25" t="s">
        <v>94</v>
      </c>
      <c r="T109" s="56"/>
      <c r="U109" s="77">
        <f t="shared" ref="U109:X109" si="900">C109-C108</f>
        <v>-12</v>
      </c>
      <c r="V109" s="28">
        <f t="shared" si="900"/>
        <v>12</v>
      </c>
      <c r="W109" s="28">
        <f t="shared" si="900"/>
        <v>12</v>
      </c>
      <c r="X109" s="28">
        <f t="shared" si="900"/>
        <v>-12</v>
      </c>
      <c r="AB109" s="28">
        <f t="shared" ref="AB109:AE109" si="901">IF(AB$3=$H109,U109,"")</f>
        <v>-12</v>
      </c>
      <c r="AC109" s="28" t="str">
        <f t="shared" si="901"/>
        <v/>
      </c>
      <c r="AD109" s="28" t="str">
        <f t="shared" si="901"/>
        <v/>
      </c>
      <c r="AE109" s="28" t="str">
        <f t="shared" si="901"/>
        <v/>
      </c>
      <c r="AH109" s="28">
        <f t="shared" si="22"/>
        <v>0</v>
      </c>
      <c r="AI109" s="28">
        <f t="shared" si="23"/>
        <v>-12</v>
      </c>
      <c r="AK109" s="78" t="str">
        <f t="shared" ref="AK109:AN109" si="902">IF(U109&gt;0,AK$3,"")</f>
        <v/>
      </c>
      <c r="AL109" s="78" t="str">
        <f t="shared" si="902"/>
        <v>Peter</v>
      </c>
      <c r="AM109" s="78" t="str">
        <f t="shared" si="902"/>
        <v>Janus</v>
      </c>
      <c r="AN109" s="78" t="str">
        <f t="shared" si="902"/>
        <v/>
      </c>
      <c r="AO109" s="56">
        <f t="shared" si="25"/>
        <v>2</v>
      </c>
      <c r="AP109" s="8" t="str">
        <f t="shared" si="26"/>
        <v>Thomas</v>
      </c>
      <c r="AQ109" s="73" t="str">
        <f>IFERROR(__xludf.DUMMYFUNCTION("IFNA(QUERY(transpose(AY109:BB109),""Select Col1 where Col1 is not null limit 1"",0))"),"Christian")</f>
        <v>Christian</v>
      </c>
      <c r="AR109" s="56"/>
      <c r="AS109" s="28" t="str">
        <f t="shared" ref="AS109:AV109" si="903">IF(AK109=AS$3,"",AS$3)</f>
        <v>Thomas</v>
      </c>
      <c r="AT109" s="28" t="str">
        <f t="shared" si="903"/>
        <v/>
      </c>
      <c r="AU109" s="28" t="str">
        <f t="shared" si="903"/>
        <v/>
      </c>
      <c r="AV109" s="28" t="str">
        <f t="shared" si="903"/>
        <v>Christian</v>
      </c>
      <c r="AW109" s="56">
        <f t="shared" si="28"/>
        <v>2</v>
      </c>
      <c r="AX109" s="28">
        <f t="shared" si="29"/>
        <v>-12</v>
      </c>
      <c r="AY109" s="28" t="str">
        <f t="shared" ref="AY109:BB109" si="904">IFNA(IFS(AY$3=$AP109,"",$AX109=U109,AY$3),"")</f>
        <v/>
      </c>
      <c r="AZ109" s="28" t="str">
        <f t="shared" si="904"/>
        <v/>
      </c>
      <c r="BA109" s="28" t="str">
        <f t="shared" si="904"/>
        <v/>
      </c>
      <c r="BB109" s="28" t="str">
        <f t="shared" si="904"/>
        <v>Christian</v>
      </c>
      <c r="BC109" s="58">
        <f>OFFSET('00_Regnskab_01'!$A$1,MATCH(A109,'00_Regnskab_01'!$A$1:$A$25)-1,2)</f>
        <v>43644</v>
      </c>
      <c r="BE109" s="80">
        <f t="shared" ref="BE109:BH109" si="905">if(U109&gt;0,1+BE108,0)</f>
        <v>0</v>
      </c>
      <c r="BF109" s="28">
        <f t="shared" si="905"/>
        <v>1</v>
      </c>
      <c r="BG109" s="28">
        <f t="shared" si="905"/>
        <v>5</v>
      </c>
      <c r="BH109" s="28">
        <f t="shared" si="905"/>
        <v>0</v>
      </c>
      <c r="BJ109" s="28">
        <f t="shared" ref="BJ109:BM109" si="906">if(U109&lt;0,1+BJ108,0)</f>
        <v>2</v>
      </c>
      <c r="BK109" s="28">
        <f t="shared" si="906"/>
        <v>0</v>
      </c>
      <c r="BL109" s="28">
        <f t="shared" si="906"/>
        <v>0</v>
      </c>
      <c r="BM109" s="28">
        <f t="shared" si="906"/>
        <v>1</v>
      </c>
      <c r="BO109" s="74">
        <f t="shared" ref="BO109:BR109" si="907">if(U109&gt;0,U109+BO108,0)</f>
        <v>0</v>
      </c>
      <c r="BP109" s="74">
        <f t="shared" si="907"/>
        <v>12</v>
      </c>
      <c r="BQ109" s="74">
        <f t="shared" si="907"/>
        <v>60</v>
      </c>
      <c r="BR109" s="74">
        <f t="shared" si="907"/>
        <v>0</v>
      </c>
      <c r="BT109" s="28">
        <f t="shared" ref="BT109:BW109" si="908">if(U109&lt;0,U109+BT108,0)</f>
        <v>-20</v>
      </c>
      <c r="BU109" s="28">
        <f t="shared" si="908"/>
        <v>0</v>
      </c>
      <c r="BV109" s="28">
        <f t="shared" si="908"/>
        <v>0</v>
      </c>
      <c r="BW109" s="28">
        <f t="shared" si="908"/>
        <v>-12</v>
      </c>
    </row>
    <row r="110">
      <c r="A110" s="53">
        <v>10.0</v>
      </c>
      <c r="B110" s="28">
        <f>'10_28-06-2019'!A11</f>
        <v>9</v>
      </c>
      <c r="C110" s="75">
        <f>'10_28-06-2019'!D11</f>
        <v>204</v>
      </c>
      <c r="D110" s="28">
        <f>'10_28-06-2019'!C11</f>
        <v>-164</v>
      </c>
      <c r="E110" s="28">
        <f>'10_28-06-2019'!E11</f>
        <v>84</v>
      </c>
      <c r="F110" s="28">
        <f>'10_28-06-2019'!B11</f>
        <v>-124</v>
      </c>
      <c r="G110" s="28">
        <f>'10_28-06-2019'!F11</f>
        <v>0</v>
      </c>
      <c r="H110" s="28" t="str">
        <f>'10_28-06-2019'!I11</f>
        <v>Thomas</v>
      </c>
      <c r="J110" s="76" t="str">
        <f>'10_28-06-2019'!H11</f>
        <v>Janus</v>
      </c>
      <c r="K110" s="28" t="str">
        <f>'10_28-06-2019'!G11</f>
        <v>9 gode</v>
      </c>
      <c r="L110" s="56"/>
      <c r="M110" s="25">
        <v>9.0</v>
      </c>
      <c r="N110" s="25" t="s">
        <v>95</v>
      </c>
      <c r="T110" s="56"/>
      <c r="U110" s="77">
        <f t="shared" ref="U110:X110" si="909">C110-C109</f>
        <v>48</v>
      </c>
      <c r="V110" s="28">
        <f t="shared" si="909"/>
        <v>48</v>
      </c>
      <c r="W110" s="28">
        <f t="shared" si="909"/>
        <v>-48</v>
      </c>
      <c r="X110" s="28">
        <f t="shared" si="909"/>
        <v>-48</v>
      </c>
      <c r="AB110" s="28">
        <f t="shared" ref="AB110:AE110" si="910">IF(AB$3=$H110,U110,"")</f>
        <v>48</v>
      </c>
      <c r="AC110" s="28" t="str">
        <f t="shared" si="910"/>
        <v/>
      </c>
      <c r="AD110" s="28" t="str">
        <f t="shared" si="910"/>
        <v/>
      </c>
      <c r="AE110" s="28" t="str">
        <f t="shared" si="910"/>
        <v/>
      </c>
      <c r="AH110" s="28">
        <f t="shared" si="22"/>
        <v>48</v>
      </c>
      <c r="AI110" s="28">
        <f t="shared" si="23"/>
        <v>0</v>
      </c>
      <c r="AK110" s="78" t="str">
        <f t="shared" ref="AK110:AN110" si="911">IF(U110&gt;0,AK$3,"")</f>
        <v>Thomas</v>
      </c>
      <c r="AL110" s="78" t="str">
        <f t="shared" si="911"/>
        <v>Peter</v>
      </c>
      <c r="AM110" s="78" t="str">
        <f t="shared" si="911"/>
        <v/>
      </c>
      <c r="AN110" s="78" t="str">
        <f t="shared" si="911"/>
        <v/>
      </c>
      <c r="AO110" s="56">
        <f t="shared" si="25"/>
        <v>2</v>
      </c>
      <c r="AP110" s="8" t="str">
        <f t="shared" si="26"/>
        <v>Thomas</v>
      </c>
      <c r="AQ110" s="73" t="str">
        <f>IFERROR(__xludf.DUMMYFUNCTION("IFNA(QUERY(transpose(AY110:BB110),""Select Col1 where Col1 is not null limit 1"",0))"),"Peter")</f>
        <v>Peter</v>
      </c>
      <c r="AR110" s="56"/>
      <c r="AS110" s="28" t="str">
        <f t="shared" ref="AS110:AV110" si="912">IF(AK110=AS$3,"",AS$3)</f>
        <v/>
      </c>
      <c r="AT110" s="28" t="str">
        <f t="shared" si="912"/>
        <v/>
      </c>
      <c r="AU110" s="28" t="str">
        <f t="shared" si="912"/>
        <v>Janus</v>
      </c>
      <c r="AV110" s="28" t="str">
        <f t="shared" si="912"/>
        <v>Christian</v>
      </c>
      <c r="AW110" s="56">
        <f t="shared" si="28"/>
        <v>2</v>
      </c>
      <c r="AX110" s="28">
        <f t="shared" si="29"/>
        <v>48</v>
      </c>
      <c r="AY110" s="28" t="str">
        <f t="shared" ref="AY110:BB110" si="913">IFNA(IFS(AY$3=$AP110,"",$AX110=U110,AY$3),"")</f>
        <v/>
      </c>
      <c r="AZ110" s="28" t="str">
        <f t="shared" si="913"/>
        <v>Peter</v>
      </c>
      <c r="BA110" s="28" t="str">
        <f t="shared" si="913"/>
        <v/>
      </c>
      <c r="BB110" s="28" t="str">
        <f t="shared" si="913"/>
        <v/>
      </c>
      <c r="BC110" s="58">
        <f>OFFSET('00_Regnskab_01'!$A$1,MATCH(A110,'00_Regnskab_01'!$A$1:$A$25)-1,2)</f>
        <v>43644</v>
      </c>
      <c r="BE110" s="80">
        <f t="shared" ref="BE110:BH110" si="914">if(U110&gt;0,1+BE109,0)</f>
        <v>1</v>
      </c>
      <c r="BF110" s="28">
        <f t="shared" si="914"/>
        <v>2</v>
      </c>
      <c r="BG110" s="28">
        <f t="shared" si="914"/>
        <v>0</v>
      </c>
      <c r="BH110" s="28">
        <f t="shared" si="914"/>
        <v>0</v>
      </c>
      <c r="BJ110" s="28">
        <f t="shared" ref="BJ110:BM110" si="915">if(U110&lt;0,1+BJ109,0)</f>
        <v>0</v>
      </c>
      <c r="BK110" s="28">
        <f t="shared" si="915"/>
        <v>0</v>
      </c>
      <c r="BL110" s="28">
        <f t="shared" si="915"/>
        <v>1</v>
      </c>
      <c r="BM110" s="28">
        <f t="shared" si="915"/>
        <v>2</v>
      </c>
      <c r="BO110" s="74">
        <f t="shared" ref="BO110:BR110" si="916">if(U110&gt;0,U110+BO109,0)</f>
        <v>48</v>
      </c>
      <c r="BP110" s="74">
        <f t="shared" si="916"/>
        <v>60</v>
      </c>
      <c r="BQ110" s="74">
        <f t="shared" si="916"/>
        <v>0</v>
      </c>
      <c r="BR110" s="74">
        <f t="shared" si="916"/>
        <v>0</v>
      </c>
      <c r="BT110" s="28">
        <f t="shared" ref="BT110:BW110" si="917">if(U110&lt;0,U110+BT109,0)</f>
        <v>0</v>
      </c>
      <c r="BU110" s="28">
        <f t="shared" si="917"/>
        <v>0</v>
      </c>
      <c r="BV110" s="28">
        <f t="shared" si="917"/>
        <v>-48</v>
      </c>
      <c r="BW110" s="28">
        <f t="shared" si="917"/>
        <v>-60</v>
      </c>
    </row>
    <row r="111">
      <c r="A111" s="53">
        <v>10.0</v>
      </c>
      <c r="B111" s="28">
        <f>'10_28-06-2019'!A12</f>
        <v>10</v>
      </c>
      <c r="C111" s="75">
        <f>'10_28-06-2019'!D12</f>
        <v>224</v>
      </c>
      <c r="D111" s="28">
        <f>'10_28-06-2019'!C12</f>
        <v>-184</v>
      </c>
      <c r="E111" s="28">
        <f>'10_28-06-2019'!E12</f>
        <v>104</v>
      </c>
      <c r="F111" s="28">
        <f>'10_28-06-2019'!B12</f>
        <v>-144</v>
      </c>
      <c r="G111" s="28">
        <f>'10_28-06-2019'!F12</f>
        <v>0</v>
      </c>
      <c r="H111" s="28" t="str">
        <f>'10_28-06-2019'!I12</f>
        <v>Thomas</v>
      </c>
      <c r="J111" s="76" t="str">
        <f>'10_28-06-2019'!H12</f>
        <v>Christian</v>
      </c>
      <c r="K111" s="28" t="str">
        <f>'10_28-06-2019'!G12</f>
        <v>9 vip 1. første</v>
      </c>
      <c r="L111" s="56"/>
      <c r="M111" s="25">
        <v>9.0</v>
      </c>
      <c r="N111" s="25" t="s">
        <v>86</v>
      </c>
      <c r="O111" s="25">
        <v>1.0</v>
      </c>
      <c r="T111" s="56"/>
      <c r="U111" s="77">
        <f t="shared" ref="U111:X111" si="918">C111-C110</f>
        <v>20</v>
      </c>
      <c r="V111" s="28">
        <f t="shared" si="918"/>
        <v>-20</v>
      </c>
      <c r="W111" s="28">
        <f t="shared" si="918"/>
        <v>20</v>
      </c>
      <c r="X111" s="28">
        <f t="shared" si="918"/>
        <v>-20</v>
      </c>
      <c r="AB111" s="28">
        <f t="shared" ref="AB111:AE111" si="919">IF(AB$3=$H111,U111,"")</f>
        <v>20</v>
      </c>
      <c r="AC111" s="28" t="str">
        <f t="shared" si="919"/>
        <v/>
      </c>
      <c r="AD111" s="28" t="str">
        <f t="shared" si="919"/>
        <v/>
      </c>
      <c r="AE111" s="28" t="str">
        <f t="shared" si="919"/>
        <v/>
      </c>
      <c r="AH111" s="28">
        <f t="shared" si="22"/>
        <v>20</v>
      </c>
      <c r="AI111" s="28">
        <f t="shared" si="23"/>
        <v>0</v>
      </c>
      <c r="AK111" s="78" t="str">
        <f t="shared" ref="AK111:AN111" si="920">IF(U111&gt;0,AK$3,"")</f>
        <v>Thomas</v>
      </c>
      <c r="AL111" s="78" t="str">
        <f t="shared" si="920"/>
        <v/>
      </c>
      <c r="AM111" s="78" t="str">
        <f t="shared" si="920"/>
        <v>Janus</v>
      </c>
      <c r="AN111" s="78" t="str">
        <f t="shared" si="920"/>
        <v/>
      </c>
      <c r="AO111" s="56">
        <f t="shared" si="25"/>
        <v>2</v>
      </c>
      <c r="AP111" s="8" t="str">
        <f t="shared" si="26"/>
        <v>Thomas</v>
      </c>
      <c r="AQ111" s="73" t="str">
        <f>IFERROR(__xludf.DUMMYFUNCTION("IFNA(QUERY(transpose(AY111:BB111),""Select Col1 where Col1 is not null limit 1"",0))"),"Janus")</f>
        <v>Janus</v>
      </c>
      <c r="AR111" s="56"/>
      <c r="AS111" s="28" t="str">
        <f t="shared" ref="AS111:AV111" si="921">IF(AK111=AS$3,"",AS$3)</f>
        <v/>
      </c>
      <c r="AT111" s="28" t="str">
        <f t="shared" si="921"/>
        <v>Peter</v>
      </c>
      <c r="AU111" s="28" t="str">
        <f t="shared" si="921"/>
        <v/>
      </c>
      <c r="AV111" s="28" t="str">
        <f t="shared" si="921"/>
        <v>Christian</v>
      </c>
      <c r="AW111" s="56">
        <f t="shared" si="28"/>
        <v>2</v>
      </c>
      <c r="AX111" s="28">
        <f t="shared" si="29"/>
        <v>20</v>
      </c>
      <c r="AY111" s="28" t="str">
        <f t="shared" ref="AY111:BB111" si="922">IFNA(IFS(AY$3=$AP111,"",$AX111=U111,AY$3),"")</f>
        <v/>
      </c>
      <c r="AZ111" s="28" t="str">
        <f t="shared" si="922"/>
        <v/>
      </c>
      <c r="BA111" s="28" t="str">
        <f t="shared" si="922"/>
        <v>Janus</v>
      </c>
      <c r="BB111" s="28" t="str">
        <f t="shared" si="922"/>
        <v/>
      </c>
      <c r="BC111" s="58">
        <f>OFFSET('00_Regnskab_01'!$A$1,MATCH(A111,'00_Regnskab_01'!$A$1:$A$25)-1,2)</f>
        <v>43644</v>
      </c>
      <c r="BE111" s="80">
        <f t="shared" ref="BE111:BH111" si="923">if(U111&gt;0,1+BE110,0)</f>
        <v>2</v>
      </c>
      <c r="BF111" s="28">
        <f t="shared" si="923"/>
        <v>0</v>
      </c>
      <c r="BG111" s="28">
        <f t="shared" si="923"/>
        <v>1</v>
      </c>
      <c r="BH111" s="28">
        <f t="shared" si="923"/>
        <v>0</v>
      </c>
      <c r="BJ111" s="28">
        <f t="shared" ref="BJ111:BM111" si="924">if(U111&lt;0,1+BJ110,0)</f>
        <v>0</v>
      </c>
      <c r="BK111" s="28">
        <f t="shared" si="924"/>
        <v>1</v>
      </c>
      <c r="BL111" s="28">
        <f t="shared" si="924"/>
        <v>0</v>
      </c>
      <c r="BM111" s="28">
        <f t="shared" si="924"/>
        <v>3</v>
      </c>
      <c r="BO111" s="74">
        <f t="shared" ref="BO111:BR111" si="925">if(U111&gt;0,U111+BO110,0)</f>
        <v>68</v>
      </c>
      <c r="BP111" s="74">
        <f t="shared" si="925"/>
        <v>0</v>
      </c>
      <c r="BQ111" s="74">
        <f t="shared" si="925"/>
        <v>20</v>
      </c>
      <c r="BR111" s="74">
        <f t="shared" si="925"/>
        <v>0</v>
      </c>
      <c r="BT111" s="28">
        <f t="shared" ref="BT111:BW111" si="926">if(U111&lt;0,U111+BT110,0)</f>
        <v>0</v>
      </c>
      <c r="BU111" s="28">
        <f t="shared" si="926"/>
        <v>-20</v>
      </c>
      <c r="BV111" s="28">
        <f t="shared" si="926"/>
        <v>0</v>
      </c>
      <c r="BW111" s="28">
        <f t="shared" si="926"/>
        <v>-80</v>
      </c>
    </row>
    <row r="112">
      <c r="A112" s="53">
        <v>10.0</v>
      </c>
      <c r="B112" s="28">
        <f>'10_28-06-2019'!A13</f>
        <v>11</v>
      </c>
      <c r="C112" s="75">
        <f>'10_28-06-2019'!D13</f>
        <v>212</v>
      </c>
      <c r="D112" s="28">
        <f>'10_28-06-2019'!C13</f>
        <v>-196</v>
      </c>
      <c r="E112" s="28">
        <f>'10_28-06-2019'!E13</f>
        <v>116</v>
      </c>
      <c r="F112" s="28">
        <f>'10_28-06-2019'!B13</f>
        <v>-132</v>
      </c>
      <c r="G112" s="28">
        <f>'10_28-06-2019'!F13</f>
        <v>0</v>
      </c>
      <c r="H112" s="28" t="str">
        <f>'10_28-06-2019'!I13</f>
        <v>Janus</v>
      </c>
      <c r="J112" s="76" t="str">
        <f>'10_28-06-2019'!H13</f>
        <v>Peter</v>
      </c>
      <c r="K112" s="28" t="str">
        <f>'10_28-06-2019'!G13</f>
        <v>9 halve</v>
      </c>
      <c r="L112" s="56"/>
      <c r="M112" s="25">
        <v>9.0</v>
      </c>
      <c r="N112" s="25" t="s">
        <v>94</v>
      </c>
      <c r="T112" s="56"/>
      <c r="U112" s="77">
        <f t="shared" ref="U112:X112" si="927">C112-C111</f>
        <v>-12</v>
      </c>
      <c r="V112" s="28">
        <f t="shared" si="927"/>
        <v>-12</v>
      </c>
      <c r="W112" s="28">
        <f t="shared" si="927"/>
        <v>12</v>
      </c>
      <c r="X112" s="28">
        <f t="shared" si="927"/>
        <v>12</v>
      </c>
      <c r="AB112" s="28" t="str">
        <f t="shared" ref="AB112:AE112" si="928">IF(AB$3=$H112,U112,"")</f>
        <v/>
      </c>
      <c r="AC112" s="28" t="str">
        <f t="shared" si="928"/>
        <v/>
      </c>
      <c r="AD112" s="28">
        <f t="shared" si="928"/>
        <v>12</v>
      </c>
      <c r="AE112" s="28" t="str">
        <f t="shared" si="928"/>
        <v/>
      </c>
      <c r="AH112" s="28">
        <f t="shared" si="22"/>
        <v>12</v>
      </c>
      <c r="AI112" s="28">
        <f t="shared" si="23"/>
        <v>0</v>
      </c>
      <c r="AK112" s="78" t="str">
        <f t="shared" ref="AK112:AN112" si="929">IF(U112&gt;0,AK$3,"")</f>
        <v/>
      </c>
      <c r="AL112" s="78" t="str">
        <f t="shared" si="929"/>
        <v/>
      </c>
      <c r="AM112" s="78" t="str">
        <f t="shared" si="929"/>
        <v>Janus</v>
      </c>
      <c r="AN112" s="78" t="str">
        <f t="shared" si="929"/>
        <v>Christian</v>
      </c>
      <c r="AO112" s="56">
        <f t="shared" si="25"/>
        <v>2</v>
      </c>
      <c r="AP112" s="8" t="str">
        <f t="shared" si="26"/>
        <v>Janus</v>
      </c>
      <c r="AQ112" s="73" t="str">
        <f>IFERROR(__xludf.DUMMYFUNCTION("IFNA(QUERY(transpose(AY112:BB112),""Select Col1 where Col1 is not null limit 1"",0))"),"Christian")</f>
        <v>Christian</v>
      </c>
      <c r="AR112" s="56"/>
      <c r="AS112" s="28" t="str">
        <f t="shared" ref="AS112:AV112" si="930">IF(AK112=AS$3,"",AS$3)</f>
        <v>Thomas</v>
      </c>
      <c r="AT112" s="28" t="str">
        <f t="shared" si="930"/>
        <v>Peter</v>
      </c>
      <c r="AU112" s="28" t="str">
        <f t="shared" si="930"/>
        <v/>
      </c>
      <c r="AV112" s="28" t="str">
        <f t="shared" si="930"/>
        <v/>
      </c>
      <c r="AW112" s="56">
        <f t="shared" si="28"/>
        <v>2</v>
      </c>
      <c r="AX112" s="28">
        <f t="shared" si="29"/>
        <v>12</v>
      </c>
      <c r="AY112" s="28" t="str">
        <f t="shared" ref="AY112:BB112" si="931">IFNA(IFS(AY$3=$AP112,"",$AX112=U112,AY$3),"")</f>
        <v/>
      </c>
      <c r="AZ112" s="28" t="str">
        <f t="shared" si="931"/>
        <v/>
      </c>
      <c r="BA112" s="28" t="str">
        <f t="shared" si="931"/>
        <v/>
      </c>
      <c r="BB112" s="28" t="str">
        <f t="shared" si="931"/>
        <v>Christian</v>
      </c>
      <c r="BC112" s="58">
        <f>OFFSET('00_Regnskab_01'!$A$1,MATCH(A112,'00_Regnskab_01'!$A$1:$A$25)-1,2)</f>
        <v>43644</v>
      </c>
      <c r="BE112" s="80">
        <f t="shared" ref="BE112:BH112" si="932">if(U112&gt;0,1+BE111,0)</f>
        <v>0</v>
      </c>
      <c r="BF112" s="28">
        <f t="shared" si="932"/>
        <v>0</v>
      </c>
      <c r="BG112" s="28">
        <f t="shared" si="932"/>
        <v>2</v>
      </c>
      <c r="BH112" s="28">
        <f t="shared" si="932"/>
        <v>1</v>
      </c>
      <c r="BJ112" s="28">
        <f t="shared" ref="BJ112:BM112" si="933">if(U112&lt;0,1+BJ111,0)</f>
        <v>1</v>
      </c>
      <c r="BK112" s="28">
        <f t="shared" si="933"/>
        <v>2</v>
      </c>
      <c r="BL112" s="28">
        <f t="shared" si="933"/>
        <v>0</v>
      </c>
      <c r="BM112" s="28">
        <f t="shared" si="933"/>
        <v>0</v>
      </c>
      <c r="BO112" s="74">
        <f t="shared" ref="BO112:BR112" si="934">if(U112&gt;0,U112+BO111,0)</f>
        <v>0</v>
      </c>
      <c r="BP112" s="74">
        <f t="shared" si="934"/>
        <v>0</v>
      </c>
      <c r="BQ112" s="74">
        <f t="shared" si="934"/>
        <v>32</v>
      </c>
      <c r="BR112" s="74">
        <f t="shared" si="934"/>
        <v>12</v>
      </c>
      <c r="BT112" s="28">
        <f t="shared" ref="BT112:BW112" si="935">if(U112&lt;0,U112+BT111,0)</f>
        <v>-12</v>
      </c>
      <c r="BU112" s="28">
        <f t="shared" si="935"/>
        <v>-32</v>
      </c>
      <c r="BV112" s="28">
        <f t="shared" si="935"/>
        <v>0</v>
      </c>
      <c r="BW112" s="28">
        <f t="shared" si="935"/>
        <v>0</v>
      </c>
    </row>
    <row r="113">
      <c r="A113" s="53">
        <v>10.0</v>
      </c>
      <c r="B113" s="28">
        <f>'10_28-06-2019'!A14</f>
        <v>12</v>
      </c>
      <c r="C113" s="75">
        <f>'10_28-06-2019'!D14</f>
        <v>260</v>
      </c>
      <c r="D113" s="28">
        <f>'10_28-06-2019'!C14</f>
        <v>-148</v>
      </c>
      <c r="E113" s="28">
        <f>'10_28-06-2019'!E14</f>
        <v>68</v>
      </c>
      <c r="F113" s="28">
        <f>'10_28-06-2019'!B14</f>
        <v>-180</v>
      </c>
      <c r="G113" s="28">
        <f>'10_28-06-2019'!F14</f>
        <v>0</v>
      </c>
      <c r="H113" s="28" t="str">
        <f>'10_28-06-2019'!I14</f>
        <v>Thomas</v>
      </c>
      <c r="J113" s="76" t="str">
        <f>'10_28-06-2019'!H14</f>
        <v>Christian</v>
      </c>
      <c r="K113" s="28" t="str">
        <f>'10_28-06-2019'!G14</f>
        <v>9 vip 1. første</v>
      </c>
      <c r="L113" s="56"/>
      <c r="M113" s="25">
        <v>9.0</v>
      </c>
      <c r="N113" s="25" t="s">
        <v>86</v>
      </c>
      <c r="O113" s="25">
        <v>1.0</v>
      </c>
      <c r="T113" s="56"/>
      <c r="U113" s="77">
        <f t="shared" ref="U113:X113" si="936">C113-C112</f>
        <v>48</v>
      </c>
      <c r="V113" s="28">
        <f t="shared" si="936"/>
        <v>48</v>
      </c>
      <c r="W113" s="28">
        <f t="shared" si="936"/>
        <v>-48</v>
      </c>
      <c r="X113" s="28">
        <f t="shared" si="936"/>
        <v>-48</v>
      </c>
      <c r="AB113" s="28">
        <f t="shared" ref="AB113:AE113" si="937">IF(AB$3=$H113,U113,"")</f>
        <v>48</v>
      </c>
      <c r="AC113" s="28" t="str">
        <f t="shared" si="937"/>
        <v/>
      </c>
      <c r="AD113" s="28" t="str">
        <f t="shared" si="937"/>
        <v/>
      </c>
      <c r="AE113" s="28" t="str">
        <f t="shared" si="937"/>
        <v/>
      </c>
      <c r="AH113" s="28">
        <f t="shared" si="22"/>
        <v>48</v>
      </c>
      <c r="AI113" s="28">
        <f t="shared" si="23"/>
        <v>0</v>
      </c>
      <c r="AK113" s="78" t="str">
        <f t="shared" ref="AK113:AN113" si="938">IF(U113&gt;0,AK$3,"")</f>
        <v>Thomas</v>
      </c>
      <c r="AL113" s="78" t="str">
        <f t="shared" si="938"/>
        <v>Peter</v>
      </c>
      <c r="AM113" s="78" t="str">
        <f t="shared" si="938"/>
        <v/>
      </c>
      <c r="AN113" s="78" t="str">
        <f t="shared" si="938"/>
        <v/>
      </c>
      <c r="AO113" s="56">
        <f t="shared" si="25"/>
        <v>2</v>
      </c>
      <c r="AP113" s="8" t="str">
        <f t="shared" si="26"/>
        <v>Thomas</v>
      </c>
      <c r="AQ113" s="73" t="str">
        <f>IFERROR(__xludf.DUMMYFUNCTION("IFNA(QUERY(transpose(AY113:BB113),""Select Col1 where Col1 is not null limit 1"",0))"),"Peter")</f>
        <v>Peter</v>
      </c>
      <c r="AR113" s="56"/>
      <c r="AS113" s="28" t="str">
        <f t="shared" ref="AS113:AV113" si="939">IF(AK113=AS$3,"",AS$3)</f>
        <v/>
      </c>
      <c r="AT113" s="28" t="str">
        <f t="shared" si="939"/>
        <v/>
      </c>
      <c r="AU113" s="28" t="str">
        <f t="shared" si="939"/>
        <v>Janus</v>
      </c>
      <c r="AV113" s="28" t="str">
        <f t="shared" si="939"/>
        <v>Christian</v>
      </c>
      <c r="AW113" s="56">
        <f t="shared" si="28"/>
        <v>2</v>
      </c>
      <c r="AX113" s="28">
        <f t="shared" si="29"/>
        <v>48</v>
      </c>
      <c r="AY113" s="28" t="str">
        <f t="shared" ref="AY113:BB113" si="940">IFNA(IFS(AY$3=$AP113,"",$AX113=U113,AY$3),"")</f>
        <v/>
      </c>
      <c r="AZ113" s="28" t="str">
        <f t="shared" si="940"/>
        <v>Peter</v>
      </c>
      <c r="BA113" s="28" t="str">
        <f t="shared" si="940"/>
        <v/>
      </c>
      <c r="BB113" s="28" t="str">
        <f t="shared" si="940"/>
        <v/>
      </c>
      <c r="BC113" s="58">
        <f>OFFSET('00_Regnskab_01'!$A$1,MATCH(A113,'00_Regnskab_01'!$A$1:$A$25)-1,2)</f>
        <v>43644</v>
      </c>
      <c r="BE113" s="80">
        <f t="shared" ref="BE113:BH113" si="941">if(U113&gt;0,1+BE112,0)</f>
        <v>1</v>
      </c>
      <c r="BF113" s="28">
        <f t="shared" si="941"/>
        <v>1</v>
      </c>
      <c r="BG113" s="28">
        <f t="shared" si="941"/>
        <v>0</v>
      </c>
      <c r="BH113" s="28">
        <f t="shared" si="941"/>
        <v>0</v>
      </c>
      <c r="BJ113" s="28">
        <f t="shared" ref="BJ113:BM113" si="942">if(U113&lt;0,1+BJ112,0)</f>
        <v>0</v>
      </c>
      <c r="BK113" s="28">
        <f t="shared" si="942"/>
        <v>0</v>
      </c>
      <c r="BL113" s="28">
        <f t="shared" si="942"/>
        <v>1</v>
      </c>
      <c r="BM113" s="28">
        <f t="shared" si="942"/>
        <v>1</v>
      </c>
      <c r="BO113" s="74">
        <f t="shared" ref="BO113:BR113" si="943">if(U113&gt;0,U113+BO112,0)</f>
        <v>48</v>
      </c>
      <c r="BP113" s="74">
        <f t="shared" si="943"/>
        <v>48</v>
      </c>
      <c r="BQ113" s="74">
        <f t="shared" si="943"/>
        <v>0</v>
      </c>
      <c r="BR113" s="74">
        <f t="shared" si="943"/>
        <v>0</v>
      </c>
      <c r="BT113" s="28">
        <f t="shared" ref="BT113:BW113" si="944">if(U113&lt;0,U113+BT112,0)</f>
        <v>0</v>
      </c>
      <c r="BU113" s="28">
        <f t="shared" si="944"/>
        <v>0</v>
      </c>
      <c r="BV113" s="28">
        <f t="shared" si="944"/>
        <v>-48</v>
      </c>
      <c r="BW113" s="28">
        <f t="shared" si="944"/>
        <v>-48</v>
      </c>
    </row>
    <row r="114">
      <c r="A114" s="53">
        <v>10.0</v>
      </c>
      <c r="B114" s="28">
        <f>'10_28-06-2019'!A15</f>
        <v>13</v>
      </c>
      <c r="C114" s="75">
        <f>'10_28-06-2019'!D15</f>
        <v>236</v>
      </c>
      <c r="D114" s="28">
        <f>'10_28-06-2019'!C15</f>
        <v>-140</v>
      </c>
      <c r="E114" s="28">
        <f>'10_28-06-2019'!E15</f>
        <v>76</v>
      </c>
      <c r="F114" s="28">
        <f>'10_28-06-2019'!B15</f>
        <v>-172</v>
      </c>
      <c r="G114" s="28">
        <f>'10_28-06-2019'!F15</f>
        <v>0</v>
      </c>
      <c r="H114" s="28" t="str">
        <f>'10_28-06-2019'!I15</f>
        <v>Thomas</v>
      </c>
      <c r="J114" s="76" t="str">
        <f>'10_28-06-2019'!H15</f>
        <v>Janus</v>
      </c>
      <c r="K114" s="28" t="str">
        <f>'10_28-06-2019'!G15</f>
        <v>sol</v>
      </c>
      <c r="L114" s="56"/>
      <c r="N114" s="25" t="s">
        <v>99</v>
      </c>
      <c r="T114" s="56"/>
      <c r="U114" s="77">
        <f t="shared" ref="U114:X114" si="945">C114-C113</f>
        <v>-24</v>
      </c>
      <c r="V114" s="28">
        <f t="shared" si="945"/>
        <v>8</v>
      </c>
      <c r="W114" s="28">
        <f t="shared" si="945"/>
        <v>8</v>
      </c>
      <c r="X114" s="28">
        <f t="shared" si="945"/>
        <v>8</v>
      </c>
      <c r="AB114" s="28">
        <f t="shared" ref="AB114:AE114" si="946">IF(AB$3=$H114,U114,"")</f>
        <v>-24</v>
      </c>
      <c r="AC114" s="28" t="str">
        <f t="shared" si="946"/>
        <v/>
      </c>
      <c r="AD114" s="28" t="str">
        <f t="shared" si="946"/>
        <v/>
      </c>
      <c r="AE114" s="28" t="str">
        <f t="shared" si="946"/>
        <v/>
      </c>
      <c r="AH114" s="28">
        <f t="shared" si="22"/>
        <v>0</v>
      </c>
      <c r="AI114" s="28">
        <f t="shared" si="23"/>
        <v>-24</v>
      </c>
      <c r="AK114" s="78" t="str">
        <f t="shared" ref="AK114:AN114" si="947">IF(U114&gt;0,AK$3,"")</f>
        <v/>
      </c>
      <c r="AL114" s="78" t="str">
        <f t="shared" si="947"/>
        <v>Peter</v>
      </c>
      <c r="AM114" s="78" t="str">
        <f t="shared" si="947"/>
        <v>Janus</v>
      </c>
      <c r="AN114" s="78" t="str">
        <f t="shared" si="947"/>
        <v>Christian</v>
      </c>
      <c r="AO114" s="56">
        <f t="shared" si="25"/>
        <v>3</v>
      </c>
      <c r="AP114" s="8" t="str">
        <f t="shared" si="26"/>
        <v>Thomas</v>
      </c>
      <c r="AQ114" s="73" t="str">
        <f>IFERROR(__xludf.DUMMYFUNCTION("IFNA(QUERY(transpose(AY114:BB114),""Select Col1 where Col1 is not null limit 1"",0))"),"")</f>
        <v/>
      </c>
      <c r="AR114" s="56"/>
      <c r="AS114" s="28" t="str">
        <f t="shared" ref="AS114:AV114" si="948">IF(AK114=AS$3,"",AS$3)</f>
        <v>Thomas</v>
      </c>
      <c r="AT114" s="28" t="str">
        <f t="shared" si="948"/>
        <v/>
      </c>
      <c r="AU114" s="28" t="str">
        <f t="shared" si="948"/>
        <v/>
      </c>
      <c r="AV114" s="28" t="str">
        <f t="shared" si="948"/>
        <v/>
      </c>
      <c r="AW114" s="56">
        <f t="shared" si="28"/>
        <v>1</v>
      </c>
      <c r="AX114" s="28">
        <f t="shared" si="29"/>
        <v>-24</v>
      </c>
      <c r="AY114" s="28" t="str">
        <f t="shared" ref="AY114:BB114" si="949">IFNA(IFS(AY$3=$AP114,"",$AX114=U114,AY$3),"")</f>
        <v/>
      </c>
      <c r="AZ114" s="28" t="str">
        <f t="shared" si="949"/>
        <v/>
      </c>
      <c r="BA114" s="28" t="str">
        <f t="shared" si="949"/>
        <v/>
      </c>
      <c r="BB114" s="28" t="str">
        <f t="shared" si="949"/>
        <v/>
      </c>
      <c r="BC114" s="58">
        <f>OFFSET('00_Regnskab_01'!$A$1,MATCH(A114,'00_Regnskab_01'!$A$1:$A$25)-1,2)</f>
        <v>43644</v>
      </c>
      <c r="BE114" s="80">
        <f t="shared" ref="BE114:BH114" si="950">if(U114&gt;0,1+BE113,0)</f>
        <v>0</v>
      </c>
      <c r="BF114" s="28">
        <f t="shared" si="950"/>
        <v>2</v>
      </c>
      <c r="BG114" s="28">
        <f t="shared" si="950"/>
        <v>1</v>
      </c>
      <c r="BH114" s="28">
        <f t="shared" si="950"/>
        <v>1</v>
      </c>
      <c r="BJ114" s="28">
        <f t="shared" ref="BJ114:BM114" si="951">if(U114&lt;0,1+BJ113,0)</f>
        <v>1</v>
      </c>
      <c r="BK114" s="28">
        <f t="shared" si="951"/>
        <v>0</v>
      </c>
      <c r="BL114" s="28">
        <f t="shared" si="951"/>
        <v>0</v>
      </c>
      <c r="BM114" s="28">
        <f t="shared" si="951"/>
        <v>0</v>
      </c>
      <c r="BO114" s="74">
        <f t="shared" ref="BO114:BR114" si="952">if(U114&gt;0,U114+BO113,0)</f>
        <v>0</v>
      </c>
      <c r="BP114" s="74">
        <f t="shared" si="952"/>
        <v>56</v>
      </c>
      <c r="BQ114" s="74">
        <f t="shared" si="952"/>
        <v>8</v>
      </c>
      <c r="BR114" s="74">
        <f t="shared" si="952"/>
        <v>8</v>
      </c>
      <c r="BT114" s="28">
        <f t="shared" ref="BT114:BW114" si="953">if(U114&lt;0,U114+BT113,0)</f>
        <v>-24</v>
      </c>
      <c r="BU114" s="28">
        <f t="shared" si="953"/>
        <v>0</v>
      </c>
      <c r="BV114" s="28">
        <f t="shared" si="953"/>
        <v>0</v>
      </c>
      <c r="BW114" s="28">
        <f t="shared" si="953"/>
        <v>0</v>
      </c>
    </row>
    <row r="115">
      <c r="A115" s="53">
        <v>10.0</v>
      </c>
      <c r="B115" s="28">
        <f>'10_28-06-2019'!A16</f>
        <v>14</v>
      </c>
      <c r="C115" s="75">
        <f>'10_28-06-2019'!D16</f>
        <v>252</v>
      </c>
      <c r="D115" s="28">
        <f>'10_28-06-2019'!C16</f>
        <v>-124</v>
      </c>
      <c r="E115" s="28">
        <f>'10_28-06-2019'!E16</f>
        <v>28</v>
      </c>
      <c r="F115" s="28">
        <f>'10_28-06-2019'!B16</f>
        <v>-156</v>
      </c>
      <c r="G115" s="28">
        <f>'10_28-06-2019'!F16</f>
        <v>0</v>
      </c>
      <c r="H115" s="28" t="str">
        <f>'10_28-06-2019'!I16</f>
        <v>Janus</v>
      </c>
      <c r="J115" s="76" t="str">
        <f>'10_28-06-2019'!H16</f>
        <v>Thomas</v>
      </c>
      <c r="K115" s="28" t="str">
        <f>'10_28-06-2019'!G16</f>
        <v>ren sol</v>
      </c>
      <c r="L115" s="56"/>
      <c r="N115" s="25" t="s">
        <v>97</v>
      </c>
      <c r="T115" s="56"/>
      <c r="U115" s="77">
        <f t="shared" ref="U115:X115" si="954">C115-C114</f>
        <v>16</v>
      </c>
      <c r="V115" s="28">
        <f t="shared" si="954"/>
        <v>16</v>
      </c>
      <c r="W115" s="28">
        <f t="shared" si="954"/>
        <v>-48</v>
      </c>
      <c r="X115" s="28">
        <f t="shared" si="954"/>
        <v>16</v>
      </c>
      <c r="AB115" s="28" t="str">
        <f t="shared" ref="AB115:AE115" si="955">IF(AB$3=$H115,U115,"")</f>
        <v/>
      </c>
      <c r="AC115" s="28" t="str">
        <f t="shared" si="955"/>
        <v/>
      </c>
      <c r="AD115" s="28">
        <f t="shared" si="955"/>
        <v>-48</v>
      </c>
      <c r="AE115" s="28" t="str">
        <f t="shared" si="955"/>
        <v/>
      </c>
      <c r="AH115" s="28">
        <f t="shared" si="22"/>
        <v>0</v>
      </c>
      <c r="AI115" s="28">
        <f t="shared" si="23"/>
        <v>-48</v>
      </c>
      <c r="AK115" s="78" t="str">
        <f t="shared" ref="AK115:AN115" si="956">IF(U115&gt;0,AK$3,"")</f>
        <v>Thomas</v>
      </c>
      <c r="AL115" s="78" t="str">
        <f t="shared" si="956"/>
        <v>Peter</v>
      </c>
      <c r="AM115" s="78" t="str">
        <f t="shared" si="956"/>
        <v/>
      </c>
      <c r="AN115" s="78" t="str">
        <f t="shared" si="956"/>
        <v>Christian</v>
      </c>
      <c r="AO115" s="56">
        <f t="shared" si="25"/>
        <v>3</v>
      </c>
      <c r="AP115" s="8" t="str">
        <f t="shared" si="26"/>
        <v>Janus</v>
      </c>
      <c r="AQ115" s="73" t="str">
        <f>IFERROR(__xludf.DUMMYFUNCTION("IFNA(QUERY(transpose(AY115:BB115),""Select Col1 where Col1 is not null limit 1"",0))"),"")</f>
        <v/>
      </c>
      <c r="AR115" s="56"/>
      <c r="AS115" s="28" t="str">
        <f t="shared" ref="AS115:AV115" si="957">IF(AK115=AS$3,"",AS$3)</f>
        <v/>
      </c>
      <c r="AT115" s="28" t="str">
        <f t="shared" si="957"/>
        <v/>
      </c>
      <c r="AU115" s="28" t="str">
        <f t="shared" si="957"/>
        <v>Janus</v>
      </c>
      <c r="AV115" s="28" t="str">
        <f t="shared" si="957"/>
        <v/>
      </c>
      <c r="AW115" s="56">
        <f t="shared" si="28"/>
        <v>1</v>
      </c>
      <c r="AX115" s="28">
        <f t="shared" si="29"/>
        <v>-48</v>
      </c>
      <c r="AY115" s="28" t="str">
        <f t="shared" ref="AY115:BB115" si="958">IFNA(IFS(AY$3=$AP115,"",$AX115=U115,AY$3),"")</f>
        <v/>
      </c>
      <c r="AZ115" s="28" t="str">
        <f t="shared" si="958"/>
        <v/>
      </c>
      <c r="BA115" s="28" t="str">
        <f t="shared" si="958"/>
        <v/>
      </c>
      <c r="BB115" s="28" t="str">
        <f t="shared" si="958"/>
        <v/>
      </c>
      <c r="BC115" s="58">
        <f>OFFSET('00_Regnskab_01'!$A$1,MATCH(A115,'00_Regnskab_01'!$A$1:$A$25)-1,2)</f>
        <v>43644</v>
      </c>
      <c r="BE115" s="80">
        <f t="shared" ref="BE115:BH115" si="959">if(U115&gt;0,1+BE114,0)</f>
        <v>1</v>
      </c>
      <c r="BF115" s="28">
        <f t="shared" si="959"/>
        <v>3</v>
      </c>
      <c r="BG115" s="28">
        <f t="shared" si="959"/>
        <v>0</v>
      </c>
      <c r="BH115" s="28">
        <f t="shared" si="959"/>
        <v>2</v>
      </c>
      <c r="BJ115" s="28">
        <f t="shared" ref="BJ115:BM115" si="960">if(U115&lt;0,1+BJ114,0)</f>
        <v>0</v>
      </c>
      <c r="BK115" s="28">
        <f t="shared" si="960"/>
        <v>0</v>
      </c>
      <c r="BL115" s="28">
        <f t="shared" si="960"/>
        <v>1</v>
      </c>
      <c r="BM115" s="28">
        <f t="shared" si="960"/>
        <v>0</v>
      </c>
      <c r="BO115" s="74">
        <f t="shared" ref="BO115:BR115" si="961">if(U115&gt;0,U115+BO114,0)</f>
        <v>16</v>
      </c>
      <c r="BP115" s="74">
        <f t="shared" si="961"/>
        <v>72</v>
      </c>
      <c r="BQ115" s="74">
        <f t="shared" si="961"/>
        <v>0</v>
      </c>
      <c r="BR115" s="74">
        <f t="shared" si="961"/>
        <v>24</v>
      </c>
      <c r="BT115" s="28">
        <f t="shared" ref="BT115:BW115" si="962">if(U115&lt;0,U115+BT114,0)</f>
        <v>0</v>
      </c>
      <c r="BU115" s="28">
        <f t="shared" si="962"/>
        <v>0</v>
      </c>
      <c r="BV115" s="28">
        <f t="shared" si="962"/>
        <v>-48</v>
      </c>
      <c r="BW115" s="28">
        <f t="shared" si="962"/>
        <v>0</v>
      </c>
    </row>
    <row r="116">
      <c r="A116" s="53">
        <v>10.0</v>
      </c>
      <c r="B116" s="28">
        <f>'10_28-06-2019'!A17</f>
        <v>15</v>
      </c>
      <c r="C116" s="75">
        <f>'10_28-06-2019'!D17</f>
        <v>284</v>
      </c>
      <c r="D116" s="28">
        <f>'10_28-06-2019'!C17</f>
        <v>-156</v>
      </c>
      <c r="E116" s="28">
        <f>'10_28-06-2019'!E17</f>
        <v>-4</v>
      </c>
      <c r="F116" s="28">
        <f>'10_28-06-2019'!B17</f>
        <v>-124</v>
      </c>
      <c r="G116" s="28">
        <f>'10_28-06-2019'!F17</f>
        <v>0</v>
      </c>
      <c r="H116" s="28" t="str">
        <f>'10_28-06-2019'!I17</f>
        <v>Thomas</v>
      </c>
      <c r="J116" s="76" t="str">
        <f>'10_28-06-2019'!H17</f>
        <v>Peter</v>
      </c>
      <c r="K116" s="28" t="str">
        <f>'10_28-06-2019'!G17</f>
        <v>9. vip i 2.</v>
      </c>
      <c r="L116" s="56"/>
      <c r="M116" s="25">
        <v>9.0</v>
      </c>
      <c r="N116" s="25" t="s">
        <v>86</v>
      </c>
      <c r="O116" s="25">
        <v>2.0</v>
      </c>
      <c r="T116" s="56"/>
      <c r="U116" s="77">
        <f t="shared" ref="U116:X116" si="963">C116-C115</f>
        <v>32</v>
      </c>
      <c r="V116" s="28">
        <f t="shared" si="963"/>
        <v>-32</v>
      </c>
      <c r="W116" s="28">
        <f t="shared" si="963"/>
        <v>-32</v>
      </c>
      <c r="X116" s="28">
        <f t="shared" si="963"/>
        <v>32</v>
      </c>
      <c r="AB116" s="28">
        <f t="shared" ref="AB116:AE116" si="964">IF(AB$3=$H116,U116,"")</f>
        <v>32</v>
      </c>
      <c r="AC116" s="28" t="str">
        <f t="shared" si="964"/>
        <v/>
      </c>
      <c r="AD116" s="28" t="str">
        <f t="shared" si="964"/>
        <v/>
      </c>
      <c r="AE116" s="28" t="str">
        <f t="shared" si="964"/>
        <v/>
      </c>
      <c r="AH116" s="28">
        <f t="shared" si="22"/>
        <v>32</v>
      </c>
      <c r="AI116" s="28">
        <f t="shared" si="23"/>
        <v>0</v>
      </c>
      <c r="AK116" s="78" t="str">
        <f t="shared" ref="AK116:AN116" si="965">IF(U116&gt;0,AK$3,"")</f>
        <v>Thomas</v>
      </c>
      <c r="AL116" s="78" t="str">
        <f t="shared" si="965"/>
        <v/>
      </c>
      <c r="AM116" s="78" t="str">
        <f t="shared" si="965"/>
        <v/>
      </c>
      <c r="AN116" s="78" t="str">
        <f t="shared" si="965"/>
        <v>Christian</v>
      </c>
      <c r="AO116" s="56">
        <f t="shared" si="25"/>
        <v>2</v>
      </c>
      <c r="AP116" s="8" t="str">
        <f t="shared" si="26"/>
        <v>Thomas</v>
      </c>
      <c r="AQ116" s="73" t="str">
        <f>IFERROR(__xludf.DUMMYFUNCTION("IFNA(QUERY(transpose(AY116:BB116),""Select Col1 where Col1 is not null limit 1"",0))"),"Christian")</f>
        <v>Christian</v>
      </c>
      <c r="AR116" s="56"/>
      <c r="AS116" s="28" t="str">
        <f t="shared" ref="AS116:AV116" si="966">IF(AK116=AS$3,"",AS$3)</f>
        <v/>
      </c>
      <c r="AT116" s="28" t="str">
        <f t="shared" si="966"/>
        <v>Peter</v>
      </c>
      <c r="AU116" s="28" t="str">
        <f t="shared" si="966"/>
        <v>Janus</v>
      </c>
      <c r="AV116" s="28" t="str">
        <f t="shared" si="966"/>
        <v/>
      </c>
      <c r="AW116" s="56">
        <f t="shared" si="28"/>
        <v>2</v>
      </c>
      <c r="AX116" s="28">
        <f t="shared" si="29"/>
        <v>32</v>
      </c>
      <c r="AY116" s="28" t="str">
        <f t="shared" ref="AY116:BB116" si="967">IFNA(IFS(AY$3=$AP116,"",$AX116=U116,AY$3),"")</f>
        <v/>
      </c>
      <c r="AZ116" s="28" t="str">
        <f t="shared" si="967"/>
        <v/>
      </c>
      <c r="BA116" s="28" t="str">
        <f t="shared" si="967"/>
        <v/>
      </c>
      <c r="BB116" s="28" t="str">
        <f t="shared" si="967"/>
        <v>Christian</v>
      </c>
      <c r="BC116" s="58">
        <f>OFFSET('00_Regnskab_01'!$A$1,MATCH(A116,'00_Regnskab_01'!$A$1:$A$25)-1,2)</f>
        <v>43644</v>
      </c>
      <c r="BE116" s="80">
        <f t="shared" ref="BE116:BH116" si="968">if(U116&gt;0,1+BE115,0)</f>
        <v>2</v>
      </c>
      <c r="BF116" s="28">
        <f t="shared" si="968"/>
        <v>0</v>
      </c>
      <c r="BG116" s="28">
        <f t="shared" si="968"/>
        <v>0</v>
      </c>
      <c r="BH116" s="28">
        <f t="shared" si="968"/>
        <v>3</v>
      </c>
      <c r="BJ116" s="28">
        <f t="shared" ref="BJ116:BM116" si="969">if(U116&lt;0,1+BJ115,0)</f>
        <v>0</v>
      </c>
      <c r="BK116" s="28">
        <f t="shared" si="969"/>
        <v>1</v>
      </c>
      <c r="BL116" s="28">
        <f t="shared" si="969"/>
        <v>2</v>
      </c>
      <c r="BM116" s="28">
        <f t="shared" si="969"/>
        <v>0</v>
      </c>
      <c r="BO116" s="74">
        <f t="shared" ref="BO116:BR116" si="970">if(U116&gt;0,U116+BO115,0)</f>
        <v>48</v>
      </c>
      <c r="BP116" s="74">
        <f t="shared" si="970"/>
        <v>0</v>
      </c>
      <c r="BQ116" s="74">
        <f t="shared" si="970"/>
        <v>0</v>
      </c>
      <c r="BR116" s="74">
        <f t="shared" si="970"/>
        <v>56</v>
      </c>
      <c r="BT116" s="28">
        <f t="shared" ref="BT116:BW116" si="971">if(U116&lt;0,U116+BT115,0)</f>
        <v>0</v>
      </c>
      <c r="BU116" s="28">
        <f t="shared" si="971"/>
        <v>-32</v>
      </c>
      <c r="BV116" s="28">
        <f t="shared" si="971"/>
        <v>-80</v>
      </c>
      <c r="BW116" s="28">
        <f t="shared" si="971"/>
        <v>0</v>
      </c>
    </row>
    <row r="117">
      <c r="A117" s="53">
        <v>10.0</v>
      </c>
      <c r="B117" s="28">
        <f>'10_28-06-2019'!A18</f>
        <v>16</v>
      </c>
      <c r="C117" s="75">
        <f>'10_28-06-2019'!D18</f>
        <v>268</v>
      </c>
      <c r="D117" s="28">
        <f>'10_28-06-2019'!C18</f>
        <v>-140</v>
      </c>
      <c r="E117" s="28">
        <f>'10_28-06-2019'!E18</f>
        <v>-20</v>
      </c>
      <c r="F117" s="28">
        <f>'10_28-06-2019'!B18</f>
        <v>-108</v>
      </c>
      <c r="G117" s="28">
        <f>'10_28-06-2019'!F18</f>
        <v>0</v>
      </c>
      <c r="H117" s="28" t="str">
        <f>'10_28-06-2019'!I18</f>
        <v>Peter</v>
      </c>
      <c r="J117" s="76" t="str">
        <f>'10_28-06-2019'!H18</f>
        <v>Christian</v>
      </c>
      <c r="K117" s="28" t="str">
        <f>'10_28-06-2019'!G18</f>
        <v>Sans</v>
      </c>
      <c r="L117" s="56"/>
      <c r="N117" s="25" t="s">
        <v>98</v>
      </c>
      <c r="T117" s="56"/>
      <c r="U117" s="77">
        <f t="shared" ref="U117:X117" si="972">C117-C116</f>
        <v>-16</v>
      </c>
      <c r="V117" s="28">
        <f t="shared" si="972"/>
        <v>16</v>
      </c>
      <c r="W117" s="28">
        <f t="shared" si="972"/>
        <v>-16</v>
      </c>
      <c r="X117" s="28">
        <f t="shared" si="972"/>
        <v>16</v>
      </c>
      <c r="AB117" s="28" t="str">
        <f t="shared" ref="AB117:AE117" si="973">IF(AB$3=$H117,U117,"")</f>
        <v/>
      </c>
      <c r="AC117" s="28">
        <f t="shared" si="973"/>
        <v>16</v>
      </c>
      <c r="AD117" s="28" t="str">
        <f t="shared" si="973"/>
        <v/>
      </c>
      <c r="AE117" s="28" t="str">
        <f t="shared" si="973"/>
        <v/>
      </c>
      <c r="AH117" s="28">
        <f t="shared" si="22"/>
        <v>16</v>
      </c>
      <c r="AI117" s="28">
        <f t="shared" si="23"/>
        <v>0</v>
      </c>
      <c r="AK117" s="78" t="str">
        <f t="shared" ref="AK117:AN117" si="974">IF(U117&gt;0,AK$3,"")</f>
        <v/>
      </c>
      <c r="AL117" s="78" t="str">
        <f t="shared" si="974"/>
        <v>Peter</v>
      </c>
      <c r="AM117" s="78" t="str">
        <f t="shared" si="974"/>
        <v/>
      </c>
      <c r="AN117" s="78" t="str">
        <f t="shared" si="974"/>
        <v>Christian</v>
      </c>
      <c r="AO117" s="56">
        <f t="shared" si="25"/>
        <v>2</v>
      </c>
      <c r="AP117" s="8" t="str">
        <f t="shared" si="26"/>
        <v>Peter</v>
      </c>
      <c r="AQ117" s="73" t="str">
        <f>IFERROR(__xludf.DUMMYFUNCTION("IFNA(QUERY(transpose(AY117:BB117),""Select Col1 where Col1 is not null limit 1"",0))"),"Christian")</f>
        <v>Christian</v>
      </c>
      <c r="AR117" s="56"/>
      <c r="AS117" s="28" t="str">
        <f t="shared" ref="AS117:AV117" si="975">IF(AK117=AS$3,"",AS$3)</f>
        <v>Thomas</v>
      </c>
      <c r="AT117" s="28" t="str">
        <f t="shared" si="975"/>
        <v/>
      </c>
      <c r="AU117" s="28" t="str">
        <f t="shared" si="975"/>
        <v>Janus</v>
      </c>
      <c r="AV117" s="28" t="str">
        <f t="shared" si="975"/>
        <v/>
      </c>
      <c r="AW117" s="56">
        <f t="shared" si="28"/>
        <v>2</v>
      </c>
      <c r="AX117" s="28">
        <f t="shared" si="29"/>
        <v>16</v>
      </c>
      <c r="AY117" s="28" t="str">
        <f t="shared" ref="AY117:BB117" si="976">IFNA(IFS(AY$3=$AP117,"",$AX117=U117,AY$3),"")</f>
        <v/>
      </c>
      <c r="AZ117" s="28" t="str">
        <f t="shared" si="976"/>
        <v/>
      </c>
      <c r="BA117" s="28" t="str">
        <f t="shared" si="976"/>
        <v/>
      </c>
      <c r="BB117" s="28" t="str">
        <f t="shared" si="976"/>
        <v>Christian</v>
      </c>
      <c r="BC117" s="58">
        <f>OFFSET('00_Regnskab_01'!$A$1,MATCH(A117,'00_Regnskab_01'!$A$1:$A$25)-1,2)</f>
        <v>43644</v>
      </c>
      <c r="BE117" s="80">
        <f t="shared" ref="BE117:BH117" si="977">if(U117&gt;0,1+BE116,0)</f>
        <v>0</v>
      </c>
      <c r="BF117" s="28">
        <f t="shared" si="977"/>
        <v>1</v>
      </c>
      <c r="BG117" s="28">
        <f t="shared" si="977"/>
        <v>0</v>
      </c>
      <c r="BH117" s="28">
        <f t="shared" si="977"/>
        <v>4</v>
      </c>
      <c r="BJ117" s="28">
        <f t="shared" ref="BJ117:BM117" si="978">if(U117&lt;0,1+BJ116,0)</f>
        <v>1</v>
      </c>
      <c r="BK117" s="28">
        <f t="shared" si="978"/>
        <v>0</v>
      </c>
      <c r="BL117" s="28">
        <f t="shared" si="978"/>
        <v>3</v>
      </c>
      <c r="BM117" s="28">
        <f t="shared" si="978"/>
        <v>0</v>
      </c>
      <c r="BO117" s="74">
        <f t="shared" ref="BO117:BR117" si="979">if(U117&gt;0,U117+BO116,0)</f>
        <v>0</v>
      </c>
      <c r="BP117" s="74">
        <f t="shared" si="979"/>
        <v>16</v>
      </c>
      <c r="BQ117" s="74">
        <f t="shared" si="979"/>
        <v>0</v>
      </c>
      <c r="BR117" s="74">
        <f t="shared" si="979"/>
        <v>72</v>
      </c>
      <c r="BT117" s="28">
        <f t="shared" ref="BT117:BW117" si="980">if(U117&lt;0,U117+BT116,0)</f>
        <v>-16</v>
      </c>
      <c r="BU117" s="28">
        <f t="shared" si="980"/>
        <v>0</v>
      </c>
      <c r="BV117" s="28">
        <f t="shared" si="980"/>
        <v>-96</v>
      </c>
      <c r="BW117" s="28">
        <f t="shared" si="980"/>
        <v>0</v>
      </c>
    </row>
    <row r="118">
      <c r="A118" s="53">
        <v>10.0</v>
      </c>
      <c r="B118" s="28">
        <f>'10_28-06-2019'!A19</f>
        <v>17</v>
      </c>
      <c r="C118" s="75">
        <f>'10_28-06-2019'!D19</f>
        <v>284</v>
      </c>
      <c r="D118" s="28">
        <f>'10_28-06-2019'!C19</f>
        <v>-124</v>
      </c>
      <c r="E118" s="28">
        <f>'10_28-06-2019'!E19</f>
        <v>-36</v>
      </c>
      <c r="F118" s="28">
        <f>'10_28-06-2019'!B19</f>
        <v>-124</v>
      </c>
      <c r="G118" s="28">
        <f>'10_28-06-2019'!F19</f>
        <v>0</v>
      </c>
      <c r="H118" s="28" t="str">
        <f>'10_28-06-2019'!I19</f>
        <v>Thomas/Peter</v>
      </c>
      <c r="J118" s="76" t="str">
        <f>'10_28-06-2019'!H19</f>
        <v>Janus</v>
      </c>
      <c r="K118" s="28" t="str">
        <f>'10_28-06-2019'!G19</f>
        <v>Sol med 2</v>
      </c>
      <c r="L118" s="56"/>
      <c r="N118" s="25" t="s">
        <v>97</v>
      </c>
      <c r="Q118" s="25" t="s">
        <v>15</v>
      </c>
      <c r="T118" s="56"/>
      <c r="U118" s="77">
        <f t="shared" ref="U118:X118" si="981">C118-C117</f>
        <v>16</v>
      </c>
      <c r="V118" s="28">
        <f t="shared" si="981"/>
        <v>16</v>
      </c>
      <c r="W118" s="28">
        <f t="shared" si="981"/>
        <v>-16</v>
      </c>
      <c r="X118" s="28">
        <f t="shared" si="981"/>
        <v>-16</v>
      </c>
      <c r="AB118" s="28" t="str">
        <f t="shared" ref="AB118:AE118" si="982">IF(AB$3=$H118,U118,"")</f>
        <v/>
      </c>
      <c r="AC118" s="28" t="str">
        <f t="shared" si="982"/>
        <v/>
      </c>
      <c r="AD118" s="28" t="str">
        <f t="shared" si="982"/>
        <v/>
      </c>
      <c r="AE118" s="28" t="str">
        <f t="shared" si="982"/>
        <v/>
      </c>
      <c r="AH118" s="28">
        <f t="shared" si="22"/>
        <v>0</v>
      </c>
      <c r="AI118" s="28">
        <f t="shared" si="23"/>
        <v>0</v>
      </c>
      <c r="AK118" s="78" t="str">
        <f t="shared" ref="AK118:AN118" si="983">IF(U118&gt;0,AK$3,"")</f>
        <v>Thomas</v>
      </c>
      <c r="AL118" s="78" t="str">
        <f t="shared" si="983"/>
        <v>Peter</v>
      </c>
      <c r="AM118" s="78" t="str">
        <f t="shared" si="983"/>
        <v/>
      </c>
      <c r="AN118" s="78" t="str">
        <f t="shared" si="983"/>
        <v/>
      </c>
      <c r="AO118" s="56">
        <f t="shared" si="25"/>
        <v>2</v>
      </c>
      <c r="AP118" s="8" t="str">
        <f t="shared" si="26"/>
        <v>Thomas/Peter</v>
      </c>
      <c r="AQ118" s="73" t="str">
        <f>IFERROR(__xludf.DUMMYFUNCTION("IFNA(QUERY(transpose(AY118:BB118),""Select Col1 where Col1 is not null limit 1"",0))"),"")</f>
        <v/>
      </c>
      <c r="AR118" s="56"/>
      <c r="AS118" s="28" t="str">
        <f t="shared" ref="AS118:AV118" si="984">IF(AK118=AS$3,"",AS$3)</f>
        <v/>
      </c>
      <c r="AT118" s="28" t="str">
        <f t="shared" si="984"/>
        <v/>
      </c>
      <c r="AU118" s="28" t="str">
        <f t="shared" si="984"/>
        <v>Janus</v>
      </c>
      <c r="AV118" s="28" t="str">
        <f t="shared" si="984"/>
        <v>Christian</v>
      </c>
      <c r="AW118" s="56">
        <f t="shared" si="28"/>
        <v>2</v>
      </c>
      <c r="AX118" s="28">
        <f t="shared" si="29"/>
        <v>0</v>
      </c>
      <c r="AY118" s="28" t="str">
        <f t="shared" ref="AY118:BB118" si="985">IFNA(IFS(AY$3=$AP118,"",$AX118=U118,AY$3),"")</f>
        <v/>
      </c>
      <c r="AZ118" s="28" t="str">
        <f t="shared" si="985"/>
        <v/>
      </c>
      <c r="BA118" s="28" t="str">
        <f t="shared" si="985"/>
        <v/>
      </c>
      <c r="BB118" s="28" t="str">
        <f t="shared" si="985"/>
        <v/>
      </c>
      <c r="BC118" s="58">
        <f>OFFSET('00_Regnskab_01'!$A$1,MATCH(A118,'00_Regnskab_01'!$A$1:$A$25)-1,2)</f>
        <v>43644</v>
      </c>
      <c r="BE118" s="80">
        <f t="shared" ref="BE118:BH118" si="986">if(U118&gt;0,1+BE117,0)</f>
        <v>1</v>
      </c>
      <c r="BF118" s="28">
        <f t="shared" si="986"/>
        <v>2</v>
      </c>
      <c r="BG118" s="28">
        <f t="shared" si="986"/>
        <v>0</v>
      </c>
      <c r="BH118" s="28">
        <f t="shared" si="986"/>
        <v>0</v>
      </c>
      <c r="BJ118" s="28">
        <f t="shared" ref="BJ118:BM118" si="987">if(U118&lt;0,1+BJ117,0)</f>
        <v>0</v>
      </c>
      <c r="BK118" s="28">
        <f t="shared" si="987"/>
        <v>0</v>
      </c>
      <c r="BL118" s="28">
        <f t="shared" si="987"/>
        <v>4</v>
      </c>
      <c r="BM118" s="28">
        <f t="shared" si="987"/>
        <v>1</v>
      </c>
      <c r="BO118" s="74">
        <f t="shared" ref="BO118:BR118" si="988">if(U118&gt;0,U118+BO117,0)</f>
        <v>16</v>
      </c>
      <c r="BP118" s="74">
        <f t="shared" si="988"/>
        <v>32</v>
      </c>
      <c r="BQ118" s="74">
        <f t="shared" si="988"/>
        <v>0</v>
      </c>
      <c r="BR118" s="74">
        <f t="shared" si="988"/>
        <v>0</v>
      </c>
      <c r="BT118" s="28">
        <f t="shared" ref="BT118:BW118" si="989">if(U118&lt;0,U118+BT117,0)</f>
        <v>0</v>
      </c>
      <c r="BU118" s="28">
        <f t="shared" si="989"/>
        <v>0</v>
      </c>
      <c r="BV118" s="28">
        <f t="shared" si="989"/>
        <v>-112</v>
      </c>
      <c r="BW118" s="28">
        <f t="shared" si="989"/>
        <v>-16</v>
      </c>
    </row>
    <row r="119">
      <c r="A119" s="53">
        <v>10.0</v>
      </c>
      <c r="B119" s="28">
        <f>'10_28-06-2019'!A20</f>
        <v>18</v>
      </c>
      <c r="C119" s="75">
        <f>'10_28-06-2019'!D20</f>
        <v>268</v>
      </c>
      <c r="D119" s="28">
        <f>'10_28-06-2019'!C20</f>
        <v>-76</v>
      </c>
      <c r="E119" s="28">
        <f>'10_28-06-2019'!E20</f>
        <v>-52</v>
      </c>
      <c r="F119" s="28">
        <f>'10_28-06-2019'!B20</f>
        <v>-140</v>
      </c>
      <c r="G119" s="28">
        <f>'10_28-06-2019'!F20</f>
        <v>0</v>
      </c>
      <c r="H119" s="28" t="str">
        <f>'10_28-06-2019'!I20</f>
        <v>Peter</v>
      </c>
      <c r="J119" s="76" t="str">
        <f>'10_28-06-2019'!H20</f>
        <v>Thomas</v>
      </c>
      <c r="K119" s="28" t="str">
        <f>'10_28-06-2019'!G20</f>
        <v>ren sol</v>
      </c>
      <c r="L119" s="56"/>
      <c r="N119" s="25" t="s">
        <v>97</v>
      </c>
      <c r="T119" s="56"/>
      <c r="U119" s="77">
        <f t="shared" ref="U119:X119" si="990">C119-C118</f>
        <v>-16</v>
      </c>
      <c r="V119" s="28">
        <f t="shared" si="990"/>
        <v>48</v>
      </c>
      <c r="W119" s="28">
        <f t="shared" si="990"/>
        <v>-16</v>
      </c>
      <c r="X119" s="28">
        <f t="shared" si="990"/>
        <v>-16</v>
      </c>
      <c r="AB119" s="28" t="str">
        <f t="shared" ref="AB119:AE119" si="991">IF(AB$3=$H119,U119,"")</f>
        <v/>
      </c>
      <c r="AC119" s="28">
        <f t="shared" si="991"/>
        <v>48</v>
      </c>
      <c r="AD119" s="28" t="str">
        <f t="shared" si="991"/>
        <v/>
      </c>
      <c r="AE119" s="28" t="str">
        <f t="shared" si="991"/>
        <v/>
      </c>
      <c r="AH119" s="28">
        <f t="shared" si="22"/>
        <v>48</v>
      </c>
      <c r="AI119" s="28">
        <f t="shared" si="23"/>
        <v>0</v>
      </c>
      <c r="AK119" s="78" t="str">
        <f t="shared" ref="AK119:AN119" si="992">IF(U119&gt;0,AK$3,"")</f>
        <v/>
      </c>
      <c r="AL119" s="78" t="str">
        <f t="shared" si="992"/>
        <v>Peter</v>
      </c>
      <c r="AM119" s="78" t="str">
        <f t="shared" si="992"/>
        <v/>
      </c>
      <c r="AN119" s="78" t="str">
        <f t="shared" si="992"/>
        <v/>
      </c>
      <c r="AO119" s="56">
        <f t="shared" si="25"/>
        <v>1</v>
      </c>
      <c r="AP119" s="8" t="str">
        <f t="shared" si="26"/>
        <v>Peter</v>
      </c>
      <c r="AQ119" s="73" t="str">
        <f>IFERROR(__xludf.DUMMYFUNCTION("IFNA(QUERY(transpose(AY119:BB119),""Select Col1 where Col1 is not null limit 1"",0))"),"")</f>
        <v/>
      </c>
      <c r="AR119" s="56"/>
      <c r="AS119" s="28" t="str">
        <f t="shared" ref="AS119:AV119" si="993">IF(AK119=AS$3,"",AS$3)</f>
        <v>Thomas</v>
      </c>
      <c r="AT119" s="28" t="str">
        <f t="shared" si="993"/>
        <v/>
      </c>
      <c r="AU119" s="28" t="str">
        <f t="shared" si="993"/>
        <v>Janus</v>
      </c>
      <c r="AV119" s="28" t="str">
        <f t="shared" si="993"/>
        <v>Christian</v>
      </c>
      <c r="AW119" s="56">
        <f t="shared" si="28"/>
        <v>3</v>
      </c>
      <c r="AX119" s="28">
        <f t="shared" si="29"/>
        <v>48</v>
      </c>
      <c r="AY119" s="28" t="str">
        <f t="shared" ref="AY119:BB119" si="994">IFNA(IFS(AY$3=$AP119,"",$AX119=U119,AY$3),"")</f>
        <v/>
      </c>
      <c r="AZ119" s="28" t="str">
        <f t="shared" si="994"/>
        <v/>
      </c>
      <c r="BA119" s="28" t="str">
        <f t="shared" si="994"/>
        <v/>
      </c>
      <c r="BB119" s="28" t="str">
        <f t="shared" si="994"/>
        <v/>
      </c>
      <c r="BC119" s="58">
        <f>OFFSET('00_Regnskab_01'!$A$1,MATCH(A119,'00_Regnskab_01'!$A$1:$A$25)-1,2)</f>
        <v>43644</v>
      </c>
      <c r="BE119" s="80">
        <f t="shared" ref="BE119:BH119" si="995">if(U119&gt;0,1+BE118,0)</f>
        <v>0</v>
      </c>
      <c r="BF119" s="28">
        <f t="shared" si="995"/>
        <v>3</v>
      </c>
      <c r="BG119" s="28">
        <f t="shared" si="995"/>
        <v>0</v>
      </c>
      <c r="BH119" s="28">
        <f t="shared" si="995"/>
        <v>0</v>
      </c>
      <c r="BJ119" s="28">
        <f t="shared" ref="BJ119:BM119" si="996">if(U119&lt;0,1+BJ118,0)</f>
        <v>1</v>
      </c>
      <c r="BK119" s="28">
        <f t="shared" si="996"/>
        <v>0</v>
      </c>
      <c r="BL119" s="28">
        <f t="shared" si="996"/>
        <v>5</v>
      </c>
      <c r="BM119" s="28">
        <f t="shared" si="996"/>
        <v>2</v>
      </c>
      <c r="BO119" s="74">
        <f t="shared" ref="BO119:BR119" si="997">if(U119&gt;0,U119+BO118,0)</f>
        <v>0</v>
      </c>
      <c r="BP119" s="74">
        <f t="shared" si="997"/>
        <v>80</v>
      </c>
      <c r="BQ119" s="74">
        <f t="shared" si="997"/>
        <v>0</v>
      </c>
      <c r="BR119" s="74">
        <f t="shared" si="997"/>
        <v>0</v>
      </c>
      <c r="BT119" s="28">
        <f t="shared" ref="BT119:BW119" si="998">if(U119&lt;0,U119+BT118,0)</f>
        <v>-16</v>
      </c>
      <c r="BU119" s="28">
        <f t="shared" si="998"/>
        <v>0</v>
      </c>
      <c r="BV119" s="28">
        <f t="shared" si="998"/>
        <v>-128</v>
      </c>
      <c r="BW119" s="28">
        <f t="shared" si="998"/>
        <v>-32</v>
      </c>
    </row>
    <row r="120">
      <c r="A120" s="53">
        <v>10.0</v>
      </c>
      <c r="B120" s="28">
        <f>'10_28-06-2019'!A21</f>
        <v>19</v>
      </c>
      <c r="C120" s="75">
        <f>'10_28-06-2019'!D21</f>
        <v>252</v>
      </c>
      <c r="D120" s="28">
        <f>'10_28-06-2019'!C21</f>
        <v>-92</v>
      </c>
      <c r="E120" s="28">
        <f>'10_28-06-2019'!E21</f>
        <v>-68</v>
      </c>
      <c r="F120" s="28">
        <f>'10_28-06-2019'!B21</f>
        <v>-92</v>
      </c>
      <c r="G120" s="28">
        <f>'10_28-06-2019'!F21</f>
        <v>0</v>
      </c>
      <c r="H120" s="28" t="str">
        <f>'10_28-06-2019'!I21</f>
        <v>Christian</v>
      </c>
      <c r="J120" s="76" t="str">
        <f>'10_28-06-2019'!H21</f>
        <v>Peter</v>
      </c>
      <c r="K120" s="28" t="str">
        <f>'10_28-06-2019'!G21</f>
        <v>ren sol</v>
      </c>
      <c r="L120" s="56"/>
      <c r="N120" s="25" t="s">
        <v>97</v>
      </c>
      <c r="T120" s="56"/>
      <c r="U120" s="77">
        <f t="shared" ref="U120:X120" si="999">C120-C119</f>
        <v>-16</v>
      </c>
      <c r="V120" s="28">
        <f t="shared" si="999"/>
        <v>-16</v>
      </c>
      <c r="W120" s="28">
        <f t="shared" si="999"/>
        <v>-16</v>
      </c>
      <c r="X120" s="28">
        <f t="shared" si="999"/>
        <v>48</v>
      </c>
      <c r="AB120" s="28" t="str">
        <f t="shared" ref="AB120:AE120" si="1000">IF(AB$3=$H120,U120,"")</f>
        <v/>
      </c>
      <c r="AC120" s="28" t="str">
        <f t="shared" si="1000"/>
        <v/>
      </c>
      <c r="AD120" s="28" t="str">
        <f t="shared" si="1000"/>
        <v/>
      </c>
      <c r="AE120" s="28">
        <f t="shared" si="1000"/>
        <v>48</v>
      </c>
      <c r="AH120" s="28">
        <f t="shared" si="22"/>
        <v>48</v>
      </c>
      <c r="AI120" s="28">
        <f t="shared" si="23"/>
        <v>0</v>
      </c>
      <c r="AK120" s="78" t="str">
        <f t="shared" ref="AK120:AN120" si="1001">IF(U120&gt;0,AK$3,"")</f>
        <v/>
      </c>
      <c r="AL120" s="78" t="str">
        <f t="shared" si="1001"/>
        <v/>
      </c>
      <c r="AM120" s="78" t="str">
        <f t="shared" si="1001"/>
        <v/>
      </c>
      <c r="AN120" s="78" t="str">
        <f t="shared" si="1001"/>
        <v>Christian</v>
      </c>
      <c r="AO120" s="56">
        <f t="shared" si="25"/>
        <v>1</v>
      </c>
      <c r="AP120" s="8" t="str">
        <f t="shared" si="26"/>
        <v>Christian</v>
      </c>
      <c r="AQ120" s="73" t="str">
        <f>IFERROR(__xludf.DUMMYFUNCTION("IFNA(QUERY(transpose(AY120:BB120),""Select Col1 where Col1 is not null limit 1"",0))"),"")</f>
        <v/>
      </c>
      <c r="AR120" s="56"/>
      <c r="AS120" s="28" t="str">
        <f t="shared" ref="AS120:AV120" si="1002">IF(AK120=AS$3,"",AS$3)</f>
        <v>Thomas</v>
      </c>
      <c r="AT120" s="28" t="str">
        <f t="shared" si="1002"/>
        <v>Peter</v>
      </c>
      <c r="AU120" s="28" t="str">
        <f t="shared" si="1002"/>
        <v>Janus</v>
      </c>
      <c r="AV120" s="28" t="str">
        <f t="shared" si="1002"/>
        <v/>
      </c>
      <c r="AW120" s="56">
        <f t="shared" si="28"/>
        <v>3</v>
      </c>
      <c r="AX120" s="28">
        <f t="shared" si="29"/>
        <v>48</v>
      </c>
      <c r="AY120" s="28" t="str">
        <f t="shared" ref="AY120:BB120" si="1003">IFNA(IFS(AY$3=$AP120,"",$AX120=U120,AY$3),"")</f>
        <v/>
      </c>
      <c r="AZ120" s="28" t="str">
        <f t="shared" si="1003"/>
        <v/>
      </c>
      <c r="BA120" s="28" t="str">
        <f t="shared" si="1003"/>
        <v/>
      </c>
      <c r="BB120" s="28" t="str">
        <f t="shared" si="1003"/>
        <v/>
      </c>
      <c r="BC120" s="58">
        <f>OFFSET('00_Regnskab_01'!$A$1,MATCH(A120,'00_Regnskab_01'!$A$1:$A$25)-1,2)</f>
        <v>43644</v>
      </c>
      <c r="BE120" s="80">
        <f t="shared" ref="BE120:BH120" si="1004">if(U120&gt;0,1+BE119,0)</f>
        <v>0</v>
      </c>
      <c r="BF120" s="28">
        <f t="shared" si="1004"/>
        <v>0</v>
      </c>
      <c r="BG120" s="28">
        <f t="shared" si="1004"/>
        <v>0</v>
      </c>
      <c r="BH120" s="28">
        <f t="shared" si="1004"/>
        <v>1</v>
      </c>
      <c r="BJ120" s="28">
        <f t="shared" ref="BJ120:BM120" si="1005">if(U120&lt;0,1+BJ119,0)</f>
        <v>2</v>
      </c>
      <c r="BK120" s="28">
        <f t="shared" si="1005"/>
        <v>1</v>
      </c>
      <c r="BL120" s="28">
        <f t="shared" si="1005"/>
        <v>6</v>
      </c>
      <c r="BM120" s="28">
        <f t="shared" si="1005"/>
        <v>0</v>
      </c>
      <c r="BO120" s="74">
        <f t="shared" ref="BO120:BR120" si="1006">if(U120&gt;0,U120+BO119,0)</f>
        <v>0</v>
      </c>
      <c r="BP120" s="74">
        <f t="shared" si="1006"/>
        <v>0</v>
      </c>
      <c r="BQ120" s="74">
        <f t="shared" si="1006"/>
        <v>0</v>
      </c>
      <c r="BR120" s="74">
        <f t="shared" si="1006"/>
        <v>48</v>
      </c>
      <c r="BT120" s="28">
        <f t="shared" ref="BT120:BW120" si="1007">if(U120&lt;0,U120+BT119,0)</f>
        <v>-32</v>
      </c>
      <c r="BU120" s="28">
        <f t="shared" si="1007"/>
        <v>-16</v>
      </c>
      <c r="BV120" s="28">
        <f t="shared" si="1007"/>
        <v>-144</v>
      </c>
      <c r="BW120" s="28">
        <f t="shared" si="1007"/>
        <v>0</v>
      </c>
    </row>
    <row r="121">
      <c r="A121" s="53">
        <v>10.0</v>
      </c>
      <c r="B121" s="28">
        <f>'10_28-06-2019'!A22</f>
        <v>20</v>
      </c>
      <c r="C121" s="75">
        <f>'10_28-06-2019'!D22</f>
        <v>264</v>
      </c>
      <c r="D121" s="28">
        <f>'10_28-06-2019'!C22</f>
        <v>-104</v>
      </c>
      <c r="E121" s="28">
        <f>'10_28-06-2019'!E22</f>
        <v>-56</v>
      </c>
      <c r="F121" s="28">
        <f>'10_28-06-2019'!B22</f>
        <v>-104</v>
      </c>
      <c r="G121" s="28">
        <f>'10_28-06-2019'!F22</f>
        <v>0</v>
      </c>
      <c r="H121" s="28" t="str">
        <f>'10_28-06-2019'!I22</f>
        <v>Christian</v>
      </c>
      <c r="J121" s="76" t="str">
        <f>'10_28-06-2019'!H22</f>
        <v>Christian</v>
      </c>
      <c r="K121" s="28" t="str">
        <f>'10_28-06-2019'!G22</f>
        <v>9 halve</v>
      </c>
      <c r="L121" s="56"/>
      <c r="M121" s="25">
        <v>9.0</v>
      </c>
      <c r="N121" s="25" t="s">
        <v>94</v>
      </c>
      <c r="T121" s="56"/>
      <c r="U121" s="77">
        <f t="shared" ref="U121:X121" si="1008">C121-C120</f>
        <v>12</v>
      </c>
      <c r="V121" s="28">
        <f t="shared" si="1008"/>
        <v>-12</v>
      </c>
      <c r="W121" s="28">
        <f t="shared" si="1008"/>
        <v>12</v>
      </c>
      <c r="X121" s="28">
        <f t="shared" si="1008"/>
        <v>-12</v>
      </c>
      <c r="AB121" s="28" t="str">
        <f t="shared" ref="AB121:AE121" si="1009">IF(AB$3=$H121,U121,"")</f>
        <v/>
      </c>
      <c r="AC121" s="28" t="str">
        <f t="shared" si="1009"/>
        <v/>
      </c>
      <c r="AD121" s="28" t="str">
        <f t="shared" si="1009"/>
        <v/>
      </c>
      <c r="AE121" s="28">
        <f t="shared" si="1009"/>
        <v>-12</v>
      </c>
      <c r="AH121" s="28">
        <f t="shared" si="22"/>
        <v>0</v>
      </c>
      <c r="AI121" s="28">
        <f t="shared" si="23"/>
        <v>-12</v>
      </c>
      <c r="AK121" s="78" t="str">
        <f t="shared" ref="AK121:AN121" si="1010">IF(U121&gt;0,AK$3,"")</f>
        <v>Thomas</v>
      </c>
      <c r="AL121" s="78" t="str">
        <f t="shared" si="1010"/>
        <v/>
      </c>
      <c r="AM121" s="78" t="str">
        <f t="shared" si="1010"/>
        <v>Janus</v>
      </c>
      <c r="AN121" s="78" t="str">
        <f t="shared" si="1010"/>
        <v/>
      </c>
      <c r="AO121" s="56">
        <f t="shared" si="25"/>
        <v>2</v>
      </c>
      <c r="AP121" s="8" t="str">
        <f t="shared" si="26"/>
        <v>Christian</v>
      </c>
      <c r="AQ121" s="73" t="str">
        <f>IFERROR(__xludf.DUMMYFUNCTION("IFNA(QUERY(transpose(AY121:BB121),""Select Col1 where Col1 is not null limit 1"",0))"),"Peter")</f>
        <v>Peter</v>
      </c>
      <c r="AR121" s="56"/>
      <c r="AS121" s="28" t="str">
        <f t="shared" ref="AS121:AV121" si="1011">IF(AK121=AS$3,"",AS$3)</f>
        <v/>
      </c>
      <c r="AT121" s="28" t="str">
        <f t="shared" si="1011"/>
        <v>Peter</v>
      </c>
      <c r="AU121" s="28" t="str">
        <f t="shared" si="1011"/>
        <v/>
      </c>
      <c r="AV121" s="28" t="str">
        <f t="shared" si="1011"/>
        <v>Christian</v>
      </c>
      <c r="AW121" s="56">
        <f t="shared" si="28"/>
        <v>2</v>
      </c>
      <c r="AX121" s="28">
        <f t="shared" si="29"/>
        <v>-12</v>
      </c>
      <c r="AY121" s="28" t="str">
        <f t="shared" ref="AY121:BB121" si="1012">IFNA(IFS(AY$3=$AP121,"",$AX121=U121,AY$3),"")</f>
        <v/>
      </c>
      <c r="AZ121" s="28" t="str">
        <f t="shared" si="1012"/>
        <v>Peter</v>
      </c>
      <c r="BA121" s="28" t="str">
        <f t="shared" si="1012"/>
        <v/>
      </c>
      <c r="BB121" s="28" t="str">
        <f t="shared" si="1012"/>
        <v/>
      </c>
      <c r="BC121" s="58">
        <f>OFFSET('00_Regnskab_01'!$A$1,MATCH(A121,'00_Regnskab_01'!$A$1:$A$25)-1,2)</f>
        <v>43644</v>
      </c>
      <c r="BE121" s="80">
        <f t="shared" ref="BE121:BH121" si="1013">if(U121&gt;0,1+BE120,0)</f>
        <v>1</v>
      </c>
      <c r="BF121" s="28">
        <f t="shared" si="1013"/>
        <v>0</v>
      </c>
      <c r="BG121" s="28">
        <f t="shared" si="1013"/>
        <v>1</v>
      </c>
      <c r="BH121" s="28">
        <f t="shared" si="1013"/>
        <v>0</v>
      </c>
      <c r="BJ121" s="28">
        <f t="shared" ref="BJ121:BM121" si="1014">if(U121&lt;0,1+BJ120,0)</f>
        <v>0</v>
      </c>
      <c r="BK121" s="28">
        <f t="shared" si="1014"/>
        <v>2</v>
      </c>
      <c r="BL121" s="28">
        <f t="shared" si="1014"/>
        <v>0</v>
      </c>
      <c r="BM121" s="28">
        <f t="shared" si="1014"/>
        <v>1</v>
      </c>
      <c r="BO121" s="74">
        <f t="shared" ref="BO121:BR121" si="1015">if(U121&gt;0,U121+BO120,0)</f>
        <v>12</v>
      </c>
      <c r="BP121" s="74">
        <f t="shared" si="1015"/>
        <v>0</v>
      </c>
      <c r="BQ121" s="74">
        <f t="shared" si="1015"/>
        <v>12</v>
      </c>
      <c r="BR121" s="74">
        <f t="shared" si="1015"/>
        <v>0</v>
      </c>
      <c r="BT121" s="28">
        <f t="shared" ref="BT121:BW121" si="1016">if(U121&lt;0,U121+BT120,0)</f>
        <v>0</v>
      </c>
      <c r="BU121" s="28">
        <f t="shared" si="1016"/>
        <v>-28</v>
      </c>
      <c r="BV121" s="28">
        <f t="shared" si="1016"/>
        <v>0</v>
      </c>
      <c r="BW121" s="28">
        <f t="shared" si="1016"/>
        <v>-12</v>
      </c>
    </row>
    <row r="122">
      <c r="A122" s="53">
        <v>10.0</v>
      </c>
      <c r="B122" s="28">
        <f>'10_28-06-2019'!A23</f>
        <v>21</v>
      </c>
      <c r="C122" s="75">
        <f>'10_28-06-2019'!D23</f>
        <v>260</v>
      </c>
      <c r="D122" s="28">
        <f>'10_28-06-2019'!C23</f>
        <v>-100</v>
      </c>
      <c r="E122" s="28">
        <f>'10_28-06-2019'!E23</f>
        <v>-60</v>
      </c>
      <c r="F122" s="28">
        <f>'10_28-06-2019'!B23</f>
        <v>-100</v>
      </c>
      <c r="G122" s="28">
        <f>'10_28-06-2019'!F23</f>
        <v>0</v>
      </c>
      <c r="H122" s="28" t="str">
        <f>'10_28-06-2019'!I23</f>
        <v>Peter</v>
      </c>
      <c r="J122" s="76" t="str">
        <f>'10_28-06-2019'!H23</f>
        <v>Janus</v>
      </c>
      <c r="K122" s="28" t="str">
        <f>'10_28-06-2019'!G23</f>
        <v>8 gode</v>
      </c>
      <c r="L122" s="56"/>
      <c r="M122" s="25">
        <v>8.0</v>
      </c>
      <c r="N122" s="25" t="s">
        <v>95</v>
      </c>
      <c r="T122" s="56"/>
      <c r="U122" s="77">
        <f t="shared" ref="U122:X122" si="1017">C122-C121</f>
        <v>-4</v>
      </c>
      <c r="V122" s="28">
        <f t="shared" si="1017"/>
        <v>4</v>
      </c>
      <c r="W122" s="28">
        <f t="shared" si="1017"/>
        <v>-4</v>
      </c>
      <c r="X122" s="28">
        <f t="shared" si="1017"/>
        <v>4</v>
      </c>
      <c r="AB122" s="28" t="str">
        <f t="shared" ref="AB122:AE122" si="1018">IF(AB$3=$H122,U122,"")</f>
        <v/>
      </c>
      <c r="AC122" s="28">
        <f t="shared" si="1018"/>
        <v>4</v>
      </c>
      <c r="AD122" s="28" t="str">
        <f t="shared" si="1018"/>
        <v/>
      </c>
      <c r="AE122" s="28" t="str">
        <f t="shared" si="1018"/>
        <v/>
      </c>
      <c r="AH122" s="28">
        <f t="shared" si="22"/>
        <v>4</v>
      </c>
      <c r="AI122" s="28">
        <f t="shared" si="23"/>
        <v>0</v>
      </c>
      <c r="AK122" s="78" t="str">
        <f t="shared" ref="AK122:AN122" si="1019">IF(U122&gt;0,AK$3,"")</f>
        <v/>
      </c>
      <c r="AL122" s="78" t="str">
        <f t="shared" si="1019"/>
        <v>Peter</v>
      </c>
      <c r="AM122" s="78" t="str">
        <f t="shared" si="1019"/>
        <v/>
      </c>
      <c r="AN122" s="78" t="str">
        <f t="shared" si="1019"/>
        <v>Christian</v>
      </c>
      <c r="AO122" s="56">
        <f t="shared" si="25"/>
        <v>2</v>
      </c>
      <c r="AP122" s="8" t="str">
        <f t="shared" si="26"/>
        <v>Peter</v>
      </c>
      <c r="AQ122" s="73" t="str">
        <f>IFERROR(__xludf.DUMMYFUNCTION("IFNA(QUERY(transpose(AY122:BB122),""Select Col1 where Col1 is not null limit 1"",0))"),"Christian")</f>
        <v>Christian</v>
      </c>
      <c r="AR122" s="56"/>
      <c r="AS122" s="28" t="str">
        <f t="shared" ref="AS122:AV122" si="1020">IF(AK122=AS$3,"",AS$3)</f>
        <v>Thomas</v>
      </c>
      <c r="AT122" s="28" t="str">
        <f t="shared" si="1020"/>
        <v/>
      </c>
      <c r="AU122" s="28" t="str">
        <f t="shared" si="1020"/>
        <v>Janus</v>
      </c>
      <c r="AV122" s="28" t="str">
        <f t="shared" si="1020"/>
        <v/>
      </c>
      <c r="AW122" s="56">
        <f t="shared" si="28"/>
        <v>2</v>
      </c>
      <c r="AX122" s="28">
        <f t="shared" si="29"/>
        <v>4</v>
      </c>
      <c r="AY122" s="28" t="str">
        <f t="shared" ref="AY122:BB122" si="1021">IFNA(IFS(AY$3=$AP122,"",$AX122=U122,AY$3),"")</f>
        <v/>
      </c>
      <c r="AZ122" s="28" t="str">
        <f t="shared" si="1021"/>
        <v/>
      </c>
      <c r="BA122" s="28" t="str">
        <f t="shared" si="1021"/>
        <v/>
      </c>
      <c r="BB122" s="28" t="str">
        <f t="shared" si="1021"/>
        <v>Christian</v>
      </c>
      <c r="BC122" s="58">
        <f>OFFSET('00_Regnskab_01'!$A$1,MATCH(A122,'00_Regnskab_01'!$A$1:$A$25)-1,2)</f>
        <v>43644</v>
      </c>
      <c r="BE122" s="80">
        <f t="shared" ref="BE122:BH122" si="1022">if(U122&gt;0,1+BE121,0)</f>
        <v>0</v>
      </c>
      <c r="BF122" s="28">
        <f t="shared" si="1022"/>
        <v>1</v>
      </c>
      <c r="BG122" s="28">
        <f t="shared" si="1022"/>
        <v>0</v>
      </c>
      <c r="BH122" s="28">
        <f t="shared" si="1022"/>
        <v>1</v>
      </c>
      <c r="BJ122" s="28">
        <f t="shared" ref="BJ122:BM122" si="1023">if(U122&lt;0,1+BJ121,0)</f>
        <v>1</v>
      </c>
      <c r="BK122" s="28">
        <f t="shared" si="1023"/>
        <v>0</v>
      </c>
      <c r="BL122" s="28">
        <f t="shared" si="1023"/>
        <v>1</v>
      </c>
      <c r="BM122" s="28">
        <f t="shared" si="1023"/>
        <v>0</v>
      </c>
      <c r="BO122" s="74">
        <f t="shared" ref="BO122:BR122" si="1024">if(U122&gt;0,U122+BO121,0)</f>
        <v>0</v>
      </c>
      <c r="BP122" s="74">
        <f t="shared" si="1024"/>
        <v>4</v>
      </c>
      <c r="BQ122" s="74">
        <f t="shared" si="1024"/>
        <v>0</v>
      </c>
      <c r="BR122" s="74">
        <f t="shared" si="1024"/>
        <v>4</v>
      </c>
      <c r="BT122" s="28">
        <f t="shared" ref="BT122:BW122" si="1025">if(U122&lt;0,U122+BT121,0)</f>
        <v>-4</v>
      </c>
      <c r="BU122" s="28">
        <f t="shared" si="1025"/>
        <v>0</v>
      </c>
      <c r="BV122" s="28">
        <f t="shared" si="1025"/>
        <v>-4</v>
      </c>
      <c r="BW122" s="28">
        <f t="shared" si="1025"/>
        <v>0</v>
      </c>
    </row>
    <row r="123">
      <c r="A123" s="53">
        <v>10.0</v>
      </c>
      <c r="B123" s="28">
        <f>'10_28-06-2019'!A24</f>
        <v>22</v>
      </c>
      <c r="C123" s="75">
        <f>'10_28-06-2019'!D24</f>
        <v>340</v>
      </c>
      <c r="D123" s="28">
        <f>'10_28-06-2019'!C24</f>
        <v>-180</v>
      </c>
      <c r="E123" s="28">
        <f>'10_28-06-2019'!E24</f>
        <v>-140</v>
      </c>
      <c r="F123" s="28">
        <f>'10_28-06-2019'!B24</f>
        <v>-20</v>
      </c>
      <c r="G123" s="28">
        <f>'10_28-06-2019'!F24</f>
        <v>0</v>
      </c>
      <c r="H123" s="28" t="str">
        <f>'10_28-06-2019'!I24</f>
        <v>Peter</v>
      </c>
      <c r="J123" s="76" t="str">
        <f>'10_28-06-2019'!H24</f>
        <v>Thomas</v>
      </c>
      <c r="K123" s="28" t="str">
        <f>'10_28-06-2019'!G24</f>
        <v>10 vip i 2.anden</v>
      </c>
      <c r="L123" s="56"/>
      <c r="M123" s="25">
        <v>10.0</v>
      </c>
      <c r="N123" s="25" t="s">
        <v>86</v>
      </c>
      <c r="O123" s="25">
        <v>2.0</v>
      </c>
      <c r="T123" s="56"/>
      <c r="U123" s="77">
        <f t="shared" ref="U123:X123" si="1026">C123-C122</f>
        <v>80</v>
      </c>
      <c r="V123" s="28">
        <f t="shared" si="1026"/>
        <v>-80</v>
      </c>
      <c r="W123" s="28">
        <f t="shared" si="1026"/>
        <v>-80</v>
      </c>
      <c r="X123" s="28">
        <f t="shared" si="1026"/>
        <v>80</v>
      </c>
      <c r="AB123" s="28" t="str">
        <f t="shared" ref="AB123:AE123" si="1027">IF(AB$3=$H123,U123,"")</f>
        <v/>
      </c>
      <c r="AC123" s="28">
        <f t="shared" si="1027"/>
        <v>-80</v>
      </c>
      <c r="AD123" s="28" t="str">
        <f t="shared" si="1027"/>
        <v/>
      </c>
      <c r="AE123" s="28" t="str">
        <f t="shared" si="1027"/>
        <v/>
      </c>
      <c r="AH123" s="28">
        <f t="shared" si="22"/>
        <v>0</v>
      </c>
      <c r="AI123" s="28">
        <f t="shared" si="23"/>
        <v>-80</v>
      </c>
      <c r="AK123" s="78" t="str">
        <f t="shared" ref="AK123:AN123" si="1028">IF(U123&gt;0,AK$3,"")</f>
        <v>Thomas</v>
      </c>
      <c r="AL123" s="78" t="str">
        <f t="shared" si="1028"/>
        <v/>
      </c>
      <c r="AM123" s="78" t="str">
        <f t="shared" si="1028"/>
        <v/>
      </c>
      <c r="AN123" s="78" t="str">
        <f t="shared" si="1028"/>
        <v>Christian</v>
      </c>
      <c r="AO123" s="56">
        <f t="shared" si="25"/>
        <v>2</v>
      </c>
      <c r="AP123" s="8" t="str">
        <f t="shared" si="26"/>
        <v>Peter</v>
      </c>
      <c r="AQ123" s="73" t="str">
        <f>IFERROR(__xludf.DUMMYFUNCTION("IFNA(QUERY(transpose(AY123:BB123),""Select Col1 where Col1 is not null limit 1"",0))"),"Janus")</f>
        <v>Janus</v>
      </c>
      <c r="AR123" s="56"/>
      <c r="AS123" s="28" t="str">
        <f t="shared" ref="AS123:AV123" si="1029">IF(AK123=AS$3,"",AS$3)</f>
        <v/>
      </c>
      <c r="AT123" s="28" t="str">
        <f t="shared" si="1029"/>
        <v>Peter</v>
      </c>
      <c r="AU123" s="28" t="str">
        <f t="shared" si="1029"/>
        <v>Janus</v>
      </c>
      <c r="AV123" s="28" t="str">
        <f t="shared" si="1029"/>
        <v/>
      </c>
      <c r="AW123" s="56">
        <f t="shared" si="28"/>
        <v>2</v>
      </c>
      <c r="AX123" s="28">
        <f t="shared" si="29"/>
        <v>-80</v>
      </c>
      <c r="AY123" s="28" t="str">
        <f t="shared" ref="AY123:BB123" si="1030">IFNA(IFS(AY$3=$AP123,"",$AX123=U123,AY$3),"")</f>
        <v/>
      </c>
      <c r="AZ123" s="28" t="str">
        <f t="shared" si="1030"/>
        <v/>
      </c>
      <c r="BA123" s="28" t="str">
        <f t="shared" si="1030"/>
        <v>Janus</v>
      </c>
      <c r="BB123" s="28" t="str">
        <f t="shared" si="1030"/>
        <v/>
      </c>
      <c r="BC123" s="58">
        <f>OFFSET('00_Regnskab_01'!$A$1,MATCH(A123,'00_Regnskab_01'!$A$1:$A$25)-1,2)</f>
        <v>43644</v>
      </c>
      <c r="BE123" s="80">
        <f t="shared" ref="BE123:BH123" si="1031">if(U123&gt;0,1+BE122,0)</f>
        <v>1</v>
      </c>
      <c r="BF123" s="28">
        <f t="shared" si="1031"/>
        <v>0</v>
      </c>
      <c r="BG123" s="28">
        <f t="shared" si="1031"/>
        <v>0</v>
      </c>
      <c r="BH123" s="28">
        <f t="shared" si="1031"/>
        <v>2</v>
      </c>
      <c r="BJ123" s="28">
        <f t="shared" ref="BJ123:BM123" si="1032">if(U123&lt;0,1+BJ122,0)</f>
        <v>0</v>
      </c>
      <c r="BK123" s="28">
        <f t="shared" si="1032"/>
        <v>1</v>
      </c>
      <c r="BL123" s="28">
        <f t="shared" si="1032"/>
        <v>2</v>
      </c>
      <c r="BM123" s="28">
        <f t="shared" si="1032"/>
        <v>0</v>
      </c>
      <c r="BO123" s="74">
        <f t="shared" ref="BO123:BR123" si="1033">if(U123&gt;0,U123+BO122,0)</f>
        <v>80</v>
      </c>
      <c r="BP123" s="74">
        <f t="shared" si="1033"/>
        <v>0</v>
      </c>
      <c r="BQ123" s="74">
        <f t="shared" si="1033"/>
        <v>0</v>
      </c>
      <c r="BR123" s="74">
        <f t="shared" si="1033"/>
        <v>84</v>
      </c>
      <c r="BT123" s="28">
        <f t="shared" ref="BT123:BW123" si="1034">if(U123&lt;0,U123+BT122,0)</f>
        <v>0</v>
      </c>
      <c r="BU123" s="28">
        <f t="shared" si="1034"/>
        <v>-80</v>
      </c>
      <c r="BV123" s="28">
        <f t="shared" si="1034"/>
        <v>-84</v>
      </c>
      <c r="BW123" s="28">
        <f t="shared" si="1034"/>
        <v>0</v>
      </c>
    </row>
    <row r="124">
      <c r="A124" s="53">
        <v>10.0</v>
      </c>
      <c r="B124" s="28">
        <f>'10_28-06-2019'!A25</f>
        <v>23</v>
      </c>
      <c r="C124" s="75">
        <f>'10_28-06-2019'!D25</f>
        <v>372</v>
      </c>
      <c r="D124" s="28">
        <f>'10_28-06-2019'!C25</f>
        <v>-148</v>
      </c>
      <c r="E124" s="28">
        <f>'10_28-06-2019'!E25</f>
        <v>-172</v>
      </c>
      <c r="F124" s="28">
        <f>'10_28-06-2019'!B25</f>
        <v>-52</v>
      </c>
      <c r="G124" s="28">
        <f>'10_28-06-2019'!F25</f>
        <v>0</v>
      </c>
      <c r="H124" s="28" t="str">
        <f>'10_28-06-2019'!I25</f>
        <v>Thomas</v>
      </c>
      <c r="J124" s="76" t="str">
        <f>'10_28-06-2019'!H25</f>
        <v>Peter</v>
      </c>
      <c r="K124" s="28" t="str">
        <f>'10_28-06-2019'!G25</f>
        <v>10 halve</v>
      </c>
      <c r="L124" s="56"/>
      <c r="M124" s="25">
        <v>10.0</v>
      </c>
      <c r="N124" s="25" t="s">
        <v>94</v>
      </c>
      <c r="T124" s="56"/>
      <c r="U124" s="77">
        <f t="shared" ref="U124:X124" si="1035">C124-C123</f>
        <v>32</v>
      </c>
      <c r="V124" s="28">
        <f t="shared" si="1035"/>
        <v>32</v>
      </c>
      <c r="W124" s="28">
        <f t="shared" si="1035"/>
        <v>-32</v>
      </c>
      <c r="X124" s="28">
        <f t="shared" si="1035"/>
        <v>-32</v>
      </c>
      <c r="AB124" s="28">
        <f t="shared" ref="AB124:AE124" si="1036">IF(AB$3=$H124,U124,"")</f>
        <v>32</v>
      </c>
      <c r="AC124" s="28" t="str">
        <f t="shared" si="1036"/>
        <v/>
      </c>
      <c r="AD124" s="28" t="str">
        <f t="shared" si="1036"/>
        <v/>
      </c>
      <c r="AE124" s="28" t="str">
        <f t="shared" si="1036"/>
        <v/>
      </c>
      <c r="AH124" s="28">
        <f t="shared" si="22"/>
        <v>32</v>
      </c>
      <c r="AI124" s="28">
        <f t="shared" si="23"/>
        <v>0</v>
      </c>
      <c r="AK124" s="78" t="str">
        <f t="shared" ref="AK124:AN124" si="1037">IF(U124&gt;0,AK$3,"")</f>
        <v>Thomas</v>
      </c>
      <c r="AL124" s="78" t="str">
        <f t="shared" si="1037"/>
        <v>Peter</v>
      </c>
      <c r="AM124" s="78" t="str">
        <f t="shared" si="1037"/>
        <v/>
      </c>
      <c r="AN124" s="78" t="str">
        <f t="shared" si="1037"/>
        <v/>
      </c>
      <c r="AO124" s="56">
        <f t="shared" si="25"/>
        <v>2</v>
      </c>
      <c r="AP124" s="8" t="str">
        <f t="shared" si="26"/>
        <v>Thomas</v>
      </c>
      <c r="AQ124" s="73" t="str">
        <f>IFERROR(__xludf.DUMMYFUNCTION("IFNA(QUERY(transpose(AY124:BB124),""Select Col1 where Col1 is not null limit 1"",0))"),"Peter")</f>
        <v>Peter</v>
      </c>
      <c r="AR124" s="56"/>
      <c r="AS124" s="28" t="str">
        <f t="shared" ref="AS124:AV124" si="1038">IF(AK124=AS$3,"",AS$3)</f>
        <v/>
      </c>
      <c r="AT124" s="28" t="str">
        <f t="shared" si="1038"/>
        <v/>
      </c>
      <c r="AU124" s="28" t="str">
        <f t="shared" si="1038"/>
        <v>Janus</v>
      </c>
      <c r="AV124" s="28" t="str">
        <f t="shared" si="1038"/>
        <v>Christian</v>
      </c>
      <c r="AW124" s="56">
        <f t="shared" si="28"/>
        <v>2</v>
      </c>
      <c r="AX124" s="28">
        <f t="shared" si="29"/>
        <v>32</v>
      </c>
      <c r="AY124" s="28" t="str">
        <f t="shared" ref="AY124:BB124" si="1039">IFNA(IFS(AY$3=$AP124,"",$AX124=U124,AY$3),"")</f>
        <v/>
      </c>
      <c r="AZ124" s="28" t="str">
        <f t="shared" si="1039"/>
        <v>Peter</v>
      </c>
      <c r="BA124" s="28" t="str">
        <f t="shared" si="1039"/>
        <v/>
      </c>
      <c r="BB124" s="28" t="str">
        <f t="shared" si="1039"/>
        <v/>
      </c>
      <c r="BC124" s="58">
        <f>OFFSET('00_Regnskab_01'!$A$1,MATCH(A124,'00_Regnskab_01'!$A$1:$A$25)-1,2)</f>
        <v>43644</v>
      </c>
      <c r="BE124" s="80">
        <f t="shared" ref="BE124:BH124" si="1040">if(U124&gt;0,1+BE123,0)</f>
        <v>2</v>
      </c>
      <c r="BF124" s="28">
        <f t="shared" si="1040"/>
        <v>1</v>
      </c>
      <c r="BG124" s="28">
        <f t="shared" si="1040"/>
        <v>0</v>
      </c>
      <c r="BH124" s="28">
        <f t="shared" si="1040"/>
        <v>0</v>
      </c>
      <c r="BJ124" s="28">
        <f t="shared" ref="BJ124:BM124" si="1041">if(U124&lt;0,1+BJ123,0)</f>
        <v>0</v>
      </c>
      <c r="BK124" s="28">
        <f t="shared" si="1041"/>
        <v>0</v>
      </c>
      <c r="BL124" s="28">
        <f t="shared" si="1041"/>
        <v>3</v>
      </c>
      <c r="BM124" s="28">
        <f t="shared" si="1041"/>
        <v>1</v>
      </c>
      <c r="BO124" s="74">
        <f t="shared" ref="BO124:BR124" si="1042">if(U124&gt;0,U124+BO123,0)</f>
        <v>112</v>
      </c>
      <c r="BP124" s="74">
        <f t="shared" si="1042"/>
        <v>32</v>
      </c>
      <c r="BQ124" s="74">
        <f t="shared" si="1042"/>
        <v>0</v>
      </c>
      <c r="BR124" s="74">
        <f t="shared" si="1042"/>
        <v>0</v>
      </c>
      <c r="BT124" s="28">
        <f t="shared" ref="BT124:BW124" si="1043">if(U124&lt;0,U124+BT123,0)</f>
        <v>0</v>
      </c>
      <c r="BU124" s="28">
        <f t="shared" si="1043"/>
        <v>0</v>
      </c>
      <c r="BV124" s="28">
        <f t="shared" si="1043"/>
        <v>-116</v>
      </c>
      <c r="BW124" s="28">
        <f t="shared" si="1043"/>
        <v>-32</v>
      </c>
    </row>
    <row r="125">
      <c r="A125" s="53">
        <v>10.0</v>
      </c>
      <c r="B125" s="28">
        <f>'10_28-06-2019'!A26</f>
        <v>24</v>
      </c>
      <c r="C125" s="75">
        <f>'10_28-06-2019'!D26</f>
        <v>348</v>
      </c>
      <c r="D125" s="28">
        <f>'10_28-06-2019'!C26</f>
        <v>-124</v>
      </c>
      <c r="E125" s="28">
        <f>'10_28-06-2019'!E26</f>
        <v>-148</v>
      </c>
      <c r="F125" s="28">
        <f>'10_28-06-2019'!B26</f>
        <v>-76</v>
      </c>
      <c r="G125" s="28">
        <f>'10_28-06-2019'!F26</f>
        <v>0</v>
      </c>
      <c r="H125" s="28" t="str">
        <f>'10_28-06-2019'!I26</f>
        <v>Janus</v>
      </c>
      <c r="J125" s="76" t="str">
        <f>'10_28-06-2019'!H26</f>
        <v>Christian</v>
      </c>
      <c r="K125" s="28" t="str">
        <f>'10_28-06-2019'!G26</f>
        <v>9. 2 vip</v>
      </c>
      <c r="L125" s="56"/>
      <c r="M125" s="25">
        <v>9.0</v>
      </c>
      <c r="N125" s="25" t="s">
        <v>86</v>
      </c>
      <c r="O125" s="25">
        <v>2.0</v>
      </c>
      <c r="T125" s="56"/>
      <c r="U125" s="77">
        <f t="shared" ref="U125:X125" si="1044">C125-C124</f>
        <v>-24</v>
      </c>
      <c r="V125" s="28">
        <f t="shared" si="1044"/>
        <v>24</v>
      </c>
      <c r="W125" s="28">
        <f t="shared" si="1044"/>
        <v>24</v>
      </c>
      <c r="X125" s="28">
        <f t="shared" si="1044"/>
        <v>-24</v>
      </c>
      <c r="AB125" s="28" t="str">
        <f t="shared" ref="AB125:AE125" si="1045">IF(AB$3=$H125,U125,"")</f>
        <v/>
      </c>
      <c r="AC125" s="28" t="str">
        <f t="shared" si="1045"/>
        <v/>
      </c>
      <c r="AD125" s="28">
        <f t="shared" si="1045"/>
        <v>24</v>
      </c>
      <c r="AE125" s="28" t="str">
        <f t="shared" si="1045"/>
        <v/>
      </c>
      <c r="AH125" s="28">
        <f t="shared" si="22"/>
        <v>24</v>
      </c>
      <c r="AI125" s="28">
        <f t="shared" si="23"/>
        <v>0</v>
      </c>
      <c r="AK125" s="78" t="str">
        <f t="shared" ref="AK125:AN125" si="1046">IF(U125&gt;0,AK$3,"")</f>
        <v/>
      </c>
      <c r="AL125" s="78" t="str">
        <f t="shared" si="1046"/>
        <v>Peter</v>
      </c>
      <c r="AM125" s="78" t="str">
        <f t="shared" si="1046"/>
        <v>Janus</v>
      </c>
      <c r="AN125" s="78" t="str">
        <f t="shared" si="1046"/>
        <v/>
      </c>
      <c r="AO125" s="56">
        <f t="shared" si="25"/>
        <v>2</v>
      </c>
      <c r="AP125" s="8" t="str">
        <f t="shared" si="26"/>
        <v>Janus</v>
      </c>
      <c r="AQ125" s="73" t="str">
        <f>IFERROR(__xludf.DUMMYFUNCTION("IFNA(QUERY(transpose(AY125:BB125),""Select Col1 where Col1 is not null limit 1"",0))"),"Peter")</f>
        <v>Peter</v>
      </c>
      <c r="AR125" s="56"/>
      <c r="AS125" s="28" t="str">
        <f t="shared" ref="AS125:AV125" si="1047">IF(AK125=AS$3,"",AS$3)</f>
        <v>Thomas</v>
      </c>
      <c r="AT125" s="28" t="str">
        <f t="shared" si="1047"/>
        <v/>
      </c>
      <c r="AU125" s="28" t="str">
        <f t="shared" si="1047"/>
        <v/>
      </c>
      <c r="AV125" s="28" t="str">
        <f t="shared" si="1047"/>
        <v>Christian</v>
      </c>
      <c r="AW125" s="56">
        <f t="shared" si="28"/>
        <v>2</v>
      </c>
      <c r="AX125" s="28">
        <f t="shared" si="29"/>
        <v>24</v>
      </c>
      <c r="AY125" s="28" t="str">
        <f t="shared" ref="AY125:BB125" si="1048">IFNA(IFS(AY$3=$AP125,"",$AX125=U125,AY$3),"")</f>
        <v/>
      </c>
      <c r="AZ125" s="28" t="str">
        <f t="shared" si="1048"/>
        <v>Peter</v>
      </c>
      <c r="BA125" s="28" t="str">
        <f t="shared" si="1048"/>
        <v/>
      </c>
      <c r="BB125" s="28" t="str">
        <f t="shared" si="1048"/>
        <v/>
      </c>
      <c r="BC125" s="58">
        <f>OFFSET('00_Regnskab_01'!$A$1,MATCH(A125,'00_Regnskab_01'!$A$1:$A$25)-1,2)</f>
        <v>43644</v>
      </c>
      <c r="BE125" s="80">
        <f t="shared" ref="BE125:BH125" si="1049">if(U125&gt;0,1+BE124,0)</f>
        <v>0</v>
      </c>
      <c r="BF125" s="28">
        <f t="shared" si="1049"/>
        <v>2</v>
      </c>
      <c r="BG125" s="28">
        <f t="shared" si="1049"/>
        <v>1</v>
      </c>
      <c r="BH125" s="28">
        <f t="shared" si="1049"/>
        <v>0</v>
      </c>
      <c r="BJ125" s="28">
        <f t="shared" ref="BJ125:BM125" si="1050">if(U125&lt;0,1+BJ124,0)</f>
        <v>1</v>
      </c>
      <c r="BK125" s="28">
        <f t="shared" si="1050"/>
        <v>0</v>
      </c>
      <c r="BL125" s="28">
        <f t="shared" si="1050"/>
        <v>0</v>
      </c>
      <c r="BM125" s="28">
        <f t="shared" si="1050"/>
        <v>2</v>
      </c>
      <c r="BO125" s="74">
        <f t="shared" ref="BO125:BR125" si="1051">if(U125&gt;0,U125+BO124,0)</f>
        <v>0</v>
      </c>
      <c r="BP125" s="74">
        <f t="shared" si="1051"/>
        <v>56</v>
      </c>
      <c r="BQ125" s="74">
        <f t="shared" si="1051"/>
        <v>24</v>
      </c>
      <c r="BR125" s="74">
        <f t="shared" si="1051"/>
        <v>0</v>
      </c>
      <c r="BT125" s="28">
        <f t="shared" ref="BT125:BW125" si="1052">if(U125&lt;0,U125+BT124,0)</f>
        <v>-24</v>
      </c>
      <c r="BU125" s="28">
        <f t="shared" si="1052"/>
        <v>0</v>
      </c>
      <c r="BV125" s="28">
        <f t="shared" si="1052"/>
        <v>0</v>
      </c>
      <c r="BW125" s="28">
        <f t="shared" si="1052"/>
        <v>-56</v>
      </c>
    </row>
    <row r="126">
      <c r="A126" s="53">
        <v>10.0</v>
      </c>
      <c r="B126" s="28">
        <f>'10_28-06-2019'!A27</f>
        <v>25</v>
      </c>
      <c r="C126" s="75">
        <f>'10_28-06-2019'!D27</f>
        <v>344</v>
      </c>
      <c r="D126" s="28">
        <f>'10_28-06-2019'!C27</f>
        <v>-128</v>
      </c>
      <c r="E126" s="28">
        <f>'10_28-06-2019'!E27</f>
        <v>-144</v>
      </c>
      <c r="F126" s="28">
        <f>'10_28-06-2019'!B27</f>
        <v>-72</v>
      </c>
      <c r="G126" s="28">
        <f>'10_28-06-2019'!F27</f>
        <v>0</v>
      </c>
      <c r="H126" s="28" t="str">
        <f>'10_28-06-2019'!I27</f>
        <v>Peter</v>
      </c>
      <c r="J126" s="76" t="str">
        <f>'10_28-06-2019'!H27</f>
        <v>Janus</v>
      </c>
      <c r="K126" s="28" t="str">
        <f>'10_28-06-2019'!G27</f>
        <v>9 alm</v>
      </c>
      <c r="L126" s="56"/>
      <c r="M126" s="25">
        <v>9.0</v>
      </c>
      <c r="N126" s="25" t="s">
        <v>100</v>
      </c>
      <c r="T126" s="56"/>
      <c r="U126" s="77">
        <f t="shared" ref="U126:X126" si="1053">C126-C125</f>
        <v>-4</v>
      </c>
      <c r="V126" s="28">
        <f t="shared" si="1053"/>
        <v>-4</v>
      </c>
      <c r="W126" s="28">
        <f t="shared" si="1053"/>
        <v>4</v>
      </c>
      <c r="X126" s="28">
        <f t="shared" si="1053"/>
        <v>4</v>
      </c>
      <c r="AB126" s="28" t="str">
        <f t="shared" ref="AB126:AE126" si="1054">IF(AB$3=$H126,U126,"")</f>
        <v/>
      </c>
      <c r="AC126" s="28">
        <f t="shared" si="1054"/>
        <v>-4</v>
      </c>
      <c r="AD126" s="28" t="str">
        <f t="shared" si="1054"/>
        <v/>
      </c>
      <c r="AE126" s="28" t="str">
        <f t="shared" si="1054"/>
        <v/>
      </c>
      <c r="AH126" s="28">
        <f t="shared" si="22"/>
        <v>0</v>
      </c>
      <c r="AI126" s="28">
        <f t="shared" si="23"/>
        <v>-4</v>
      </c>
      <c r="AK126" s="78" t="str">
        <f t="shared" ref="AK126:AN126" si="1055">IF(U126&gt;0,AK$3,"")</f>
        <v/>
      </c>
      <c r="AL126" s="78" t="str">
        <f t="shared" si="1055"/>
        <v/>
      </c>
      <c r="AM126" s="78" t="str">
        <f t="shared" si="1055"/>
        <v>Janus</v>
      </c>
      <c r="AN126" s="78" t="str">
        <f t="shared" si="1055"/>
        <v>Christian</v>
      </c>
      <c r="AO126" s="56">
        <f t="shared" si="25"/>
        <v>2</v>
      </c>
      <c r="AP126" s="8" t="str">
        <f t="shared" si="26"/>
        <v>Peter</v>
      </c>
      <c r="AQ126" s="73" t="str">
        <f>IFERROR(__xludf.DUMMYFUNCTION("IFNA(QUERY(transpose(AY126:BB126),""Select Col1 where Col1 is not null limit 1"",0))"),"Thomas")</f>
        <v>Thomas</v>
      </c>
      <c r="AR126" s="56"/>
      <c r="AS126" s="28" t="str">
        <f t="shared" ref="AS126:AV126" si="1056">IF(AK126=AS$3,"",AS$3)</f>
        <v>Thomas</v>
      </c>
      <c r="AT126" s="28" t="str">
        <f t="shared" si="1056"/>
        <v>Peter</v>
      </c>
      <c r="AU126" s="28" t="str">
        <f t="shared" si="1056"/>
        <v/>
      </c>
      <c r="AV126" s="28" t="str">
        <f t="shared" si="1056"/>
        <v/>
      </c>
      <c r="AW126" s="56">
        <f t="shared" si="28"/>
        <v>2</v>
      </c>
      <c r="AX126" s="28">
        <f t="shared" si="29"/>
        <v>-4</v>
      </c>
      <c r="AY126" s="28" t="str">
        <f t="shared" ref="AY126:BB126" si="1057">IFNA(IFS(AY$3=$AP126,"",$AX126=U126,AY$3),"")</f>
        <v>Thomas</v>
      </c>
      <c r="AZ126" s="28" t="str">
        <f t="shared" si="1057"/>
        <v/>
      </c>
      <c r="BA126" s="28" t="str">
        <f t="shared" si="1057"/>
        <v/>
      </c>
      <c r="BB126" s="28" t="str">
        <f t="shared" si="1057"/>
        <v/>
      </c>
      <c r="BC126" s="58">
        <f>OFFSET('00_Regnskab_01'!$A$1,MATCH(A126,'00_Regnskab_01'!$A$1:$A$25)-1,2)</f>
        <v>43644</v>
      </c>
      <c r="BE126" s="80">
        <f t="shared" ref="BE126:BH126" si="1058">if(U126&gt;0,1+BE125,0)</f>
        <v>0</v>
      </c>
      <c r="BF126" s="28">
        <f t="shared" si="1058"/>
        <v>0</v>
      </c>
      <c r="BG126" s="28">
        <f t="shared" si="1058"/>
        <v>2</v>
      </c>
      <c r="BH126" s="28">
        <f t="shared" si="1058"/>
        <v>1</v>
      </c>
      <c r="BJ126" s="28">
        <f t="shared" ref="BJ126:BM126" si="1059">if(U126&lt;0,1+BJ125,0)</f>
        <v>2</v>
      </c>
      <c r="BK126" s="28">
        <f t="shared" si="1059"/>
        <v>1</v>
      </c>
      <c r="BL126" s="28">
        <f t="shared" si="1059"/>
        <v>0</v>
      </c>
      <c r="BM126" s="28">
        <f t="shared" si="1059"/>
        <v>0</v>
      </c>
      <c r="BO126" s="74">
        <f t="shared" ref="BO126:BR126" si="1060">if(U126&gt;0,U126+BO125,0)</f>
        <v>0</v>
      </c>
      <c r="BP126" s="74">
        <f t="shared" si="1060"/>
        <v>0</v>
      </c>
      <c r="BQ126" s="74">
        <f t="shared" si="1060"/>
        <v>28</v>
      </c>
      <c r="BR126" s="74">
        <f t="shared" si="1060"/>
        <v>4</v>
      </c>
      <c r="BT126" s="28">
        <f t="shared" ref="BT126:BW126" si="1061">if(U126&lt;0,U126+BT125,0)</f>
        <v>-28</v>
      </c>
      <c r="BU126" s="28">
        <f t="shared" si="1061"/>
        <v>-4</v>
      </c>
      <c r="BV126" s="28">
        <f t="shared" si="1061"/>
        <v>0</v>
      </c>
      <c r="BW126" s="28">
        <f t="shared" si="1061"/>
        <v>0</v>
      </c>
    </row>
    <row r="127">
      <c r="A127" s="53">
        <v>10.0</v>
      </c>
      <c r="B127" s="28">
        <f>'10_28-06-2019'!A28</f>
        <v>26</v>
      </c>
      <c r="C127" s="75">
        <f>'10_28-06-2019'!D28</f>
        <v>328</v>
      </c>
      <c r="D127" s="28">
        <f>'10_28-06-2019'!C28</f>
        <v>-112</v>
      </c>
      <c r="E127" s="28">
        <f>'10_28-06-2019'!E28</f>
        <v>-128</v>
      </c>
      <c r="F127" s="28">
        <f>'10_28-06-2019'!B28</f>
        <v>-88</v>
      </c>
      <c r="G127" s="28">
        <f>'10_28-06-2019'!F28</f>
        <v>0</v>
      </c>
      <c r="H127" s="28" t="str">
        <f>'10_28-06-2019'!I28</f>
        <v>Janus</v>
      </c>
      <c r="J127" s="76" t="str">
        <f>'10_28-06-2019'!H28</f>
        <v>Thomas</v>
      </c>
      <c r="K127" s="28" t="str">
        <f>'10_28-06-2019'!G28</f>
        <v>9 2. vip</v>
      </c>
      <c r="L127" s="56"/>
      <c r="M127" s="25">
        <v>9.0</v>
      </c>
      <c r="N127" s="25" t="s">
        <v>86</v>
      </c>
      <c r="O127" s="25">
        <v>2.0</v>
      </c>
      <c r="T127" s="56"/>
      <c r="U127" s="77">
        <f t="shared" ref="U127:X127" si="1062">C127-C126</f>
        <v>-16</v>
      </c>
      <c r="V127" s="28">
        <f t="shared" si="1062"/>
        <v>16</v>
      </c>
      <c r="W127" s="28">
        <f t="shared" si="1062"/>
        <v>16</v>
      </c>
      <c r="X127" s="28">
        <f t="shared" si="1062"/>
        <v>-16</v>
      </c>
      <c r="AB127" s="28" t="str">
        <f t="shared" ref="AB127:AE127" si="1063">IF(AB$3=$H127,U127,"")</f>
        <v/>
      </c>
      <c r="AC127" s="28" t="str">
        <f t="shared" si="1063"/>
        <v/>
      </c>
      <c r="AD127" s="28">
        <f t="shared" si="1063"/>
        <v>16</v>
      </c>
      <c r="AE127" s="28" t="str">
        <f t="shared" si="1063"/>
        <v/>
      </c>
      <c r="AH127" s="28">
        <f t="shared" si="22"/>
        <v>16</v>
      </c>
      <c r="AI127" s="28">
        <f t="shared" si="23"/>
        <v>0</v>
      </c>
      <c r="AK127" s="78" t="str">
        <f t="shared" ref="AK127:AN127" si="1064">IF(U127&gt;0,AK$3,"")</f>
        <v/>
      </c>
      <c r="AL127" s="78" t="str">
        <f t="shared" si="1064"/>
        <v>Peter</v>
      </c>
      <c r="AM127" s="78" t="str">
        <f t="shared" si="1064"/>
        <v>Janus</v>
      </c>
      <c r="AN127" s="78" t="str">
        <f t="shared" si="1064"/>
        <v/>
      </c>
      <c r="AO127" s="56">
        <f t="shared" si="25"/>
        <v>2</v>
      </c>
      <c r="AP127" s="8" t="str">
        <f t="shared" si="26"/>
        <v>Janus</v>
      </c>
      <c r="AQ127" s="73" t="str">
        <f>IFERROR(__xludf.DUMMYFUNCTION("IFNA(QUERY(transpose(AY127:BB127),""Select Col1 where Col1 is not null limit 1"",0))"),"Peter")</f>
        <v>Peter</v>
      </c>
      <c r="AR127" s="56"/>
      <c r="AS127" s="28" t="str">
        <f t="shared" ref="AS127:AV127" si="1065">IF(AK127=AS$3,"",AS$3)</f>
        <v>Thomas</v>
      </c>
      <c r="AT127" s="28" t="str">
        <f t="shared" si="1065"/>
        <v/>
      </c>
      <c r="AU127" s="28" t="str">
        <f t="shared" si="1065"/>
        <v/>
      </c>
      <c r="AV127" s="28" t="str">
        <f t="shared" si="1065"/>
        <v>Christian</v>
      </c>
      <c r="AW127" s="56">
        <f t="shared" si="28"/>
        <v>2</v>
      </c>
      <c r="AX127" s="28">
        <f t="shared" si="29"/>
        <v>16</v>
      </c>
      <c r="AY127" s="28" t="str">
        <f t="shared" ref="AY127:BB127" si="1066">IFNA(IFS(AY$3=$AP127,"",$AX127=U127,AY$3),"")</f>
        <v/>
      </c>
      <c r="AZ127" s="28" t="str">
        <f t="shared" si="1066"/>
        <v>Peter</v>
      </c>
      <c r="BA127" s="28" t="str">
        <f t="shared" si="1066"/>
        <v/>
      </c>
      <c r="BB127" s="28" t="str">
        <f t="shared" si="1066"/>
        <v/>
      </c>
      <c r="BC127" s="58">
        <f>OFFSET('00_Regnskab_01'!$A$1,MATCH(A127,'00_Regnskab_01'!$A$1:$A$25)-1,2)</f>
        <v>43644</v>
      </c>
      <c r="BE127" s="80">
        <f t="shared" ref="BE127:BH127" si="1067">if(U127&gt;0,1+BE126,0)</f>
        <v>0</v>
      </c>
      <c r="BF127" s="28">
        <f t="shared" si="1067"/>
        <v>1</v>
      </c>
      <c r="BG127" s="28">
        <f t="shared" si="1067"/>
        <v>3</v>
      </c>
      <c r="BH127" s="28">
        <f t="shared" si="1067"/>
        <v>0</v>
      </c>
      <c r="BJ127" s="28">
        <f t="shared" ref="BJ127:BM127" si="1068">if(U127&lt;0,1+BJ126,0)</f>
        <v>3</v>
      </c>
      <c r="BK127" s="28">
        <f t="shared" si="1068"/>
        <v>0</v>
      </c>
      <c r="BL127" s="28">
        <f t="shared" si="1068"/>
        <v>0</v>
      </c>
      <c r="BM127" s="28">
        <f t="shared" si="1068"/>
        <v>1</v>
      </c>
      <c r="BO127" s="74">
        <f t="shared" ref="BO127:BR127" si="1069">if(U127&gt;0,U127+BO126,0)</f>
        <v>0</v>
      </c>
      <c r="BP127" s="74">
        <f t="shared" si="1069"/>
        <v>16</v>
      </c>
      <c r="BQ127" s="74">
        <f t="shared" si="1069"/>
        <v>44</v>
      </c>
      <c r="BR127" s="74">
        <f t="shared" si="1069"/>
        <v>0</v>
      </c>
      <c r="BT127" s="28">
        <f t="shared" ref="BT127:BW127" si="1070">if(U127&lt;0,U127+BT126,0)</f>
        <v>-44</v>
      </c>
      <c r="BU127" s="28">
        <f t="shared" si="1070"/>
        <v>0</v>
      </c>
      <c r="BV127" s="28">
        <f t="shared" si="1070"/>
        <v>0</v>
      </c>
      <c r="BW127" s="28">
        <f t="shared" si="1070"/>
        <v>-16</v>
      </c>
    </row>
    <row r="128">
      <c r="A128" s="53">
        <v>10.0</v>
      </c>
      <c r="B128" s="28">
        <f>'10_28-06-2019'!A29</f>
        <v>27</v>
      </c>
      <c r="C128" s="75">
        <f>'10_28-06-2019'!D29</f>
        <v>308</v>
      </c>
      <c r="D128" s="28">
        <f>'10_28-06-2019'!C29</f>
        <v>-92</v>
      </c>
      <c r="E128" s="28">
        <f>'10_28-06-2019'!E29</f>
        <v>-148</v>
      </c>
      <c r="F128" s="28">
        <f>'10_28-06-2019'!B29</f>
        <v>-68</v>
      </c>
      <c r="G128" s="28">
        <f>'10_28-06-2019'!F29</f>
        <v>0</v>
      </c>
      <c r="H128" s="28" t="str">
        <f>'10_28-06-2019'!I29</f>
        <v>Christian</v>
      </c>
      <c r="J128" s="76" t="str">
        <f>'10_28-06-2019'!H29</f>
        <v>Peter</v>
      </c>
      <c r="K128" s="28" t="str">
        <f>'10_28-06-2019'!G29</f>
        <v>9 gode</v>
      </c>
      <c r="L128" s="56"/>
      <c r="M128" s="25">
        <v>9.0</v>
      </c>
      <c r="N128" s="25" t="s">
        <v>95</v>
      </c>
      <c r="T128" s="56"/>
      <c r="U128" s="77">
        <f t="shared" ref="U128:X128" si="1071">C128-C127</f>
        <v>-20</v>
      </c>
      <c r="V128" s="28">
        <f t="shared" si="1071"/>
        <v>20</v>
      </c>
      <c r="W128" s="28">
        <f t="shared" si="1071"/>
        <v>-20</v>
      </c>
      <c r="X128" s="28">
        <f t="shared" si="1071"/>
        <v>20</v>
      </c>
      <c r="AB128" s="28" t="str">
        <f t="shared" ref="AB128:AE128" si="1072">IF(AB$3=$H128,U128,"")</f>
        <v/>
      </c>
      <c r="AC128" s="28" t="str">
        <f t="shared" si="1072"/>
        <v/>
      </c>
      <c r="AD128" s="28" t="str">
        <f t="shared" si="1072"/>
        <v/>
      </c>
      <c r="AE128" s="28">
        <f t="shared" si="1072"/>
        <v>20</v>
      </c>
      <c r="AH128" s="28">
        <f t="shared" si="22"/>
        <v>20</v>
      </c>
      <c r="AI128" s="28">
        <f t="shared" si="23"/>
        <v>0</v>
      </c>
      <c r="AK128" s="78" t="str">
        <f t="shared" ref="AK128:AN128" si="1073">IF(U128&gt;0,AK$3,"")</f>
        <v/>
      </c>
      <c r="AL128" s="78" t="str">
        <f t="shared" si="1073"/>
        <v>Peter</v>
      </c>
      <c r="AM128" s="78" t="str">
        <f t="shared" si="1073"/>
        <v/>
      </c>
      <c r="AN128" s="78" t="str">
        <f t="shared" si="1073"/>
        <v>Christian</v>
      </c>
      <c r="AO128" s="56">
        <f t="shared" si="25"/>
        <v>2</v>
      </c>
      <c r="AP128" s="8" t="str">
        <f t="shared" si="26"/>
        <v>Christian</v>
      </c>
      <c r="AQ128" s="73" t="str">
        <f>IFERROR(__xludf.DUMMYFUNCTION("IFNA(QUERY(transpose(AY128:BB128),""Select Col1 where Col1 is not null limit 1"",0))"),"Peter")</f>
        <v>Peter</v>
      </c>
      <c r="AR128" s="56"/>
      <c r="AS128" s="28" t="str">
        <f t="shared" ref="AS128:AV128" si="1074">IF(AK128=AS$3,"",AS$3)</f>
        <v>Thomas</v>
      </c>
      <c r="AT128" s="28" t="str">
        <f t="shared" si="1074"/>
        <v/>
      </c>
      <c r="AU128" s="28" t="str">
        <f t="shared" si="1074"/>
        <v>Janus</v>
      </c>
      <c r="AV128" s="28" t="str">
        <f t="shared" si="1074"/>
        <v/>
      </c>
      <c r="AW128" s="56">
        <f t="shared" si="28"/>
        <v>2</v>
      </c>
      <c r="AX128" s="28">
        <f t="shared" si="29"/>
        <v>20</v>
      </c>
      <c r="AY128" s="28" t="str">
        <f t="shared" ref="AY128:BB128" si="1075">IFNA(IFS(AY$3=$AP128,"",$AX128=U128,AY$3),"")</f>
        <v/>
      </c>
      <c r="AZ128" s="28" t="str">
        <f t="shared" si="1075"/>
        <v>Peter</v>
      </c>
      <c r="BA128" s="28" t="str">
        <f t="shared" si="1075"/>
        <v/>
      </c>
      <c r="BB128" s="28" t="str">
        <f t="shared" si="1075"/>
        <v/>
      </c>
      <c r="BC128" s="58">
        <f>OFFSET('00_Regnskab_01'!$A$1,MATCH(A128,'00_Regnskab_01'!$A$1:$A$25)-1,2)</f>
        <v>43644</v>
      </c>
      <c r="BE128" s="80">
        <f t="shared" ref="BE128:BH128" si="1076">if(U128&gt;0,1+BE127,0)</f>
        <v>0</v>
      </c>
      <c r="BF128" s="28">
        <f t="shared" si="1076"/>
        <v>2</v>
      </c>
      <c r="BG128" s="28">
        <f t="shared" si="1076"/>
        <v>0</v>
      </c>
      <c r="BH128" s="28">
        <f t="shared" si="1076"/>
        <v>1</v>
      </c>
      <c r="BJ128" s="28">
        <f t="shared" ref="BJ128:BM128" si="1077">if(U128&lt;0,1+BJ127,0)</f>
        <v>4</v>
      </c>
      <c r="BK128" s="28">
        <f t="shared" si="1077"/>
        <v>0</v>
      </c>
      <c r="BL128" s="28">
        <f t="shared" si="1077"/>
        <v>1</v>
      </c>
      <c r="BM128" s="28">
        <f t="shared" si="1077"/>
        <v>0</v>
      </c>
      <c r="BO128" s="74">
        <f t="shared" ref="BO128:BR128" si="1078">if(U128&gt;0,U128+BO127,0)</f>
        <v>0</v>
      </c>
      <c r="BP128" s="74">
        <f t="shared" si="1078"/>
        <v>36</v>
      </c>
      <c r="BQ128" s="74">
        <f t="shared" si="1078"/>
        <v>0</v>
      </c>
      <c r="BR128" s="74">
        <f t="shared" si="1078"/>
        <v>20</v>
      </c>
      <c r="BT128" s="28">
        <f t="shared" ref="BT128:BW128" si="1079">if(U128&lt;0,U128+BT127,0)</f>
        <v>-64</v>
      </c>
      <c r="BU128" s="28">
        <f t="shared" si="1079"/>
        <v>0</v>
      </c>
      <c r="BV128" s="28">
        <f t="shared" si="1079"/>
        <v>-20</v>
      </c>
      <c r="BW128" s="28">
        <f t="shared" si="1079"/>
        <v>0</v>
      </c>
    </row>
    <row r="129">
      <c r="A129" s="53">
        <v>10.0</v>
      </c>
      <c r="B129" s="28">
        <f>'10_28-06-2019'!A30</f>
        <v>28</v>
      </c>
      <c r="C129" s="75">
        <f>'10_28-06-2019'!D30</f>
        <v>328</v>
      </c>
      <c r="D129" s="28">
        <f>'10_28-06-2019'!C30</f>
        <v>-72</v>
      </c>
      <c r="E129" s="28">
        <f>'10_28-06-2019'!E30</f>
        <v>-208</v>
      </c>
      <c r="F129" s="28">
        <f>'10_28-06-2019'!B30</f>
        <v>-48</v>
      </c>
      <c r="G129" s="28">
        <f>'10_28-06-2019'!F30</f>
        <v>0</v>
      </c>
      <c r="H129" s="28" t="str">
        <f>'10_28-06-2019'!I30</f>
        <v>Janus</v>
      </c>
      <c r="J129" s="76" t="str">
        <f>'10_28-06-2019'!H30</f>
        <v>Christian</v>
      </c>
      <c r="K129" s="28" t="str">
        <f>'10_28-06-2019'!G30</f>
        <v>9 halve (selvmakker)</v>
      </c>
      <c r="L129" s="56"/>
      <c r="M129" s="25">
        <v>9.0</v>
      </c>
      <c r="N129" s="25" t="s">
        <v>94</v>
      </c>
      <c r="R129" s="25" t="s">
        <v>15</v>
      </c>
      <c r="S129" s="25"/>
      <c r="T129" s="56"/>
      <c r="U129" s="77">
        <f t="shared" ref="U129:X129" si="1080">C129-C128</f>
        <v>20</v>
      </c>
      <c r="V129" s="28">
        <f t="shared" si="1080"/>
        <v>20</v>
      </c>
      <c r="W129" s="28">
        <f t="shared" si="1080"/>
        <v>-60</v>
      </c>
      <c r="X129" s="28">
        <f t="shared" si="1080"/>
        <v>20</v>
      </c>
      <c r="AB129" s="28" t="str">
        <f t="shared" ref="AB129:AE129" si="1081">IF(AB$3=$H129,U129,"")</f>
        <v/>
      </c>
      <c r="AC129" s="28" t="str">
        <f t="shared" si="1081"/>
        <v/>
      </c>
      <c r="AD129" s="28">
        <f t="shared" si="1081"/>
        <v>-60</v>
      </c>
      <c r="AE129" s="28" t="str">
        <f t="shared" si="1081"/>
        <v/>
      </c>
      <c r="AH129" s="28">
        <f t="shared" si="22"/>
        <v>0</v>
      </c>
      <c r="AI129" s="28">
        <f t="shared" si="23"/>
        <v>-60</v>
      </c>
      <c r="AK129" s="78" t="str">
        <f t="shared" ref="AK129:AN129" si="1082">IF(U129&gt;0,AK$3,"")</f>
        <v>Thomas</v>
      </c>
      <c r="AL129" s="78" t="str">
        <f t="shared" si="1082"/>
        <v>Peter</v>
      </c>
      <c r="AM129" s="78" t="str">
        <f t="shared" si="1082"/>
        <v/>
      </c>
      <c r="AN129" s="78" t="str">
        <f t="shared" si="1082"/>
        <v>Christian</v>
      </c>
      <c r="AO129" s="56">
        <f t="shared" si="25"/>
        <v>3</v>
      </c>
      <c r="AP129" s="8" t="str">
        <f t="shared" si="26"/>
        <v>Janus</v>
      </c>
      <c r="AQ129" s="73" t="str">
        <f>IFERROR(__xludf.DUMMYFUNCTION("IFNA(QUERY(transpose(AY129:BB129),""Select Col1 where Col1 is not null limit 1"",0))"),"")</f>
        <v/>
      </c>
      <c r="AR129" s="56"/>
      <c r="AS129" s="28" t="str">
        <f t="shared" ref="AS129:AV129" si="1083">IF(AK129=AS$3,"",AS$3)</f>
        <v/>
      </c>
      <c r="AT129" s="28" t="str">
        <f t="shared" si="1083"/>
        <v/>
      </c>
      <c r="AU129" s="28" t="str">
        <f t="shared" si="1083"/>
        <v>Janus</v>
      </c>
      <c r="AV129" s="28" t="str">
        <f t="shared" si="1083"/>
        <v/>
      </c>
      <c r="AW129" s="56">
        <f t="shared" si="28"/>
        <v>1</v>
      </c>
      <c r="AX129" s="28">
        <f t="shared" si="29"/>
        <v>-60</v>
      </c>
      <c r="AY129" s="28" t="str">
        <f t="shared" ref="AY129:BB129" si="1084">IFNA(IFS(AY$3=$AP129,"",$AX129=U129,AY$3),"")</f>
        <v/>
      </c>
      <c r="AZ129" s="28" t="str">
        <f t="shared" si="1084"/>
        <v/>
      </c>
      <c r="BA129" s="28" t="str">
        <f t="shared" si="1084"/>
        <v/>
      </c>
      <c r="BB129" s="28" t="str">
        <f t="shared" si="1084"/>
        <v/>
      </c>
      <c r="BC129" s="58">
        <f>OFFSET('00_Regnskab_01'!$A$1,MATCH(A129,'00_Regnskab_01'!$A$1:$A$25)-1,2)</f>
        <v>43644</v>
      </c>
      <c r="BE129" s="80">
        <f t="shared" ref="BE129:BH129" si="1085">if(U129&gt;0,1+BE128,0)</f>
        <v>1</v>
      </c>
      <c r="BF129" s="28">
        <f t="shared" si="1085"/>
        <v>3</v>
      </c>
      <c r="BG129" s="28">
        <f t="shared" si="1085"/>
        <v>0</v>
      </c>
      <c r="BH129" s="28">
        <f t="shared" si="1085"/>
        <v>2</v>
      </c>
      <c r="BJ129" s="28">
        <f t="shared" ref="BJ129:BM129" si="1086">if(U129&lt;0,1+BJ128,0)</f>
        <v>0</v>
      </c>
      <c r="BK129" s="28">
        <f t="shared" si="1086"/>
        <v>0</v>
      </c>
      <c r="BL129" s="28">
        <f t="shared" si="1086"/>
        <v>2</v>
      </c>
      <c r="BM129" s="28">
        <f t="shared" si="1086"/>
        <v>0</v>
      </c>
      <c r="BO129" s="74">
        <f t="shared" ref="BO129:BR129" si="1087">if(U129&gt;0,U129+BO128,0)</f>
        <v>20</v>
      </c>
      <c r="BP129" s="74">
        <f t="shared" si="1087"/>
        <v>56</v>
      </c>
      <c r="BQ129" s="74">
        <f t="shared" si="1087"/>
        <v>0</v>
      </c>
      <c r="BR129" s="74">
        <f t="shared" si="1087"/>
        <v>40</v>
      </c>
      <c r="BT129" s="28">
        <f t="shared" ref="BT129:BW129" si="1088">if(U129&lt;0,U129+BT128,0)</f>
        <v>0</v>
      </c>
      <c r="BU129" s="28">
        <f t="shared" si="1088"/>
        <v>0</v>
      </c>
      <c r="BV129" s="28">
        <f t="shared" si="1088"/>
        <v>-80</v>
      </c>
      <c r="BW129" s="28">
        <f t="shared" si="1088"/>
        <v>0</v>
      </c>
    </row>
    <row r="130">
      <c r="A130" s="53">
        <v>10.0</v>
      </c>
      <c r="B130" s="28">
        <f>'10_28-06-2019'!A31</f>
        <v>29</v>
      </c>
      <c r="C130" s="75">
        <f>'10_28-06-2019'!D31</f>
        <v>312</v>
      </c>
      <c r="D130" s="28">
        <f>'10_28-06-2019'!C31</f>
        <v>-24</v>
      </c>
      <c r="E130" s="28">
        <f>'10_28-06-2019'!E31</f>
        <v>-224</v>
      </c>
      <c r="F130" s="28">
        <f>'10_28-06-2019'!B31</f>
        <v>-64</v>
      </c>
      <c r="G130" s="28">
        <f>'10_28-06-2019'!F31</f>
        <v>0</v>
      </c>
      <c r="H130" s="28" t="str">
        <f>'10_28-06-2019'!I31</f>
        <v>Peter</v>
      </c>
      <c r="J130" s="76" t="str">
        <f>'10_28-06-2019'!H31</f>
        <v>Janus</v>
      </c>
      <c r="K130" s="28" t="str">
        <f>'10_28-06-2019'!G31</f>
        <v>ren sol</v>
      </c>
      <c r="L130" s="56"/>
      <c r="N130" s="25" t="s">
        <v>97</v>
      </c>
      <c r="T130" s="56"/>
      <c r="U130" s="77">
        <f t="shared" ref="U130:X130" si="1089">C130-C129</f>
        <v>-16</v>
      </c>
      <c r="V130" s="28">
        <f t="shared" si="1089"/>
        <v>48</v>
      </c>
      <c r="W130" s="28">
        <f t="shared" si="1089"/>
        <v>-16</v>
      </c>
      <c r="X130" s="28">
        <f t="shared" si="1089"/>
        <v>-16</v>
      </c>
      <c r="AB130" s="28" t="str">
        <f t="shared" ref="AB130:AE130" si="1090">IF(AB$3=$H130,U130,"")</f>
        <v/>
      </c>
      <c r="AC130" s="28">
        <f t="shared" si="1090"/>
        <v>48</v>
      </c>
      <c r="AD130" s="28" t="str">
        <f t="shared" si="1090"/>
        <v/>
      </c>
      <c r="AE130" s="28" t="str">
        <f t="shared" si="1090"/>
        <v/>
      </c>
      <c r="AH130" s="28">
        <f t="shared" si="22"/>
        <v>48</v>
      </c>
      <c r="AI130" s="28">
        <f t="shared" si="23"/>
        <v>0</v>
      </c>
      <c r="AK130" s="78" t="str">
        <f t="shared" ref="AK130:AN130" si="1091">IF(U130&gt;0,AK$3,"")</f>
        <v/>
      </c>
      <c r="AL130" s="78" t="str">
        <f t="shared" si="1091"/>
        <v>Peter</v>
      </c>
      <c r="AM130" s="78" t="str">
        <f t="shared" si="1091"/>
        <v/>
      </c>
      <c r="AN130" s="78" t="str">
        <f t="shared" si="1091"/>
        <v/>
      </c>
      <c r="AO130" s="56">
        <f t="shared" si="25"/>
        <v>1</v>
      </c>
      <c r="AP130" s="8" t="str">
        <f t="shared" si="26"/>
        <v>Peter</v>
      </c>
      <c r="AQ130" s="73" t="str">
        <f>IFERROR(__xludf.DUMMYFUNCTION("IFNA(QUERY(transpose(AY130:BB130),""Select Col1 where Col1 is not null limit 1"",0))"),"")</f>
        <v/>
      </c>
      <c r="AR130" s="56"/>
      <c r="AS130" s="28" t="str">
        <f t="shared" ref="AS130:AV130" si="1092">IF(AK130=AS$3,"",AS$3)</f>
        <v>Thomas</v>
      </c>
      <c r="AT130" s="28" t="str">
        <f t="shared" si="1092"/>
        <v/>
      </c>
      <c r="AU130" s="28" t="str">
        <f t="shared" si="1092"/>
        <v>Janus</v>
      </c>
      <c r="AV130" s="28" t="str">
        <f t="shared" si="1092"/>
        <v>Christian</v>
      </c>
      <c r="AW130" s="56">
        <f t="shared" si="28"/>
        <v>3</v>
      </c>
      <c r="AX130" s="28">
        <f t="shared" si="29"/>
        <v>48</v>
      </c>
      <c r="AY130" s="28" t="str">
        <f t="shared" ref="AY130:BB130" si="1093">IFNA(IFS(AY$3=$AP130,"",$AX130=U130,AY$3),"")</f>
        <v/>
      </c>
      <c r="AZ130" s="28" t="str">
        <f t="shared" si="1093"/>
        <v/>
      </c>
      <c r="BA130" s="28" t="str">
        <f t="shared" si="1093"/>
        <v/>
      </c>
      <c r="BB130" s="28" t="str">
        <f t="shared" si="1093"/>
        <v/>
      </c>
      <c r="BC130" s="58">
        <f>OFFSET('00_Regnskab_01'!$A$1,MATCH(A130,'00_Regnskab_01'!$A$1:$A$25)-1,2)</f>
        <v>43644</v>
      </c>
      <c r="BE130" s="80">
        <f t="shared" ref="BE130:BH130" si="1094">if(U130&gt;0,1+BE129,0)</f>
        <v>0</v>
      </c>
      <c r="BF130" s="28">
        <f t="shared" si="1094"/>
        <v>4</v>
      </c>
      <c r="BG130" s="28">
        <f t="shared" si="1094"/>
        <v>0</v>
      </c>
      <c r="BH130" s="28">
        <f t="shared" si="1094"/>
        <v>0</v>
      </c>
      <c r="BJ130" s="28">
        <f t="shared" ref="BJ130:BM130" si="1095">if(U130&lt;0,1+BJ129,0)</f>
        <v>1</v>
      </c>
      <c r="BK130" s="28">
        <f t="shared" si="1095"/>
        <v>0</v>
      </c>
      <c r="BL130" s="28">
        <f t="shared" si="1095"/>
        <v>3</v>
      </c>
      <c r="BM130" s="28">
        <f t="shared" si="1095"/>
        <v>1</v>
      </c>
      <c r="BO130" s="74">
        <f t="shared" ref="BO130:BR130" si="1096">if(U130&gt;0,U130+BO129,0)</f>
        <v>0</v>
      </c>
      <c r="BP130" s="74">
        <f t="shared" si="1096"/>
        <v>104</v>
      </c>
      <c r="BQ130" s="74">
        <f t="shared" si="1096"/>
        <v>0</v>
      </c>
      <c r="BR130" s="74">
        <f t="shared" si="1096"/>
        <v>0</v>
      </c>
      <c r="BT130" s="28">
        <f t="shared" ref="BT130:BW130" si="1097">if(U130&lt;0,U130+BT129,0)</f>
        <v>-16</v>
      </c>
      <c r="BU130" s="28">
        <f t="shared" si="1097"/>
        <v>0</v>
      </c>
      <c r="BV130" s="28">
        <f t="shared" si="1097"/>
        <v>-96</v>
      </c>
      <c r="BW130" s="28">
        <f t="shared" si="1097"/>
        <v>-16</v>
      </c>
    </row>
    <row r="131">
      <c r="A131" s="53">
        <v>10.0</v>
      </c>
      <c r="B131" s="28">
        <f>'10_28-06-2019'!A32</f>
        <v>30</v>
      </c>
      <c r="C131" s="75">
        <f>'10_28-06-2019'!D32</f>
        <v>296</v>
      </c>
      <c r="D131" s="28">
        <f>'10_28-06-2019'!C32</f>
        <v>-40</v>
      </c>
      <c r="E131" s="28">
        <f>'10_28-06-2019'!E32</f>
        <v>-176</v>
      </c>
      <c r="F131" s="28">
        <f>'10_28-06-2019'!B32</f>
        <v>-80</v>
      </c>
      <c r="G131" s="28">
        <f>'10_28-06-2019'!F32</f>
        <v>0</v>
      </c>
      <c r="H131" s="28" t="str">
        <f>'10_28-06-2019'!I32</f>
        <v>Janus</v>
      </c>
      <c r="J131" s="76" t="str">
        <f>'10_28-06-2019'!H32</f>
        <v>Thomas</v>
      </c>
      <c r="K131" s="28" t="str">
        <f>'10_28-06-2019'!G32</f>
        <v>ren sol</v>
      </c>
      <c r="L131" s="56"/>
      <c r="N131" s="25" t="s">
        <v>97</v>
      </c>
      <c r="T131" s="56"/>
      <c r="U131" s="77">
        <f t="shared" ref="U131:X131" si="1098">C131-C130</f>
        <v>-16</v>
      </c>
      <c r="V131" s="28">
        <f t="shared" si="1098"/>
        <v>-16</v>
      </c>
      <c r="W131" s="28">
        <f t="shared" si="1098"/>
        <v>48</v>
      </c>
      <c r="X131" s="28">
        <f t="shared" si="1098"/>
        <v>-16</v>
      </c>
      <c r="AB131" s="28" t="str">
        <f t="shared" ref="AB131:AE131" si="1099">IF(AB$3=$H131,U131,"")</f>
        <v/>
      </c>
      <c r="AC131" s="28" t="str">
        <f t="shared" si="1099"/>
        <v/>
      </c>
      <c r="AD131" s="28">
        <f t="shared" si="1099"/>
        <v>48</v>
      </c>
      <c r="AE131" s="28" t="str">
        <f t="shared" si="1099"/>
        <v/>
      </c>
      <c r="AH131" s="28">
        <f t="shared" si="22"/>
        <v>48</v>
      </c>
      <c r="AI131" s="28">
        <f t="shared" si="23"/>
        <v>0</v>
      </c>
      <c r="AK131" s="78" t="str">
        <f t="shared" ref="AK131:AN131" si="1100">IF(U131&gt;0,AK$3,"")</f>
        <v/>
      </c>
      <c r="AL131" s="78" t="str">
        <f t="shared" si="1100"/>
        <v/>
      </c>
      <c r="AM131" s="78" t="str">
        <f t="shared" si="1100"/>
        <v>Janus</v>
      </c>
      <c r="AN131" s="78" t="str">
        <f t="shared" si="1100"/>
        <v/>
      </c>
      <c r="AO131" s="56">
        <f t="shared" si="25"/>
        <v>1</v>
      </c>
      <c r="AP131" s="8" t="str">
        <f t="shared" si="26"/>
        <v>Janus</v>
      </c>
      <c r="AQ131" s="73" t="str">
        <f>IFERROR(__xludf.DUMMYFUNCTION("IFNA(QUERY(transpose(AY131:BB131),""Select Col1 where Col1 is not null limit 1"",0))"),"")</f>
        <v/>
      </c>
      <c r="AR131" s="56"/>
      <c r="AS131" s="28" t="str">
        <f t="shared" ref="AS131:AV131" si="1101">IF(AK131=AS$3,"",AS$3)</f>
        <v>Thomas</v>
      </c>
      <c r="AT131" s="28" t="str">
        <f t="shared" si="1101"/>
        <v>Peter</v>
      </c>
      <c r="AU131" s="28" t="str">
        <f t="shared" si="1101"/>
        <v/>
      </c>
      <c r="AV131" s="28" t="str">
        <f t="shared" si="1101"/>
        <v>Christian</v>
      </c>
      <c r="AW131" s="56">
        <f t="shared" si="28"/>
        <v>3</v>
      </c>
      <c r="AX131" s="28">
        <f t="shared" si="29"/>
        <v>48</v>
      </c>
      <c r="AY131" s="28" t="str">
        <f t="shared" ref="AY131:BB131" si="1102">IFNA(IFS(AY$3=$AP131,"",$AX131=U131,AY$3),"")</f>
        <v/>
      </c>
      <c r="AZ131" s="28" t="str">
        <f t="shared" si="1102"/>
        <v/>
      </c>
      <c r="BA131" s="28" t="str">
        <f t="shared" si="1102"/>
        <v/>
      </c>
      <c r="BB131" s="28" t="str">
        <f t="shared" si="1102"/>
        <v/>
      </c>
      <c r="BC131" s="58">
        <f>OFFSET('00_Regnskab_01'!$A$1,MATCH(A131,'00_Regnskab_01'!$A$1:$A$25)-1,2)</f>
        <v>43644</v>
      </c>
      <c r="BE131" s="80">
        <f t="shared" ref="BE131:BH131" si="1103">if(U131&gt;0,1+BE130,0)</f>
        <v>0</v>
      </c>
      <c r="BF131" s="28">
        <f t="shared" si="1103"/>
        <v>0</v>
      </c>
      <c r="BG131" s="28">
        <f t="shared" si="1103"/>
        <v>1</v>
      </c>
      <c r="BH131" s="28">
        <f t="shared" si="1103"/>
        <v>0</v>
      </c>
      <c r="BJ131" s="28">
        <f t="shared" ref="BJ131:BM131" si="1104">if(U131&lt;0,1+BJ130,0)</f>
        <v>2</v>
      </c>
      <c r="BK131" s="28">
        <f t="shared" si="1104"/>
        <v>1</v>
      </c>
      <c r="BL131" s="28">
        <f t="shared" si="1104"/>
        <v>0</v>
      </c>
      <c r="BM131" s="28">
        <f t="shared" si="1104"/>
        <v>2</v>
      </c>
      <c r="BO131" s="74">
        <f t="shared" ref="BO131:BR131" si="1105">if(U131&gt;0,U131+BO130,0)</f>
        <v>0</v>
      </c>
      <c r="BP131" s="74">
        <f t="shared" si="1105"/>
        <v>0</v>
      </c>
      <c r="BQ131" s="74">
        <f t="shared" si="1105"/>
        <v>48</v>
      </c>
      <c r="BR131" s="74">
        <f t="shared" si="1105"/>
        <v>0</v>
      </c>
      <c r="BT131" s="28">
        <f t="shared" ref="BT131:BW131" si="1106">if(U131&lt;0,U131+BT130,0)</f>
        <v>-32</v>
      </c>
      <c r="BU131" s="28">
        <f t="shared" si="1106"/>
        <v>-16</v>
      </c>
      <c r="BV131" s="28">
        <f t="shared" si="1106"/>
        <v>0</v>
      </c>
      <c r="BW131" s="28">
        <f t="shared" si="1106"/>
        <v>-32</v>
      </c>
    </row>
    <row r="132">
      <c r="A132" s="53">
        <v>10.0</v>
      </c>
      <c r="B132" s="28">
        <f>'10_28-06-2019'!A33</f>
        <v>31</v>
      </c>
      <c r="C132" s="75">
        <f>'10_28-06-2019'!D33</f>
        <v>328</v>
      </c>
      <c r="D132" s="28">
        <f>'10_28-06-2019'!C33</f>
        <v>-72</v>
      </c>
      <c r="E132" s="28">
        <f>'10_28-06-2019'!E33</f>
        <v>-144</v>
      </c>
      <c r="F132" s="28">
        <f>'10_28-06-2019'!B33</f>
        <v>-112</v>
      </c>
      <c r="G132" s="28">
        <f>'10_28-06-2019'!F33</f>
        <v>0</v>
      </c>
      <c r="H132" s="28" t="str">
        <f>'10_28-06-2019'!I33</f>
        <v>Janus</v>
      </c>
      <c r="J132" s="76" t="str">
        <f>'10_28-06-2019'!H33</f>
        <v>Peter</v>
      </c>
      <c r="K132" s="28" t="str">
        <f>'10_28-06-2019'!G33</f>
        <v>9. vip i 2.</v>
      </c>
      <c r="L132" s="56"/>
      <c r="M132" s="25">
        <v>9.0</v>
      </c>
      <c r="N132" s="25" t="s">
        <v>86</v>
      </c>
      <c r="O132" s="25">
        <v>2.0</v>
      </c>
      <c r="T132" s="56"/>
      <c r="U132" s="77">
        <f t="shared" ref="U132:X132" si="1107">C132-C131</f>
        <v>32</v>
      </c>
      <c r="V132" s="28">
        <f t="shared" si="1107"/>
        <v>-32</v>
      </c>
      <c r="W132" s="28">
        <f t="shared" si="1107"/>
        <v>32</v>
      </c>
      <c r="X132" s="28">
        <f t="shared" si="1107"/>
        <v>-32</v>
      </c>
      <c r="AB132" s="28" t="str">
        <f t="shared" ref="AB132:AE132" si="1108">IF(AB$3=$H132,U132,"")</f>
        <v/>
      </c>
      <c r="AC132" s="28" t="str">
        <f t="shared" si="1108"/>
        <v/>
      </c>
      <c r="AD132" s="28">
        <f t="shared" si="1108"/>
        <v>32</v>
      </c>
      <c r="AE132" s="28" t="str">
        <f t="shared" si="1108"/>
        <v/>
      </c>
      <c r="AH132" s="28">
        <f t="shared" si="22"/>
        <v>32</v>
      </c>
      <c r="AI132" s="28">
        <f t="shared" si="23"/>
        <v>0</v>
      </c>
      <c r="AK132" s="78" t="str">
        <f t="shared" ref="AK132:AN132" si="1109">IF(U132&gt;0,AK$3,"")</f>
        <v>Thomas</v>
      </c>
      <c r="AL132" s="78" t="str">
        <f t="shared" si="1109"/>
        <v/>
      </c>
      <c r="AM132" s="78" t="str">
        <f t="shared" si="1109"/>
        <v>Janus</v>
      </c>
      <c r="AN132" s="78" t="str">
        <f t="shared" si="1109"/>
        <v/>
      </c>
      <c r="AO132" s="56">
        <f t="shared" si="25"/>
        <v>2</v>
      </c>
      <c r="AP132" s="8" t="str">
        <f t="shared" si="26"/>
        <v>Janus</v>
      </c>
      <c r="AQ132" s="73" t="str">
        <f>IFERROR(__xludf.DUMMYFUNCTION("IFNA(QUERY(transpose(AY132:BB132),""Select Col1 where Col1 is not null limit 1"",0))"),"Thomas")</f>
        <v>Thomas</v>
      </c>
      <c r="AR132" s="56"/>
      <c r="AS132" s="28" t="str">
        <f t="shared" ref="AS132:AV132" si="1110">IF(AK132=AS$3,"",AS$3)</f>
        <v/>
      </c>
      <c r="AT132" s="28" t="str">
        <f t="shared" si="1110"/>
        <v>Peter</v>
      </c>
      <c r="AU132" s="28" t="str">
        <f t="shared" si="1110"/>
        <v/>
      </c>
      <c r="AV132" s="28" t="str">
        <f t="shared" si="1110"/>
        <v>Christian</v>
      </c>
      <c r="AW132" s="56">
        <f t="shared" si="28"/>
        <v>2</v>
      </c>
      <c r="AX132" s="28">
        <f t="shared" si="29"/>
        <v>32</v>
      </c>
      <c r="AY132" s="28" t="str">
        <f t="shared" ref="AY132:BB132" si="1111">IFNA(IFS(AY$3=$AP132,"",$AX132=U132,AY$3),"")</f>
        <v>Thomas</v>
      </c>
      <c r="AZ132" s="28" t="str">
        <f t="shared" si="1111"/>
        <v/>
      </c>
      <c r="BA132" s="28" t="str">
        <f t="shared" si="1111"/>
        <v/>
      </c>
      <c r="BB132" s="28" t="str">
        <f t="shared" si="1111"/>
        <v/>
      </c>
      <c r="BC132" s="58">
        <f>OFFSET('00_Regnskab_01'!$A$1,MATCH(A132,'00_Regnskab_01'!$A$1:$A$25)-1,2)</f>
        <v>43644</v>
      </c>
      <c r="BE132" s="80">
        <f t="shared" ref="BE132:BH132" si="1112">if(U132&gt;0,1+BE131,0)</f>
        <v>1</v>
      </c>
      <c r="BF132" s="28">
        <f t="shared" si="1112"/>
        <v>0</v>
      </c>
      <c r="BG132" s="28">
        <f t="shared" si="1112"/>
        <v>2</v>
      </c>
      <c r="BH132" s="28">
        <f t="shared" si="1112"/>
        <v>0</v>
      </c>
      <c r="BJ132" s="28">
        <f t="shared" ref="BJ132:BM132" si="1113">if(U132&lt;0,1+BJ131,0)</f>
        <v>0</v>
      </c>
      <c r="BK132" s="28">
        <f t="shared" si="1113"/>
        <v>2</v>
      </c>
      <c r="BL132" s="28">
        <f t="shared" si="1113"/>
        <v>0</v>
      </c>
      <c r="BM132" s="28">
        <f t="shared" si="1113"/>
        <v>3</v>
      </c>
      <c r="BO132" s="74">
        <f t="shared" ref="BO132:BR132" si="1114">if(U132&gt;0,U132+BO131,0)</f>
        <v>32</v>
      </c>
      <c r="BP132" s="74">
        <f t="shared" si="1114"/>
        <v>0</v>
      </c>
      <c r="BQ132" s="74">
        <f t="shared" si="1114"/>
        <v>80</v>
      </c>
      <c r="BR132" s="74">
        <f t="shared" si="1114"/>
        <v>0</v>
      </c>
      <c r="BT132" s="28">
        <f t="shared" ref="BT132:BW132" si="1115">if(U132&lt;0,U132+BT131,0)</f>
        <v>0</v>
      </c>
      <c r="BU132" s="28">
        <f t="shared" si="1115"/>
        <v>-48</v>
      </c>
      <c r="BV132" s="28">
        <f t="shared" si="1115"/>
        <v>0</v>
      </c>
      <c r="BW132" s="28">
        <f t="shared" si="1115"/>
        <v>-64</v>
      </c>
    </row>
    <row r="133">
      <c r="A133" s="83">
        <v>10.0</v>
      </c>
      <c r="B133" s="84">
        <f>'10_28-06-2019'!A34</f>
        <v>32</v>
      </c>
      <c r="C133" s="85">
        <f>'10_28-06-2019'!D34</f>
        <v>320</v>
      </c>
      <c r="D133" s="84">
        <f>'10_28-06-2019'!C34</f>
        <v>-64</v>
      </c>
      <c r="E133" s="84">
        <f>'10_28-06-2019'!E34</f>
        <v>-152</v>
      </c>
      <c r="F133" s="84">
        <f>'10_28-06-2019'!B34</f>
        <v>-104</v>
      </c>
      <c r="G133" s="84">
        <f>'10_28-06-2019'!F34</f>
        <v>0</v>
      </c>
      <c r="H133" s="84" t="str">
        <f>'10_28-06-2019'!I34</f>
        <v/>
      </c>
      <c r="I133" s="84"/>
      <c r="J133" s="86" t="str">
        <f>'10_28-06-2019'!H34</f>
        <v>Christian</v>
      </c>
      <c r="K133" s="84" t="str">
        <f>'10_28-06-2019'!G34</f>
        <v>9. halve</v>
      </c>
      <c r="L133" s="84"/>
      <c r="M133" s="87">
        <v>9.0</v>
      </c>
      <c r="N133" s="87" t="s">
        <v>94</v>
      </c>
      <c r="O133" s="84"/>
      <c r="P133" s="84"/>
      <c r="Q133" s="84"/>
      <c r="R133" s="84"/>
      <c r="S133" s="84"/>
      <c r="T133" s="84"/>
      <c r="U133" s="77">
        <f t="shared" ref="U133:X133" si="1116">C133-C132</f>
        <v>-8</v>
      </c>
      <c r="V133" s="28">
        <f t="shared" si="1116"/>
        <v>8</v>
      </c>
      <c r="W133" s="28">
        <f t="shared" si="1116"/>
        <v>-8</v>
      </c>
      <c r="X133" s="28">
        <f t="shared" si="1116"/>
        <v>8</v>
      </c>
      <c r="Y133" s="84"/>
      <c r="Z133" s="84"/>
      <c r="AA133" s="84"/>
      <c r="AB133" s="28" t="str">
        <f t="shared" ref="AB133:AE133" si="1117">IF(AB$3=$H133,U133,"")</f>
        <v/>
      </c>
      <c r="AC133" s="28" t="str">
        <f t="shared" si="1117"/>
        <v/>
      </c>
      <c r="AD133" s="28" t="str">
        <f t="shared" si="1117"/>
        <v/>
      </c>
      <c r="AE133" s="28" t="str">
        <f t="shared" si="1117"/>
        <v/>
      </c>
      <c r="AH133" s="28">
        <f t="shared" si="22"/>
        <v>0</v>
      </c>
      <c r="AI133" s="28">
        <f t="shared" si="23"/>
        <v>0</v>
      </c>
      <c r="AJ133" s="84"/>
      <c r="AK133" s="78" t="str">
        <f t="shared" ref="AK133:AN133" si="1118">IF(U133&gt;0,AK$3,"")</f>
        <v/>
      </c>
      <c r="AL133" s="78" t="str">
        <f t="shared" si="1118"/>
        <v>Peter</v>
      </c>
      <c r="AM133" s="78" t="str">
        <f t="shared" si="1118"/>
        <v/>
      </c>
      <c r="AN133" s="78" t="str">
        <f t="shared" si="1118"/>
        <v>Christian</v>
      </c>
      <c r="AO133" s="56">
        <f t="shared" si="25"/>
        <v>2</v>
      </c>
      <c r="AP133" s="8" t="str">
        <f t="shared" si="26"/>
        <v/>
      </c>
      <c r="AQ133" s="73" t="str">
        <f>IFERROR(__xludf.DUMMYFUNCTION("IFNA(QUERY(transpose(AY133:BB133),""Select Col1 where Col1 is not null limit 1"",0))"),"")</f>
        <v/>
      </c>
      <c r="AR133" s="56"/>
      <c r="AS133" s="28" t="str">
        <f t="shared" ref="AS133:AV133" si="1119">IF(AK133=AS$3,"",AS$3)</f>
        <v>Thomas</v>
      </c>
      <c r="AT133" s="28" t="str">
        <f t="shared" si="1119"/>
        <v/>
      </c>
      <c r="AU133" s="28" t="str">
        <f t="shared" si="1119"/>
        <v>Janus</v>
      </c>
      <c r="AV133" s="28" t="str">
        <f t="shared" si="1119"/>
        <v/>
      </c>
      <c r="AW133" s="56">
        <f t="shared" si="28"/>
        <v>2</v>
      </c>
      <c r="AX133" s="28">
        <f t="shared" si="29"/>
        <v>0</v>
      </c>
      <c r="AY133" s="28" t="str">
        <f t="shared" ref="AY133:BB133" si="1120">IFNA(IFS(AY$3=$AP133,"",$AX133=U133,AY$3),"")</f>
        <v/>
      </c>
      <c r="AZ133" s="28" t="str">
        <f t="shared" si="1120"/>
        <v/>
      </c>
      <c r="BA133" s="28" t="str">
        <f t="shared" si="1120"/>
        <v/>
      </c>
      <c r="BB133" s="28" t="str">
        <f t="shared" si="1120"/>
        <v/>
      </c>
      <c r="BC133" s="58">
        <f>OFFSET('00_Regnskab_01'!$A$1,MATCH(A133,'00_Regnskab_01'!$A$1:$A$25)-1,2)</f>
        <v>43644</v>
      </c>
      <c r="BD133" s="84"/>
      <c r="BE133" s="80">
        <f t="shared" ref="BE133:BH133" si="1121">if(U133&gt;0,1+BE132,0)</f>
        <v>0</v>
      </c>
      <c r="BF133" s="28">
        <f t="shared" si="1121"/>
        <v>1</v>
      </c>
      <c r="BG133" s="28">
        <f t="shared" si="1121"/>
        <v>0</v>
      </c>
      <c r="BH133" s="28">
        <f t="shared" si="1121"/>
        <v>1</v>
      </c>
      <c r="BI133" s="84"/>
      <c r="BJ133" s="28">
        <f t="shared" ref="BJ133:BM133" si="1122">if(U133&lt;0,1+BJ132,0)</f>
        <v>1</v>
      </c>
      <c r="BK133" s="28">
        <f t="shared" si="1122"/>
        <v>0</v>
      </c>
      <c r="BL133" s="28">
        <f t="shared" si="1122"/>
        <v>1</v>
      </c>
      <c r="BM133" s="28">
        <f t="shared" si="1122"/>
        <v>0</v>
      </c>
      <c r="BO133" s="74">
        <f t="shared" ref="BO133:BR133" si="1123">if(U133&gt;0,U133+BO132,0)</f>
        <v>0</v>
      </c>
      <c r="BP133" s="74">
        <f t="shared" si="1123"/>
        <v>8</v>
      </c>
      <c r="BQ133" s="74">
        <f t="shared" si="1123"/>
        <v>0</v>
      </c>
      <c r="BR133" s="74">
        <f t="shared" si="1123"/>
        <v>8</v>
      </c>
      <c r="BT133" s="28">
        <f t="shared" ref="BT133:BW133" si="1124">if(U133&lt;0,U133+BT132,0)</f>
        <v>-8</v>
      </c>
      <c r="BU133" s="28">
        <f t="shared" si="1124"/>
        <v>0</v>
      </c>
      <c r="BV133" s="28">
        <f t="shared" si="1124"/>
        <v>-8</v>
      </c>
      <c r="BW133" s="28">
        <f t="shared" si="1124"/>
        <v>0</v>
      </c>
      <c r="BX133" s="84"/>
      <c r="BY133" s="84"/>
    </row>
    <row r="134">
      <c r="A134" s="51">
        <v>11.0</v>
      </c>
      <c r="B134" s="32">
        <f>'11_29-11-2019'!A3</f>
        <v>1</v>
      </c>
      <c r="C134" s="69">
        <f>'11_29-11-2019'!B3</f>
        <v>12</v>
      </c>
      <c r="D134" s="32">
        <f>'11_29-11-2019'!C3</f>
        <v>12</v>
      </c>
      <c r="E134" s="32">
        <f>'11_29-11-2019'!D3</f>
        <v>-12</v>
      </c>
      <c r="F134" s="32">
        <f>'11_29-11-2019'!E3</f>
        <v>-12</v>
      </c>
      <c r="G134" s="32">
        <f>'11_29-11-2019'!F3</f>
        <v>0</v>
      </c>
      <c r="H134" s="32" t="str">
        <f>'11_29-11-2019'!I3</f>
        <v>Janus</v>
      </c>
      <c r="I134" s="32"/>
      <c r="J134" s="70" t="str">
        <f>'11_29-11-2019'!H3</f>
        <v>Christian</v>
      </c>
      <c r="K134" s="32" t="str">
        <f>'11_29-11-2019'!G3</f>
        <v>10 almindelige</v>
      </c>
      <c r="L134" s="32"/>
      <c r="M134" s="48">
        <v>10.0</v>
      </c>
      <c r="N134" s="48" t="s">
        <v>100</v>
      </c>
      <c r="O134" s="32"/>
      <c r="P134" s="32"/>
      <c r="Q134" s="32"/>
      <c r="R134" s="32"/>
      <c r="S134" s="32"/>
      <c r="T134" s="32"/>
      <c r="U134" s="71">
        <f t="shared" ref="U134:X134" si="1125">C134</f>
        <v>12</v>
      </c>
      <c r="V134" s="32">
        <f t="shared" si="1125"/>
        <v>12</v>
      </c>
      <c r="W134" s="32">
        <f t="shared" si="1125"/>
        <v>-12</v>
      </c>
      <c r="X134" s="32">
        <f t="shared" si="1125"/>
        <v>-12</v>
      </c>
      <c r="Y134" s="32"/>
      <c r="Z134" s="32"/>
      <c r="AA134" s="32"/>
      <c r="AB134" s="28" t="str">
        <f t="shared" ref="AB134:AE134" si="1126">IF(AB$3=$H134,U134,"")</f>
        <v/>
      </c>
      <c r="AC134" s="28" t="str">
        <f t="shared" si="1126"/>
        <v/>
      </c>
      <c r="AD134" s="28">
        <f t="shared" si="1126"/>
        <v>-12</v>
      </c>
      <c r="AE134" s="28" t="str">
        <f t="shared" si="1126"/>
        <v/>
      </c>
      <c r="AH134" s="28">
        <f t="shared" si="22"/>
        <v>0</v>
      </c>
      <c r="AI134" s="28">
        <f t="shared" si="23"/>
        <v>-12</v>
      </c>
      <c r="AJ134" s="32"/>
      <c r="AK134" s="78" t="str">
        <f t="shared" ref="AK134:AN134" si="1127">IF(U134&gt;0,AK$3,"")</f>
        <v>Thomas</v>
      </c>
      <c r="AL134" s="78" t="str">
        <f t="shared" si="1127"/>
        <v>Peter</v>
      </c>
      <c r="AM134" s="78" t="str">
        <f t="shared" si="1127"/>
        <v/>
      </c>
      <c r="AN134" s="78" t="str">
        <f t="shared" si="1127"/>
        <v/>
      </c>
      <c r="AO134" s="56">
        <f t="shared" si="25"/>
        <v>2</v>
      </c>
      <c r="AP134" s="8" t="str">
        <f t="shared" si="26"/>
        <v>Janus</v>
      </c>
      <c r="AQ134" s="73" t="str">
        <f>IFERROR(__xludf.DUMMYFUNCTION("IFNA(QUERY(transpose(AY134:BB134),""Select Col1 where Col1 is not null limit 1"",0))"),"Christian")</f>
        <v>Christian</v>
      </c>
      <c r="AR134" s="56"/>
      <c r="AS134" s="28" t="str">
        <f t="shared" ref="AS134:AV134" si="1128">IF(AK134=AS$3,"",AS$3)</f>
        <v/>
      </c>
      <c r="AT134" s="28" t="str">
        <f t="shared" si="1128"/>
        <v/>
      </c>
      <c r="AU134" s="28" t="str">
        <f t="shared" si="1128"/>
        <v>Janus</v>
      </c>
      <c r="AV134" s="28" t="str">
        <f t="shared" si="1128"/>
        <v>Christian</v>
      </c>
      <c r="AW134" s="56">
        <f t="shared" si="28"/>
        <v>2</v>
      </c>
      <c r="AX134" s="28">
        <f t="shared" si="29"/>
        <v>-12</v>
      </c>
      <c r="AY134" s="28" t="str">
        <f t="shared" ref="AY134:BB134" si="1129">IFNA(IFS(AY$3=$AP134,"",$AX134=U134,AY$3),"")</f>
        <v/>
      </c>
      <c r="AZ134" s="28" t="str">
        <f t="shared" si="1129"/>
        <v/>
      </c>
      <c r="BA134" s="28" t="str">
        <f t="shared" si="1129"/>
        <v/>
      </c>
      <c r="BB134" s="28" t="str">
        <f t="shared" si="1129"/>
        <v>Christian</v>
      </c>
      <c r="BC134" s="58">
        <f>OFFSET('00_Regnskab_01'!$A$1,MATCH(A134,'00_Regnskab_01'!$A$1:$A$25)-1,2)</f>
        <v>43798</v>
      </c>
      <c r="BD134" s="32"/>
      <c r="BE134" s="80">
        <f t="shared" ref="BE134:BH134" si="1130">if(U134&gt;0,1+BE133,0)</f>
        <v>1</v>
      </c>
      <c r="BF134" s="28">
        <f t="shared" si="1130"/>
        <v>2</v>
      </c>
      <c r="BG134" s="28">
        <f t="shared" si="1130"/>
        <v>0</v>
      </c>
      <c r="BH134" s="28">
        <f t="shared" si="1130"/>
        <v>0</v>
      </c>
      <c r="BI134" s="32"/>
      <c r="BJ134" s="28">
        <f t="shared" ref="BJ134:BM134" si="1131">if(U134&lt;0,1+BJ133,0)</f>
        <v>0</v>
      </c>
      <c r="BK134" s="28">
        <f t="shared" si="1131"/>
        <v>0</v>
      </c>
      <c r="BL134" s="28">
        <f t="shared" si="1131"/>
        <v>2</v>
      </c>
      <c r="BM134" s="28">
        <f t="shared" si="1131"/>
        <v>1</v>
      </c>
      <c r="BO134" s="74">
        <f t="shared" ref="BO134:BR134" si="1132">if(U134&gt;0,U134+BO133,0)</f>
        <v>12</v>
      </c>
      <c r="BP134" s="74">
        <f t="shared" si="1132"/>
        <v>20</v>
      </c>
      <c r="BQ134" s="74">
        <f t="shared" si="1132"/>
        <v>0</v>
      </c>
      <c r="BR134" s="74">
        <f t="shared" si="1132"/>
        <v>0</v>
      </c>
      <c r="BT134" s="28">
        <f t="shared" ref="BT134:BW134" si="1133">if(U134&lt;0,U134+BT133,0)</f>
        <v>0</v>
      </c>
      <c r="BU134" s="28">
        <f t="shared" si="1133"/>
        <v>0</v>
      </c>
      <c r="BV134" s="28">
        <f t="shared" si="1133"/>
        <v>-20</v>
      </c>
      <c r="BW134" s="28">
        <f t="shared" si="1133"/>
        <v>-12</v>
      </c>
      <c r="BX134" s="32"/>
      <c r="BY134" s="32"/>
    </row>
    <row r="135">
      <c r="A135" s="53">
        <v>11.0</v>
      </c>
      <c r="B135" s="28">
        <f>'11_29-11-2019'!A4</f>
        <v>2</v>
      </c>
      <c r="C135" s="75">
        <f>'11_29-11-2019'!B4</f>
        <v>16</v>
      </c>
      <c r="D135" s="28">
        <f>'11_29-11-2019'!C4</f>
        <v>8</v>
      </c>
      <c r="E135" s="28">
        <f>'11_29-11-2019'!D4</f>
        <v>-16</v>
      </c>
      <c r="F135" s="28">
        <f>'11_29-11-2019'!E4</f>
        <v>-8</v>
      </c>
      <c r="G135" s="28">
        <f>'11_29-11-2019'!F4</f>
        <v>0</v>
      </c>
      <c r="H135" s="28" t="str">
        <f>'11_29-11-2019'!I4</f>
        <v/>
      </c>
      <c r="J135" s="76" t="str">
        <f>'11_29-11-2019'!H4</f>
        <v>Thomas</v>
      </c>
      <c r="K135" s="28" t="str">
        <f>'11_29-11-2019'!G4</f>
        <v>8 vip</v>
      </c>
      <c r="L135" s="56"/>
      <c r="M135" s="25">
        <v>8.0</v>
      </c>
      <c r="N135" s="25" t="s">
        <v>86</v>
      </c>
      <c r="T135" s="56"/>
      <c r="U135" s="77">
        <f t="shared" ref="U135:X135" si="1134">C135-C134</f>
        <v>4</v>
      </c>
      <c r="V135" s="28">
        <f t="shared" si="1134"/>
        <v>-4</v>
      </c>
      <c r="W135" s="28">
        <f t="shared" si="1134"/>
        <v>-4</v>
      </c>
      <c r="X135" s="28">
        <f t="shared" si="1134"/>
        <v>4</v>
      </c>
      <c r="AB135" s="28" t="str">
        <f t="shared" ref="AB135:AE135" si="1135">IF(AB$3=$H135,U135,"")</f>
        <v/>
      </c>
      <c r="AC135" s="28" t="str">
        <f t="shared" si="1135"/>
        <v/>
      </c>
      <c r="AD135" s="28" t="str">
        <f t="shared" si="1135"/>
        <v/>
      </c>
      <c r="AE135" s="28" t="str">
        <f t="shared" si="1135"/>
        <v/>
      </c>
      <c r="AH135" s="28">
        <f t="shared" si="22"/>
        <v>0</v>
      </c>
      <c r="AI135" s="28">
        <f t="shared" si="23"/>
        <v>0</v>
      </c>
      <c r="AK135" s="78" t="str">
        <f t="shared" ref="AK135:AN135" si="1136">IF(U135&gt;0,AK$3,"")</f>
        <v>Thomas</v>
      </c>
      <c r="AL135" s="78" t="str">
        <f t="shared" si="1136"/>
        <v/>
      </c>
      <c r="AM135" s="78" t="str">
        <f t="shared" si="1136"/>
        <v/>
      </c>
      <c r="AN135" s="78" t="str">
        <f t="shared" si="1136"/>
        <v>Christian</v>
      </c>
      <c r="AO135" s="56">
        <f t="shared" si="25"/>
        <v>2</v>
      </c>
      <c r="AP135" s="8" t="str">
        <f t="shared" si="26"/>
        <v/>
      </c>
      <c r="AQ135" s="73" t="str">
        <f>IFERROR(__xludf.DUMMYFUNCTION("IFNA(QUERY(transpose(AY135:BB135),""Select Col1 where Col1 is not null limit 1"",0))"),"")</f>
        <v/>
      </c>
      <c r="AR135" s="56"/>
      <c r="AS135" s="28" t="str">
        <f t="shared" ref="AS135:AV135" si="1137">IF(AK135=AS$3,"",AS$3)</f>
        <v/>
      </c>
      <c r="AT135" s="28" t="str">
        <f t="shared" si="1137"/>
        <v>Peter</v>
      </c>
      <c r="AU135" s="28" t="str">
        <f t="shared" si="1137"/>
        <v>Janus</v>
      </c>
      <c r="AV135" s="28" t="str">
        <f t="shared" si="1137"/>
        <v/>
      </c>
      <c r="AW135" s="56">
        <f t="shared" si="28"/>
        <v>2</v>
      </c>
      <c r="AX135" s="28">
        <f t="shared" si="29"/>
        <v>0</v>
      </c>
      <c r="AY135" s="28" t="str">
        <f t="shared" ref="AY135:BB135" si="1138">IFNA(IFS(AY$3=$AP135,"",$AX135=U135,AY$3),"")</f>
        <v/>
      </c>
      <c r="AZ135" s="28" t="str">
        <f t="shared" si="1138"/>
        <v/>
      </c>
      <c r="BA135" s="28" t="str">
        <f t="shared" si="1138"/>
        <v/>
      </c>
      <c r="BB135" s="28" t="str">
        <f t="shared" si="1138"/>
        <v/>
      </c>
      <c r="BC135" s="58">
        <f>OFFSET('00_Regnskab_01'!$A$1,MATCH(A135,'00_Regnskab_01'!$A$1:$A$25)-1,2)</f>
        <v>43798</v>
      </c>
      <c r="BE135" s="80">
        <f t="shared" ref="BE135:BH135" si="1139">if(U135&gt;0,1+BE134,0)</f>
        <v>2</v>
      </c>
      <c r="BF135" s="28">
        <f t="shared" si="1139"/>
        <v>0</v>
      </c>
      <c r="BG135" s="28">
        <f t="shared" si="1139"/>
        <v>0</v>
      </c>
      <c r="BH135" s="28">
        <f t="shared" si="1139"/>
        <v>1</v>
      </c>
      <c r="BJ135" s="28">
        <f t="shared" ref="BJ135:BM135" si="1140">if(U135&lt;0,1+BJ134,0)</f>
        <v>0</v>
      </c>
      <c r="BK135" s="28">
        <f t="shared" si="1140"/>
        <v>1</v>
      </c>
      <c r="BL135" s="28">
        <f t="shared" si="1140"/>
        <v>3</v>
      </c>
      <c r="BM135" s="28">
        <f t="shared" si="1140"/>
        <v>0</v>
      </c>
      <c r="BO135" s="74">
        <f t="shared" ref="BO135:BR135" si="1141">if(U135&gt;0,U135+BO134,0)</f>
        <v>16</v>
      </c>
      <c r="BP135" s="74">
        <f t="shared" si="1141"/>
        <v>0</v>
      </c>
      <c r="BQ135" s="74">
        <f t="shared" si="1141"/>
        <v>0</v>
      </c>
      <c r="BR135" s="74">
        <f t="shared" si="1141"/>
        <v>4</v>
      </c>
      <c r="BT135" s="28">
        <f t="shared" ref="BT135:BW135" si="1142">if(U135&lt;0,U135+BT134,0)</f>
        <v>0</v>
      </c>
      <c r="BU135" s="28">
        <f t="shared" si="1142"/>
        <v>-4</v>
      </c>
      <c r="BV135" s="28">
        <f t="shared" si="1142"/>
        <v>-24</v>
      </c>
      <c r="BW135" s="28">
        <f t="shared" si="1142"/>
        <v>0</v>
      </c>
    </row>
    <row r="136">
      <c r="A136" s="53">
        <v>11.0</v>
      </c>
      <c r="B136" s="28">
        <f>'11_29-11-2019'!A5</f>
        <v>3</v>
      </c>
      <c r="C136" s="75">
        <f>'11_29-11-2019'!B5</f>
        <v>-32</v>
      </c>
      <c r="D136" s="28">
        <f>'11_29-11-2019'!C5</f>
        <v>-40</v>
      </c>
      <c r="E136" s="28">
        <f>'11_29-11-2019'!D5</f>
        <v>32</v>
      </c>
      <c r="F136" s="28">
        <f>'11_29-11-2019'!E5</f>
        <v>40</v>
      </c>
      <c r="G136" s="28">
        <f>'11_29-11-2019'!F5</f>
        <v>0</v>
      </c>
      <c r="H136" s="28" t="str">
        <f>'11_29-11-2019'!I5</f>
        <v>Christian</v>
      </c>
      <c r="J136" s="76" t="str">
        <f>'11_29-11-2019'!H5</f>
        <v>Peter</v>
      </c>
      <c r="K136" s="28" t="str">
        <f>'11_29-11-2019'!G5</f>
        <v>9 sans</v>
      </c>
      <c r="L136" s="56"/>
      <c r="M136" s="25">
        <v>9.0</v>
      </c>
      <c r="N136" s="25" t="s">
        <v>98</v>
      </c>
      <c r="T136" s="56"/>
      <c r="U136" s="77">
        <f t="shared" ref="U136:X136" si="1143">C136-C135</f>
        <v>-48</v>
      </c>
      <c r="V136" s="28">
        <f t="shared" si="1143"/>
        <v>-48</v>
      </c>
      <c r="W136" s="28">
        <f t="shared" si="1143"/>
        <v>48</v>
      </c>
      <c r="X136" s="28">
        <f t="shared" si="1143"/>
        <v>48</v>
      </c>
      <c r="AB136" s="28" t="str">
        <f t="shared" ref="AB136:AE136" si="1144">IF(AB$3=$H136,U136,"")</f>
        <v/>
      </c>
      <c r="AC136" s="28" t="str">
        <f t="shared" si="1144"/>
        <v/>
      </c>
      <c r="AD136" s="28" t="str">
        <f t="shared" si="1144"/>
        <v/>
      </c>
      <c r="AE136" s="28">
        <f t="shared" si="1144"/>
        <v>48</v>
      </c>
      <c r="AH136" s="28">
        <f t="shared" si="22"/>
        <v>48</v>
      </c>
      <c r="AI136" s="28">
        <f t="shared" si="23"/>
        <v>0</v>
      </c>
      <c r="AK136" s="78" t="str">
        <f t="shared" ref="AK136:AN136" si="1145">IF(U136&gt;0,AK$3,"")</f>
        <v/>
      </c>
      <c r="AL136" s="78" t="str">
        <f t="shared" si="1145"/>
        <v/>
      </c>
      <c r="AM136" s="78" t="str">
        <f t="shared" si="1145"/>
        <v>Janus</v>
      </c>
      <c r="AN136" s="78" t="str">
        <f t="shared" si="1145"/>
        <v>Christian</v>
      </c>
      <c r="AO136" s="56">
        <f t="shared" si="25"/>
        <v>2</v>
      </c>
      <c r="AP136" s="8" t="str">
        <f t="shared" si="26"/>
        <v>Christian</v>
      </c>
      <c r="AQ136" s="73" t="str">
        <f>IFERROR(__xludf.DUMMYFUNCTION("IFNA(QUERY(transpose(AY136:BB136),""Select Col1 where Col1 is not null limit 1"",0))"),"Janus")</f>
        <v>Janus</v>
      </c>
      <c r="AR136" s="56"/>
      <c r="AS136" s="28" t="str">
        <f t="shared" ref="AS136:AV136" si="1146">IF(AK136=AS$3,"",AS$3)</f>
        <v>Thomas</v>
      </c>
      <c r="AT136" s="28" t="str">
        <f t="shared" si="1146"/>
        <v>Peter</v>
      </c>
      <c r="AU136" s="28" t="str">
        <f t="shared" si="1146"/>
        <v/>
      </c>
      <c r="AV136" s="28" t="str">
        <f t="shared" si="1146"/>
        <v/>
      </c>
      <c r="AW136" s="56">
        <f t="shared" si="28"/>
        <v>2</v>
      </c>
      <c r="AX136" s="28">
        <f t="shared" si="29"/>
        <v>48</v>
      </c>
      <c r="AY136" s="28" t="str">
        <f t="shared" ref="AY136:BB136" si="1147">IFNA(IFS(AY$3=$AP136,"",$AX136=U136,AY$3),"")</f>
        <v/>
      </c>
      <c r="AZ136" s="28" t="str">
        <f t="shared" si="1147"/>
        <v/>
      </c>
      <c r="BA136" s="28" t="str">
        <f t="shared" si="1147"/>
        <v>Janus</v>
      </c>
      <c r="BB136" s="28" t="str">
        <f t="shared" si="1147"/>
        <v/>
      </c>
      <c r="BC136" s="58">
        <f>OFFSET('00_Regnskab_01'!$A$1,MATCH(A136,'00_Regnskab_01'!$A$1:$A$25)-1,2)</f>
        <v>43798</v>
      </c>
      <c r="BE136" s="80">
        <f t="shared" ref="BE136:BH136" si="1148">if(U136&gt;0,1+BE135,0)</f>
        <v>0</v>
      </c>
      <c r="BF136" s="28">
        <f t="shared" si="1148"/>
        <v>0</v>
      </c>
      <c r="BG136" s="28">
        <f t="shared" si="1148"/>
        <v>1</v>
      </c>
      <c r="BH136" s="28">
        <f t="shared" si="1148"/>
        <v>2</v>
      </c>
      <c r="BJ136" s="28">
        <f t="shared" ref="BJ136:BM136" si="1149">if(U136&lt;0,1+BJ135,0)</f>
        <v>1</v>
      </c>
      <c r="BK136" s="28">
        <f t="shared" si="1149"/>
        <v>2</v>
      </c>
      <c r="BL136" s="28">
        <f t="shared" si="1149"/>
        <v>0</v>
      </c>
      <c r="BM136" s="28">
        <f t="shared" si="1149"/>
        <v>0</v>
      </c>
      <c r="BO136" s="74">
        <f t="shared" ref="BO136:BR136" si="1150">if(U136&gt;0,U136+BO135,0)</f>
        <v>0</v>
      </c>
      <c r="BP136" s="74">
        <f t="shared" si="1150"/>
        <v>0</v>
      </c>
      <c r="BQ136" s="74">
        <f t="shared" si="1150"/>
        <v>48</v>
      </c>
      <c r="BR136" s="74">
        <f t="shared" si="1150"/>
        <v>52</v>
      </c>
      <c r="BT136" s="28">
        <f t="shared" ref="BT136:BW136" si="1151">if(U136&lt;0,U136+BT135,0)</f>
        <v>-48</v>
      </c>
      <c r="BU136" s="28">
        <f t="shared" si="1151"/>
        <v>-52</v>
      </c>
      <c r="BV136" s="28">
        <f t="shared" si="1151"/>
        <v>0</v>
      </c>
      <c r="BW136" s="28">
        <f t="shared" si="1151"/>
        <v>0</v>
      </c>
    </row>
    <row r="137">
      <c r="A137" s="53">
        <v>11.0</v>
      </c>
      <c r="B137" s="28">
        <f>'11_29-11-2019'!A6</f>
        <v>4</v>
      </c>
      <c r="C137" s="75">
        <f>'11_29-11-2019'!B6</f>
        <v>-68</v>
      </c>
      <c r="D137" s="28">
        <f>'11_29-11-2019'!C6</f>
        <v>-28</v>
      </c>
      <c r="E137" s="28">
        <f>'11_29-11-2019'!D6</f>
        <v>44</v>
      </c>
      <c r="F137" s="28">
        <f>'11_29-11-2019'!E6</f>
        <v>52</v>
      </c>
      <c r="G137" s="28">
        <f>'11_29-11-2019'!F6</f>
        <v>0</v>
      </c>
      <c r="H137" s="28" t="str">
        <f>'11_29-11-2019'!I6</f>
        <v>Thomas</v>
      </c>
      <c r="J137" s="76" t="str">
        <f>'11_29-11-2019'!H6</f>
        <v>Janus</v>
      </c>
      <c r="K137" s="28" t="str">
        <f>'11_29-11-2019'!G6</f>
        <v>9 vip  i 1.</v>
      </c>
      <c r="L137" s="56"/>
      <c r="M137" s="25">
        <v>9.0</v>
      </c>
      <c r="N137" s="25" t="s">
        <v>86</v>
      </c>
      <c r="O137" s="25">
        <v>1.0</v>
      </c>
      <c r="R137" s="25" t="s">
        <v>15</v>
      </c>
      <c r="T137" s="56"/>
      <c r="U137" s="77">
        <f t="shared" ref="U137:X137" si="1152">C137-C136</f>
        <v>-36</v>
      </c>
      <c r="V137" s="28">
        <f t="shared" si="1152"/>
        <v>12</v>
      </c>
      <c r="W137" s="28">
        <f t="shared" si="1152"/>
        <v>12</v>
      </c>
      <c r="X137" s="28">
        <f t="shared" si="1152"/>
        <v>12</v>
      </c>
      <c r="AB137" s="28">
        <f t="shared" ref="AB137:AE137" si="1153">IF(AB$3=$H137,U137,"")</f>
        <v>-36</v>
      </c>
      <c r="AC137" s="28" t="str">
        <f t="shared" si="1153"/>
        <v/>
      </c>
      <c r="AD137" s="28" t="str">
        <f t="shared" si="1153"/>
        <v/>
      </c>
      <c r="AE137" s="28" t="str">
        <f t="shared" si="1153"/>
        <v/>
      </c>
      <c r="AH137" s="28">
        <f t="shared" si="22"/>
        <v>0</v>
      </c>
      <c r="AI137" s="28">
        <f t="shared" si="23"/>
        <v>-36</v>
      </c>
      <c r="AK137" s="78" t="str">
        <f t="shared" ref="AK137:AN137" si="1154">IF(U137&gt;0,AK$3,"")</f>
        <v/>
      </c>
      <c r="AL137" s="78" t="str">
        <f t="shared" si="1154"/>
        <v>Peter</v>
      </c>
      <c r="AM137" s="78" t="str">
        <f t="shared" si="1154"/>
        <v>Janus</v>
      </c>
      <c r="AN137" s="78" t="str">
        <f t="shared" si="1154"/>
        <v>Christian</v>
      </c>
      <c r="AO137" s="56">
        <f t="shared" si="25"/>
        <v>3</v>
      </c>
      <c r="AP137" s="8" t="str">
        <f t="shared" si="26"/>
        <v>Thomas</v>
      </c>
      <c r="AQ137" s="73" t="str">
        <f>IFERROR(__xludf.DUMMYFUNCTION("IFNA(QUERY(transpose(AY137:BB137),""Select Col1 where Col1 is not null limit 1"",0))"),"")</f>
        <v/>
      </c>
      <c r="AR137" s="56"/>
      <c r="AS137" s="28" t="str">
        <f t="shared" ref="AS137:AV137" si="1155">IF(AK137=AS$3,"",AS$3)</f>
        <v>Thomas</v>
      </c>
      <c r="AT137" s="28" t="str">
        <f t="shared" si="1155"/>
        <v/>
      </c>
      <c r="AU137" s="28" t="str">
        <f t="shared" si="1155"/>
        <v/>
      </c>
      <c r="AV137" s="28" t="str">
        <f t="shared" si="1155"/>
        <v/>
      </c>
      <c r="AW137" s="56">
        <f t="shared" si="28"/>
        <v>1</v>
      </c>
      <c r="AX137" s="28">
        <f t="shared" si="29"/>
        <v>-36</v>
      </c>
      <c r="AY137" s="28" t="str">
        <f t="shared" ref="AY137:BB137" si="1156">IFNA(IFS(AY$3=$AP137,"",$AX137=U137,AY$3),"")</f>
        <v/>
      </c>
      <c r="AZ137" s="28" t="str">
        <f t="shared" si="1156"/>
        <v/>
      </c>
      <c r="BA137" s="28" t="str">
        <f t="shared" si="1156"/>
        <v/>
      </c>
      <c r="BB137" s="28" t="str">
        <f t="shared" si="1156"/>
        <v/>
      </c>
      <c r="BC137" s="58">
        <f>OFFSET('00_Regnskab_01'!$A$1,MATCH(A137,'00_Regnskab_01'!$A$1:$A$25)-1,2)</f>
        <v>43798</v>
      </c>
      <c r="BE137" s="80">
        <f t="shared" ref="BE137:BH137" si="1157">if(U137&gt;0,1+BE136,0)</f>
        <v>0</v>
      </c>
      <c r="BF137" s="28">
        <f t="shared" si="1157"/>
        <v>1</v>
      </c>
      <c r="BG137" s="28">
        <f t="shared" si="1157"/>
        <v>2</v>
      </c>
      <c r="BH137" s="28">
        <f t="shared" si="1157"/>
        <v>3</v>
      </c>
      <c r="BJ137" s="28">
        <f t="shared" ref="BJ137:BM137" si="1158">if(U137&lt;0,1+BJ136,0)</f>
        <v>2</v>
      </c>
      <c r="BK137" s="28">
        <f t="shared" si="1158"/>
        <v>0</v>
      </c>
      <c r="BL137" s="28">
        <f t="shared" si="1158"/>
        <v>0</v>
      </c>
      <c r="BM137" s="28">
        <f t="shared" si="1158"/>
        <v>0</v>
      </c>
      <c r="BO137" s="74">
        <f t="shared" ref="BO137:BR137" si="1159">if(U137&gt;0,U137+BO136,0)</f>
        <v>0</v>
      </c>
      <c r="BP137" s="74">
        <f t="shared" si="1159"/>
        <v>12</v>
      </c>
      <c r="BQ137" s="74">
        <f t="shared" si="1159"/>
        <v>60</v>
      </c>
      <c r="BR137" s="74">
        <f t="shared" si="1159"/>
        <v>64</v>
      </c>
      <c r="BT137" s="28">
        <f t="shared" ref="BT137:BW137" si="1160">if(U137&lt;0,U137+BT136,0)</f>
        <v>-84</v>
      </c>
      <c r="BU137" s="28">
        <f t="shared" si="1160"/>
        <v>0</v>
      </c>
      <c r="BV137" s="28">
        <f t="shared" si="1160"/>
        <v>0</v>
      </c>
      <c r="BW137" s="28">
        <f t="shared" si="1160"/>
        <v>0</v>
      </c>
    </row>
    <row r="138">
      <c r="A138" s="53">
        <v>11.0</v>
      </c>
      <c r="B138" s="28">
        <f>'11_29-11-2019'!A7</f>
        <v>5</v>
      </c>
      <c r="C138" s="75">
        <f>'11_29-11-2019'!B7</f>
        <v>-92</v>
      </c>
      <c r="D138" s="28">
        <f>'11_29-11-2019'!C7</f>
        <v>-4</v>
      </c>
      <c r="E138" s="28">
        <f>'11_29-11-2019'!D7</f>
        <v>20</v>
      </c>
      <c r="F138" s="28">
        <f>'11_29-11-2019'!E7</f>
        <v>76</v>
      </c>
      <c r="G138" s="28">
        <f>'11_29-11-2019'!F7</f>
        <v>0</v>
      </c>
      <c r="H138" s="28" t="str">
        <f>'11_29-11-2019'!I7</f>
        <v>Janus</v>
      </c>
      <c r="J138" s="76" t="str">
        <f>'11_29-11-2019'!H7</f>
        <v>Christian</v>
      </c>
      <c r="K138" s="28" t="str">
        <f>'11_29-11-2019'!G7</f>
        <v>10 halve</v>
      </c>
      <c r="L138" s="56"/>
      <c r="M138" s="25">
        <v>10.0</v>
      </c>
      <c r="N138" s="25" t="s">
        <v>94</v>
      </c>
      <c r="T138" s="56"/>
      <c r="U138" s="77">
        <f t="shared" ref="U138:X138" si="1161">C138-C137</f>
        <v>-24</v>
      </c>
      <c r="V138" s="28">
        <f t="shared" si="1161"/>
        <v>24</v>
      </c>
      <c r="W138" s="28">
        <f t="shared" si="1161"/>
        <v>-24</v>
      </c>
      <c r="X138" s="28">
        <f t="shared" si="1161"/>
        <v>24</v>
      </c>
      <c r="AB138" s="28" t="str">
        <f t="shared" ref="AB138:AE138" si="1162">IF(AB$3=$H138,U138,"")</f>
        <v/>
      </c>
      <c r="AC138" s="28" t="str">
        <f t="shared" si="1162"/>
        <v/>
      </c>
      <c r="AD138" s="28">
        <f t="shared" si="1162"/>
        <v>-24</v>
      </c>
      <c r="AE138" s="28" t="str">
        <f t="shared" si="1162"/>
        <v/>
      </c>
      <c r="AH138" s="28">
        <f t="shared" si="22"/>
        <v>0</v>
      </c>
      <c r="AI138" s="28">
        <f t="shared" si="23"/>
        <v>-24</v>
      </c>
      <c r="AK138" s="78" t="str">
        <f t="shared" ref="AK138:AN138" si="1163">IF(U138&gt;0,AK$3,"")</f>
        <v/>
      </c>
      <c r="AL138" s="78" t="str">
        <f t="shared" si="1163"/>
        <v>Peter</v>
      </c>
      <c r="AM138" s="78" t="str">
        <f t="shared" si="1163"/>
        <v/>
      </c>
      <c r="AN138" s="78" t="str">
        <f t="shared" si="1163"/>
        <v>Christian</v>
      </c>
      <c r="AO138" s="56">
        <f t="shared" si="25"/>
        <v>2</v>
      </c>
      <c r="AP138" s="8" t="str">
        <f t="shared" si="26"/>
        <v>Janus</v>
      </c>
      <c r="AQ138" s="73" t="str">
        <f>IFERROR(__xludf.DUMMYFUNCTION("IFNA(QUERY(transpose(AY138:BB138),""Select Col1 where Col1 is not null limit 1"",0))"),"Thomas")</f>
        <v>Thomas</v>
      </c>
      <c r="AR138" s="56"/>
      <c r="AS138" s="28" t="str">
        <f t="shared" ref="AS138:AV138" si="1164">IF(AK138=AS$3,"",AS$3)</f>
        <v>Thomas</v>
      </c>
      <c r="AT138" s="28" t="str">
        <f t="shared" si="1164"/>
        <v/>
      </c>
      <c r="AU138" s="28" t="str">
        <f t="shared" si="1164"/>
        <v>Janus</v>
      </c>
      <c r="AV138" s="28" t="str">
        <f t="shared" si="1164"/>
        <v/>
      </c>
      <c r="AW138" s="56">
        <f t="shared" si="28"/>
        <v>2</v>
      </c>
      <c r="AX138" s="28">
        <f t="shared" si="29"/>
        <v>-24</v>
      </c>
      <c r="AY138" s="28" t="str">
        <f t="shared" ref="AY138:BB138" si="1165">IFNA(IFS(AY$3=$AP138,"",$AX138=U138,AY$3),"")</f>
        <v>Thomas</v>
      </c>
      <c r="AZ138" s="28" t="str">
        <f t="shared" si="1165"/>
        <v/>
      </c>
      <c r="BA138" s="28" t="str">
        <f t="shared" si="1165"/>
        <v/>
      </c>
      <c r="BB138" s="28" t="str">
        <f t="shared" si="1165"/>
        <v/>
      </c>
      <c r="BC138" s="58">
        <f>OFFSET('00_Regnskab_01'!$A$1,MATCH(A138,'00_Regnskab_01'!$A$1:$A$25)-1,2)</f>
        <v>43798</v>
      </c>
      <c r="BE138" s="80">
        <f t="shared" ref="BE138:BH138" si="1166">if(U138&gt;0,1+BE137,0)</f>
        <v>0</v>
      </c>
      <c r="BF138" s="28">
        <f t="shared" si="1166"/>
        <v>2</v>
      </c>
      <c r="BG138" s="28">
        <f t="shared" si="1166"/>
        <v>0</v>
      </c>
      <c r="BH138" s="28">
        <f t="shared" si="1166"/>
        <v>4</v>
      </c>
      <c r="BJ138" s="28">
        <f t="shared" ref="BJ138:BM138" si="1167">if(U138&lt;0,1+BJ137,0)</f>
        <v>3</v>
      </c>
      <c r="BK138" s="28">
        <f t="shared" si="1167"/>
        <v>0</v>
      </c>
      <c r="BL138" s="28">
        <f t="shared" si="1167"/>
        <v>1</v>
      </c>
      <c r="BM138" s="28">
        <f t="shared" si="1167"/>
        <v>0</v>
      </c>
      <c r="BO138" s="74">
        <f t="shared" ref="BO138:BR138" si="1168">if(U138&gt;0,U138+BO137,0)</f>
        <v>0</v>
      </c>
      <c r="BP138" s="74">
        <f t="shared" si="1168"/>
        <v>36</v>
      </c>
      <c r="BQ138" s="74">
        <f t="shared" si="1168"/>
        <v>0</v>
      </c>
      <c r="BR138" s="74">
        <f t="shared" si="1168"/>
        <v>88</v>
      </c>
      <c r="BT138" s="28">
        <f t="shared" ref="BT138:BW138" si="1169">if(U138&lt;0,U138+BT137,0)</f>
        <v>-108</v>
      </c>
      <c r="BU138" s="28">
        <f t="shared" si="1169"/>
        <v>0</v>
      </c>
      <c r="BV138" s="28">
        <f t="shared" si="1169"/>
        <v>-24</v>
      </c>
      <c r="BW138" s="28">
        <f t="shared" si="1169"/>
        <v>0</v>
      </c>
    </row>
    <row r="139">
      <c r="A139" s="53">
        <v>11.0</v>
      </c>
      <c r="B139" s="28">
        <f>'11_29-11-2019'!A8</f>
        <v>6</v>
      </c>
      <c r="C139" s="75">
        <f>'11_29-11-2019'!B8</f>
        <v>-60</v>
      </c>
      <c r="D139" s="28">
        <f>'11_29-11-2019'!C8</f>
        <v>-36</v>
      </c>
      <c r="E139" s="28">
        <f>'11_29-11-2019'!D8</f>
        <v>-12</v>
      </c>
      <c r="F139" s="28">
        <f>'11_29-11-2019'!E8</f>
        <v>108</v>
      </c>
      <c r="G139" s="28">
        <f>'11_29-11-2019'!F8</f>
        <v>0</v>
      </c>
      <c r="H139" s="28" t="str">
        <f>'11_29-11-2019'!I8</f>
        <v>Christian</v>
      </c>
      <c r="J139" s="76" t="str">
        <f>'11_29-11-2019'!H8</f>
        <v>Thomas</v>
      </c>
      <c r="K139" s="28" t="str">
        <f>'11_29-11-2019'!G8</f>
        <v>10 halve</v>
      </c>
      <c r="L139" s="56"/>
      <c r="M139" s="25">
        <v>10.0</v>
      </c>
      <c r="N139" s="25" t="s">
        <v>94</v>
      </c>
      <c r="T139" s="56"/>
      <c r="U139" s="77">
        <f t="shared" ref="U139:X139" si="1170">C139-C138</f>
        <v>32</v>
      </c>
      <c r="V139" s="28">
        <f t="shared" si="1170"/>
        <v>-32</v>
      </c>
      <c r="W139" s="28">
        <f t="shared" si="1170"/>
        <v>-32</v>
      </c>
      <c r="X139" s="28">
        <f t="shared" si="1170"/>
        <v>32</v>
      </c>
      <c r="AB139" s="28" t="str">
        <f t="shared" ref="AB139:AE139" si="1171">IF(AB$3=$H139,U139,"")</f>
        <v/>
      </c>
      <c r="AC139" s="28" t="str">
        <f t="shared" si="1171"/>
        <v/>
      </c>
      <c r="AD139" s="28" t="str">
        <f t="shared" si="1171"/>
        <v/>
      </c>
      <c r="AE139" s="28">
        <f t="shared" si="1171"/>
        <v>32</v>
      </c>
      <c r="AH139" s="28">
        <f t="shared" si="22"/>
        <v>32</v>
      </c>
      <c r="AI139" s="28">
        <f t="shared" si="23"/>
        <v>0</v>
      </c>
      <c r="AK139" s="78" t="str">
        <f t="shared" ref="AK139:AN139" si="1172">IF(U139&gt;0,AK$3,"")</f>
        <v>Thomas</v>
      </c>
      <c r="AL139" s="78" t="str">
        <f t="shared" si="1172"/>
        <v/>
      </c>
      <c r="AM139" s="78" t="str">
        <f t="shared" si="1172"/>
        <v/>
      </c>
      <c r="AN139" s="78" t="str">
        <f t="shared" si="1172"/>
        <v>Christian</v>
      </c>
      <c r="AO139" s="56">
        <f t="shared" si="25"/>
        <v>2</v>
      </c>
      <c r="AP139" s="8" t="str">
        <f t="shared" si="26"/>
        <v>Christian</v>
      </c>
      <c r="AQ139" s="73" t="str">
        <f>IFERROR(__xludf.DUMMYFUNCTION("IFNA(QUERY(transpose(AY139:BB139),""Select Col1 where Col1 is not null limit 1"",0))"),"Thomas")</f>
        <v>Thomas</v>
      </c>
      <c r="AR139" s="56"/>
      <c r="AS139" s="28" t="str">
        <f t="shared" ref="AS139:AV139" si="1173">IF(AK139=AS$3,"",AS$3)</f>
        <v/>
      </c>
      <c r="AT139" s="28" t="str">
        <f t="shared" si="1173"/>
        <v>Peter</v>
      </c>
      <c r="AU139" s="28" t="str">
        <f t="shared" si="1173"/>
        <v>Janus</v>
      </c>
      <c r="AV139" s="28" t="str">
        <f t="shared" si="1173"/>
        <v/>
      </c>
      <c r="AW139" s="56">
        <f t="shared" si="28"/>
        <v>2</v>
      </c>
      <c r="AX139" s="28">
        <f t="shared" si="29"/>
        <v>32</v>
      </c>
      <c r="AY139" s="28" t="str">
        <f t="shared" ref="AY139:BB139" si="1174">IFNA(IFS(AY$3=$AP139,"",$AX139=U139,AY$3),"")</f>
        <v>Thomas</v>
      </c>
      <c r="AZ139" s="28" t="str">
        <f t="shared" si="1174"/>
        <v/>
      </c>
      <c r="BA139" s="28" t="str">
        <f t="shared" si="1174"/>
        <v/>
      </c>
      <c r="BB139" s="28" t="str">
        <f t="shared" si="1174"/>
        <v/>
      </c>
      <c r="BC139" s="58">
        <f>OFFSET('00_Regnskab_01'!$A$1,MATCH(A139,'00_Regnskab_01'!$A$1:$A$25)-1,2)</f>
        <v>43798</v>
      </c>
      <c r="BE139" s="80">
        <f t="shared" ref="BE139:BH139" si="1175">if(U139&gt;0,1+BE138,0)</f>
        <v>1</v>
      </c>
      <c r="BF139" s="28">
        <f t="shared" si="1175"/>
        <v>0</v>
      </c>
      <c r="BG139" s="28">
        <f t="shared" si="1175"/>
        <v>0</v>
      </c>
      <c r="BH139" s="28">
        <f t="shared" si="1175"/>
        <v>5</v>
      </c>
      <c r="BJ139" s="28">
        <f t="shared" ref="BJ139:BM139" si="1176">if(U139&lt;0,1+BJ138,0)</f>
        <v>0</v>
      </c>
      <c r="BK139" s="28">
        <f t="shared" si="1176"/>
        <v>1</v>
      </c>
      <c r="BL139" s="28">
        <f t="shared" si="1176"/>
        <v>2</v>
      </c>
      <c r="BM139" s="28">
        <f t="shared" si="1176"/>
        <v>0</v>
      </c>
      <c r="BO139" s="74">
        <f t="shared" ref="BO139:BR139" si="1177">if(U139&gt;0,U139+BO138,0)</f>
        <v>32</v>
      </c>
      <c r="BP139" s="74">
        <f t="shared" si="1177"/>
        <v>0</v>
      </c>
      <c r="BQ139" s="74">
        <f t="shared" si="1177"/>
        <v>0</v>
      </c>
      <c r="BR139" s="74">
        <f t="shared" si="1177"/>
        <v>120</v>
      </c>
      <c r="BT139" s="28">
        <f t="shared" ref="BT139:BW139" si="1178">if(U139&lt;0,U139+BT138,0)</f>
        <v>0</v>
      </c>
      <c r="BU139" s="28">
        <f t="shared" si="1178"/>
        <v>-32</v>
      </c>
      <c r="BV139" s="28">
        <f t="shared" si="1178"/>
        <v>-56</v>
      </c>
      <c r="BW139" s="28">
        <f t="shared" si="1178"/>
        <v>0</v>
      </c>
    </row>
    <row r="140">
      <c r="A140" s="53">
        <v>11.0</v>
      </c>
      <c r="B140" s="28">
        <f>'11_29-11-2019'!A9</f>
        <v>7</v>
      </c>
      <c r="C140" s="75">
        <f>'11_29-11-2019'!B9</f>
        <v>-44</v>
      </c>
      <c r="D140" s="28">
        <f>'11_29-11-2019'!C9</f>
        <v>-84</v>
      </c>
      <c r="E140" s="28">
        <f>'11_29-11-2019'!D9</f>
        <v>4</v>
      </c>
      <c r="F140" s="28">
        <f>'11_29-11-2019'!E9</f>
        <v>124</v>
      </c>
      <c r="G140" s="28">
        <f>'11_29-11-2019'!F9</f>
        <v>0</v>
      </c>
      <c r="H140" s="28" t="str">
        <f>'11_29-11-2019'!I9</f>
        <v>Peter</v>
      </c>
      <c r="J140" s="76" t="str">
        <f>'11_29-11-2019'!H9</f>
        <v>Peter</v>
      </c>
      <c r="K140" s="28" t="str">
        <f>'11_29-11-2019'!G9</f>
        <v>ren sol</v>
      </c>
      <c r="L140" s="56"/>
      <c r="N140" s="25" t="s">
        <v>97</v>
      </c>
      <c r="T140" s="56"/>
      <c r="U140" s="77">
        <f t="shared" ref="U140:X140" si="1179">C140-C139</f>
        <v>16</v>
      </c>
      <c r="V140" s="28">
        <f t="shared" si="1179"/>
        <v>-48</v>
      </c>
      <c r="W140" s="28">
        <f t="shared" si="1179"/>
        <v>16</v>
      </c>
      <c r="X140" s="28">
        <f t="shared" si="1179"/>
        <v>16</v>
      </c>
      <c r="AB140" s="28" t="str">
        <f t="shared" ref="AB140:AE140" si="1180">IF(AB$3=$H140,U140,"")</f>
        <v/>
      </c>
      <c r="AC140" s="28">
        <f t="shared" si="1180"/>
        <v>-48</v>
      </c>
      <c r="AD140" s="28" t="str">
        <f t="shared" si="1180"/>
        <v/>
      </c>
      <c r="AE140" s="28" t="str">
        <f t="shared" si="1180"/>
        <v/>
      </c>
      <c r="AH140" s="28">
        <f t="shared" si="22"/>
        <v>0</v>
      </c>
      <c r="AI140" s="28">
        <f t="shared" si="23"/>
        <v>-48</v>
      </c>
      <c r="AK140" s="78" t="str">
        <f t="shared" ref="AK140:AN140" si="1181">IF(U140&gt;0,AK$3,"")</f>
        <v>Thomas</v>
      </c>
      <c r="AL140" s="78" t="str">
        <f t="shared" si="1181"/>
        <v/>
      </c>
      <c r="AM140" s="78" t="str">
        <f t="shared" si="1181"/>
        <v>Janus</v>
      </c>
      <c r="AN140" s="78" t="str">
        <f t="shared" si="1181"/>
        <v>Christian</v>
      </c>
      <c r="AO140" s="56">
        <f t="shared" si="25"/>
        <v>3</v>
      </c>
      <c r="AP140" s="8" t="str">
        <f t="shared" si="26"/>
        <v>Peter</v>
      </c>
      <c r="AQ140" s="73" t="str">
        <f>IFERROR(__xludf.DUMMYFUNCTION("IFNA(QUERY(transpose(AY140:BB140),""Select Col1 where Col1 is not null limit 1"",0))"),"")</f>
        <v/>
      </c>
      <c r="AR140" s="56"/>
      <c r="AS140" s="28" t="str">
        <f t="shared" ref="AS140:AV140" si="1182">IF(AK140=AS$3,"",AS$3)</f>
        <v/>
      </c>
      <c r="AT140" s="28" t="str">
        <f t="shared" si="1182"/>
        <v>Peter</v>
      </c>
      <c r="AU140" s="28" t="str">
        <f t="shared" si="1182"/>
        <v/>
      </c>
      <c r="AV140" s="28" t="str">
        <f t="shared" si="1182"/>
        <v/>
      </c>
      <c r="AW140" s="56">
        <f t="shared" si="28"/>
        <v>1</v>
      </c>
      <c r="AX140" s="28">
        <f t="shared" si="29"/>
        <v>-48</v>
      </c>
      <c r="AY140" s="28" t="str">
        <f t="shared" ref="AY140:BB140" si="1183">IFNA(IFS(AY$3=$AP140,"",$AX140=U140,AY$3),"")</f>
        <v/>
      </c>
      <c r="AZ140" s="28" t="str">
        <f t="shared" si="1183"/>
        <v/>
      </c>
      <c r="BA140" s="28" t="str">
        <f t="shared" si="1183"/>
        <v/>
      </c>
      <c r="BB140" s="28" t="str">
        <f t="shared" si="1183"/>
        <v/>
      </c>
      <c r="BC140" s="58">
        <f>OFFSET('00_Regnskab_01'!$A$1,MATCH(A140,'00_Regnskab_01'!$A$1:$A$25)-1,2)</f>
        <v>43798</v>
      </c>
      <c r="BE140" s="80">
        <f t="shared" ref="BE140:BH140" si="1184">if(U140&gt;0,1+BE139,0)</f>
        <v>2</v>
      </c>
      <c r="BF140" s="28">
        <f t="shared" si="1184"/>
        <v>0</v>
      </c>
      <c r="BG140" s="28">
        <f t="shared" si="1184"/>
        <v>1</v>
      </c>
      <c r="BH140" s="28">
        <f t="shared" si="1184"/>
        <v>6</v>
      </c>
      <c r="BJ140" s="28">
        <f t="shared" ref="BJ140:BM140" si="1185">if(U140&lt;0,1+BJ139,0)</f>
        <v>0</v>
      </c>
      <c r="BK140" s="28">
        <f t="shared" si="1185"/>
        <v>2</v>
      </c>
      <c r="BL140" s="28">
        <f t="shared" si="1185"/>
        <v>0</v>
      </c>
      <c r="BM140" s="28">
        <f t="shared" si="1185"/>
        <v>0</v>
      </c>
      <c r="BO140" s="74">
        <f t="shared" ref="BO140:BR140" si="1186">if(U140&gt;0,U140+BO139,0)</f>
        <v>48</v>
      </c>
      <c r="BP140" s="74">
        <f t="shared" si="1186"/>
        <v>0</v>
      </c>
      <c r="BQ140" s="74">
        <f t="shared" si="1186"/>
        <v>16</v>
      </c>
      <c r="BR140" s="74">
        <f t="shared" si="1186"/>
        <v>136</v>
      </c>
      <c r="BT140" s="28">
        <f t="shared" ref="BT140:BW140" si="1187">if(U140&lt;0,U140+BT139,0)</f>
        <v>0</v>
      </c>
      <c r="BU140" s="28">
        <f t="shared" si="1187"/>
        <v>-80</v>
      </c>
      <c r="BV140" s="28">
        <f t="shared" si="1187"/>
        <v>0</v>
      </c>
      <c r="BW140" s="28">
        <f t="shared" si="1187"/>
        <v>0</v>
      </c>
    </row>
    <row r="141">
      <c r="A141" s="53">
        <v>11.0</v>
      </c>
      <c r="B141" s="28">
        <f>'11_29-11-2019'!A10</f>
        <v>8</v>
      </c>
      <c r="C141" s="75">
        <f>'11_29-11-2019'!B10</f>
        <v>-20</v>
      </c>
      <c r="D141" s="28">
        <f>'11_29-11-2019'!C10</f>
        <v>-92</v>
      </c>
      <c r="E141" s="28">
        <f>'11_29-11-2019'!D10</f>
        <v>-4</v>
      </c>
      <c r="F141" s="28">
        <f>'11_29-11-2019'!E10</f>
        <v>116</v>
      </c>
      <c r="G141" s="28">
        <f>'11_29-11-2019'!F10</f>
        <v>0</v>
      </c>
      <c r="H141" s="28" t="str">
        <f>'11_29-11-2019'!I10</f>
        <v>Thomas</v>
      </c>
      <c r="J141" s="76" t="str">
        <f>'11_29-11-2019'!H10</f>
        <v>Janus</v>
      </c>
      <c r="K141" s="28" t="str">
        <f>'11_29-11-2019'!G10</f>
        <v>sol</v>
      </c>
      <c r="L141" s="56"/>
      <c r="N141" s="25" t="s">
        <v>99</v>
      </c>
      <c r="T141" s="56"/>
      <c r="U141" s="77">
        <f t="shared" ref="U141:X141" si="1188">C141-C140</f>
        <v>24</v>
      </c>
      <c r="V141" s="28">
        <f t="shared" si="1188"/>
        <v>-8</v>
      </c>
      <c r="W141" s="28">
        <f t="shared" si="1188"/>
        <v>-8</v>
      </c>
      <c r="X141" s="28">
        <f t="shared" si="1188"/>
        <v>-8</v>
      </c>
      <c r="AB141" s="28">
        <f t="shared" ref="AB141:AE141" si="1189">IF(AB$3=$H141,U141,"")</f>
        <v>24</v>
      </c>
      <c r="AC141" s="28" t="str">
        <f t="shared" si="1189"/>
        <v/>
      </c>
      <c r="AD141" s="28" t="str">
        <f t="shared" si="1189"/>
        <v/>
      </c>
      <c r="AE141" s="28" t="str">
        <f t="shared" si="1189"/>
        <v/>
      </c>
      <c r="AH141" s="28">
        <f t="shared" si="22"/>
        <v>24</v>
      </c>
      <c r="AI141" s="28">
        <f t="shared" si="23"/>
        <v>0</v>
      </c>
      <c r="AK141" s="78" t="str">
        <f t="shared" ref="AK141:AN141" si="1190">IF(U141&gt;0,AK$3,"")</f>
        <v>Thomas</v>
      </c>
      <c r="AL141" s="78" t="str">
        <f t="shared" si="1190"/>
        <v/>
      </c>
      <c r="AM141" s="78" t="str">
        <f t="shared" si="1190"/>
        <v/>
      </c>
      <c r="AN141" s="78" t="str">
        <f t="shared" si="1190"/>
        <v/>
      </c>
      <c r="AO141" s="56">
        <f t="shared" si="25"/>
        <v>1</v>
      </c>
      <c r="AP141" s="8" t="str">
        <f t="shared" si="26"/>
        <v>Thomas</v>
      </c>
      <c r="AQ141" s="73" t="str">
        <f>IFERROR(__xludf.DUMMYFUNCTION("IFNA(QUERY(transpose(AY141:BB141),""Select Col1 where Col1 is not null limit 1"",0))"),"")</f>
        <v/>
      </c>
      <c r="AR141" s="56"/>
      <c r="AS141" s="28" t="str">
        <f t="shared" ref="AS141:AV141" si="1191">IF(AK141=AS$3,"",AS$3)</f>
        <v/>
      </c>
      <c r="AT141" s="28" t="str">
        <f t="shared" si="1191"/>
        <v>Peter</v>
      </c>
      <c r="AU141" s="28" t="str">
        <f t="shared" si="1191"/>
        <v>Janus</v>
      </c>
      <c r="AV141" s="28" t="str">
        <f t="shared" si="1191"/>
        <v>Christian</v>
      </c>
      <c r="AW141" s="56">
        <f t="shared" si="28"/>
        <v>3</v>
      </c>
      <c r="AX141" s="28">
        <f t="shared" si="29"/>
        <v>24</v>
      </c>
      <c r="AY141" s="28" t="str">
        <f t="shared" ref="AY141:BB141" si="1192">IFNA(IFS(AY$3=$AP141,"",$AX141=U141,AY$3),"")</f>
        <v/>
      </c>
      <c r="AZ141" s="28" t="str">
        <f t="shared" si="1192"/>
        <v/>
      </c>
      <c r="BA141" s="28" t="str">
        <f t="shared" si="1192"/>
        <v/>
      </c>
      <c r="BB141" s="28" t="str">
        <f t="shared" si="1192"/>
        <v/>
      </c>
      <c r="BC141" s="58">
        <f>OFFSET('00_Regnskab_01'!$A$1,MATCH(A141,'00_Regnskab_01'!$A$1:$A$25)-1,2)</f>
        <v>43798</v>
      </c>
      <c r="BE141" s="80">
        <f t="shared" ref="BE141:BH141" si="1193">if(U141&gt;0,1+BE140,0)</f>
        <v>3</v>
      </c>
      <c r="BF141" s="28">
        <f t="shared" si="1193"/>
        <v>0</v>
      </c>
      <c r="BG141" s="28">
        <f t="shared" si="1193"/>
        <v>0</v>
      </c>
      <c r="BH141" s="28">
        <f t="shared" si="1193"/>
        <v>0</v>
      </c>
      <c r="BJ141" s="28">
        <f t="shared" ref="BJ141:BM141" si="1194">if(U141&lt;0,1+BJ140,0)</f>
        <v>0</v>
      </c>
      <c r="BK141" s="28">
        <f t="shared" si="1194"/>
        <v>3</v>
      </c>
      <c r="BL141" s="28">
        <f t="shared" si="1194"/>
        <v>1</v>
      </c>
      <c r="BM141" s="28">
        <f t="shared" si="1194"/>
        <v>1</v>
      </c>
      <c r="BO141" s="74">
        <f t="shared" ref="BO141:BR141" si="1195">if(U141&gt;0,U141+BO140,0)</f>
        <v>72</v>
      </c>
      <c r="BP141" s="74">
        <f t="shared" si="1195"/>
        <v>0</v>
      </c>
      <c r="BQ141" s="74">
        <f t="shared" si="1195"/>
        <v>0</v>
      </c>
      <c r="BR141" s="74">
        <f t="shared" si="1195"/>
        <v>0</v>
      </c>
      <c r="BT141" s="28">
        <f t="shared" ref="BT141:BW141" si="1196">if(U141&lt;0,U141+BT140,0)</f>
        <v>0</v>
      </c>
      <c r="BU141" s="28">
        <f t="shared" si="1196"/>
        <v>-88</v>
      </c>
      <c r="BV141" s="28">
        <f t="shared" si="1196"/>
        <v>-8</v>
      </c>
      <c r="BW141" s="28">
        <f t="shared" si="1196"/>
        <v>-8</v>
      </c>
    </row>
    <row r="142">
      <c r="A142" s="53">
        <v>11.0</v>
      </c>
      <c r="B142" s="28">
        <f>'11_29-11-2019'!A11</f>
        <v>9</v>
      </c>
      <c r="C142" s="75">
        <f>'11_29-11-2019'!B11</f>
        <v>-12</v>
      </c>
      <c r="D142" s="28">
        <f>'11_29-11-2019'!C11</f>
        <v>-84</v>
      </c>
      <c r="E142" s="28">
        <f>'11_29-11-2019'!D11</f>
        <v>-12</v>
      </c>
      <c r="F142" s="28">
        <f>'11_29-11-2019'!E11</f>
        <v>108</v>
      </c>
      <c r="G142" s="28">
        <f>'11_29-11-2019'!F11</f>
        <v>0</v>
      </c>
      <c r="H142" s="28" t="str">
        <f>'11_29-11-2019'!I11</f>
        <v>Thomas</v>
      </c>
      <c r="J142" s="76" t="str">
        <f>'11_29-11-2019'!H11</f>
        <v>Christian</v>
      </c>
      <c r="K142" s="28" t="str">
        <f>'11_29-11-2019'!G11</f>
        <v>8 halve</v>
      </c>
      <c r="L142" s="56"/>
      <c r="M142" s="25">
        <v>8.0</v>
      </c>
      <c r="N142" s="25" t="s">
        <v>94</v>
      </c>
      <c r="T142" s="56"/>
      <c r="U142" s="77">
        <f t="shared" ref="U142:X142" si="1197">C142-C141</f>
        <v>8</v>
      </c>
      <c r="V142" s="28">
        <f t="shared" si="1197"/>
        <v>8</v>
      </c>
      <c r="W142" s="28">
        <f t="shared" si="1197"/>
        <v>-8</v>
      </c>
      <c r="X142" s="28">
        <f t="shared" si="1197"/>
        <v>-8</v>
      </c>
      <c r="AB142" s="28">
        <f t="shared" ref="AB142:AE142" si="1198">IF(AB$3=$H142,U142,"")</f>
        <v>8</v>
      </c>
      <c r="AC142" s="28" t="str">
        <f t="shared" si="1198"/>
        <v/>
      </c>
      <c r="AD142" s="28" t="str">
        <f t="shared" si="1198"/>
        <v/>
      </c>
      <c r="AE142" s="28" t="str">
        <f t="shared" si="1198"/>
        <v/>
      </c>
      <c r="AH142" s="28">
        <f t="shared" si="22"/>
        <v>8</v>
      </c>
      <c r="AI142" s="28">
        <f t="shared" si="23"/>
        <v>0</v>
      </c>
      <c r="AK142" s="78" t="str">
        <f t="shared" ref="AK142:AN142" si="1199">IF(U142&gt;0,AK$3,"")</f>
        <v>Thomas</v>
      </c>
      <c r="AL142" s="78" t="str">
        <f t="shared" si="1199"/>
        <v>Peter</v>
      </c>
      <c r="AM142" s="78" t="str">
        <f t="shared" si="1199"/>
        <v/>
      </c>
      <c r="AN142" s="78" t="str">
        <f t="shared" si="1199"/>
        <v/>
      </c>
      <c r="AO142" s="56">
        <f t="shared" si="25"/>
        <v>2</v>
      </c>
      <c r="AP142" s="8" t="str">
        <f t="shared" si="26"/>
        <v>Thomas</v>
      </c>
      <c r="AQ142" s="73" t="str">
        <f>IFERROR(__xludf.DUMMYFUNCTION("IFNA(QUERY(transpose(AY142:BB142),""Select Col1 where Col1 is not null limit 1"",0))"),"Peter")</f>
        <v>Peter</v>
      </c>
      <c r="AR142" s="56"/>
      <c r="AS142" s="28" t="str">
        <f t="shared" ref="AS142:AV142" si="1200">IF(AK142=AS$3,"",AS$3)</f>
        <v/>
      </c>
      <c r="AT142" s="28" t="str">
        <f t="shared" si="1200"/>
        <v/>
      </c>
      <c r="AU142" s="28" t="str">
        <f t="shared" si="1200"/>
        <v>Janus</v>
      </c>
      <c r="AV142" s="28" t="str">
        <f t="shared" si="1200"/>
        <v>Christian</v>
      </c>
      <c r="AW142" s="56">
        <f t="shared" si="28"/>
        <v>2</v>
      </c>
      <c r="AX142" s="28">
        <f t="shared" si="29"/>
        <v>8</v>
      </c>
      <c r="AY142" s="28" t="str">
        <f t="shared" ref="AY142:BB142" si="1201">IFNA(IFS(AY$3=$AP142,"",$AX142=U142,AY$3),"")</f>
        <v/>
      </c>
      <c r="AZ142" s="28" t="str">
        <f t="shared" si="1201"/>
        <v>Peter</v>
      </c>
      <c r="BA142" s="28" t="str">
        <f t="shared" si="1201"/>
        <v/>
      </c>
      <c r="BB142" s="28" t="str">
        <f t="shared" si="1201"/>
        <v/>
      </c>
      <c r="BC142" s="58">
        <f>OFFSET('00_Regnskab_01'!$A$1,MATCH(A142,'00_Regnskab_01'!$A$1:$A$25)-1,2)</f>
        <v>43798</v>
      </c>
      <c r="BE142" s="80">
        <f t="shared" ref="BE142:BH142" si="1202">if(U142&gt;0,1+BE141,0)</f>
        <v>4</v>
      </c>
      <c r="BF142" s="28">
        <f t="shared" si="1202"/>
        <v>1</v>
      </c>
      <c r="BG142" s="28">
        <f t="shared" si="1202"/>
        <v>0</v>
      </c>
      <c r="BH142" s="28">
        <f t="shared" si="1202"/>
        <v>0</v>
      </c>
      <c r="BJ142" s="28">
        <f t="shared" ref="BJ142:BM142" si="1203">if(U142&lt;0,1+BJ141,0)</f>
        <v>0</v>
      </c>
      <c r="BK142" s="28">
        <f t="shared" si="1203"/>
        <v>0</v>
      </c>
      <c r="BL142" s="28">
        <f t="shared" si="1203"/>
        <v>2</v>
      </c>
      <c r="BM142" s="28">
        <f t="shared" si="1203"/>
        <v>2</v>
      </c>
      <c r="BO142" s="74">
        <f t="shared" ref="BO142:BR142" si="1204">if(U142&gt;0,U142+BO141,0)</f>
        <v>80</v>
      </c>
      <c r="BP142" s="74">
        <f t="shared" si="1204"/>
        <v>8</v>
      </c>
      <c r="BQ142" s="74">
        <f t="shared" si="1204"/>
        <v>0</v>
      </c>
      <c r="BR142" s="74">
        <f t="shared" si="1204"/>
        <v>0</v>
      </c>
      <c r="BT142" s="28">
        <f t="shared" ref="BT142:BW142" si="1205">if(U142&lt;0,U142+BT141,0)</f>
        <v>0</v>
      </c>
      <c r="BU142" s="28">
        <f t="shared" si="1205"/>
        <v>0</v>
      </c>
      <c r="BV142" s="28">
        <f t="shared" si="1205"/>
        <v>-16</v>
      </c>
      <c r="BW142" s="28">
        <f t="shared" si="1205"/>
        <v>-16</v>
      </c>
    </row>
    <row r="143">
      <c r="A143" s="53">
        <v>11.0</v>
      </c>
      <c r="B143" s="28">
        <f>'11_29-11-2019'!A12</f>
        <v>10</v>
      </c>
      <c r="C143" s="75">
        <f>'11_29-11-2019'!B12</f>
        <v>4</v>
      </c>
      <c r="D143" s="28">
        <f>'11_29-11-2019'!C12</f>
        <v>-68</v>
      </c>
      <c r="E143" s="28">
        <f>'11_29-11-2019'!D12</f>
        <v>-60</v>
      </c>
      <c r="F143" s="28">
        <f>'11_29-11-2019'!E12</f>
        <v>124</v>
      </c>
      <c r="G143" s="28">
        <f>'11_29-11-2019'!F12</f>
        <v>0</v>
      </c>
      <c r="H143" s="28" t="str">
        <f>'11_29-11-2019'!I12</f>
        <v>Janus</v>
      </c>
      <c r="J143" s="76" t="str">
        <f>'11_29-11-2019'!H12</f>
        <v>Thomas</v>
      </c>
      <c r="K143" s="28" t="str">
        <f>'11_29-11-2019'!G12</f>
        <v>ren sol</v>
      </c>
      <c r="L143" s="56"/>
      <c r="N143" s="25" t="s">
        <v>97</v>
      </c>
      <c r="T143" s="56"/>
      <c r="U143" s="77">
        <f t="shared" ref="U143:X143" si="1206">C143-C142</f>
        <v>16</v>
      </c>
      <c r="V143" s="28">
        <f t="shared" si="1206"/>
        <v>16</v>
      </c>
      <c r="W143" s="28">
        <f t="shared" si="1206"/>
        <v>-48</v>
      </c>
      <c r="X143" s="28">
        <f t="shared" si="1206"/>
        <v>16</v>
      </c>
      <c r="AB143" s="28" t="str">
        <f t="shared" ref="AB143:AE143" si="1207">IF(AB$3=$H143,U143,"")</f>
        <v/>
      </c>
      <c r="AC143" s="28" t="str">
        <f t="shared" si="1207"/>
        <v/>
      </c>
      <c r="AD143" s="28">
        <f t="shared" si="1207"/>
        <v>-48</v>
      </c>
      <c r="AE143" s="28" t="str">
        <f t="shared" si="1207"/>
        <v/>
      </c>
      <c r="AH143" s="28">
        <f t="shared" si="22"/>
        <v>0</v>
      </c>
      <c r="AI143" s="28">
        <f t="shared" si="23"/>
        <v>-48</v>
      </c>
      <c r="AK143" s="78" t="str">
        <f t="shared" ref="AK143:AN143" si="1208">IF(U143&gt;0,AK$3,"")</f>
        <v>Thomas</v>
      </c>
      <c r="AL143" s="78" t="str">
        <f t="shared" si="1208"/>
        <v>Peter</v>
      </c>
      <c r="AM143" s="78" t="str">
        <f t="shared" si="1208"/>
        <v/>
      </c>
      <c r="AN143" s="78" t="str">
        <f t="shared" si="1208"/>
        <v>Christian</v>
      </c>
      <c r="AO143" s="56">
        <f t="shared" si="25"/>
        <v>3</v>
      </c>
      <c r="AP143" s="8" t="str">
        <f t="shared" si="26"/>
        <v>Janus</v>
      </c>
      <c r="AQ143" s="73" t="str">
        <f>IFERROR(__xludf.DUMMYFUNCTION("IFNA(QUERY(transpose(AY143:BB143),""Select Col1 where Col1 is not null limit 1"",0))"),"")</f>
        <v/>
      </c>
      <c r="AR143" s="56"/>
      <c r="AS143" s="28" t="str">
        <f t="shared" ref="AS143:AV143" si="1209">IF(AK143=AS$3,"",AS$3)</f>
        <v/>
      </c>
      <c r="AT143" s="28" t="str">
        <f t="shared" si="1209"/>
        <v/>
      </c>
      <c r="AU143" s="28" t="str">
        <f t="shared" si="1209"/>
        <v>Janus</v>
      </c>
      <c r="AV143" s="28" t="str">
        <f t="shared" si="1209"/>
        <v/>
      </c>
      <c r="AW143" s="56">
        <f t="shared" si="28"/>
        <v>1</v>
      </c>
      <c r="AX143" s="28">
        <f t="shared" si="29"/>
        <v>-48</v>
      </c>
      <c r="AY143" s="28" t="str">
        <f t="shared" ref="AY143:BB143" si="1210">IFNA(IFS(AY$3=$AP143,"",$AX143=U143,AY$3),"")</f>
        <v/>
      </c>
      <c r="AZ143" s="28" t="str">
        <f t="shared" si="1210"/>
        <v/>
      </c>
      <c r="BA143" s="28" t="str">
        <f t="shared" si="1210"/>
        <v/>
      </c>
      <c r="BB143" s="28" t="str">
        <f t="shared" si="1210"/>
        <v/>
      </c>
      <c r="BC143" s="58">
        <f>OFFSET('00_Regnskab_01'!$A$1,MATCH(A143,'00_Regnskab_01'!$A$1:$A$25)-1,2)</f>
        <v>43798</v>
      </c>
      <c r="BE143" s="80">
        <f t="shared" ref="BE143:BH143" si="1211">if(U143&gt;0,1+BE142,0)</f>
        <v>5</v>
      </c>
      <c r="BF143" s="28">
        <f t="shared" si="1211"/>
        <v>2</v>
      </c>
      <c r="BG143" s="28">
        <f t="shared" si="1211"/>
        <v>0</v>
      </c>
      <c r="BH143" s="28">
        <f t="shared" si="1211"/>
        <v>1</v>
      </c>
      <c r="BJ143" s="28">
        <f t="shared" ref="BJ143:BM143" si="1212">if(U143&lt;0,1+BJ142,0)</f>
        <v>0</v>
      </c>
      <c r="BK143" s="28">
        <f t="shared" si="1212"/>
        <v>0</v>
      </c>
      <c r="BL143" s="28">
        <f t="shared" si="1212"/>
        <v>3</v>
      </c>
      <c r="BM143" s="28">
        <f t="shared" si="1212"/>
        <v>0</v>
      </c>
      <c r="BO143" s="74">
        <f t="shared" ref="BO143:BR143" si="1213">if(U143&gt;0,U143+BO142,0)</f>
        <v>96</v>
      </c>
      <c r="BP143" s="74">
        <f t="shared" si="1213"/>
        <v>24</v>
      </c>
      <c r="BQ143" s="74">
        <f t="shared" si="1213"/>
        <v>0</v>
      </c>
      <c r="BR143" s="74">
        <f t="shared" si="1213"/>
        <v>16</v>
      </c>
      <c r="BT143" s="28">
        <f t="shared" ref="BT143:BW143" si="1214">if(U143&lt;0,U143+BT142,0)</f>
        <v>0</v>
      </c>
      <c r="BU143" s="28">
        <f t="shared" si="1214"/>
        <v>0</v>
      </c>
      <c r="BV143" s="28">
        <f t="shared" si="1214"/>
        <v>-64</v>
      </c>
      <c r="BW143" s="28">
        <f t="shared" si="1214"/>
        <v>0</v>
      </c>
    </row>
    <row r="144">
      <c r="A144" s="53">
        <v>11.0</v>
      </c>
      <c r="B144" s="28">
        <f>'11_29-11-2019'!A13</f>
        <v>11</v>
      </c>
      <c r="C144" s="75">
        <f>'11_29-11-2019'!B13</f>
        <v>20</v>
      </c>
      <c r="D144" s="28">
        <f>'11_29-11-2019'!C13</f>
        <v>-116</v>
      </c>
      <c r="E144" s="28">
        <f>'11_29-11-2019'!D13</f>
        <v>-44</v>
      </c>
      <c r="F144" s="28">
        <f>'11_29-11-2019'!E13</f>
        <v>140</v>
      </c>
      <c r="G144" s="28">
        <f>'11_29-11-2019'!F13</f>
        <v>0</v>
      </c>
      <c r="H144" s="28" t="str">
        <f>'11_29-11-2019'!I13</f>
        <v>Peter</v>
      </c>
      <c r="J144" s="76" t="str">
        <f>'11_29-11-2019'!H13</f>
        <v>Peter</v>
      </c>
      <c r="K144" s="28" t="str">
        <f>'11_29-11-2019'!G13</f>
        <v>ren sol</v>
      </c>
      <c r="L144" s="56"/>
      <c r="N144" s="25" t="s">
        <v>97</v>
      </c>
      <c r="T144" s="56"/>
      <c r="U144" s="77">
        <f t="shared" ref="U144:X144" si="1215">C144-C143</f>
        <v>16</v>
      </c>
      <c r="V144" s="28">
        <f t="shared" si="1215"/>
        <v>-48</v>
      </c>
      <c r="W144" s="28">
        <f t="shared" si="1215"/>
        <v>16</v>
      </c>
      <c r="X144" s="28">
        <f t="shared" si="1215"/>
        <v>16</v>
      </c>
      <c r="AB144" s="28" t="str">
        <f t="shared" ref="AB144:AE144" si="1216">IF(AB$3=$H144,U144,"")</f>
        <v/>
      </c>
      <c r="AC144" s="28">
        <f t="shared" si="1216"/>
        <v>-48</v>
      </c>
      <c r="AD144" s="28" t="str">
        <f t="shared" si="1216"/>
        <v/>
      </c>
      <c r="AE144" s="28" t="str">
        <f t="shared" si="1216"/>
        <v/>
      </c>
      <c r="AH144" s="28">
        <f t="shared" si="22"/>
        <v>0</v>
      </c>
      <c r="AI144" s="28">
        <f t="shared" si="23"/>
        <v>-48</v>
      </c>
      <c r="AK144" s="78" t="str">
        <f t="shared" ref="AK144:AN144" si="1217">IF(U144&gt;0,AK$3,"")</f>
        <v>Thomas</v>
      </c>
      <c r="AL144" s="78" t="str">
        <f t="shared" si="1217"/>
        <v/>
      </c>
      <c r="AM144" s="78" t="str">
        <f t="shared" si="1217"/>
        <v>Janus</v>
      </c>
      <c r="AN144" s="78" t="str">
        <f t="shared" si="1217"/>
        <v>Christian</v>
      </c>
      <c r="AO144" s="56">
        <f t="shared" si="25"/>
        <v>3</v>
      </c>
      <c r="AP144" s="8" t="str">
        <f t="shared" si="26"/>
        <v>Peter</v>
      </c>
      <c r="AQ144" s="73" t="str">
        <f>IFERROR(__xludf.DUMMYFUNCTION("IFNA(QUERY(transpose(AY144:BB144),""Select Col1 where Col1 is not null limit 1"",0))"),"")</f>
        <v/>
      </c>
      <c r="AR144" s="56"/>
      <c r="AS144" s="28" t="str">
        <f t="shared" ref="AS144:AV144" si="1218">IF(AK144=AS$3,"",AS$3)</f>
        <v/>
      </c>
      <c r="AT144" s="28" t="str">
        <f t="shared" si="1218"/>
        <v>Peter</v>
      </c>
      <c r="AU144" s="28" t="str">
        <f t="shared" si="1218"/>
        <v/>
      </c>
      <c r="AV144" s="28" t="str">
        <f t="shared" si="1218"/>
        <v/>
      </c>
      <c r="AW144" s="56">
        <f t="shared" si="28"/>
        <v>1</v>
      </c>
      <c r="AX144" s="28">
        <f t="shared" si="29"/>
        <v>-48</v>
      </c>
      <c r="AY144" s="28" t="str">
        <f t="shared" ref="AY144:BB144" si="1219">IFNA(IFS(AY$3=$AP144,"",$AX144=U144,AY$3),"")</f>
        <v/>
      </c>
      <c r="AZ144" s="28" t="str">
        <f t="shared" si="1219"/>
        <v/>
      </c>
      <c r="BA144" s="28" t="str">
        <f t="shared" si="1219"/>
        <v/>
      </c>
      <c r="BB144" s="28" t="str">
        <f t="shared" si="1219"/>
        <v/>
      </c>
      <c r="BC144" s="58">
        <f>OFFSET('00_Regnskab_01'!$A$1,MATCH(A144,'00_Regnskab_01'!$A$1:$A$25)-1,2)</f>
        <v>43798</v>
      </c>
      <c r="BE144" s="80">
        <f t="shared" ref="BE144:BH144" si="1220">if(U144&gt;0,1+BE143,0)</f>
        <v>6</v>
      </c>
      <c r="BF144" s="28">
        <f t="shared" si="1220"/>
        <v>0</v>
      </c>
      <c r="BG144" s="28">
        <f t="shared" si="1220"/>
        <v>1</v>
      </c>
      <c r="BH144" s="28">
        <f t="shared" si="1220"/>
        <v>2</v>
      </c>
      <c r="BJ144" s="28">
        <f t="shared" ref="BJ144:BM144" si="1221">if(U144&lt;0,1+BJ143,0)</f>
        <v>0</v>
      </c>
      <c r="BK144" s="28">
        <f t="shared" si="1221"/>
        <v>1</v>
      </c>
      <c r="BL144" s="28">
        <f t="shared" si="1221"/>
        <v>0</v>
      </c>
      <c r="BM144" s="28">
        <f t="shared" si="1221"/>
        <v>0</v>
      </c>
      <c r="BO144" s="74">
        <f t="shared" ref="BO144:BR144" si="1222">if(U144&gt;0,U144+BO143,0)</f>
        <v>112</v>
      </c>
      <c r="BP144" s="74">
        <f t="shared" si="1222"/>
        <v>0</v>
      </c>
      <c r="BQ144" s="74">
        <f t="shared" si="1222"/>
        <v>16</v>
      </c>
      <c r="BR144" s="74">
        <f t="shared" si="1222"/>
        <v>32</v>
      </c>
      <c r="BT144" s="28">
        <f t="shared" ref="BT144:BW144" si="1223">if(U144&lt;0,U144+BT143,0)</f>
        <v>0</v>
      </c>
      <c r="BU144" s="28">
        <f t="shared" si="1223"/>
        <v>-48</v>
      </c>
      <c r="BV144" s="28">
        <f t="shared" si="1223"/>
        <v>0</v>
      </c>
      <c r="BW144" s="28">
        <f t="shared" si="1223"/>
        <v>0</v>
      </c>
    </row>
    <row r="145">
      <c r="A145" s="53">
        <v>11.0</v>
      </c>
      <c r="B145" s="28">
        <f>'11_29-11-2019'!A14</f>
        <v>12</v>
      </c>
      <c r="C145" s="75">
        <f>'11_29-11-2019'!B14</f>
        <v>-12</v>
      </c>
      <c r="D145" s="28">
        <f>'11_29-11-2019'!C14</f>
        <v>-20</v>
      </c>
      <c r="E145" s="28">
        <f>'11_29-11-2019'!D14</f>
        <v>-76</v>
      </c>
      <c r="F145" s="28">
        <f>'11_29-11-2019'!E14</f>
        <v>108</v>
      </c>
      <c r="G145" s="28">
        <f>'11_29-11-2019'!F14</f>
        <v>0</v>
      </c>
      <c r="H145" s="28" t="str">
        <f>'11_29-11-2019'!I14</f>
        <v>Peter</v>
      </c>
      <c r="J145" s="76" t="str">
        <f>'11_29-11-2019'!H14</f>
        <v>Janus</v>
      </c>
      <c r="K145" s="28" t="str">
        <f>'11_29-11-2019'!G14</f>
        <v>Halv bordlægger</v>
      </c>
      <c r="L145" s="56"/>
      <c r="N145" s="25" t="s">
        <v>101</v>
      </c>
      <c r="T145" s="56"/>
      <c r="U145" s="77">
        <f t="shared" ref="U145:X145" si="1224">C145-C144</f>
        <v>-32</v>
      </c>
      <c r="V145" s="28">
        <f t="shared" si="1224"/>
        <v>96</v>
      </c>
      <c r="W145" s="28">
        <f t="shared" si="1224"/>
        <v>-32</v>
      </c>
      <c r="X145" s="28">
        <f t="shared" si="1224"/>
        <v>-32</v>
      </c>
      <c r="AB145" s="28" t="str">
        <f t="shared" ref="AB145:AE145" si="1225">IF(AB$3=$H145,U145,"")</f>
        <v/>
      </c>
      <c r="AC145" s="28">
        <f t="shared" si="1225"/>
        <v>96</v>
      </c>
      <c r="AD145" s="28" t="str">
        <f t="shared" si="1225"/>
        <v/>
      </c>
      <c r="AE145" s="28" t="str">
        <f t="shared" si="1225"/>
        <v/>
      </c>
      <c r="AH145" s="28">
        <f t="shared" si="22"/>
        <v>96</v>
      </c>
      <c r="AI145" s="28">
        <f t="shared" si="23"/>
        <v>0</v>
      </c>
      <c r="AK145" s="78" t="str">
        <f t="shared" ref="AK145:AN145" si="1226">IF(U145&gt;0,AK$3,"")</f>
        <v/>
      </c>
      <c r="AL145" s="78" t="str">
        <f t="shared" si="1226"/>
        <v>Peter</v>
      </c>
      <c r="AM145" s="78" t="str">
        <f t="shared" si="1226"/>
        <v/>
      </c>
      <c r="AN145" s="78" t="str">
        <f t="shared" si="1226"/>
        <v/>
      </c>
      <c r="AO145" s="56">
        <f t="shared" si="25"/>
        <v>1</v>
      </c>
      <c r="AP145" s="8" t="str">
        <f t="shared" si="26"/>
        <v>Peter</v>
      </c>
      <c r="AQ145" s="73" t="str">
        <f>IFERROR(__xludf.DUMMYFUNCTION("IFNA(QUERY(transpose(AY145:BB145),""Select Col1 where Col1 is not null limit 1"",0))"),"")</f>
        <v/>
      </c>
      <c r="AR145" s="56"/>
      <c r="AS145" s="28" t="str">
        <f t="shared" ref="AS145:AV145" si="1227">IF(AK145=AS$3,"",AS$3)</f>
        <v>Thomas</v>
      </c>
      <c r="AT145" s="28" t="str">
        <f t="shared" si="1227"/>
        <v/>
      </c>
      <c r="AU145" s="28" t="str">
        <f t="shared" si="1227"/>
        <v>Janus</v>
      </c>
      <c r="AV145" s="28" t="str">
        <f t="shared" si="1227"/>
        <v>Christian</v>
      </c>
      <c r="AW145" s="56">
        <f t="shared" si="28"/>
        <v>3</v>
      </c>
      <c r="AX145" s="28">
        <f t="shared" si="29"/>
        <v>96</v>
      </c>
      <c r="AY145" s="28" t="str">
        <f t="shared" ref="AY145:BB145" si="1228">IFNA(IFS(AY$3=$AP145,"",$AX145=U145,AY$3),"")</f>
        <v/>
      </c>
      <c r="AZ145" s="28" t="str">
        <f t="shared" si="1228"/>
        <v/>
      </c>
      <c r="BA145" s="28" t="str">
        <f t="shared" si="1228"/>
        <v/>
      </c>
      <c r="BB145" s="28" t="str">
        <f t="shared" si="1228"/>
        <v/>
      </c>
      <c r="BC145" s="58">
        <f>OFFSET('00_Regnskab_01'!$A$1,MATCH(A145,'00_Regnskab_01'!$A$1:$A$25)-1,2)</f>
        <v>43798</v>
      </c>
      <c r="BE145" s="80">
        <f t="shared" ref="BE145:BH145" si="1229">if(U145&gt;0,1+BE144,0)</f>
        <v>0</v>
      </c>
      <c r="BF145" s="28">
        <f t="shared" si="1229"/>
        <v>1</v>
      </c>
      <c r="BG145" s="28">
        <f t="shared" si="1229"/>
        <v>0</v>
      </c>
      <c r="BH145" s="28">
        <f t="shared" si="1229"/>
        <v>0</v>
      </c>
      <c r="BJ145" s="28">
        <f t="shared" ref="BJ145:BM145" si="1230">if(U145&lt;0,1+BJ144,0)</f>
        <v>1</v>
      </c>
      <c r="BK145" s="28">
        <f t="shared" si="1230"/>
        <v>0</v>
      </c>
      <c r="BL145" s="28">
        <f t="shared" si="1230"/>
        <v>1</v>
      </c>
      <c r="BM145" s="28">
        <f t="shared" si="1230"/>
        <v>1</v>
      </c>
      <c r="BO145" s="74">
        <f t="shared" ref="BO145:BR145" si="1231">if(U145&gt;0,U145+BO144,0)</f>
        <v>0</v>
      </c>
      <c r="BP145" s="74">
        <f t="shared" si="1231"/>
        <v>96</v>
      </c>
      <c r="BQ145" s="74">
        <f t="shared" si="1231"/>
        <v>0</v>
      </c>
      <c r="BR145" s="74">
        <f t="shared" si="1231"/>
        <v>0</v>
      </c>
      <c r="BT145" s="28">
        <f t="shared" ref="BT145:BW145" si="1232">if(U145&lt;0,U145+BT144,0)</f>
        <v>-32</v>
      </c>
      <c r="BU145" s="28">
        <f t="shared" si="1232"/>
        <v>0</v>
      </c>
      <c r="BV145" s="28">
        <f t="shared" si="1232"/>
        <v>-32</v>
      </c>
      <c r="BW145" s="28">
        <f t="shared" si="1232"/>
        <v>-32</v>
      </c>
    </row>
    <row r="146">
      <c r="A146" s="53">
        <v>11.0</v>
      </c>
      <c r="B146" s="28">
        <f>'11_29-11-2019'!A15</f>
        <v>13</v>
      </c>
      <c r="C146" s="75">
        <f>'11_29-11-2019'!B15</f>
        <v>0</v>
      </c>
      <c r="D146" s="28">
        <f>'11_29-11-2019'!C15</f>
        <v>-32</v>
      </c>
      <c r="E146" s="28">
        <f>'11_29-11-2019'!D15</f>
        <v>-64</v>
      </c>
      <c r="F146" s="28">
        <f>'11_29-11-2019'!E15</f>
        <v>96</v>
      </c>
      <c r="G146" s="28">
        <f>'11_29-11-2019'!F15</f>
        <v>0</v>
      </c>
      <c r="H146" s="28" t="str">
        <f>'11_29-11-2019'!I15</f>
        <v>Thomas</v>
      </c>
      <c r="J146" s="76" t="str">
        <f>'11_29-11-2019'!H15</f>
        <v>Christian</v>
      </c>
      <c r="K146" s="28" t="str">
        <f>'11_29-11-2019'!G15</f>
        <v>8 vip 1</v>
      </c>
      <c r="L146" s="56"/>
      <c r="M146" s="25">
        <v>8.0</v>
      </c>
      <c r="N146" s="25" t="s">
        <v>86</v>
      </c>
      <c r="O146" s="25">
        <v>1.0</v>
      </c>
      <c r="T146" s="56"/>
      <c r="U146" s="77">
        <f t="shared" ref="U146:X146" si="1233">C146-C145</f>
        <v>12</v>
      </c>
      <c r="V146" s="28">
        <f t="shared" si="1233"/>
        <v>-12</v>
      </c>
      <c r="W146" s="28">
        <f t="shared" si="1233"/>
        <v>12</v>
      </c>
      <c r="X146" s="28">
        <f t="shared" si="1233"/>
        <v>-12</v>
      </c>
      <c r="AB146" s="28">
        <f t="shared" ref="AB146:AE146" si="1234">IF(AB$3=$H146,U146,"")</f>
        <v>12</v>
      </c>
      <c r="AC146" s="28" t="str">
        <f t="shared" si="1234"/>
        <v/>
      </c>
      <c r="AD146" s="28" t="str">
        <f t="shared" si="1234"/>
        <v/>
      </c>
      <c r="AE146" s="28" t="str">
        <f t="shared" si="1234"/>
        <v/>
      </c>
      <c r="AH146" s="28">
        <f t="shared" si="22"/>
        <v>12</v>
      </c>
      <c r="AI146" s="28">
        <f t="shared" si="23"/>
        <v>0</v>
      </c>
      <c r="AK146" s="78" t="str">
        <f t="shared" ref="AK146:AN146" si="1235">IF(U146&gt;0,AK$3,"")</f>
        <v>Thomas</v>
      </c>
      <c r="AL146" s="78" t="str">
        <f t="shared" si="1235"/>
        <v/>
      </c>
      <c r="AM146" s="78" t="str">
        <f t="shared" si="1235"/>
        <v>Janus</v>
      </c>
      <c r="AN146" s="78" t="str">
        <f t="shared" si="1235"/>
        <v/>
      </c>
      <c r="AO146" s="56">
        <f t="shared" si="25"/>
        <v>2</v>
      </c>
      <c r="AP146" s="8" t="str">
        <f t="shared" si="26"/>
        <v>Thomas</v>
      </c>
      <c r="AQ146" s="73" t="str">
        <f>IFERROR(__xludf.DUMMYFUNCTION("IFNA(QUERY(transpose(AY146:BB146),""Select Col1 where Col1 is not null limit 1"",0))"),"Janus")</f>
        <v>Janus</v>
      </c>
      <c r="AR146" s="56"/>
      <c r="AS146" s="28" t="str">
        <f t="shared" ref="AS146:AV146" si="1236">IF(AK146=AS$3,"",AS$3)</f>
        <v/>
      </c>
      <c r="AT146" s="28" t="str">
        <f t="shared" si="1236"/>
        <v>Peter</v>
      </c>
      <c r="AU146" s="28" t="str">
        <f t="shared" si="1236"/>
        <v/>
      </c>
      <c r="AV146" s="28" t="str">
        <f t="shared" si="1236"/>
        <v>Christian</v>
      </c>
      <c r="AW146" s="56">
        <f t="shared" si="28"/>
        <v>2</v>
      </c>
      <c r="AX146" s="28">
        <f t="shared" si="29"/>
        <v>12</v>
      </c>
      <c r="AY146" s="28" t="str">
        <f t="shared" ref="AY146:BB146" si="1237">IFNA(IFS(AY$3=$AP146,"",$AX146=U146,AY$3),"")</f>
        <v/>
      </c>
      <c r="AZ146" s="28" t="str">
        <f t="shared" si="1237"/>
        <v/>
      </c>
      <c r="BA146" s="28" t="str">
        <f t="shared" si="1237"/>
        <v>Janus</v>
      </c>
      <c r="BB146" s="28" t="str">
        <f t="shared" si="1237"/>
        <v/>
      </c>
      <c r="BC146" s="58">
        <f>OFFSET('00_Regnskab_01'!$A$1,MATCH(A146,'00_Regnskab_01'!$A$1:$A$25)-1,2)</f>
        <v>43798</v>
      </c>
      <c r="BE146" s="80">
        <f t="shared" ref="BE146:BH146" si="1238">if(U146&gt;0,1+BE145,0)</f>
        <v>1</v>
      </c>
      <c r="BF146" s="28">
        <f t="shared" si="1238"/>
        <v>0</v>
      </c>
      <c r="BG146" s="28">
        <f t="shared" si="1238"/>
        <v>1</v>
      </c>
      <c r="BH146" s="28">
        <f t="shared" si="1238"/>
        <v>0</v>
      </c>
      <c r="BJ146" s="28">
        <f t="shared" ref="BJ146:BM146" si="1239">if(U146&lt;0,1+BJ145,0)</f>
        <v>0</v>
      </c>
      <c r="BK146" s="28">
        <f t="shared" si="1239"/>
        <v>1</v>
      </c>
      <c r="BL146" s="28">
        <f t="shared" si="1239"/>
        <v>0</v>
      </c>
      <c r="BM146" s="28">
        <f t="shared" si="1239"/>
        <v>2</v>
      </c>
      <c r="BO146" s="74">
        <f t="shared" ref="BO146:BR146" si="1240">if(U146&gt;0,U146+BO145,0)</f>
        <v>12</v>
      </c>
      <c r="BP146" s="74">
        <f t="shared" si="1240"/>
        <v>0</v>
      </c>
      <c r="BQ146" s="74">
        <f t="shared" si="1240"/>
        <v>12</v>
      </c>
      <c r="BR146" s="74">
        <f t="shared" si="1240"/>
        <v>0</v>
      </c>
      <c r="BT146" s="28">
        <f t="shared" ref="BT146:BW146" si="1241">if(U146&lt;0,U146+BT145,0)</f>
        <v>0</v>
      </c>
      <c r="BU146" s="28">
        <f t="shared" si="1241"/>
        <v>-12</v>
      </c>
      <c r="BV146" s="28">
        <f t="shared" si="1241"/>
        <v>0</v>
      </c>
      <c r="BW146" s="28">
        <f t="shared" si="1241"/>
        <v>-44</v>
      </c>
    </row>
    <row r="147">
      <c r="A147" s="53">
        <v>11.0</v>
      </c>
      <c r="B147" s="28">
        <f>'11_29-11-2019'!A16</f>
        <v>14</v>
      </c>
      <c r="C147" s="75">
        <f>'11_29-11-2019'!B16</f>
        <v>20</v>
      </c>
      <c r="D147" s="28">
        <f>'11_29-11-2019'!C16</f>
        <v>-52</v>
      </c>
      <c r="E147" s="28">
        <f>'11_29-11-2019'!D16</f>
        <v>-44</v>
      </c>
      <c r="F147" s="28">
        <f>'11_29-11-2019'!E16</f>
        <v>76</v>
      </c>
      <c r="G147" s="28">
        <f>'11_29-11-2019'!F16</f>
        <v>0</v>
      </c>
      <c r="H147" s="28" t="str">
        <f>'11_29-11-2019'!I16</f>
        <v>Thomas</v>
      </c>
      <c r="J147" s="76" t="str">
        <f>'11_29-11-2019'!H16</f>
        <v>Thomas</v>
      </c>
      <c r="K147" s="28" t="str">
        <f>'11_29-11-2019'!G16</f>
        <v>9 vip  i 1.</v>
      </c>
      <c r="L147" s="56"/>
      <c r="M147" s="25">
        <v>9.0</v>
      </c>
      <c r="N147" s="25" t="s">
        <v>86</v>
      </c>
      <c r="O147" s="25">
        <v>1.0</v>
      </c>
      <c r="T147" s="56"/>
      <c r="U147" s="77">
        <f t="shared" ref="U147:X147" si="1242">C147-C146</f>
        <v>20</v>
      </c>
      <c r="V147" s="28">
        <f t="shared" si="1242"/>
        <v>-20</v>
      </c>
      <c r="W147" s="28">
        <f t="shared" si="1242"/>
        <v>20</v>
      </c>
      <c r="X147" s="28">
        <f t="shared" si="1242"/>
        <v>-20</v>
      </c>
      <c r="AB147" s="28">
        <f t="shared" ref="AB147:AE147" si="1243">IF(AB$3=$H147,U147,"")</f>
        <v>20</v>
      </c>
      <c r="AC147" s="28" t="str">
        <f t="shared" si="1243"/>
        <v/>
      </c>
      <c r="AD147" s="28" t="str">
        <f t="shared" si="1243"/>
        <v/>
      </c>
      <c r="AE147" s="28" t="str">
        <f t="shared" si="1243"/>
        <v/>
      </c>
      <c r="AH147" s="28">
        <f t="shared" si="22"/>
        <v>20</v>
      </c>
      <c r="AI147" s="28">
        <f t="shared" si="23"/>
        <v>0</v>
      </c>
      <c r="AK147" s="78" t="str">
        <f t="shared" ref="AK147:AN147" si="1244">IF(U147&gt;0,AK$3,"")</f>
        <v>Thomas</v>
      </c>
      <c r="AL147" s="78" t="str">
        <f t="shared" si="1244"/>
        <v/>
      </c>
      <c r="AM147" s="78" t="str">
        <f t="shared" si="1244"/>
        <v>Janus</v>
      </c>
      <c r="AN147" s="78" t="str">
        <f t="shared" si="1244"/>
        <v/>
      </c>
      <c r="AO147" s="56">
        <f t="shared" si="25"/>
        <v>2</v>
      </c>
      <c r="AP147" s="8" t="str">
        <f t="shared" si="26"/>
        <v>Thomas</v>
      </c>
      <c r="AQ147" s="73" t="str">
        <f>IFERROR(__xludf.DUMMYFUNCTION("IFNA(QUERY(transpose(AY147:BB147),""Select Col1 where Col1 is not null limit 1"",0))"),"Janus")</f>
        <v>Janus</v>
      </c>
      <c r="AR147" s="56"/>
      <c r="AS147" s="28" t="str">
        <f t="shared" ref="AS147:AV147" si="1245">IF(AK147=AS$3,"",AS$3)</f>
        <v/>
      </c>
      <c r="AT147" s="28" t="str">
        <f t="shared" si="1245"/>
        <v>Peter</v>
      </c>
      <c r="AU147" s="28" t="str">
        <f t="shared" si="1245"/>
        <v/>
      </c>
      <c r="AV147" s="28" t="str">
        <f t="shared" si="1245"/>
        <v>Christian</v>
      </c>
      <c r="AW147" s="56">
        <f t="shared" si="28"/>
        <v>2</v>
      </c>
      <c r="AX147" s="28">
        <f t="shared" si="29"/>
        <v>20</v>
      </c>
      <c r="AY147" s="28" t="str">
        <f t="shared" ref="AY147:BB147" si="1246">IFNA(IFS(AY$3=$AP147,"",$AX147=U147,AY$3),"")</f>
        <v/>
      </c>
      <c r="AZ147" s="28" t="str">
        <f t="shared" si="1246"/>
        <v/>
      </c>
      <c r="BA147" s="28" t="str">
        <f t="shared" si="1246"/>
        <v>Janus</v>
      </c>
      <c r="BB147" s="28" t="str">
        <f t="shared" si="1246"/>
        <v/>
      </c>
      <c r="BC147" s="58">
        <f>OFFSET('00_Regnskab_01'!$A$1,MATCH(A147,'00_Regnskab_01'!$A$1:$A$25)-1,2)</f>
        <v>43798</v>
      </c>
      <c r="BE147" s="80">
        <f t="shared" ref="BE147:BH147" si="1247">if(U147&gt;0,1+BE146,0)</f>
        <v>2</v>
      </c>
      <c r="BF147" s="28">
        <f t="shared" si="1247"/>
        <v>0</v>
      </c>
      <c r="BG147" s="28">
        <f t="shared" si="1247"/>
        <v>2</v>
      </c>
      <c r="BH147" s="28">
        <f t="shared" si="1247"/>
        <v>0</v>
      </c>
      <c r="BJ147" s="28">
        <f t="shared" ref="BJ147:BM147" si="1248">if(U147&lt;0,1+BJ146,0)</f>
        <v>0</v>
      </c>
      <c r="BK147" s="28">
        <f t="shared" si="1248"/>
        <v>2</v>
      </c>
      <c r="BL147" s="28">
        <f t="shared" si="1248"/>
        <v>0</v>
      </c>
      <c r="BM147" s="28">
        <f t="shared" si="1248"/>
        <v>3</v>
      </c>
      <c r="BO147" s="74">
        <f t="shared" ref="BO147:BR147" si="1249">if(U147&gt;0,U147+BO146,0)</f>
        <v>32</v>
      </c>
      <c r="BP147" s="74">
        <f t="shared" si="1249"/>
        <v>0</v>
      </c>
      <c r="BQ147" s="74">
        <f t="shared" si="1249"/>
        <v>32</v>
      </c>
      <c r="BR147" s="74">
        <f t="shared" si="1249"/>
        <v>0</v>
      </c>
      <c r="BT147" s="28">
        <f t="shared" ref="BT147:BW147" si="1250">if(U147&lt;0,U147+BT146,0)</f>
        <v>0</v>
      </c>
      <c r="BU147" s="28">
        <f t="shared" si="1250"/>
        <v>-32</v>
      </c>
      <c r="BV147" s="28">
        <f t="shared" si="1250"/>
        <v>0</v>
      </c>
      <c r="BW147" s="28">
        <f t="shared" si="1250"/>
        <v>-64</v>
      </c>
    </row>
    <row r="148">
      <c r="A148" s="53">
        <v>11.0</v>
      </c>
      <c r="B148" s="28">
        <f>'11_29-11-2019'!A17</f>
        <v>15</v>
      </c>
      <c r="C148" s="75">
        <f>'11_29-11-2019'!B17</f>
        <v>52</v>
      </c>
      <c r="D148" s="28">
        <f>'11_29-11-2019'!C17</f>
        <v>-148</v>
      </c>
      <c r="E148" s="28">
        <f>'11_29-11-2019'!D17</f>
        <v>-12</v>
      </c>
      <c r="F148" s="28">
        <f>'11_29-11-2019'!E17</f>
        <v>108</v>
      </c>
      <c r="G148" s="28">
        <f>'11_29-11-2019'!F17</f>
        <v>0</v>
      </c>
      <c r="H148" s="28" t="str">
        <f>'11_29-11-2019'!I17</f>
        <v>Peter</v>
      </c>
      <c r="J148" s="76" t="str">
        <f>'11_29-11-2019'!H17</f>
        <v>Peter</v>
      </c>
      <c r="K148" s="28" t="str">
        <f>'11_29-11-2019'!G17</f>
        <v>Halv bordlægger</v>
      </c>
      <c r="L148" s="56"/>
      <c r="N148" s="25" t="s">
        <v>101</v>
      </c>
      <c r="T148" s="56"/>
      <c r="U148" s="77">
        <f t="shared" ref="U148:X148" si="1251">C148-C147</f>
        <v>32</v>
      </c>
      <c r="V148" s="28">
        <f t="shared" si="1251"/>
        <v>-96</v>
      </c>
      <c r="W148" s="28">
        <f t="shared" si="1251"/>
        <v>32</v>
      </c>
      <c r="X148" s="28">
        <f t="shared" si="1251"/>
        <v>32</v>
      </c>
      <c r="AB148" s="28" t="str">
        <f t="shared" ref="AB148:AE148" si="1252">IF(AB$3=$H148,U148,"")</f>
        <v/>
      </c>
      <c r="AC148" s="28">
        <f t="shared" si="1252"/>
        <v>-96</v>
      </c>
      <c r="AD148" s="28" t="str">
        <f t="shared" si="1252"/>
        <v/>
      </c>
      <c r="AE148" s="28" t="str">
        <f t="shared" si="1252"/>
        <v/>
      </c>
      <c r="AH148" s="28">
        <f t="shared" si="22"/>
        <v>0</v>
      </c>
      <c r="AI148" s="28">
        <f t="shared" si="23"/>
        <v>-96</v>
      </c>
      <c r="AK148" s="78" t="str">
        <f t="shared" ref="AK148:AN148" si="1253">IF(U148&gt;0,AK$3,"")</f>
        <v>Thomas</v>
      </c>
      <c r="AL148" s="78" t="str">
        <f t="shared" si="1253"/>
        <v/>
      </c>
      <c r="AM148" s="78" t="str">
        <f t="shared" si="1253"/>
        <v>Janus</v>
      </c>
      <c r="AN148" s="78" t="str">
        <f t="shared" si="1253"/>
        <v>Christian</v>
      </c>
      <c r="AO148" s="56">
        <f t="shared" si="25"/>
        <v>3</v>
      </c>
      <c r="AP148" s="8" t="str">
        <f t="shared" si="26"/>
        <v>Peter</v>
      </c>
      <c r="AQ148" s="73" t="str">
        <f>IFERROR(__xludf.DUMMYFUNCTION("IFNA(QUERY(transpose(AY148:BB148),""Select Col1 where Col1 is not null limit 1"",0))"),"")</f>
        <v/>
      </c>
      <c r="AR148" s="56"/>
      <c r="AS148" s="28" t="str">
        <f t="shared" ref="AS148:AV148" si="1254">IF(AK148=AS$3,"",AS$3)</f>
        <v/>
      </c>
      <c r="AT148" s="28" t="str">
        <f t="shared" si="1254"/>
        <v>Peter</v>
      </c>
      <c r="AU148" s="28" t="str">
        <f t="shared" si="1254"/>
        <v/>
      </c>
      <c r="AV148" s="28" t="str">
        <f t="shared" si="1254"/>
        <v/>
      </c>
      <c r="AW148" s="56">
        <f t="shared" si="28"/>
        <v>1</v>
      </c>
      <c r="AX148" s="28">
        <f t="shared" si="29"/>
        <v>-96</v>
      </c>
      <c r="AY148" s="28" t="str">
        <f t="shared" ref="AY148:BB148" si="1255">IFNA(IFS(AY$3=$AP148,"",$AX148=U148,AY$3),"")</f>
        <v/>
      </c>
      <c r="AZ148" s="28" t="str">
        <f t="shared" si="1255"/>
        <v/>
      </c>
      <c r="BA148" s="28" t="str">
        <f t="shared" si="1255"/>
        <v/>
      </c>
      <c r="BB148" s="28" t="str">
        <f t="shared" si="1255"/>
        <v/>
      </c>
      <c r="BC148" s="58">
        <f>OFFSET('00_Regnskab_01'!$A$1,MATCH(A148,'00_Regnskab_01'!$A$1:$A$25)-1,2)</f>
        <v>43798</v>
      </c>
      <c r="BE148" s="80">
        <f t="shared" ref="BE148:BH148" si="1256">if(U148&gt;0,1+BE147,0)</f>
        <v>3</v>
      </c>
      <c r="BF148" s="28">
        <f t="shared" si="1256"/>
        <v>0</v>
      </c>
      <c r="BG148" s="28">
        <f t="shared" si="1256"/>
        <v>3</v>
      </c>
      <c r="BH148" s="28">
        <f t="shared" si="1256"/>
        <v>1</v>
      </c>
      <c r="BJ148" s="28">
        <f t="shared" ref="BJ148:BM148" si="1257">if(U148&lt;0,1+BJ147,0)</f>
        <v>0</v>
      </c>
      <c r="BK148" s="28">
        <f t="shared" si="1257"/>
        <v>3</v>
      </c>
      <c r="BL148" s="28">
        <f t="shared" si="1257"/>
        <v>0</v>
      </c>
      <c r="BM148" s="28">
        <f t="shared" si="1257"/>
        <v>0</v>
      </c>
      <c r="BO148" s="74">
        <f t="shared" ref="BO148:BR148" si="1258">if(U148&gt;0,U148+BO147,0)</f>
        <v>64</v>
      </c>
      <c r="BP148" s="74">
        <f t="shared" si="1258"/>
        <v>0</v>
      </c>
      <c r="BQ148" s="74">
        <f t="shared" si="1258"/>
        <v>64</v>
      </c>
      <c r="BR148" s="74">
        <f t="shared" si="1258"/>
        <v>32</v>
      </c>
      <c r="BT148" s="28">
        <f t="shared" ref="BT148:BW148" si="1259">if(U148&lt;0,U148+BT147,0)</f>
        <v>0</v>
      </c>
      <c r="BU148" s="28">
        <f t="shared" si="1259"/>
        <v>-128</v>
      </c>
      <c r="BV148" s="28">
        <f t="shared" si="1259"/>
        <v>0</v>
      </c>
      <c r="BW148" s="28">
        <f t="shared" si="1259"/>
        <v>0</v>
      </c>
    </row>
    <row r="149">
      <c r="A149" s="53">
        <v>11.0</v>
      </c>
      <c r="B149" s="28">
        <f>'11_29-11-2019'!A18</f>
        <v>16</v>
      </c>
      <c r="C149" s="75">
        <f>'11_29-11-2019'!B18</f>
        <v>64</v>
      </c>
      <c r="D149" s="28">
        <f>'11_29-11-2019'!C18</f>
        <v>-160</v>
      </c>
      <c r="E149" s="28">
        <f>'11_29-11-2019'!D18</f>
        <v>-24</v>
      </c>
      <c r="F149" s="28">
        <f>'11_29-11-2019'!E18</f>
        <v>120</v>
      </c>
      <c r="G149" s="28">
        <f>'11_29-11-2019'!F18</f>
        <v>0</v>
      </c>
      <c r="H149" s="28" t="str">
        <f>'11_29-11-2019'!I18</f>
        <v>Thomas</v>
      </c>
      <c r="J149" s="76" t="str">
        <f>'11_29-11-2019'!H18</f>
        <v>Janus</v>
      </c>
      <c r="K149" s="28" t="str">
        <f>'11_29-11-2019'!G18</f>
        <v>9 vip i første</v>
      </c>
      <c r="L149" s="56"/>
      <c r="M149" s="25">
        <v>9.0</v>
      </c>
      <c r="N149" s="25" t="s">
        <v>86</v>
      </c>
      <c r="O149" s="25">
        <v>1.0</v>
      </c>
      <c r="T149" s="56"/>
      <c r="U149" s="77">
        <f t="shared" ref="U149:X149" si="1260">C149-C148</f>
        <v>12</v>
      </c>
      <c r="V149" s="28">
        <f t="shared" si="1260"/>
        <v>-12</v>
      </c>
      <c r="W149" s="28">
        <f t="shared" si="1260"/>
        <v>-12</v>
      </c>
      <c r="X149" s="28">
        <f t="shared" si="1260"/>
        <v>12</v>
      </c>
      <c r="AB149" s="28">
        <f t="shared" ref="AB149:AE149" si="1261">IF(AB$3=$H149,U149,"")</f>
        <v>12</v>
      </c>
      <c r="AC149" s="28" t="str">
        <f t="shared" si="1261"/>
        <v/>
      </c>
      <c r="AD149" s="28" t="str">
        <f t="shared" si="1261"/>
        <v/>
      </c>
      <c r="AE149" s="28" t="str">
        <f t="shared" si="1261"/>
        <v/>
      </c>
      <c r="AH149" s="28">
        <f t="shared" si="22"/>
        <v>12</v>
      </c>
      <c r="AI149" s="28">
        <f t="shared" si="23"/>
        <v>0</v>
      </c>
      <c r="AK149" s="78" t="str">
        <f t="shared" ref="AK149:AN149" si="1262">IF(U149&gt;0,AK$3,"")</f>
        <v>Thomas</v>
      </c>
      <c r="AL149" s="78" t="str">
        <f t="shared" si="1262"/>
        <v/>
      </c>
      <c r="AM149" s="78" t="str">
        <f t="shared" si="1262"/>
        <v/>
      </c>
      <c r="AN149" s="78" t="str">
        <f t="shared" si="1262"/>
        <v>Christian</v>
      </c>
      <c r="AO149" s="56">
        <f t="shared" si="25"/>
        <v>2</v>
      </c>
      <c r="AP149" s="8" t="str">
        <f t="shared" si="26"/>
        <v>Thomas</v>
      </c>
      <c r="AQ149" s="73" t="str">
        <f>IFERROR(__xludf.DUMMYFUNCTION("IFNA(QUERY(transpose(AY149:BB149),""Select Col1 where Col1 is not null limit 1"",0))"),"Christian")</f>
        <v>Christian</v>
      </c>
      <c r="AR149" s="56"/>
      <c r="AS149" s="28" t="str">
        <f t="shared" ref="AS149:AV149" si="1263">IF(AK149=AS$3,"",AS$3)</f>
        <v/>
      </c>
      <c r="AT149" s="28" t="str">
        <f t="shared" si="1263"/>
        <v>Peter</v>
      </c>
      <c r="AU149" s="28" t="str">
        <f t="shared" si="1263"/>
        <v>Janus</v>
      </c>
      <c r="AV149" s="28" t="str">
        <f t="shared" si="1263"/>
        <v/>
      </c>
      <c r="AW149" s="56">
        <f t="shared" si="28"/>
        <v>2</v>
      </c>
      <c r="AX149" s="28">
        <f t="shared" si="29"/>
        <v>12</v>
      </c>
      <c r="AY149" s="28" t="str">
        <f t="shared" ref="AY149:BB149" si="1264">IFNA(IFS(AY$3=$AP149,"",$AX149=U149,AY$3),"")</f>
        <v/>
      </c>
      <c r="AZ149" s="28" t="str">
        <f t="shared" si="1264"/>
        <v/>
      </c>
      <c r="BA149" s="28" t="str">
        <f t="shared" si="1264"/>
        <v/>
      </c>
      <c r="BB149" s="28" t="str">
        <f t="shared" si="1264"/>
        <v>Christian</v>
      </c>
      <c r="BC149" s="58">
        <f>OFFSET('00_Regnskab_01'!$A$1,MATCH(A149,'00_Regnskab_01'!$A$1:$A$25)-1,2)</f>
        <v>43798</v>
      </c>
      <c r="BE149" s="80">
        <f t="shared" ref="BE149:BH149" si="1265">if(U149&gt;0,1+BE148,0)</f>
        <v>4</v>
      </c>
      <c r="BF149" s="28">
        <f t="shared" si="1265"/>
        <v>0</v>
      </c>
      <c r="BG149" s="28">
        <f t="shared" si="1265"/>
        <v>0</v>
      </c>
      <c r="BH149" s="28">
        <f t="shared" si="1265"/>
        <v>2</v>
      </c>
      <c r="BJ149" s="28">
        <f t="shared" ref="BJ149:BM149" si="1266">if(U149&lt;0,1+BJ148,0)</f>
        <v>0</v>
      </c>
      <c r="BK149" s="28">
        <f t="shared" si="1266"/>
        <v>4</v>
      </c>
      <c r="BL149" s="28">
        <f t="shared" si="1266"/>
        <v>1</v>
      </c>
      <c r="BM149" s="28">
        <f t="shared" si="1266"/>
        <v>0</v>
      </c>
      <c r="BO149" s="74">
        <f t="shared" ref="BO149:BR149" si="1267">if(U149&gt;0,U149+BO148,0)</f>
        <v>76</v>
      </c>
      <c r="BP149" s="74">
        <f t="shared" si="1267"/>
        <v>0</v>
      </c>
      <c r="BQ149" s="74">
        <f t="shared" si="1267"/>
        <v>0</v>
      </c>
      <c r="BR149" s="74">
        <f t="shared" si="1267"/>
        <v>44</v>
      </c>
      <c r="BT149" s="28">
        <f t="shared" ref="BT149:BW149" si="1268">if(U149&lt;0,U149+BT148,0)</f>
        <v>0</v>
      </c>
      <c r="BU149" s="28">
        <f t="shared" si="1268"/>
        <v>-140</v>
      </c>
      <c r="BV149" s="28">
        <f t="shared" si="1268"/>
        <v>-12</v>
      </c>
      <c r="BW149" s="28">
        <f t="shared" si="1268"/>
        <v>0</v>
      </c>
    </row>
    <row r="150">
      <c r="A150" s="53">
        <v>11.0</v>
      </c>
      <c r="B150" s="28">
        <f>'11_29-11-2019'!A19</f>
        <v>17</v>
      </c>
      <c r="C150" s="75">
        <f>'11_29-11-2019'!B19</f>
        <v>72</v>
      </c>
      <c r="D150" s="28">
        <f>'11_29-11-2019'!C19</f>
        <v>-152</v>
      </c>
      <c r="E150" s="28">
        <f>'11_29-11-2019'!D19</f>
        <v>-16</v>
      </c>
      <c r="F150" s="28">
        <f>'11_29-11-2019'!E19</f>
        <v>96</v>
      </c>
      <c r="G150" s="28">
        <f>'11_29-11-2019'!F19</f>
        <v>0</v>
      </c>
      <c r="H150" s="28" t="str">
        <f>'11_29-11-2019'!I19</f>
        <v/>
      </c>
      <c r="J150" s="76" t="str">
        <f>'11_29-11-2019'!H19</f>
        <v>Christian</v>
      </c>
      <c r="K150" s="28" t="str">
        <f>'11_29-11-2019'!G19</f>
        <v>sol</v>
      </c>
      <c r="L150" s="56"/>
      <c r="N150" s="25" t="s">
        <v>99</v>
      </c>
      <c r="T150" s="56"/>
      <c r="U150" s="77">
        <f t="shared" ref="U150:X150" si="1269">C150-C149</f>
        <v>8</v>
      </c>
      <c r="V150" s="28">
        <f t="shared" si="1269"/>
        <v>8</v>
      </c>
      <c r="W150" s="28">
        <f t="shared" si="1269"/>
        <v>8</v>
      </c>
      <c r="X150" s="28">
        <f t="shared" si="1269"/>
        <v>-24</v>
      </c>
      <c r="AB150" s="28" t="str">
        <f t="shared" ref="AB150:AE150" si="1270">IF(AB$3=$H150,U150,"")</f>
        <v/>
      </c>
      <c r="AC150" s="28" t="str">
        <f t="shared" si="1270"/>
        <v/>
      </c>
      <c r="AD150" s="28" t="str">
        <f t="shared" si="1270"/>
        <v/>
      </c>
      <c r="AE150" s="28" t="str">
        <f t="shared" si="1270"/>
        <v/>
      </c>
      <c r="AH150" s="28">
        <f t="shared" si="22"/>
        <v>0</v>
      </c>
      <c r="AI150" s="28">
        <f t="shared" si="23"/>
        <v>0</v>
      </c>
      <c r="AK150" s="78" t="str">
        <f t="shared" ref="AK150:AN150" si="1271">IF(U150&gt;0,AK$3,"")</f>
        <v>Thomas</v>
      </c>
      <c r="AL150" s="78" t="str">
        <f t="shared" si="1271"/>
        <v>Peter</v>
      </c>
      <c r="AM150" s="78" t="str">
        <f t="shared" si="1271"/>
        <v>Janus</v>
      </c>
      <c r="AN150" s="78" t="str">
        <f t="shared" si="1271"/>
        <v/>
      </c>
      <c r="AO150" s="56">
        <f t="shared" si="25"/>
        <v>3</v>
      </c>
      <c r="AP150" s="8" t="str">
        <f t="shared" si="26"/>
        <v/>
      </c>
      <c r="AQ150" s="73" t="str">
        <f>IFERROR(__xludf.DUMMYFUNCTION("IFNA(QUERY(transpose(AY150:BB150),""Select Col1 where Col1 is not null limit 1"",0))"),"")</f>
        <v/>
      </c>
      <c r="AR150" s="56"/>
      <c r="AS150" s="28" t="str">
        <f t="shared" ref="AS150:AV150" si="1272">IF(AK150=AS$3,"",AS$3)</f>
        <v/>
      </c>
      <c r="AT150" s="28" t="str">
        <f t="shared" si="1272"/>
        <v/>
      </c>
      <c r="AU150" s="28" t="str">
        <f t="shared" si="1272"/>
        <v/>
      </c>
      <c r="AV150" s="28" t="str">
        <f t="shared" si="1272"/>
        <v>Christian</v>
      </c>
      <c r="AW150" s="56">
        <f t="shared" si="28"/>
        <v>1</v>
      </c>
      <c r="AX150" s="28">
        <f t="shared" si="29"/>
        <v>0</v>
      </c>
      <c r="AY150" s="28" t="str">
        <f t="shared" ref="AY150:BB150" si="1273">IFNA(IFS(AY$3=$AP150,"",$AX150=U150,AY$3),"")</f>
        <v/>
      </c>
      <c r="AZ150" s="28" t="str">
        <f t="shared" si="1273"/>
        <v/>
      </c>
      <c r="BA150" s="28" t="str">
        <f t="shared" si="1273"/>
        <v/>
      </c>
      <c r="BB150" s="28" t="str">
        <f t="shared" si="1273"/>
        <v/>
      </c>
      <c r="BC150" s="58">
        <f>OFFSET('00_Regnskab_01'!$A$1,MATCH(A150,'00_Regnskab_01'!$A$1:$A$25)-1,2)</f>
        <v>43798</v>
      </c>
      <c r="BE150" s="80">
        <f t="shared" ref="BE150:BH150" si="1274">if(U150&gt;0,1+BE149,0)</f>
        <v>5</v>
      </c>
      <c r="BF150" s="28">
        <f t="shared" si="1274"/>
        <v>1</v>
      </c>
      <c r="BG150" s="28">
        <f t="shared" si="1274"/>
        <v>1</v>
      </c>
      <c r="BH150" s="28">
        <f t="shared" si="1274"/>
        <v>0</v>
      </c>
      <c r="BJ150" s="28">
        <f t="shared" ref="BJ150:BM150" si="1275">if(U150&lt;0,1+BJ149,0)</f>
        <v>0</v>
      </c>
      <c r="BK150" s="28">
        <f t="shared" si="1275"/>
        <v>0</v>
      </c>
      <c r="BL150" s="28">
        <f t="shared" si="1275"/>
        <v>0</v>
      </c>
      <c r="BM150" s="28">
        <f t="shared" si="1275"/>
        <v>1</v>
      </c>
      <c r="BO150" s="74">
        <f t="shared" ref="BO150:BR150" si="1276">if(U150&gt;0,U150+BO149,0)</f>
        <v>84</v>
      </c>
      <c r="BP150" s="74">
        <f t="shared" si="1276"/>
        <v>8</v>
      </c>
      <c r="BQ150" s="74">
        <f t="shared" si="1276"/>
        <v>8</v>
      </c>
      <c r="BR150" s="74">
        <f t="shared" si="1276"/>
        <v>0</v>
      </c>
      <c r="BT150" s="28">
        <f t="shared" ref="BT150:BW150" si="1277">if(U150&lt;0,U150+BT149,0)</f>
        <v>0</v>
      </c>
      <c r="BU150" s="28">
        <f t="shared" si="1277"/>
        <v>0</v>
      </c>
      <c r="BV150" s="28">
        <f t="shared" si="1277"/>
        <v>0</v>
      </c>
      <c r="BW150" s="28">
        <f t="shared" si="1277"/>
        <v>-24</v>
      </c>
    </row>
    <row r="151">
      <c r="A151" s="53">
        <v>11.0</v>
      </c>
      <c r="B151" s="28">
        <f>'11_29-11-2019'!A20</f>
        <v>18</v>
      </c>
      <c r="C151" s="75">
        <f>'11_29-11-2019'!B20</f>
        <v>120</v>
      </c>
      <c r="D151" s="28">
        <f>'11_29-11-2019'!C20</f>
        <v>-104</v>
      </c>
      <c r="E151" s="28">
        <f>'11_29-11-2019'!D20</f>
        <v>-64</v>
      </c>
      <c r="F151" s="28">
        <f>'11_29-11-2019'!E20</f>
        <v>48</v>
      </c>
      <c r="G151" s="28">
        <f>'11_29-11-2019'!F20</f>
        <v>0</v>
      </c>
      <c r="H151" s="28" t="str">
        <f>'11_29-11-2019'!I20</f>
        <v>Peter</v>
      </c>
      <c r="J151" s="76" t="str">
        <f>'11_29-11-2019'!H20</f>
        <v>Thomas</v>
      </c>
      <c r="K151" s="28" t="str">
        <f>'11_29-11-2019'!G20</f>
        <v>11. alm</v>
      </c>
      <c r="L151" s="56"/>
      <c r="M151" s="25">
        <v>11.0</v>
      </c>
      <c r="N151" s="25" t="s">
        <v>100</v>
      </c>
      <c r="T151" s="56"/>
      <c r="U151" s="77">
        <f t="shared" ref="U151:X151" si="1278">C151-C150</f>
        <v>48</v>
      </c>
      <c r="V151" s="28">
        <f t="shared" si="1278"/>
        <v>48</v>
      </c>
      <c r="W151" s="28">
        <f t="shared" si="1278"/>
        <v>-48</v>
      </c>
      <c r="X151" s="28">
        <f t="shared" si="1278"/>
        <v>-48</v>
      </c>
      <c r="AB151" s="28" t="str">
        <f t="shared" ref="AB151:AE151" si="1279">IF(AB$3=$H151,U151,"")</f>
        <v/>
      </c>
      <c r="AC151" s="28">
        <f t="shared" si="1279"/>
        <v>48</v>
      </c>
      <c r="AD151" s="28" t="str">
        <f t="shared" si="1279"/>
        <v/>
      </c>
      <c r="AE151" s="28" t="str">
        <f t="shared" si="1279"/>
        <v/>
      </c>
      <c r="AH151" s="28">
        <f t="shared" si="22"/>
        <v>48</v>
      </c>
      <c r="AI151" s="28">
        <f t="shared" si="23"/>
        <v>0</v>
      </c>
      <c r="AK151" s="78" t="str">
        <f t="shared" ref="AK151:AN151" si="1280">IF(U151&gt;0,AK$3,"")</f>
        <v>Thomas</v>
      </c>
      <c r="AL151" s="78" t="str">
        <f t="shared" si="1280"/>
        <v>Peter</v>
      </c>
      <c r="AM151" s="78" t="str">
        <f t="shared" si="1280"/>
        <v/>
      </c>
      <c r="AN151" s="78" t="str">
        <f t="shared" si="1280"/>
        <v/>
      </c>
      <c r="AO151" s="56">
        <f t="shared" si="25"/>
        <v>2</v>
      </c>
      <c r="AP151" s="8" t="str">
        <f t="shared" si="26"/>
        <v>Peter</v>
      </c>
      <c r="AQ151" s="73" t="str">
        <f>IFERROR(__xludf.DUMMYFUNCTION("IFNA(QUERY(transpose(AY151:BB151),""Select Col1 where Col1 is not null limit 1"",0))"),"Thomas")</f>
        <v>Thomas</v>
      </c>
      <c r="AR151" s="56"/>
      <c r="AS151" s="28" t="str">
        <f t="shared" ref="AS151:AV151" si="1281">IF(AK151=AS$3,"",AS$3)</f>
        <v/>
      </c>
      <c r="AT151" s="28" t="str">
        <f t="shared" si="1281"/>
        <v/>
      </c>
      <c r="AU151" s="28" t="str">
        <f t="shared" si="1281"/>
        <v>Janus</v>
      </c>
      <c r="AV151" s="28" t="str">
        <f t="shared" si="1281"/>
        <v>Christian</v>
      </c>
      <c r="AW151" s="56">
        <f t="shared" si="28"/>
        <v>2</v>
      </c>
      <c r="AX151" s="28">
        <f t="shared" si="29"/>
        <v>48</v>
      </c>
      <c r="AY151" s="28" t="str">
        <f t="shared" ref="AY151:BB151" si="1282">IFNA(IFS(AY$3=$AP151,"",$AX151=U151,AY$3),"")</f>
        <v>Thomas</v>
      </c>
      <c r="AZ151" s="28" t="str">
        <f t="shared" si="1282"/>
        <v/>
      </c>
      <c r="BA151" s="28" t="str">
        <f t="shared" si="1282"/>
        <v/>
      </c>
      <c r="BB151" s="28" t="str">
        <f t="shared" si="1282"/>
        <v/>
      </c>
      <c r="BC151" s="58">
        <f>OFFSET('00_Regnskab_01'!$A$1,MATCH(A151,'00_Regnskab_01'!$A$1:$A$25)-1,2)</f>
        <v>43798</v>
      </c>
      <c r="BE151" s="80">
        <f t="shared" ref="BE151:BH151" si="1283">if(U151&gt;0,1+BE150,0)</f>
        <v>6</v>
      </c>
      <c r="BF151" s="28">
        <f t="shared" si="1283"/>
        <v>2</v>
      </c>
      <c r="BG151" s="28">
        <f t="shared" si="1283"/>
        <v>0</v>
      </c>
      <c r="BH151" s="28">
        <f t="shared" si="1283"/>
        <v>0</v>
      </c>
      <c r="BJ151" s="28">
        <f t="shared" ref="BJ151:BM151" si="1284">if(U151&lt;0,1+BJ150,0)</f>
        <v>0</v>
      </c>
      <c r="BK151" s="28">
        <f t="shared" si="1284"/>
        <v>0</v>
      </c>
      <c r="BL151" s="28">
        <f t="shared" si="1284"/>
        <v>1</v>
      </c>
      <c r="BM151" s="28">
        <f t="shared" si="1284"/>
        <v>2</v>
      </c>
      <c r="BO151" s="74">
        <f t="shared" ref="BO151:BR151" si="1285">if(U151&gt;0,U151+BO150,0)</f>
        <v>132</v>
      </c>
      <c r="BP151" s="74">
        <f t="shared" si="1285"/>
        <v>56</v>
      </c>
      <c r="BQ151" s="74">
        <f t="shared" si="1285"/>
        <v>0</v>
      </c>
      <c r="BR151" s="74">
        <f t="shared" si="1285"/>
        <v>0</v>
      </c>
      <c r="BT151" s="28">
        <f t="shared" ref="BT151:BW151" si="1286">if(U151&lt;0,U151+BT150,0)</f>
        <v>0</v>
      </c>
      <c r="BU151" s="28">
        <f t="shared" si="1286"/>
        <v>0</v>
      </c>
      <c r="BV151" s="28">
        <f t="shared" si="1286"/>
        <v>-48</v>
      </c>
      <c r="BW151" s="28">
        <f t="shared" si="1286"/>
        <v>-72</v>
      </c>
    </row>
    <row r="152">
      <c r="A152" s="53">
        <v>11.0</v>
      </c>
      <c r="B152" s="28">
        <f>'11_29-11-2019'!A21</f>
        <v>19</v>
      </c>
      <c r="C152" s="75">
        <f>'11_29-11-2019'!B21</f>
        <v>168</v>
      </c>
      <c r="D152" s="28">
        <f>'11_29-11-2019'!C21</f>
        <v>-120</v>
      </c>
      <c r="E152" s="28">
        <f>'11_29-11-2019'!D21</f>
        <v>-80</v>
      </c>
      <c r="F152" s="28">
        <f>'11_29-11-2019'!E21</f>
        <v>32</v>
      </c>
      <c r="G152" s="28">
        <f>'11_29-11-2019'!F21</f>
        <v>0</v>
      </c>
      <c r="H152" s="28" t="str">
        <f>'11_29-11-2019'!I21</f>
        <v>Thomas</v>
      </c>
      <c r="J152" s="76" t="str">
        <f>'11_29-11-2019'!H21</f>
        <v>Janus</v>
      </c>
      <c r="K152" s="28" t="str">
        <f>'11_29-11-2019'!G21</f>
        <v>ren sol</v>
      </c>
      <c r="L152" s="56"/>
      <c r="N152" s="25" t="s">
        <v>97</v>
      </c>
      <c r="T152" s="56"/>
      <c r="U152" s="77">
        <f t="shared" ref="U152:X152" si="1287">C152-C151</f>
        <v>48</v>
      </c>
      <c r="V152" s="28">
        <f t="shared" si="1287"/>
        <v>-16</v>
      </c>
      <c r="W152" s="28">
        <f t="shared" si="1287"/>
        <v>-16</v>
      </c>
      <c r="X152" s="28">
        <f t="shared" si="1287"/>
        <v>-16</v>
      </c>
      <c r="AB152" s="28">
        <f t="shared" ref="AB152:AE152" si="1288">IF(AB$3=$H152,U152,"")</f>
        <v>48</v>
      </c>
      <c r="AC152" s="28" t="str">
        <f t="shared" si="1288"/>
        <v/>
      </c>
      <c r="AD152" s="28" t="str">
        <f t="shared" si="1288"/>
        <v/>
      </c>
      <c r="AE152" s="28" t="str">
        <f t="shared" si="1288"/>
        <v/>
      </c>
      <c r="AH152" s="28">
        <f t="shared" si="22"/>
        <v>48</v>
      </c>
      <c r="AI152" s="28">
        <f t="shared" si="23"/>
        <v>0</v>
      </c>
      <c r="AK152" s="78" t="str">
        <f t="shared" ref="AK152:AN152" si="1289">IF(U152&gt;0,AK$3,"")</f>
        <v>Thomas</v>
      </c>
      <c r="AL152" s="78" t="str">
        <f t="shared" si="1289"/>
        <v/>
      </c>
      <c r="AM152" s="78" t="str">
        <f t="shared" si="1289"/>
        <v/>
      </c>
      <c r="AN152" s="78" t="str">
        <f t="shared" si="1289"/>
        <v/>
      </c>
      <c r="AO152" s="56">
        <f t="shared" si="25"/>
        <v>1</v>
      </c>
      <c r="AP152" s="8" t="str">
        <f t="shared" si="26"/>
        <v>Thomas</v>
      </c>
      <c r="AQ152" s="73" t="str">
        <f>IFERROR(__xludf.DUMMYFUNCTION("IFNA(QUERY(transpose(AY152:BB152),""Select Col1 where Col1 is not null limit 1"",0))"),"")</f>
        <v/>
      </c>
      <c r="AR152" s="56"/>
      <c r="AS152" s="28" t="str">
        <f t="shared" ref="AS152:AV152" si="1290">IF(AK152=AS$3,"",AS$3)</f>
        <v/>
      </c>
      <c r="AT152" s="28" t="str">
        <f t="shared" si="1290"/>
        <v>Peter</v>
      </c>
      <c r="AU152" s="28" t="str">
        <f t="shared" si="1290"/>
        <v>Janus</v>
      </c>
      <c r="AV152" s="28" t="str">
        <f t="shared" si="1290"/>
        <v>Christian</v>
      </c>
      <c r="AW152" s="56">
        <f t="shared" si="28"/>
        <v>3</v>
      </c>
      <c r="AX152" s="28">
        <f t="shared" si="29"/>
        <v>48</v>
      </c>
      <c r="AY152" s="28" t="str">
        <f t="shared" ref="AY152:BB152" si="1291">IFNA(IFS(AY$3=$AP152,"",$AX152=U152,AY$3),"")</f>
        <v/>
      </c>
      <c r="AZ152" s="28" t="str">
        <f t="shared" si="1291"/>
        <v/>
      </c>
      <c r="BA152" s="28" t="str">
        <f t="shared" si="1291"/>
        <v/>
      </c>
      <c r="BB152" s="28" t="str">
        <f t="shared" si="1291"/>
        <v/>
      </c>
      <c r="BC152" s="58">
        <f>OFFSET('00_Regnskab_01'!$A$1,MATCH(A152,'00_Regnskab_01'!$A$1:$A$25)-1,2)</f>
        <v>43798</v>
      </c>
      <c r="BE152" s="80">
        <f t="shared" ref="BE152:BH152" si="1292">if(U152&gt;0,1+BE151,0)</f>
        <v>7</v>
      </c>
      <c r="BF152" s="28">
        <f t="shared" si="1292"/>
        <v>0</v>
      </c>
      <c r="BG152" s="28">
        <f t="shared" si="1292"/>
        <v>0</v>
      </c>
      <c r="BH152" s="28">
        <f t="shared" si="1292"/>
        <v>0</v>
      </c>
      <c r="BJ152" s="28">
        <f t="shared" ref="BJ152:BM152" si="1293">if(U152&lt;0,1+BJ151,0)</f>
        <v>0</v>
      </c>
      <c r="BK152" s="28">
        <f t="shared" si="1293"/>
        <v>1</v>
      </c>
      <c r="BL152" s="28">
        <f t="shared" si="1293"/>
        <v>2</v>
      </c>
      <c r="BM152" s="28">
        <f t="shared" si="1293"/>
        <v>3</v>
      </c>
      <c r="BO152" s="74">
        <f t="shared" ref="BO152:BR152" si="1294">if(U152&gt;0,U152+BO151,0)</f>
        <v>180</v>
      </c>
      <c r="BP152" s="74">
        <f t="shared" si="1294"/>
        <v>0</v>
      </c>
      <c r="BQ152" s="74">
        <f t="shared" si="1294"/>
        <v>0</v>
      </c>
      <c r="BR152" s="74">
        <f t="shared" si="1294"/>
        <v>0</v>
      </c>
      <c r="BT152" s="28">
        <f t="shared" ref="BT152:BW152" si="1295">if(U152&lt;0,U152+BT151,0)</f>
        <v>0</v>
      </c>
      <c r="BU152" s="28">
        <f t="shared" si="1295"/>
        <v>-16</v>
      </c>
      <c r="BV152" s="28">
        <f t="shared" si="1295"/>
        <v>-64</v>
      </c>
      <c r="BW152" s="28">
        <f t="shared" si="1295"/>
        <v>-88</v>
      </c>
    </row>
    <row r="153">
      <c r="A153" s="53">
        <v>11.0</v>
      </c>
      <c r="B153" s="28">
        <f>'11_29-11-2019'!A22</f>
        <v>20</v>
      </c>
      <c r="C153" s="75">
        <f>'11_29-11-2019'!B22</f>
        <v>184</v>
      </c>
      <c r="D153" s="28">
        <f>'11_29-11-2019'!C22</f>
        <v>-136</v>
      </c>
      <c r="E153" s="28">
        <f>'11_29-11-2019'!D22</f>
        <v>-64</v>
      </c>
      <c r="F153" s="28">
        <f>'11_29-11-2019'!E22</f>
        <v>16</v>
      </c>
      <c r="G153" s="28">
        <f>'11_29-11-2019'!F22</f>
        <v>0</v>
      </c>
      <c r="H153" s="28" t="str">
        <f>'11_29-11-2019'!I22</f>
        <v>Thomas</v>
      </c>
      <c r="J153" s="76" t="str">
        <f>'11_29-11-2019'!H22</f>
        <v>Christian</v>
      </c>
      <c r="K153" s="28" t="str">
        <f>'11_29-11-2019'!G22</f>
        <v>10 vip i 1 vip</v>
      </c>
      <c r="L153" s="56"/>
      <c r="M153" s="25">
        <v>10.0</v>
      </c>
      <c r="N153" s="25" t="s">
        <v>86</v>
      </c>
      <c r="O153" s="25">
        <v>1.0</v>
      </c>
      <c r="T153" s="56"/>
      <c r="U153" s="77">
        <f t="shared" ref="U153:X153" si="1296">C153-C152</f>
        <v>16</v>
      </c>
      <c r="V153" s="28">
        <f t="shared" si="1296"/>
        <v>-16</v>
      </c>
      <c r="W153" s="28">
        <f t="shared" si="1296"/>
        <v>16</v>
      </c>
      <c r="X153" s="28">
        <f t="shared" si="1296"/>
        <v>-16</v>
      </c>
      <c r="AB153" s="28">
        <f t="shared" ref="AB153:AE153" si="1297">IF(AB$3=$H153,U153,"")</f>
        <v>16</v>
      </c>
      <c r="AC153" s="28" t="str">
        <f t="shared" si="1297"/>
        <v/>
      </c>
      <c r="AD153" s="28" t="str">
        <f t="shared" si="1297"/>
        <v/>
      </c>
      <c r="AE153" s="28" t="str">
        <f t="shared" si="1297"/>
        <v/>
      </c>
      <c r="AH153" s="28">
        <f t="shared" si="22"/>
        <v>16</v>
      </c>
      <c r="AI153" s="28">
        <f t="shared" si="23"/>
        <v>0</v>
      </c>
      <c r="AK153" s="78" t="str">
        <f t="shared" ref="AK153:AN153" si="1298">IF(U153&gt;0,AK$3,"")</f>
        <v>Thomas</v>
      </c>
      <c r="AL153" s="78" t="str">
        <f t="shared" si="1298"/>
        <v/>
      </c>
      <c r="AM153" s="78" t="str">
        <f t="shared" si="1298"/>
        <v>Janus</v>
      </c>
      <c r="AN153" s="78" t="str">
        <f t="shared" si="1298"/>
        <v/>
      </c>
      <c r="AO153" s="56">
        <f t="shared" si="25"/>
        <v>2</v>
      </c>
      <c r="AP153" s="8" t="str">
        <f t="shared" si="26"/>
        <v>Thomas</v>
      </c>
      <c r="AQ153" s="73" t="str">
        <f>IFERROR(__xludf.DUMMYFUNCTION("IFNA(QUERY(transpose(AY153:BB153),""Select Col1 where Col1 is not null limit 1"",0))"),"Janus")</f>
        <v>Janus</v>
      </c>
      <c r="AR153" s="56"/>
      <c r="AS153" s="28" t="str">
        <f t="shared" ref="AS153:AV153" si="1299">IF(AK153=AS$3,"",AS$3)</f>
        <v/>
      </c>
      <c r="AT153" s="28" t="str">
        <f t="shared" si="1299"/>
        <v>Peter</v>
      </c>
      <c r="AU153" s="28" t="str">
        <f t="shared" si="1299"/>
        <v/>
      </c>
      <c r="AV153" s="28" t="str">
        <f t="shared" si="1299"/>
        <v>Christian</v>
      </c>
      <c r="AW153" s="56">
        <f t="shared" si="28"/>
        <v>2</v>
      </c>
      <c r="AX153" s="28">
        <f t="shared" si="29"/>
        <v>16</v>
      </c>
      <c r="AY153" s="28" t="str">
        <f t="shared" ref="AY153:BB153" si="1300">IFNA(IFS(AY$3=$AP153,"",$AX153=U153,AY$3),"")</f>
        <v/>
      </c>
      <c r="AZ153" s="28" t="str">
        <f t="shared" si="1300"/>
        <v/>
      </c>
      <c r="BA153" s="28" t="str">
        <f t="shared" si="1300"/>
        <v>Janus</v>
      </c>
      <c r="BB153" s="28" t="str">
        <f t="shared" si="1300"/>
        <v/>
      </c>
      <c r="BC153" s="58">
        <f>OFFSET('00_Regnskab_01'!$A$1,MATCH(A153,'00_Regnskab_01'!$A$1:$A$25)-1,2)</f>
        <v>43798</v>
      </c>
      <c r="BE153" s="80">
        <f t="shared" ref="BE153:BH153" si="1301">if(U153&gt;0,1+BE152,0)</f>
        <v>8</v>
      </c>
      <c r="BF153" s="28">
        <f t="shared" si="1301"/>
        <v>0</v>
      </c>
      <c r="BG153" s="28">
        <f t="shared" si="1301"/>
        <v>1</v>
      </c>
      <c r="BH153" s="28">
        <f t="shared" si="1301"/>
        <v>0</v>
      </c>
      <c r="BJ153" s="28">
        <f t="shared" ref="BJ153:BM153" si="1302">if(U153&lt;0,1+BJ152,0)</f>
        <v>0</v>
      </c>
      <c r="BK153" s="28">
        <f t="shared" si="1302"/>
        <v>2</v>
      </c>
      <c r="BL153" s="28">
        <f t="shared" si="1302"/>
        <v>0</v>
      </c>
      <c r="BM153" s="28">
        <f t="shared" si="1302"/>
        <v>4</v>
      </c>
      <c r="BO153" s="74">
        <f t="shared" ref="BO153:BR153" si="1303">if(U153&gt;0,U153+BO152,0)</f>
        <v>196</v>
      </c>
      <c r="BP153" s="74">
        <f t="shared" si="1303"/>
        <v>0</v>
      </c>
      <c r="BQ153" s="74">
        <f t="shared" si="1303"/>
        <v>16</v>
      </c>
      <c r="BR153" s="74">
        <f t="shared" si="1303"/>
        <v>0</v>
      </c>
      <c r="BT153" s="28">
        <f t="shared" ref="BT153:BW153" si="1304">if(U153&lt;0,U153+BT152,0)</f>
        <v>0</v>
      </c>
      <c r="BU153" s="28">
        <f t="shared" si="1304"/>
        <v>-32</v>
      </c>
      <c r="BV153" s="28">
        <f t="shared" si="1304"/>
        <v>0</v>
      </c>
      <c r="BW153" s="28">
        <f t="shared" si="1304"/>
        <v>-104</v>
      </c>
    </row>
    <row r="154">
      <c r="A154" s="53">
        <v>11.0</v>
      </c>
      <c r="B154" s="28">
        <f>'11_29-11-2019'!A23</f>
        <v>21</v>
      </c>
      <c r="C154" s="75">
        <f>'11_29-11-2019'!B23</f>
        <v>174</v>
      </c>
      <c r="D154" s="28">
        <f>'11_29-11-2019'!C23</f>
        <v>-146</v>
      </c>
      <c r="E154" s="28">
        <f>'11_29-11-2019'!D23</f>
        <v>-54</v>
      </c>
      <c r="F154" s="28">
        <f>'11_29-11-2019'!E23</f>
        <v>26</v>
      </c>
      <c r="G154" s="28">
        <f>'11_29-11-2019'!F23</f>
        <v>0</v>
      </c>
      <c r="H154" s="28" t="str">
        <f>'11_29-11-2019'!I23</f>
        <v>Peter</v>
      </c>
      <c r="J154" s="76" t="str">
        <f>'11_29-11-2019'!H23</f>
        <v>Thomas</v>
      </c>
      <c r="K154" s="28" t="str">
        <f>'11_29-11-2019'!G23</f>
        <v>9 alm</v>
      </c>
      <c r="L154" s="56"/>
      <c r="M154" s="25">
        <v>9.0</v>
      </c>
      <c r="N154" s="25" t="s">
        <v>100</v>
      </c>
      <c r="T154" s="56"/>
      <c r="U154" s="77">
        <f t="shared" ref="U154:X154" si="1305">C154-C153</f>
        <v>-10</v>
      </c>
      <c r="V154" s="28">
        <f t="shared" si="1305"/>
        <v>-10</v>
      </c>
      <c r="W154" s="28">
        <f t="shared" si="1305"/>
        <v>10</v>
      </c>
      <c r="X154" s="28">
        <f t="shared" si="1305"/>
        <v>10</v>
      </c>
      <c r="AB154" s="28" t="str">
        <f t="shared" ref="AB154:AE154" si="1306">IF(AB$3=$H154,U154,"")</f>
        <v/>
      </c>
      <c r="AC154" s="28">
        <f t="shared" si="1306"/>
        <v>-10</v>
      </c>
      <c r="AD154" s="28" t="str">
        <f t="shared" si="1306"/>
        <v/>
      </c>
      <c r="AE154" s="28" t="str">
        <f t="shared" si="1306"/>
        <v/>
      </c>
      <c r="AH154" s="28">
        <f t="shared" si="22"/>
        <v>0</v>
      </c>
      <c r="AI154" s="28">
        <f t="shared" si="23"/>
        <v>-10</v>
      </c>
      <c r="AK154" s="78" t="str">
        <f t="shared" ref="AK154:AN154" si="1307">IF(U154&gt;0,AK$3,"")</f>
        <v/>
      </c>
      <c r="AL154" s="78" t="str">
        <f t="shared" si="1307"/>
        <v/>
      </c>
      <c r="AM154" s="78" t="str">
        <f t="shared" si="1307"/>
        <v>Janus</v>
      </c>
      <c r="AN154" s="78" t="str">
        <f t="shared" si="1307"/>
        <v>Christian</v>
      </c>
      <c r="AO154" s="56">
        <f t="shared" si="25"/>
        <v>2</v>
      </c>
      <c r="AP154" s="8" t="str">
        <f t="shared" si="26"/>
        <v>Peter</v>
      </c>
      <c r="AQ154" s="73" t="str">
        <f>IFERROR(__xludf.DUMMYFUNCTION("IFNA(QUERY(transpose(AY154:BB154),""Select Col1 where Col1 is not null limit 1"",0))"),"Thomas")</f>
        <v>Thomas</v>
      </c>
      <c r="AR154" s="56"/>
      <c r="AS154" s="28" t="str">
        <f t="shared" ref="AS154:AV154" si="1308">IF(AK154=AS$3,"",AS$3)</f>
        <v>Thomas</v>
      </c>
      <c r="AT154" s="28" t="str">
        <f t="shared" si="1308"/>
        <v>Peter</v>
      </c>
      <c r="AU154" s="28" t="str">
        <f t="shared" si="1308"/>
        <v/>
      </c>
      <c r="AV154" s="28" t="str">
        <f t="shared" si="1308"/>
        <v/>
      </c>
      <c r="AW154" s="56">
        <f t="shared" si="28"/>
        <v>2</v>
      </c>
      <c r="AX154" s="28">
        <f t="shared" si="29"/>
        <v>-10</v>
      </c>
      <c r="AY154" s="28" t="str">
        <f t="shared" ref="AY154:BB154" si="1309">IFNA(IFS(AY$3=$AP154,"",$AX154=U154,AY$3),"")</f>
        <v>Thomas</v>
      </c>
      <c r="AZ154" s="28" t="str">
        <f t="shared" si="1309"/>
        <v/>
      </c>
      <c r="BA154" s="28" t="str">
        <f t="shared" si="1309"/>
        <v/>
      </c>
      <c r="BB154" s="28" t="str">
        <f t="shared" si="1309"/>
        <v/>
      </c>
      <c r="BC154" s="58">
        <f>OFFSET('00_Regnskab_01'!$A$1,MATCH(A154,'00_Regnskab_01'!$A$1:$A$25)-1,2)</f>
        <v>43798</v>
      </c>
      <c r="BE154" s="80">
        <f t="shared" ref="BE154:BH154" si="1310">if(U154&gt;0,1+BE153,0)</f>
        <v>0</v>
      </c>
      <c r="BF154" s="28">
        <f t="shared" si="1310"/>
        <v>0</v>
      </c>
      <c r="BG154" s="28">
        <f t="shared" si="1310"/>
        <v>2</v>
      </c>
      <c r="BH154" s="28">
        <f t="shared" si="1310"/>
        <v>1</v>
      </c>
      <c r="BJ154" s="28">
        <f t="shared" ref="BJ154:BM154" si="1311">if(U154&lt;0,1+BJ153,0)</f>
        <v>1</v>
      </c>
      <c r="BK154" s="28">
        <f t="shared" si="1311"/>
        <v>3</v>
      </c>
      <c r="BL154" s="28">
        <f t="shared" si="1311"/>
        <v>0</v>
      </c>
      <c r="BM154" s="28">
        <f t="shared" si="1311"/>
        <v>0</v>
      </c>
      <c r="BO154" s="74">
        <f t="shared" ref="BO154:BR154" si="1312">if(U154&gt;0,U154+BO153,0)</f>
        <v>0</v>
      </c>
      <c r="BP154" s="74">
        <f t="shared" si="1312"/>
        <v>0</v>
      </c>
      <c r="BQ154" s="74">
        <f t="shared" si="1312"/>
        <v>26</v>
      </c>
      <c r="BR154" s="74">
        <f t="shared" si="1312"/>
        <v>10</v>
      </c>
      <c r="BT154" s="28">
        <f t="shared" ref="BT154:BW154" si="1313">if(U154&lt;0,U154+BT153,0)</f>
        <v>-10</v>
      </c>
      <c r="BU154" s="28">
        <f t="shared" si="1313"/>
        <v>-42</v>
      </c>
      <c r="BV154" s="28">
        <f t="shared" si="1313"/>
        <v>0</v>
      </c>
      <c r="BW154" s="28">
        <f t="shared" si="1313"/>
        <v>0</v>
      </c>
    </row>
    <row r="155">
      <c r="A155" s="53">
        <v>11.0</v>
      </c>
      <c r="B155" s="28">
        <f>'11_29-11-2019'!A24</f>
        <v>22</v>
      </c>
      <c r="C155" s="75">
        <f>'11_29-11-2019'!B24</f>
        <v>154</v>
      </c>
      <c r="D155" s="28">
        <f>'11_29-11-2019'!C24</f>
        <v>-166</v>
      </c>
      <c r="E155" s="28">
        <f>'11_29-11-2019'!D24</f>
        <v>-34</v>
      </c>
      <c r="F155" s="28">
        <f>'11_29-11-2019'!E24</f>
        <v>46</v>
      </c>
      <c r="G155" s="28">
        <f>'11_29-11-2019'!F24</f>
        <v>0</v>
      </c>
      <c r="H155" s="28" t="str">
        <f>'11_29-11-2019'!I24</f>
        <v>Christian</v>
      </c>
      <c r="J155" s="76" t="str">
        <f>'11_29-11-2019'!H24</f>
        <v>Peter</v>
      </c>
      <c r="K155" s="28" t="str">
        <f>'11_29-11-2019'!G24</f>
        <v>9 halve</v>
      </c>
      <c r="L155" s="56"/>
      <c r="M155" s="25">
        <v>9.0</v>
      </c>
      <c r="N155" s="25" t="s">
        <v>94</v>
      </c>
      <c r="T155" s="56"/>
      <c r="U155" s="77">
        <f t="shared" ref="U155:X155" si="1314">C155-C154</f>
        <v>-20</v>
      </c>
      <c r="V155" s="28">
        <f t="shared" si="1314"/>
        <v>-20</v>
      </c>
      <c r="W155" s="28">
        <f t="shared" si="1314"/>
        <v>20</v>
      </c>
      <c r="X155" s="28">
        <f t="shared" si="1314"/>
        <v>20</v>
      </c>
      <c r="AB155" s="28" t="str">
        <f t="shared" ref="AB155:AE155" si="1315">IF(AB$3=$H155,U155,"")</f>
        <v/>
      </c>
      <c r="AC155" s="28" t="str">
        <f t="shared" si="1315"/>
        <v/>
      </c>
      <c r="AD155" s="28" t="str">
        <f t="shared" si="1315"/>
        <v/>
      </c>
      <c r="AE155" s="28">
        <f t="shared" si="1315"/>
        <v>20</v>
      </c>
      <c r="AH155" s="28">
        <f t="shared" si="22"/>
        <v>20</v>
      </c>
      <c r="AI155" s="28">
        <f t="shared" si="23"/>
        <v>0</v>
      </c>
      <c r="AK155" s="78" t="str">
        <f t="shared" ref="AK155:AN155" si="1316">IF(U155&gt;0,AK$3,"")</f>
        <v/>
      </c>
      <c r="AL155" s="78" t="str">
        <f t="shared" si="1316"/>
        <v/>
      </c>
      <c r="AM155" s="78" t="str">
        <f t="shared" si="1316"/>
        <v>Janus</v>
      </c>
      <c r="AN155" s="78" t="str">
        <f t="shared" si="1316"/>
        <v>Christian</v>
      </c>
      <c r="AO155" s="56">
        <f t="shared" si="25"/>
        <v>2</v>
      </c>
      <c r="AP155" s="8" t="str">
        <f t="shared" si="26"/>
        <v>Christian</v>
      </c>
      <c r="AQ155" s="73" t="str">
        <f>IFERROR(__xludf.DUMMYFUNCTION("IFNA(QUERY(transpose(AY155:BB155),""Select Col1 where Col1 is not null limit 1"",0))"),"Janus")</f>
        <v>Janus</v>
      </c>
      <c r="AR155" s="56"/>
      <c r="AS155" s="28" t="str">
        <f t="shared" ref="AS155:AV155" si="1317">IF(AK155=AS$3,"",AS$3)</f>
        <v>Thomas</v>
      </c>
      <c r="AT155" s="28" t="str">
        <f t="shared" si="1317"/>
        <v>Peter</v>
      </c>
      <c r="AU155" s="28" t="str">
        <f t="shared" si="1317"/>
        <v/>
      </c>
      <c r="AV155" s="28" t="str">
        <f t="shared" si="1317"/>
        <v/>
      </c>
      <c r="AW155" s="56">
        <f t="shared" si="28"/>
        <v>2</v>
      </c>
      <c r="AX155" s="28">
        <f t="shared" si="29"/>
        <v>20</v>
      </c>
      <c r="AY155" s="28" t="str">
        <f t="shared" ref="AY155:BB155" si="1318">IFNA(IFS(AY$3=$AP155,"",$AX155=U155,AY$3),"")</f>
        <v/>
      </c>
      <c r="AZ155" s="28" t="str">
        <f t="shared" si="1318"/>
        <v/>
      </c>
      <c r="BA155" s="28" t="str">
        <f t="shared" si="1318"/>
        <v>Janus</v>
      </c>
      <c r="BB155" s="28" t="str">
        <f t="shared" si="1318"/>
        <v/>
      </c>
      <c r="BC155" s="58">
        <f>OFFSET('00_Regnskab_01'!$A$1,MATCH(A155,'00_Regnskab_01'!$A$1:$A$25)-1,2)</f>
        <v>43798</v>
      </c>
      <c r="BE155" s="80">
        <f t="shared" ref="BE155:BH155" si="1319">if(U155&gt;0,1+BE154,0)</f>
        <v>0</v>
      </c>
      <c r="BF155" s="28">
        <f t="shared" si="1319"/>
        <v>0</v>
      </c>
      <c r="BG155" s="28">
        <f t="shared" si="1319"/>
        <v>3</v>
      </c>
      <c r="BH155" s="28">
        <f t="shared" si="1319"/>
        <v>2</v>
      </c>
      <c r="BJ155" s="28">
        <f t="shared" ref="BJ155:BM155" si="1320">if(U155&lt;0,1+BJ154,0)</f>
        <v>2</v>
      </c>
      <c r="BK155" s="28">
        <f t="shared" si="1320"/>
        <v>4</v>
      </c>
      <c r="BL155" s="28">
        <f t="shared" si="1320"/>
        <v>0</v>
      </c>
      <c r="BM155" s="28">
        <f t="shared" si="1320"/>
        <v>0</v>
      </c>
      <c r="BO155" s="74">
        <f t="shared" ref="BO155:BR155" si="1321">if(U155&gt;0,U155+BO154,0)</f>
        <v>0</v>
      </c>
      <c r="BP155" s="74">
        <f t="shared" si="1321"/>
        <v>0</v>
      </c>
      <c r="BQ155" s="74">
        <f t="shared" si="1321"/>
        <v>46</v>
      </c>
      <c r="BR155" s="74">
        <f t="shared" si="1321"/>
        <v>30</v>
      </c>
      <c r="BT155" s="28">
        <f t="shared" ref="BT155:BW155" si="1322">if(U155&lt;0,U155+BT154,0)</f>
        <v>-30</v>
      </c>
      <c r="BU155" s="28">
        <f t="shared" si="1322"/>
        <v>-62</v>
      </c>
      <c r="BV155" s="28">
        <f t="shared" si="1322"/>
        <v>0</v>
      </c>
      <c r="BW155" s="28">
        <f t="shared" si="1322"/>
        <v>0</v>
      </c>
    </row>
    <row r="156">
      <c r="A156" s="53">
        <v>11.0</v>
      </c>
      <c r="B156" s="28">
        <f>'11_29-11-2019'!A25</f>
        <v>23</v>
      </c>
      <c r="C156" s="75">
        <f>'11_29-11-2019'!B25</f>
        <v>202</v>
      </c>
      <c r="D156" s="28">
        <f>'11_29-11-2019'!C25</f>
        <v>-214</v>
      </c>
      <c r="E156" s="28">
        <f>'11_29-11-2019'!D25</f>
        <v>14</v>
      </c>
      <c r="F156" s="28">
        <f>'11_29-11-2019'!E25</f>
        <v>-2</v>
      </c>
      <c r="G156" s="28">
        <f>'11_29-11-2019'!F25</f>
        <v>0</v>
      </c>
      <c r="H156" s="28" t="str">
        <f>'11_29-11-2019'!I25</f>
        <v/>
      </c>
      <c r="J156" s="76" t="str">
        <f>'11_29-11-2019'!H25</f>
        <v>Janus</v>
      </c>
      <c r="K156" s="28" t="str">
        <f>'11_29-11-2019'!G25</f>
        <v>9 vip i 3</v>
      </c>
      <c r="L156" s="56"/>
      <c r="M156" s="25">
        <v>9.0</v>
      </c>
      <c r="N156" s="25" t="s">
        <v>86</v>
      </c>
      <c r="O156" s="25">
        <v>3.0</v>
      </c>
      <c r="T156" s="56"/>
      <c r="U156" s="77">
        <f t="shared" ref="U156:X156" si="1323">C156-C155</f>
        <v>48</v>
      </c>
      <c r="V156" s="28">
        <f t="shared" si="1323"/>
        <v>-48</v>
      </c>
      <c r="W156" s="28">
        <f t="shared" si="1323"/>
        <v>48</v>
      </c>
      <c r="X156" s="28">
        <f t="shared" si="1323"/>
        <v>-48</v>
      </c>
      <c r="AB156" s="28" t="str">
        <f t="shared" ref="AB156:AE156" si="1324">IF(AB$3=$H156,U156,"")</f>
        <v/>
      </c>
      <c r="AC156" s="28" t="str">
        <f t="shared" si="1324"/>
        <v/>
      </c>
      <c r="AD156" s="28" t="str">
        <f t="shared" si="1324"/>
        <v/>
      </c>
      <c r="AE156" s="28" t="str">
        <f t="shared" si="1324"/>
        <v/>
      </c>
      <c r="AH156" s="28">
        <f t="shared" si="22"/>
        <v>0</v>
      </c>
      <c r="AI156" s="28">
        <f t="shared" si="23"/>
        <v>0</v>
      </c>
      <c r="AK156" s="78" t="str">
        <f t="shared" ref="AK156:AN156" si="1325">IF(U156&gt;0,AK$3,"")</f>
        <v>Thomas</v>
      </c>
      <c r="AL156" s="78" t="str">
        <f t="shared" si="1325"/>
        <v/>
      </c>
      <c r="AM156" s="78" t="str">
        <f t="shared" si="1325"/>
        <v>Janus</v>
      </c>
      <c r="AN156" s="78" t="str">
        <f t="shared" si="1325"/>
        <v/>
      </c>
      <c r="AO156" s="56">
        <f t="shared" si="25"/>
        <v>2</v>
      </c>
      <c r="AP156" s="8" t="str">
        <f t="shared" si="26"/>
        <v/>
      </c>
      <c r="AQ156" s="73" t="str">
        <f>IFERROR(__xludf.DUMMYFUNCTION("IFNA(QUERY(transpose(AY156:BB156),""Select Col1 where Col1 is not null limit 1"",0))"),"")</f>
        <v/>
      </c>
      <c r="AR156" s="56"/>
      <c r="AS156" s="28" t="str">
        <f t="shared" ref="AS156:AV156" si="1326">IF(AK156=AS$3,"",AS$3)</f>
        <v/>
      </c>
      <c r="AT156" s="28" t="str">
        <f t="shared" si="1326"/>
        <v>Peter</v>
      </c>
      <c r="AU156" s="28" t="str">
        <f t="shared" si="1326"/>
        <v/>
      </c>
      <c r="AV156" s="28" t="str">
        <f t="shared" si="1326"/>
        <v>Christian</v>
      </c>
      <c r="AW156" s="56">
        <f t="shared" si="28"/>
        <v>2</v>
      </c>
      <c r="AX156" s="28">
        <f t="shared" si="29"/>
        <v>0</v>
      </c>
      <c r="AY156" s="28" t="str">
        <f t="shared" ref="AY156:BB156" si="1327">IFNA(IFS(AY$3=$AP156,"",$AX156=U156,AY$3),"")</f>
        <v/>
      </c>
      <c r="AZ156" s="28" t="str">
        <f t="shared" si="1327"/>
        <v/>
      </c>
      <c r="BA156" s="28" t="str">
        <f t="shared" si="1327"/>
        <v/>
      </c>
      <c r="BB156" s="28" t="str">
        <f t="shared" si="1327"/>
        <v/>
      </c>
      <c r="BC156" s="58">
        <f>OFFSET('00_Regnskab_01'!$A$1,MATCH(A156,'00_Regnskab_01'!$A$1:$A$25)-1,2)</f>
        <v>43798</v>
      </c>
      <c r="BE156" s="80">
        <f t="shared" ref="BE156:BH156" si="1328">if(U156&gt;0,1+BE155,0)</f>
        <v>1</v>
      </c>
      <c r="BF156" s="28">
        <f t="shared" si="1328"/>
        <v>0</v>
      </c>
      <c r="BG156" s="28">
        <f t="shared" si="1328"/>
        <v>4</v>
      </c>
      <c r="BH156" s="28">
        <f t="shared" si="1328"/>
        <v>0</v>
      </c>
      <c r="BJ156" s="28">
        <f t="shared" ref="BJ156:BM156" si="1329">if(U156&lt;0,1+BJ155,0)</f>
        <v>0</v>
      </c>
      <c r="BK156" s="28">
        <f t="shared" si="1329"/>
        <v>5</v>
      </c>
      <c r="BL156" s="28">
        <f t="shared" si="1329"/>
        <v>0</v>
      </c>
      <c r="BM156" s="28">
        <f t="shared" si="1329"/>
        <v>1</v>
      </c>
      <c r="BO156" s="74">
        <f t="shared" ref="BO156:BR156" si="1330">if(U156&gt;0,U156+BO155,0)</f>
        <v>48</v>
      </c>
      <c r="BP156" s="74">
        <f t="shared" si="1330"/>
        <v>0</v>
      </c>
      <c r="BQ156" s="74">
        <f t="shared" si="1330"/>
        <v>94</v>
      </c>
      <c r="BR156" s="74">
        <f t="shared" si="1330"/>
        <v>0</v>
      </c>
      <c r="BT156" s="28">
        <f t="shared" ref="BT156:BW156" si="1331">if(U156&lt;0,U156+BT155,0)</f>
        <v>0</v>
      </c>
      <c r="BU156" s="28">
        <f t="shared" si="1331"/>
        <v>-110</v>
      </c>
      <c r="BV156" s="28">
        <f t="shared" si="1331"/>
        <v>0</v>
      </c>
      <c r="BW156" s="28">
        <f t="shared" si="1331"/>
        <v>-48</v>
      </c>
    </row>
    <row r="157">
      <c r="A157" s="53">
        <v>11.0</v>
      </c>
      <c r="B157" s="28">
        <f>'11_29-11-2019'!A26</f>
        <v>24</v>
      </c>
      <c r="C157" s="75">
        <f>'11_29-11-2019'!B26</f>
        <v>186</v>
      </c>
      <c r="D157" s="28">
        <f>'11_29-11-2019'!C26</f>
        <v>-230</v>
      </c>
      <c r="E157" s="28">
        <f>'11_29-11-2019'!D26</f>
        <v>30</v>
      </c>
      <c r="F157" s="28">
        <f>'11_29-11-2019'!E26</f>
        <v>14</v>
      </c>
      <c r="G157" s="28">
        <f>'11_29-11-2019'!F26</f>
        <v>0</v>
      </c>
      <c r="H157" s="28" t="str">
        <f>'11_29-11-2019'!I26</f>
        <v/>
      </c>
      <c r="J157" s="76" t="str">
        <f>'11_29-11-2019'!H26</f>
        <v>Christian</v>
      </c>
      <c r="K157" s="28" t="str">
        <f>'11_29-11-2019'!G26</f>
        <v>9 vip i 3</v>
      </c>
      <c r="L157" s="56"/>
      <c r="M157" s="25">
        <v>9.0</v>
      </c>
      <c r="N157" s="25" t="s">
        <v>86</v>
      </c>
      <c r="O157" s="25">
        <v>3.0</v>
      </c>
      <c r="T157" s="56"/>
      <c r="U157" s="77">
        <f t="shared" ref="U157:X157" si="1332">C157-C156</f>
        <v>-16</v>
      </c>
      <c r="V157" s="28">
        <f t="shared" si="1332"/>
        <v>-16</v>
      </c>
      <c r="W157" s="28">
        <f t="shared" si="1332"/>
        <v>16</v>
      </c>
      <c r="X157" s="28">
        <f t="shared" si="1332"/>
        <v>16</v>
      </c>
      <c r="AB157" s="28" t="str">
        <f t="shared" ref="AB157:AE157" si="1333">IF(AB$3=$H157,U157,"")</f>
        <v/>
      </c>
      <c r="AC157" s="28" t="str">
        <f t="shared" si="1333"/>
        <v/>
      </c>
      <c r="AD157" s="28" t="str">
        <f t="shared" si="1333"/>
        <v/>
      </c>
      <c r="AE157" s="28" t="str">
        <f t="shared" si="1333"/>
        <v/>
      </c>
      <c r="AH157" s="28">
        <f t="shared" si="22"/>
        <v>0</v>
      </c>
      <c r="AI157" s="28">
        <f t="shared" si="23"/>
        <v>0</v>
      </c>
      <c r="AK157" s="78" t="str">
        <f t="shared" ref="AK157:AN157" si="1334">IF(U157&gt;0,AK$3,"")</f>
        <v/>
      </c>
      <c r="AL157" s="78" t="str">
        <f t="shared" si="1334"/>
        <v/>
      </c>
      <c r="AM157" s="78" t="str">
        <f t="shared" si="1334"/>
        <v>Janus</v>
      </c>
      <c r="AN157" s="78" t="str">
        <f t="shared" si="1334"/>
        <v>Christian</v>
      </c>
      <c r="AO157" s="56">
        <f t="shared" si="25"/>
        <v>2</v>
      </c>
      <c r="AP157" s="8" t="str">
        <f t="shared" si="26"/>
        <v/>
      </c>
      <c r="AQ157" s="73" t="str">
        <f>IFERROR(__xludf.DUMMYFUNCTION("IFNA(QUERY(transpose(AY157:BB157),""Select Col1 where Col1 is not null limit 1"",0))"),"")</f>
        <v/>
      </c>
      <c r="AR157" s="56"/>
      <c r="AS157" s="28" t="str">
        <f t="shared" ref="AS157:AV157" si="1335">IF(AK157=AS$3,"",AS$3)</f>
        <v>Thomas</v>
      </c>
      <c r="AT157" s="28" t="str">
        <f t="shared" si="1335"/>
        <v>Peter</v>
      </c>
      <c r="AU157" s="28" t="str">
        <f t="shared" si="1335"/>
        <v/>
      </c>
      <c r="AV157" s="28" t="str">
        <f t="shared" si="1335"/>
        <v/>
      </c>
      <c r="AW157" s="56">
        <f t="shared" si="28"/>
        <v>2</v>
      </c>
      <c r="AX157" s="28">
        <f t="shared" si="29"/>
        <v>0</v>
      </c>
      <c r="AY157" s="28" t="str">
        <f t="shared" ref="AY157:BB157" si="1336">IFNA(IFS(AY$3=$AP157,"",$AX157=U157,AY$3),"")</f>
        <v/>
      </c>
      <c r="AZ157" s="28" t="str">
        <f t="shared" si="1336"/>
        <v/>
      </c>
      <c r="BA157" s="28" t="str">
        <f t="shared" si="1336"/>
        <v/>
      </c>
      <c r="BB157" s="28" t="str">
        <f t="shared" si="1336"/>
        <v/>
      </c>
      <c r="BC157" s="58">
        <f>OFFSET('00_Regnskab_01'!$A$1,MATCH(A157,'00_Regnskab_01'!$A$1:$A$25)-1,2)</f>
        <v>43798</v>
      </c>
      <c r="BE157" s="80">
        <f t="shared" ref="BE157:BH157" si="1337">if(U157&gt;0,1+BE156,0)</f>
        <v>0</v>
      </c>
      <c r="BF157" s="28">
        <f t="shared" si="1337"/>
        <v>0</v>
      </c>
      <c r="BG157" s="28">
        <f t="shared" si="1337"/>
        <v>5</v>
      </c>
      <c r="BH157" s="28">
        <f t="shared" si="1337"/>
        <v>1</v>
      </c>
      <c r="BJ157" s="28">
        <f t="shared" ref="BJ157:BM157" si="1338">if(U157&lt;0,1+BJ156,0)</f>
        <v>1</v>
      </c>
      <c r="BK157" s="28">
        <f t="shared" si="1338"/>
        <v>6</v>
      </c>
      <c r="BL157" s="28">
        <f t="shared" si="1338"/>
        <v>0</v>
      </c>
      <c r="BM157" s="28">
        <f t="shared" si="1338"/>
        <v>0</v>
      </c>
      <c r="BO157" s="74">
        <f t="shared" ref="BO157:BR157" si="1339">if(U157&gt;0,U157+BO156,0)</f>
        <v>0</v>
      </c>
      <c r="BP157" s="74">
        <f t="shared" si="1339"/>
        <v>0</v>
      </c>
      <c r="BQ157" s="74">
        <f t="shared" si="1339"/>
        <v>110</v>
      </c>
      <c r="BR157" s="74">
        <f t="shared" si="1339"/>
        <v>16</v>
      </c>
      <c r="BT157" s="28">
        <f t="shared" ref="BT157:BW157" si="1340">if(U157&lt;0,U157+BT156,0)</f>
        <v>-16</v>
      </c>
      <c r="BU157" s="28">
        <f t="shared" si="1340"/>
        <v>-126</v>
      </c>
      <c r="BV157" s="28">
        <f t="shared" si="1340"/>
        <v>0</v>
      </c>
      <c r="BW157" s="28">
        <f t="shared" si="1340"/>
        <v>0</v>
      </c>
    </row>
    <row r="158">
      <c r="A158" s="53">
        <v>11.0</v>
      </c>
      <c r="B158" s="28">
        <f>'11_29-11-2019'!A27</f>
        <v>25</v>
      </c>
      <c r="C158" s="75">
        <f>'11_29-11-2019'!B27</f>
        <v>202</v>
      </c>
      <c r="D158" s="28">
        <f>'11_29-11-2019'!C27</f>
        <v>-214</v>
      </c>
      <c r="E158" s="28">
        <f>'11_29-11-2019'!D27</f>
        <v>14</v>
      </c>
      <c r="F158" s="28">
        <f>'11_29-11-2019'!E27</f>
        <v>-2</v>
      </c>
      <c r="G158" s="28">
        <f>'11_29-11-2019'!F27</f>
        <v>0</v>
      </c>
      <c r="H158" s="28" t="str">
        <f>'11_29-11-2019'!I27</f>
        <v>Thomas</v>
      </c>
      <c r="J158" s="76" t="str">
        <f>'11_29-11-2019'!H27</f>
        <v>Thomas</v>
      </c>
      <c r="K158" s="28" t="str">
        <f>'11_29-11-2019'!G27</f>
        <v>9 vip i 2.</v>
      </c>
      <c r="L158" s="56"/>
      <c r="M158" s="25">
        <v>9.0</v>
      </c>
      <c r="N158" s="25" t="s">
        <v>86</v>
      </c>
      <c r="O158" s="25">
        <v>2.0</v>
      </c>
      <c r="T158" s="56"/>
      <c r="U158" s="77">
        <f t="shared" ref="U158:X158" si="1341">C158-C157</f>
        <v>16</v>
      </c>
      <c r="V158" s="28">
        <f t="shared" si="1341"/>
        <v>16</v>
      </c>
      <c r="W158" s="28">
        <f t="shared" si="1341"/>
        <v>-16</v>
      </c>
      <c r="X158" s="28">
        <f t="shared" si="1341"/>
        <v>-16</v>
      </c>
      <c r="AB158" s="28">
        <f t="shared" ref="AB158:AE158" si="1342">IF(AB$3=$H158,U158,"")</f>
        <v>16</v>
      </c>
      <c r="AC158" s="28" t="str">
        <f t="shared" si="1342"/>
        <v/>
      </c>
      <c r="AD158" s="28" t="str">
        <f t="shared" si="1342"/>
        <v/>
      </c>
      <c r="AE158" s="28" t="str">
        <f t="shared" si="1342"/>
        <v/>
      </c>
      <c r="AH158" s="28">
        <f t="shared" si="22"/>
        <v>16</v>
      </c>
      <c r="AI158" s="28">
        <f t="shared" si="23"/>
        <v>0</v>
      </c>
      <c r="AK158" s="78" t="str">
        <f t="shared" ref="AK158:AN158" si="1343">IF(U158&gt;0,AK$3,"")</f>
        <v>Thomas</v>
      </c>
      <c r="AL158" s="78" t="str">
        <f t="shared" si="1343"/>
        <v>Peter</v>
      </c>
      <c r="AM158" s="78" t="str">
        <f t="shared" si="1343"/>
        <v/>
      </c>
      <c r="AN158" s="78" t="str">
        <f t="shared" si="1343"/>
        <v/>
      </c>
      <c r="AO158" s="56">
        <f t="shared" si="25"/>
        <v>2</v>
      </c>
      <c r="AP158" s="8" t="str">
        <f t="shared" si="26"/>
        <v>Thomas</v>
      </c>
      <c r="AQ158" s="73" t="str">
        <f>IFERROR(__xludf.DUMMYFUNCTION("IFNA(QUERY(transpose(AY158:BB158),""Select Col1 where Col1 is not null limit 1"",0))"),"Peter")</f>
        <v>Peter</v>
      </c>
      <c r="AR158" s="56"/>
      <c r="AS158" s="28" t="str">
        <f t="shared" ref="AS158:AV158" si="1344">IF(AK158=AS$3,"",AS$3)</f>
        <v/>
      </c>
      <c r="AT158" s="28" t="str">
        <f t="shared" si="1344"/>
        <v/>
      </c>
      <c r="AU158" s="28" t="str">
        <f t="shared" si="1344"/>
        <v>Janus</v>
      </c>
      <c r="AV158" s="28" t="str">
        <f t="shared" si="1344"/>
        <v>Christian</v>
      </c>
      <c r="AW158" s="56">
        <f t="shared" si="28"/>
        <v>2</v>
      </c>
      <c r="AX158" s="28">
        <f t="shared" si="29"/>
        <v>16</v>
      </c>
      <c r="AY158" s="28" t="str">
        <f t="shared" ref="AY158:BB158" si="1345">IFNA(IFS(AY$3=$AP158,"",$AX158=U158,AY$3),"")</f>
        <v/>
      </c>
      <c r="AZ158" s="28" t="str">
        <f t="shared" si="1345"/>
        <v>Peter</v>
      </c>
      <c r="BA158" s="28" t="str">
        <f t="shared" si="1345"/>
        <v/>
      </c>
      <c r="BB158" s="28" t="str">
        <f t="shared" si="1345"/>
        <v/>
      </c>
      <c r="BC158" s="58">
        <f>OFFSET('00_Regnskab_01'!$A$1,MATCH(A158,'00_Regnskab_01'!$A$1:$A$25)-1,2)</f>
        <v>43798</v>
      </c>
      <c r="BE158" s="80">
        <f t="shared" ref="BE158:BH158" si="1346">if(U158&gt;0,1+BE157,0)</f>
        <v>1</v>
      </c>
      <c r="BF158" s="28">
        <f t="shared" si="1346"/>
        <v>1</v>
      </c>
      <c r="BG158" s="28">
        <f t="shared" si="1346"/>
        <v>0</v>
      </c>
      <c r="BH158" s="28">
        <f t="shared" si="1346"/>
        <v>0</v>
      </c>
      <c r="BJ158" s="28">
        <f t="shared" ref="BJ158:BM158" si="1347">if(U158&lt;0,1+BJ157,0)</f>
        <v>0</v>
      </c>
      <c r="BK158" s="28">
        <f t="shared" si="1347"/>
        <v>0</v>
      </c>
      <c r="BL158" s="28">
        <f t="shared" si="1347"/>
        <v>1</v>
      </c>
      <c r="BM158" s="28">
        <f t="shared" si="1347"/>
        <v>1</v>
      </c>
      <c r="BO158" s="74">
        <f t="shared" ref="BO158:BR158" si="1348">if(U158&gt;0,U158+BO157,0)</f>
        <v>16</v>
      </c>
      <c r="BP158" s="74">
        <f t="shared" si="1348"/>
        <v>16</v>
      </c>
      <c r="BQ158" s="74">
        <f t="shared" si="1348"/>
        <v>0</v>
      </c>
      <c r="BR158" s="74">
        <f t="shared" si="1348"/>
        <v>0</v>
      </c>
      <c r="BT158" s="28">
        <f t="shared" ref="BT158:BW158" si="1349">if(U158&lt;0,U158+BT157,0)</f>
        <v>0</v>
      </c>
      <c r="BU158" s="28">
        <f t="shared" si="1349"/>
        <v>0</v>
      </c>
      <c r="BV158" s="28">
        <f t="shared" si="1349"/>
        <v>-16</v>
      </c>
      <c r="BW158" s="28">
        <f t="shared" si="1349"/>
        <v>-16</v>
      </c>
    </row>
    <row r="159">
      <c r="A159" s="83">
        <v>11.0</v>
      </c>
      <c r="B159" s="84">
        <f>'11_29-11-2019'!A28</f>
        <v>26</v>
      </c>
      <c r="C159" s="85">
        <f>'11_29-11-2019'!B28</f>
        <v>226</v>
      </c>
      <c r="D159" s="84">
        <f>'11_29-11-2019'!C28</f>
        <v>-222</v>
      </c>
      <c r="E159" s="84">
        <f>'11_29-11-2019'!D28</f>
        <v>6</v>
      </c>
      <c r="F159" s="84">
        <f>'11_29-11-2019'!E28</f>
        <v>-10</v>
      </c>
      <c r="G159" s="84">
        <f>'11_29-11-2019'!F28</f>
        <v>0</v>
      </c>
      <c r="H159" s="84" t="str">
        <f>'11_29-11-2019'!I28</f>
        <v>Thomas</v>
      </c>
      <c r="I159" s="84"/>
      <c r="J159" s="86" t="str">
        <f>'11_29-11-2019'!H28</f>
        <v>Peter</v>
      </c>
      <c r="K159" s="84" t="str">
        <f>'11_29-11-2019'!G28</f>
        <v>Sol</v>
      </c>
      <c r="L159" s="84"/>
      <c r="M159" s="84"/>
      <c r="N159" s="87" t="s">
        <v>99</v>
      </c>
      <c r="O159" s="84"/>
      <c r="P159" s="84"/>
      <c r="Q159" s="84"/>
      <c r="R159" s="84"/>
      <c r="S159" s="84"/>
      <c r="T159" s="84"/>
      <c r="U159" s="88">
        <f t="shared" ref="U159:X159" si="1350">C159-C158</f>
        <v>24</v>
      </c>
      <c r="V159" s="84">
        <f t="shared" si="1350"/>
        <v>-8</v>
      </c>
      <c r="W159" s="84">
        <f t="shared" si="1350"/>
        <v>-8</v>
      </c>
      <c r="X159" s="84">
        <f t="shared" si="1350"/>
        <v>-8</v>
      </c>
      <c r="Y159" s="84"/>
      <c r="Z159" s="84"/>
      <c r="AA159" s="84"/>
      <c r="AB159" s="28">
        <f t="shared" ref="AB159:AE159" si="1351">IF(AB$3=$H159,U159,"")</f>
        <v>24</v>
      </c>
      <c r="AC159" s="28" t="str">
        <f t="shared" si="1351"/>
        <v/>
      </c>
      <c r="AD159" s="28" t="str">
        <f t="shared" si="1351"/>
        <v/>
      </c>
      <c r="AE159" s="28" t="str">
        <f t="shared" si="1351"/>
        <v/>
      </c>
      <c r="AH159" s="28">
        <f t="shared" si="22"/>
        <v>24</v>
      </c>
      <c r="AI159" s="28">
        <f t="shared" si="23"/>
        <v>0</v>
      </c>
      <c r="AJ159" s="84"/>
      <c r="AK159" s="78" t="str">
        <f t="shared" ref="AK159:AN159" si="1352">IF(U159&gt;0,AK$3,"")</f>
        <v>Thomas</v>
      </c>
      <c r="AL159" s="78" t="str">
        <f t="shared" si="1352"/>
        <v/>
      </c>
      <c r="AM159" s="78" t="str">
        <f t="shared" si="1352"/>
        <v/>
      </c>
      <c r="AN159" s="78" t="str">
        <f t="shared" si="1352"/>
        <v/>
      </c>
      <c r="AO159" s="56">
        <f t="shared" si="25"/>
        <v>1</v>
      </c>
      <c r="AP159" s="8" t="str">
        <f t="shared" si="26"/>
        <v>Thomas</v>
      </c>
      <c r="AQ159" s="73" t="str">
        <f>IFERROR(__xludf.DUMMYFUNCTION("IFNA(QUERY(transpose(AY159:BB159),""Select Col1 where Col1 is not null limit 1"",0))"),"")</f>
        <v/>
      </c>
      <c r="AR159" s="56"/>
      <c r="AS159" s="28" t="str">
        <f t="shared" ref="AS159:AV159" si="1353">IF(AK159=AS$3,"",AS$3)</f>
        <v/>
      </c>
      <c r="AT159" s="28" t="str">
        <f t="shared" si="1353"/>
        <v>Peter</v>
      </c>
      <c r="AU159" s="28" t="str">
        <f t="shared" si="1353"/>
        <v>Janus</v>
      </c>
      <c r="AV159" s="28" t="str">
        <f t="shared" si="1353"/>
        <v>Christian</v>
      </c>
      <c r="AW159" s="56">
        <f t="shared" si="28"/>
        <v>3</v>
      </c>
      <c r="AX159" s="28">
        <f t="shared" si="29"/>
        <v>24</v>
      </c>
      <c r="AY159" s="28" t="str">
        <f t="shared" ref="AY159:BB159" si="1354">IFNA(IFS(AY$3=$AP159,"",$AX159=U159,AY$3),"")</f>
        <v/>
      </c>
      <c r="AZ159" s="28" t="str">
        <f t="shared" si="1354"/>
        <v/>
      </c>
      <c r="BA159" s="28" t="str">
        <f t="shared" si="1354"/>
        <v/>
      </c>
      <c r="BB159" s="28" t="str">
        <f t="shared" si="1354"/>
        <v/>
      </c>
      <c r="BC159" s="58">
        <f>OFFSET('00_Regnskab_01'!$A$1,MATCH(A159,'00_Regnskab_01'!$A$1:$A$25)-1,2)</f>
        <v>43798</v>
      </c>
      <c r="BD159" s="84"/>
      <c r="BE159" s="80">
        <f t="shared" ref="BE159:BH159" si="1355">if(U159&gt;0,1+BE158,0)</f>
        <v>2</v>
      </c>
      <c r="BF159" s="28">
        <f t="shared" si="1355"/>
        <v>0</v>
      </c>
      <c r="BG159" s="28">
        <f t="shared" si="1355"/>
        <v>0</v>
      </c>
      <c r="BH159" s="28">
        <f t="shared" si="1355"/>
        <v>0</v>
      </c>
      <c r="BI159" s="84"/>
      <c r="BJ159" s="28">
        <f t="shared" ref="BJ159:BM159" si="1356">if(U159&lt;0,1+BJ158,0)</f>
        <v>0</v>
      </c>
      <c r="BK159" s="28">
        <f t="shared" si="1356"/>
        <v>1</v>
      </c>
      <c r="BL159" s="28">
        <f t="shared" si="1356"/>
        <v>2</v>
      </c>
      <c r="BM159" s="28">
        <f t="shared" si="1356"/>
        <v>2</v>
      </c>
      <c r="BO159" s="74">
        <f t="shared" ref="BO159:BR159" si="1357">if(U159&gt;0,U159+BO158,0)</f>
        <v>40</v>
      </c>
      <c r="BP159" s="74">
        <f t="shared" si="1357"/>
        <v>0</v>
      </c>
      <c r="BQ159" s="74">
        <f t="shared" si="1357"/>
        <v>0</v>
      </c>
      <c r="BR159" s="74">
        <f t="shared" si="1357"/>
        <v>0</v>
      </c>
      <c r="BT159" s="28">
        <f t="shared" ref="BT159:BW159" si="1358">if(U159&lt;0,U159+BT158,0)</f>
        <v>0</v>
      </c>
      <c r="BU159" s="28">
        <f t="shared" si="1358"/>
        <v>-8</v>
      </c>
      <c r="BV159" s="28">
        <f t="shared" si="1358"/>
        <v>-24</v>
      </c>
      <c r="BW159" s="28">
        <f t="shared" si="1358"/>
        <v>-24</v>
      </c>
      <c r="BX159" s="84"/>
      <c r="BY159" s="84"/>
    </row>
    <row r="160">
      <c r="A160" s="51" t="s">
        <v>33</v>
      </c>
      <c r="B160" s="32">
        <f>'12_21-02-2020'!A3</f>
        <v>1</v>
      </c>
      <c r="C160" s="69">
        <f>'12_21-02-2020'!E3</f>
        <v>-4</v>
      </c>
      <c r="D160" s="32">
        <f>'12_21-02-2020'!C3</f>
        <v>4</v>
      </c>
      <c r="E160" s="32">
        <f>'12_21-02-2020'!D3</f>
        <v>-4</v>
      </c>
      <c r="F160" s="32">
        <f>'12_21-02-2020'!B3</f>
        <v>4</v>
      </c>
      <c r="G160" s="32">
        <f>'12_21-02-2020'!F3</f>
        <v>0</v>
      </c>
      <c r="H160" s="32"/>
      <c r="I160" s="32"/>
      <c r="J160" s="70"/>
      <c r="K160" s="32"/>
      <c r="L160" s="32"/>
      <c r="M160" s="32"/>
      <c r="N160" s="32"/>
      <c r="O160" s="32"/>
      <c r="P160" s="32"/>
      <c r="Q160" s="32"/>
      <c r="R160" s="32"/>
      <c r="S160" s="32"/>
      <c r="T160" s="32"/>
      <c r="U160" s="71">
        <f t="shared" ref="U160:X160" si="1359">C160</f>
        <v>-4</v>
      </c>
      <c r="V160" s="32">
        <f t="shared" si="1359"/>
        <v>4</v>
      </c>
      <c r="W160" s="32">
        <f t="shared" si="1359"/>
        <v>-4</v>
      </c>
      <c r="X160" s="32">
        <f t="shared" si="1359"/>
        <v>4</v>
      </c>
      <c r="Y160" s="32"/>
      <c r="Z160" s="32"/>
      <c r="AA160" s="32"/>
      <c r="AB160" s="28" t="str">
        <f t="shared" ref="AB160:AE160" si="1360">IF(AB$3=$H160,U160,"")</f>
        <v/>
      </c>
      <c r="AC160" s="28" t="str">
        <f t="shared" si="1360"/>
        <v/>
      </c>
      <c r="AD160" s="28" t="str">
        <f t="shared" si="1360"/>
        <v/>
      </c>
      <c r="AE160" s="28" t="str">
        <f t="shared" si="1360"/>
        <v/>
      </c>
      <c r="AH160" s="28">
        <f t="shared" si="22"/>
        <v>0</v>
      </c>
      <c r="AI160" s="28">
        <f t="shared" si="23"/>
        <v>0</v>
      </c>
      <c r="AJ160" s="32"/>
      <c r="AK160" s="78" t="str">
        <f t="shared" ref="AK160:AN160" si="1361">IF(U160&gt;0,AK$3,"")</f>
        <v/>
      </c>
      <c r="AL160" s="78" t="str">
        <f t="shared" si="1361"/>
        <v>Peter</v>
      </c>
      <c r="AM160" s="78" t="str">
        <f t="shared" si="1361"/>
        <v/>
      </c>
      <c r="AN160" s="78" t="str">
        <f t="shared" si="1361"/>
        <v>Christian</v>
      </c>
      <c r="AO160" s="56">
        <f t="shared" si="25"/>
        <v>2</v>
      </c>
      <c r="AP160" s="8" t="str">
        <f t="shared" si="26"/>
        <v/>
      </c>
      <c r="AQ160" s="73" t="str">
        <f>IFERROR(__xludf.DUMMYFUNCTION("IFNA(QUERY(transpose(AY160:BB160),""Select Col1 where Col1 is not null limit 1"",0))"),"")</f>
        <v/>
      </c>
      <c r="AR160" s="56"/>
      <c r="AS160" s="28" t="str">
        <f t="shared" ref="AS160:AV160" si="1362">IF(AK160=AS$3,"",AS$3)</f>
        <v>Thomas</v>
      </c>
      <c r="AT160" s="28" t="str">
        <f t="shared" si="1362"/>
        <v/>
      </c>
      <c r="AU160" s="28" t="str">
        <f t="shared" si="1362"/>
        <v>Janus</v>
      </c>
      <c r="AV160" s="28" t="str">
        <f t="shared" si="1362"/>
        <v/>
      </c>
      <c r="AW160" s="56">
        <f t="shared" si="28"/>
        <v>2</v>
      </c>
      <c r="AX160" s="28">
        <f t="shared" si="29"/>
        <v>0</v>
      </c>
      <c r="AY160" s="28" t="str">
        <f t="shared" ref="AY160:BB160" si="1363">IFNA(IFS(AY$3=$AP160,"",$AX160=U160,AY$3),"")</f>
        <v/>
      </c>
      <c r="AZ160" s="28" t="str">
        <f t="shared" si="1363"/>
        <v/>
      </c>
      <c r="BA160" s="28" t="str">
        <f t="shared" si="1363"/>
        <v/>
      </c>
      <c r="BB160" s="28" t="str">
        <f t="shared" si="1363"/>
        <v/>
      </c>
      <c r="BC160" s="58">
        <f>OFFSET('00_Regnskab_01'!$A$1,MATCH(A160,'00_Regnskab_01'!$A$1:$A$25)-1,2)</f>
        <v>43882</v>
      </c>
      <c r="BD160" s="32"/>
      <c r="BE160" s="80">
        <f t="shared" ref="BE160:BH160" si="1364">if(U160&gt;0,1+BE159,0)</f>
        <v>0</v>
      </c>
      <c r="BF160" s="28">
        <f t="shared" si="1364"/>
        <v>1</v>
      </c>
      <c r="BG160" s="28">
        <f t="shared" si="1364"/>
        <v>0</v>
      </c>
      <c r="BH160" s="28">
        <f t="shared" si="1364"/>
        <v>1</v>
      </c>
      <c r="BI160" s="32"/>
      <c r="BJ160" s="28">
        <f t="shared" ref="BJ160:BM160" si="1365">if(U160&lt;0,1+BJ159,0)</f>
        <v>1</v>
      </c>
      <c r="BK160" s="28">
        <f t="shared" si="1365"/>
        <v>0</v>
      </c>
      <c r="BL160" s="28">
        <f t="shared" si="1365"/>
        <v>3</v>
      </c>
      <c r="BM160" s="28">
        <f t="shared" si="1365"/>
        <v>0</v>
      </c>
      <c r="BO160" s="74">
        <f t="shared" ref="BO160:BR160" si="1366">if(U160&gt;0,U160+BO159,0)</f>
        <v>0</v>
      </c>
      <c r="BP160" s="74">
        <f t="shared" si="1366"/>
        <v>4</v>
      </c>
      <c r="BQ160" s="74">
        <f t="shared" si="1366"/>
        <v>0</v>
      </c>
      <c r="BR160" s="74">
        <f t="shared" si="1366"/>
        <v>4</v>
      </c>
      <c r="BT160" s="28">
        <f t="shared" ref="BT160:BW160" si="1367">if(U160&lt;0,U160+BT159,0)</f>
        <v>-4</v>
      </c>
      <c r="BU160" s="28">
        <f t="shared" si="1367"/>
        <v>0</v>
      </c>
      <c r="BV160" s="28">
        <f t="shared" si="1367"/>
        <v>-28</v>
      </c>
      <c r="BW160" s="28">
        <f t="shared" si="1367"/>
        <v>0</v>
      </c>
      <c r="BX160" s="32"/>
      <c r="BY160" s="32"/>
    </row>
    <row r="161">
      <c r="A161" s="53" t="s">
        <v>33</v>
      </c>
      <c r="B161" s="28">
        <f>'12_21-02-2020'!A4</f>
        <v>2</v>
      </c>
      <c r="C161" s="75">
        <f>'12_21-02-2020'!E4</f>
        <v>-8</v>
      </c>
      <c r="D161" s="28">
        <f>'12_21-02-2020'!C4</f>
        <v>16</v>
      </c>
      <c r="E161" s="28">
        <f>'12_21-02-2020'!D4</f>
        <v>-8</v>
      </c>
      <c r="F161" s="28">
        <f>'12_21-02-2020'!B4</f>
        <v>0</v>
      </c>
      <c r="G161" s="28">
        <f>'12_21-02-2020'!F4</f>
        <v>0</v>
      </c>
      <c r="J161" s="76"/>
      <c r="L161" s="56"/>
      <c r="T161" s="56"/>
      <c r="U161" s="77">
        <f t="shared" ref="U161:X161" si="1368">C161-C160</f>
        <v>-4</v>
      </c>
      <c r="V161" s="28">
        <f t="shared" si="1368"/>
        <v>12</v>
      </c>
      <c r="W161" s="28">
        <f t="shared" si="1368"/>
        <v>-4</v>
      </c>
      <c r="X161" s="28">
        <f t="shared" si="1368"/>
        <v>-4</v>
      </c>
      <c r="AB161" s="28" t="str">
        <f t="shared" ref="AB161:AE161" si="1369">IF(AB$3=$H161,U161,"")</f>
        <v/>
      </c>
      <c r="AC161" s="28" t="str">
        <f t="shared" si="1369"/>
        <v/>
      </c>
      <c r="AD161" s="28" t="str">
        <f t="shared" si="1369"/>
        <v/>
      </c>
      <c r="AE161" s="28" t="str">
        <f t="shared" si="1369"/>
        <v/>
      </c>
      <c r="AH161" s="28">
        <f t="shared" si="22"/>
        <v>0</v>
      </c>
      <c r="AI161" s="28">
        <f t="shared" si="23"/>
        <v>0</v>
      </c>
      <c r="AK161" s="78" t="str">
        <f t="shared" ref="AK161:AN161" si="1370">IF(U161&gt;0,AK$3,"")</f>
        <v/>
      </c>
      <c r="AL161" s="78" t="str">
        <f t="shared" si="1370"/>
        <v>Peter</v>
      </c>
      <c r="AM161" s="78" t="str">
        <f t="shared" si="1370"/>
        <v/>
      </c>
      <c r="AN161" s="78" t="str">
        <f t="shared" si="1370"/>
        <v/>
      </c>
      <c r="AO161" s="56">
        <f t="shared" si="25"/>
        <v>1</v>
      </c>
      <c r="AP161" s="8" t="str">
        <f t="shared" si="26"/>
        <v/>
      </c>
      <c r="AQ161" s="73" t="str">
        <f>IFERROR(__xludf.DUMMYFUNCTION("IFNA(QUERY(transpose(AY161:BB161),""Select Col1 where Col1 is not null limit 1"",0))"),"")</f>
        <v/>
      </c>
      <c r="AR161" s="56"/>
      <c r="AS161" s="28" t="str">
        <f t="shared" ref="AS161:AV161" si="1371">IF(AK161=AS$3,"",AS$3)</f>
        <v>Thomas</v>
      </c>
      <c r="AT161" s="28" t="str">
        <f t="shared" si="1371"/>
        <v/>
      </c>
      <c r="AU161" s="28" t="str">
        <f t="shared" si="1371"/>
        <v>Janus</v>
      </c>
      <c r="AV161" s="28" t="str">
        <f t="shared" si="1371"/>
        <v>Christian</v>
      </c>
      <c r="AW161" s="56">
        <f t="shared" si="28"/>
        <v>3</v>
      </c>
      <c r="AX161" s="28">
        <f t="shared" si="29"/>
        <v>0</v>
      </c>
      <c r="AY161" s="28" t="str">
        <f t="shared" ref="AY161:BB161" si="1372">IFNA(IFS(AY$3=$AP161,"",$AX161=U161,AY$3),"")</f>
        <v/>
      </c>
      <c r="AZ161" s="28" t="str">
        <f t="shared" si="1372"/>
        <v/>
      </c>
      <c r="BA161" s="28" t="str">
        <f t="shared" si="1372"/>
        <v/>
      </c>
      <c r="BB161" s="28" t="str">
        <f t="shared" si="1372"/>
        <v/>
      </c>
      <c r="BC161" s="58">
        <f>OFFSET('00_Regnskab_01'!$A$1,MATCH(A161,'00_Regnskab_01'!$A$1:$A$25)-1,2)</f>
        <v>43882</v>
      </c>
      <c r="BE161" s="80">
        <f t="shared" ref="BE161:BH161" si="1373">if(U161&gt;0,1+BE160,0)</f>
        <v>0</v>
      </c>
      <c r="BF161" s="28">
        <f t="shared" si="1373"/>
        <v>2</v>
      </c>
      <c r="BG161" s="28">
        <f t="shared" si="1373"/>
        <v>0</v>
      </c>
      <c r="BH161" s="28">
        <f t="shared" si="1373"/>
        <v>0</v>
      </c>
      <c r="BJ161" s="28">
        <f t="shared" ref="BJ161:BM161" si="1374">if(U161&lt;0,1+BJ160,0)</f>
        <v>2</v>
      </c>
      <c r="BK161" s="28">
        <f t="shared" si="1374"/>
        <v>0</v>
      </c>
      <c r="BL161" s="28">
        <f t="shared" si="1374"/>
        <v>4</v>
      </c>
      <c r="BM161" s="28">
        <f t="shared" si="1374"/>
        <v>1</v>
      </c>
      <c r="BO161" s="74">
        <f t="shared" ref="BO161:BR161" si="1375">if(U161&gt;0,U161+BO160,0)</f>
        <v>0</v>
      </c>
      <c r="BP161" s="74">
        <f t="shared" si="1375"/>
        <v>16</v>
      </c>
      <c r="BQ161" s="74">
        <f t="shared" si="1375"/>
        <v>0</v>
      </c>
      <c r="BR161" s="74">
        <f t="shared" si="1375"/>
        <v>0</v>
      </c>
      <c r="BT161" s="28">
        <f t="shared" ref="BT161:BW161" si="1376">if(U161&lt;0,U161+BT160,0)</f>
        <v>-8</v>
      </c>
      <c r="BU161" s="28">
        <f t="shared" si="1376"/>
        <v>0</v>
      </c>
      <c r="BV161" s="28">
        <f t="shared" si="1376"/>
        <v>-32</v>
      </c>
      <c r="BW161" s="28">
        <f t="shared" si="1376"/>
        <v>-4</v>
      </c>
    </row>
    <row r="162">
      <c r="A162" s="53" t="s">
        <v>33</v>
      </c>
      <c r="B162" s="28">
        <f>'12_21-02-2020'!A5</f>
        <v>3</v>
      </c>
      <c r="C162" s="75">
        <f>'12_21-02-2020'!E5</f>
        <v>-24</v>
      </c>
      <c r="D162" s="28">
        <f>'12_21-02-2020'!C5</f>
        <v>32</v>
      </c>
      <c r="E162" s="28">
        <f>'12_21-02-2020'!D5</f>
        <v>8</v>
      </c>
      <c r="F162" s="28">
        <f>'12_21-02-2020'!B5</f>
        <v>-16</v>
      </c>
      <c r="G162" s="28">
        <f>'12_21-02-2020'!F5</f>
        <v>0</v>
      </c>
      <c r="J162" s="76"/>
      <c r="L162" s="56"/>
      <c r="T162" s="56"/>
      <c r="U162" s="77">
        <f t="shared" ref="U162:X162" si="1377">C162-C161</f>
        <v>-16</v>
      </c>
      <c r="V162" s="28">
        <f t="shared" si="1377"/>
        <v>16</v>
      </c>
      <c r="W162" s="28">
        <f t="shared" si="1377"/>
        <v>16</v>
      </c>
      <c r="X162" s="28">
        <f t="shared" si="1377"/>
        <v>-16</v>
      </c>
      <c r="AB162" s="28" t="str">
        <f t="shared" ref="AB162:AE162" si="1378">IF(AB$3=$H162,U162,"")</f>
        <v/>
      </c>
      <c r="AC162" s="28" t="str">
        <f t="shared" si="1378"/>
        <v/>
      </c>
      <c r="AD162" s="28" t="str">
        <f t="shared" si="1378"/>
        <v/>
      </c>
      <c r="AE162" s="28" t="str">
        <f t="shared" si="1378"/>
        <v/>
      </c>
      <c r="AH162" s="28">
        <f t="shared" si="22"/>
        <v>0</v>
      </c>
      <c r="AI162" s="28">
        <f t="shared" si="23"/>
        <v>0</v>
      </c>
      <c r="AK162" s="78" t="str">
        <f t="shared" ref="AK162:AN162" si="1379">IF(U162&gt;0,AK$3,"")</f>
        <v/>
      </c>
      <c r="AL162" s="78" t="str">
        <f t="shared" si="1379"/>
        <v>Peter</v>
      </c>
      <c r="AM162" s="78" t="str">
        <f t="shared" si="1379"/>
        <v>Janus</v>
      </c>
      <c r="AN162" s="78" t="str">
        <f t="shared" si="1379"/>
        <v/>
      </c>
      <c r="AO162" s="56">
        <f t="shared" si="25"/>
        <v>2</v>
      </c>
      <c r="AP162" s="8" t="str">
        <f t="shared" si="26"/>
        <v/>
      </c>
      <c r="AQ162" s="73" t="str">
        <f>IFERROR(__xludf.DUMMYFUNCTION("IFNA(QUERY(transpose(AY162:BB162),""Select Col1 where Col1 is not null limit 1"",0))"),"")</f>
        <v/>
      </c>
      <c r="AR162" s="56"/>
      <c r="AS162" s="28" t="str">
        <f t="shared" ref="AS162:AV162" si="1380">IF(AK162=AS$3,"",AS$3)</f>
        <v>Thomas</v>
      </c>
      <c r="AT162" s="28" t="str">
        <f t="shared" si="1380"/>
        <v/>
      </c>
      <c r="AU162" s="28" t="str">
        <f t="shared" si="1380"/>
        <v/>
      </c>
      <c r="AV162" s="28" t="str">
        <f t="shared" si="1380"/>
        <v>Christian</v>
      </c>
      <c r="AW162" s="56">
        <f t="shared" si="28"/>
        <v>2</v>
      </c>
      <c r="AX162" s="28">
        <f t="shared" si="29"/>
        <v>0</v>
      </c>
      <c r="AY162" s="28" t="str">
        <f t="shared" ref="AY162:BB162" si="1381">IFNA(IFS(AY$3=$AP162,"",$AX162=U162,AY$3),"")</f>
        <v/>
      </c>
      <c r="AZ162" s="28" t="str">
        <f t="shared" si="1381"/>
        <v/>
      </c>
      <c r="BA162" s="28" t="str">
        <f t="shared" si="1381"/>
        <v/>
      </c>
      <c r="BB162" s="28" t="str">
        <f t="shared" si="1381"/>
        <v/>
      </c>
      <c r="BC162" s="58">
        <f>OFFSET('00_Regnskab_01'!$A$1,MATCH(A162,'00_Regnskab_01'!$A$1:$A$25)-1,2)</f>
        <v>43882</v>
      </c>
      <c r="BE162" s="80">
        <f t="shared" ref="BE162:BH162" si="1382">if(U162&gt;0,1+BE161,0)</f>
        <v>0</v>
      </c>
      <c r="BF162" s="28">
        <f t="shared" si="1382"/>
        <v>3</v>
      </c>
      <c r="BG162" s="28">
        <f t="shared" si="1382"/>
        <v>1</v>
      </c>
      <c r="BH162" s="28">
        <f t="shared" si="1382"/>
        <v>0</v>
      </c>
      <c r="BJ162" s="28">
        <f t="shared" ref="BJ162:BM162" si="1383">if(U162&lt;0,1+BJ161,0)</f>
        <v>3</v>
      </c>
      <c r="BK162" s="28">
        <f t="shared" si="1383"/>
        <v>0</v>
      </c>
      <c r="BL162" s="28">
        <f t="shared" si="1383"/>
        <v>0</v>
      </c>
      <c r="BM162" s="28">
        <f t="shared" si="1383"/>
        <v>2</v>
      </c>
      <c r="BO162" s="74">
        <f t="shared" ref="BO162:BR162" si="1384">if(U162&gt;0,U162+BO161,0)</f>
        <v>0</v>
      </c>
      <c r="BP162" s="74">
        <f t="shared" si="1384"/>
        <v>32</v>
      </c>
      <c r="BQ162" s="74">
        <f t="shared" si="1384"/>
        <v>16</v>
      </c>
      <c r="BR162" s="74">
        <f t="shared" si="1384"/>
        <v>0</v>
      </c>
      <c r="BT162" s="28">
        <f t="shared" ref="BT162:BW162" si="1385">if(U162&lt;0,U162+BT161,0)</f>
        <v>-24</v>
      </c>
      <c r="BU162" s="28">
        <f t="shared" si="1385"/>
        <v>0</v>
      </c>
      <c r="BV162" s="28">
        <f t="shared" si="1385"/>
        <v>0</v>
      </c>
      <c r="BW162" s="28">
        <f t="shared" si="1385"/>
        <v>-20</v>
      </c>
    </row>
    <row r="163">
      <c r="A163" s="53" t="s">
        <v>33</v>
      </c>
      <c r="B163" s="28">
        <f>'12_21-02-2020'!A6</f>
        <v>4</v>
      </c>
      <c r="C163" s="75">
        <f>'12_21-02-2020'!E6</f>
        <v>-8</v>
      </c>
      <c r="D163" s="28">
        <f>'12_21-02-2020'!C6</f>
        <v>16</v>
      </c>
      <c r="E163" s="28">
        <f>'12_21-02-2020'!D6</f>
        <v>24</v>
      </c>
      <c r="F163" s="28">
        <f>'12_21-02-2020'!B6</f>
        <v>-32</v>
      </c>
      <c r="G163" s="28">
        <f>'12_21-02-2020'!F6</f>
        <v>0</v>
      </c>
      <c r="J163" s="76"/>
      <c r="L163" s="56"/>
      <c r="T163" s="56"/>
      <c r="U163" s="77">
        <f t="shared" ref="U163:X163" si="1386">C163-C162</f>
        <v>16</v>
      </c>
      <c r="V163" s="28">
        <f t="shared" si="1386"/>
        <v>-16</v>
      </c>
      <c r="W163" s="28">
        <f t="shared" si="1386"/>
        <v>16</v>
      </c>
      <c r="X163" s="28">
        <f t="shared" si="1386"/>
        <v>-16</v>
      </c>
      <c r="AB163" s="28" t="str">
        <f t="shared" ref="AB163:AE163" si="1387">IF(AB$3=$H163,U163,"")</f>
        <v/>
      </c>
      <c r="AC163" s="28" t="str">
        <f t="shared" si="1387"/>
        <v/>
      </c>
      <c r="AD163" s="28" t="str">
        <f t="shared" si="1387"/>
        <v/>
      </c>
      <c r="AE163" s="28" t="str">
        <f t="shared" si="1387"/>
        <v/>
      </c>
      <c r="AH163" s="28">
        <f t="shared" si="22"/>
        <v>0</v>
      </c>
      <c r="AI163" s="28">
        <f t="shared" si="23"/>
        <v>0</v>
      </c>
      <c r="AK163" s="78" t="str">
        <f t="shared" ref="AK163:AN163" si="1388">IF(U163&gt;0,AK$3,"")</f>
        <v>Thomas</v>
      </c>
      <c r="AL163" s="78" t="str">
        <f t="shared" si="1388"/>
        <v/>
      </c>
      <c r="AM163" s="78" t="str">
        <f t="shared" si="1388"/>
        <v>Janus</v>
      </c>
      <c r="AN163" s="78" t="str">
        <f t="shared" si="1388"/>
        <v/>
      </c>
      <c r="AO163" s="56">
        <f t="shared" si="25"/>
        <v>2</v>
      </c>
      <c r="AP163" s="8" t="str">
        <f t="shared" si="26"/>
        <v/>
      </c>
      <c r="AQ163" s="73" t="str">
        <f>IFERROR(__xludf.DUMMYFUNCTION("IFNA(QUERY(transpose(AY163:BB163),""Select Col1 where Col1 is not null limit 1"",0))"),"")</f>
        <v/>
      </c>
      <c r="AR163" s="56"/>
      <c r="AS163" s="28" t="str">
        <f t="shared" ref="AS163:AV163" si="1389">IF(AK163=AS$3,"",AS$3)</f>
        <v/>
      </c>
      <c r="AT163" s="28" t="str">
        <f t="shared" si="1389"/>
        <v>Peter</v>
      </c>
      <c r="AU163" s="28" t="str">
        <f t="shared" si="1389"/>
        <v/>
      </c>
      <c r="AV163" s="28" t="str">
        <f t="shared" si="1389"/>
        <v>Christian</v>
      </c>
      <c r="AW163" s="56">
        <f t="shared" si="28"/>
        <v>2</v>
      </c>
      <c r="AX163" s="28">
        <f t="shared" si="29"/>
        <v>0</v>
      </c>
      <c r="AY163" s="28" t="str">
        <f t="shared" ref="AY163:BB163" si="1390">IFNA(IFS(AY$3=$AP163,"",$AX163=U163,AY$3),"")</f>
        <v/>
      </c>
      <c r="AZ163" s="28" t="str">
        <f t="shared" si="1390"/>
        <v/>
      </c>
      <c r="BA163" s="28" t="str">
        <f t="shared" si="1390"/>
        <v/>
      </c>
      <c r="BB163" s="28" t="str">
        <f t="shared" si="1390"/>
        <v/>
      </c>
      <c r="BC163" s="58">
        <f>OFFSET('00_Regnskab_01'!$A$1,MATCH(A163,'00_Regnskab_01'!$A$1:$A$25)-1,2)</f>
        <v>43882</v>
      </c>
      <c r="BE163" s="80">
        <f t="shared" ref="BE163:BH163" si="1391">if(U163&gt;0,1+BE162,0)</f>
        <v>1</v>
      </c>
      <c r="BF163" s="28">
        <f t="shared" si="1391"/>
        <v>0</v>
      </c>
      <c r="BG163" s="28">
        <f t="shared" si="1391"/>
        <v>2</v>
      </c>
      <c r="BH163" s="28">
        <f t="shared" si="1391"/>
        <v>0</v>
      </c>
      <c r="BJ163" s="28">
        <f t="shared" ref="BJ163:BM163" si="1392">if(U163&lt;0,1+BJ162,0)</f>
        <v>0</v>
      </c>
      <c r="BK163" s="28">
        <f t="shared" si="1392"/>
        <v>1</v>
      </c>
      <c r="BL163" s="28">
        <f t="shared" si="1392"/>
        <v>0</v>
      </c>
      <c r="BM163" s="28">
        <f t="shared" si="1392"/>
        <v>3</v>
      </c>
      <c r="BO163" s="74">
        <f t="shared" ref="BO163:BR163" si="1393">if(U163&gt;0,U163+BO162,0)</f>
        <v>16</v>
      </c>
      <c r="BP163" s="74">
        <f t="shared" si="1393"/>
        <v>0</v>
      </c>
      <c r="BQ163" s="74">
        <f t="shared" si="1393"/>
        <v>32</v>
      </c>
      <c r="BR163" s="74">
        <f t="shared" si="1393"/>
        <v>0</v>
      </c>
      <c r="BT163" s="28">
        <f t="shared" ref="BT163:BW163" si="1394">if(U163&lt;0,U163+BT162,0)</f>
        <v>0</v>
      </c>
      <c r="BU163" s="28">
        <f t="shared" si="1394"/>
        <v>-16</v>
      </c>
      <c r="BV163" s="28">
        <f t="shared" si="1394"/>
        <v>0</v>
      </c>
      <c r="BW163" s="28">
        <f t="shared" si="1394"/>
        <v>-36</v>
      </c>
    </row>
    <row r="164">
      <c r="A164" s="53" t="s">
        <v>33</v>
      </c>
      <c r="B164" s="28">
        <f>'12_21-02-2020'!A7</f>
        <v>5</v>
      </c>
      <c r="C164" s="75">
        <f>'12_21-02-2020'!E7</f>
        <v>-12</v>
      </c>
      <c r="D164" s="28">
        <f>'12_21-02-2020'!C7</f>
        <v>12</v>
      </c>
      <c r="E164" s="28">
        <f>'12_21-02-2020'!D7</f>
        <v>20</v>
      </c>
      <c r="F164" s="28">
        <f>'12_21-02-2020'!B7</f>
        <v>-20</v>
      </c>
      <c r="G164" s="28">
        <f>'12_21-02-2020'!F7</f>
        <v>0</v>
      </c>
      <c r="J164" s="76"/>
      <c r="L164" s="56"/>
      <c r="T164" s="56"/>
      <c r="U164" s="77">
        <f t="shared" ref="U164:X164" si="1395">C164-C163</f>
        <v>-4</v>
      </c>
      <c r="V164" s="28">
        <f t="shared" si="1395"/>
        <v>-4</v>
      </c>
      <c r="W164" s="28">
        <f t="shared" si="1395"/>
        <v>-4</v>
      </c>
      <c r="X164" s="28">
        <f t="shared" si="1395"/>
        <v>12</v>
      </c>
      <c r="AB164" s="28" t="str">
        <f t="shared" ref="AB164:AE164" si="1396">IF(AB$3=$H164,U164,"")</f>
        <v/>
      </c>
      <c r="AC164" s="28" t="str">
        <f t="shared" si="1396"/>
        <v/>
      </c>
      <c r="AD164" s="28" t="str">
        <f t="shared" si="1396"/>
        <v/>
      </c>
      <c r="AE164" s="28" t="str">
        <f t="shared" si="1396"/>
        <v/>
      </c>
      <c r="AH164" s="28">
        <f t="shared" si="22"/>
        <v>0</v>
      </c>
      <c r="AI164" s="28">
        <f t="shared" si="23"/>
        <v>0</v>
      </c>
      <c r="AK164" s="78" t="str">
        <f t="shared" ref="AK164:AN164" si="1397">IF(U164&gt;0,AK$3,"")</f>
        <v/>
      </c>
      <c r="AL164" s="78" t="str">
        <f t="shared" si="1397"/>
        <v/>
      </c>
      <c r="AM164" s="78" t="str">
        <f t="shared" si="1397"/>
        <v/>
      </c>
      <c r="AN164" s="78" t="str">
        <f t="shared" si="1397"/>
        <v>Christian</v>
      </c>
      <c r="AO164" s="56">
        <f t="shared" si="25"/>
        <v>1</v>
      </c>
      <c r="AP164" s="8" t="str">
        <f t="shared" si="26"/>
        <v/>
      </c>
      <c r="AQ164" s="73" t="str">
        <f>IFERROR(__xludf.DUMMYFUNCTION("IFNA(QUERY(transpose(AY164:BB164),""Select Col1 where Col1 is not null limit 1"",0))"),"")</f>
        <v/>
      </c>
      <c r="AR164" s="56"/>
      <c r="AS164" s="28" t="str">
        <f t="shared" ref="AS164:AV164" si="1398">IF(AK164=AS$3,"",AS$3)</f>
        <v>Thomas</v>
      </c>
      <c r="AT164" s="28" t="str">
        <f t="shared" si="1398"/>
        <v>Peter</v>
      </c>
      <c r="AU164" s="28" t="str">
        <f t="shared" si="1398"/>
        <v>Janus</v>
      </c>
      <c r="AV164" s="28" t="str">
        <f t="shared" si="1398"/>
        <v/>
      </c>
      <c r="AW164" s="56">
        <f t="shared" si="28"/>
        <v>3</v>
      </c>
      <c r="AX164" s="28">
        <f t="shared" si="29"/>
        <v>0</v>
      </c>
      <c r="AY164" s="28" t="str">
        <f t="shared" ref="AY164:BB164" si="1399">IFNA(IFS(AY$3=$AP164,"",$AX164=U164,AY$3),"")</f>
        <v/>
      </c>
      <c r="AZ164" s="28" t="str">
        <f t="shared" si="1399"/>
        <v/>
      </c>
      <c r="BA164" s="28" t="str">
        <f t="shared" si="1399"/>
        <v/>
      </c>
      <c r="BB164" s="28" t="str">
        <f t="shared" si="1399"/>
        <v/>
      </c>
      <c r="BC164" s="58">
        <f>OFFSET('00_Regnskab_01'!$A$1,MATCH(A164,'00_Regnskab_01'!$A$1:$A$25)-1,2)</f>
        <v>43882</v>
      </c>
      <c r="BE164" s="80">
        <f t="shared" ref="BE164:BH164" si="1400">if(U164&gt;0,1+BE163,0)</f>
        <v>0</v>
      </c>
      <c r="BF164" s="28">
        <f t="shared" si="1400"/>
        <v>0</v>
      </c>
      <c r="BG164" s="28">
        <f t="shared" si="1400"/>
        <v>0</v>
      </c>
      <c r="BH164" s="28">
        <f t="shared" si="1400"/>
        <v>1</v>
      </c>
      <c r="BJ164" s="28">
        <f t="shared" ref="BJ164:BM164" si="1401">if(U164&lt;0,1+BJ163,0)</f>
        <v>1</v>
      </c>
      <c r="BK164" s="28">
        <f t="shared" si="1401"/>
        <v>2</v>
      </c>
      <c r="BL164" s="28">
        <f t="shared" si="1401"/>
        <v>1</v>
      </c>
      <c r="BM164" s="28">
        <f t="shared" si="1401"/>
        <v>0</v>
      </c>
      <c r="BO164" s="74">
        <f t="shared" ref="BO164:BR164" si="1402">if(U164&gt;0,U164+BO163,0)</f>
        <v>0</v>
      </c>
      <c r="BP164" s="74">
        <f t="shared" si="1402"/>
        <v>0</v>
      </c>
      <c r="BQ164" s="74">
        <f t="shared" si="1402"/>
        <v>0</v>
      </c>
      <c r="BR164" s="74">
        <f t="shared" si="1402"/>
        <v>12</v>
      </c>
      <c r="BT164" s="28">
        <f t="shared" ref="BT164:BW164" si="1403">if(U164&lt;0,U164+BT163,0)</f>
        <v>-4</v>
      </c>
      <c r="BU164" s="28">
        <f t="shared" si="1403"/>
        <v>-20</v>
      </c>
      <c r="BV164" s="28">
        <f t="shared" si="1403"/>
        <v>-4</v>
      </c>
      <c r="BW164" s="28">
        <f t="shared" si="1403"/>
        <v>0</v>
      </c>
    </row>
    <row r="165">
      <c r="A165" s="53" t="s">
        <v>33</v>
      </c>
      <c r="B165" s="28">
        <f>'12_21-02-2020'!A8</f>
        <v>6</v>
      </c>
      <c r="C165" s="75">
        <f>'12_21-02-2020'!E8</f>
        <v>-4</v>
      </c>
      <c r="D165" s="28">
        <f>'12_21-02-2020'!C8</f>
        <v>4</v>
      </c>
      <c r="E165" s="28">
        <f>'12_21-02-2020'!D8</f>
        <v>28</v>
      </c>
      <c r="F165" s="28">
        <f>'12_21-02-2020'!B8</f>
        <v>-28</v>
      </c>
      <c r="G165" s="28">
        <f>'12_21-02-2020'!F8</f>
        <v>0</v>
      </c>
      <c r="J165" s="76"/>
      <c r="L165" s="56"/>
      <c r="T165" s="56"/>
      <c r="U165" s="77">
        <f t="shared" ref="U165:X165" si="1404">C165-C164</f>
        <v>8</v>
      </c>
      <c r="V165" s="28">
        <f t="shared" si="1404"/>
        <v>-8</v>
      </c>
      <c r="W165" s="28">
        <f t="shared" si="1404"/>
        <v>8</v>
      </c>
      <c r="X165" s="28">
        <f t="shared" si="1404"/>
        <v>-8</v>
      </c>
      <c r="AB165" s="28" t="str">
        <f t="shared" ref="AB165:AE165" si="1405">IF(AB$3=$H165,U165,"")</f>
        <v/>
      </c>
      <c r="AC165" s="28" t="str">
        <f t="shared" si="1405"/>
        <v/>
      </c>
      <c r="AD165" s="28" t="str">
        <f t="shared" si="1405"/>
        <v/>
      </c>
      <c r="AE165" s="28" t="str">
        <f t="shared" si="1405"/>
        <v/>
      </c>
      <c r="AH165" s="28">
        <f t="shared" si="22"/>
        <v>0</v>
      </c>
      <c r="AI165" s="28">
        <f t="shared" si="23"/>
        <v>0</v>
      </c>
      <c r="AK165" s="78" t="str">
        <f t="shared" ref="AK165:AN165" si="1406">IF(U165&gt;0,AK$3,"")</f>
        <v>Thomas</v>
      </c>
      <c r="AL165" s="78" t="str">
        <f t="shared" si="1406"/>
        <v/>
      </c>
      <c r="AM165" s="78" t="str">
        <f t="shared" si="1406"/>
        <v>Janus</v>
      </c>
      <c r="AN165" s="78" t="str">
        <f t="shared" si="1406"/>
        <v/>
      </c>
      <c r="AO165" s="56">
        <f t="shared" si="25"/>
        <v>2</v>
      </c>
      <c r="AP165" s="8" t="str">
        <f t="shared" si="26"/>
        <v/>
      </c>
      <c r="AQ165" s="73" t="str">
        <f>IFERROR(__xludf.DUMMYFUNCTION("IFNA(QUERY(transpose(AY165:BB165),""Select Col1 where Col1 is not null limit 1"",0))"),"")</f>
        <v/>
      </c>
      <c r="AR165" s="56"/>
      <c r="AS165" s="28" t="str">
        <f t="shared" ref="AS165:AV165" si="1407">IF(AK165=AS$3,"",AS$3)</f>
        <v/>
      </c>
      <c r="AT165" s="28" t="str">
        <f t="shared" si="1407"/>
        <v>Peter</v>
      </c>
      <c r="AU165" s="28" t="str">
        <f t="shared" si="1407"/>
        <v/>
      </c>
      <c r="AV165" s="28" t="str">
        <f t="shared" si="1407"/>
        <v>Christian</v>
      </c>
      <c r="AW165" s="56">
        <f t="shared" si="28"/>
        <v>2</v>
      </c>
      <c r="AX165" s="28">
        <f t="shared" si="29"/>
        <v>0</v>
      </c>
      <c r="AY165" s="28" t="str">
        <f t="shared" ref="AY165:BB165" si="1408">IFNA(IFS(AY$3=$AP165,"",$AX165=U165,AY$3),"")</f>
        <v/>
      </c>
      <c r="AZ165" s="28" t="str">
        <f t="shared" si="1408"/>
        <v/>
      </c>
      <c r="BA165" s="28" t="str">
        <f t="shared" si="1408"/>
        <v/>
      </c>
      <c r="BB165" s="28" t="str">
        <f t="shared" si="1408"/>
        <v/>
      </c>
      <c r="BC165" s="58">
        <f>OFFSET('00_Regnskab_01'!$A$1,MATCH(A165,'00_Regnskab_01'!$A$1:$A$25)-1,2)</f>
        <v>43882</v>
      </c>
      <c r="BE165" s="80">
        <f t="shared" ref="BE165:BH165" si="1409">if(U165&gt;0,1+BE164,0)</f>
        <v>1</v>
      </c>
      <c r="BF165" s="28">
        <f t="shared" si="1409"/>
        <v>0</v>
      </c>
      <c r="BG165" s="28">
        <f t="shared" si="1409"/>
        <v>1</v>
      </c>
      <c r="BH165" s="28">
        <f t="shared" si="1409"/>
        <v>0</v>
      </c>
      <c r="BJ165" s="28">
        <f t="shared" ref="BJ165:BM165" si="1410">if(U165&lt;0,1+BJ164,0)</f>
        <v>0</v>
      </c>
      <c r="BK165" s="28">
        <f t="shared" si="1410"/>
        <v>3</v>
      </c>
      <c r="BL165" s="28">
        <f t="shared" si="1410"/>
        <v>0</v>
      </c>
      <c r="BM165" s="28">
        <f t="shared" si="1410"/>
        <v>1</v>
      </c>
      <c r="BO165" s="74">
        <f t="shared" ref="BO165:BR165" si="1411">if(U165&gt;0,U165+BO164,0)</f>
        <v>8</v>
      </c>
      <c r="BP165" s="74">
        <f t="shared" si="1411"/>
        <v>0</v>
      </c>
      <c r="BQ165" s="74">
        <f t="shared" si="1411"/>
        <v>8</v>
      </c>
      <c r="BR165" s="74">
        <f t="shared" si="1411"/>
        <v>0</v>
      </c>
      <c r="BT165" s="28">
        <f t="shared" ref="BT165:BW165" si="1412">if(U165&lt;0,U165+BT164,0)</f>
        <v>0</v>
      </c>
      <c r="BU165" s="28">
        <f t="shared" si="1412"/>
        <v>-28</v>
      </c>
      <c r="BV165" s="28">
        <f t="shared" si="1412"/>
        <v>0</v>
      </c>
      <c r="BW165" s="28">
        <f t="shared" si="1412"/>
        <v>-8</v>
      </c>
    </row>
    <row r="166">
      <c r="A166" s="53" t="s">
        <v>33</v>
      </c>
      <c r="B166" s="28">
        <f>'12_21-02-2020'!A9</f>
        <v>7</v>
      </c>
      <c r="C166" s="75">
        <f>'12_21-02-2020'!E9</f>
        <v>4</v>
      </c>
      <c r="D166" s="28">
        <f>'12_21-02-2020'!C9</f>
        <v>-4</v>
      </c>
      <c r="E166" s="28">
        <f>'12_21-02-2020'!D9</f>
        <v>36</v>
      </c>
      <c r="F166" s="28">
        <f>'12_21-02-2020'!B9</f>
        <v>-36</v>
      </c>
      <c r="G166" s="28">
        <f>'12_21-02-2020'!F9</f>
        <v>0</v>
      </c>
      <c r="J166" s="76"/>
      <c r="L166" s="56"/>
      <c r="T166" s="56"/>
      <c r="U166" s="77">
        <f t="shared" ref="U166:X166" si="1413">C166-C165</f>
        <v>8</v>
      </c>
      <c r="V166" s="28">
        <f t="shared" si="1413"/>
        <v>-8</v>
      </c>
      <c r="W166" s="28">
        <f t="shared" si="1413"/>
        <v>8</v>
      </c>
      <c r="X166" s="28">
        <f t="shared" si="1413"/>
        <v>-8</v>
      </c>
      <c r="AB166" s="28" t="str">
        <f t="shared" ref="AB166:AE166" si="1414">IF(AB$3=$H166,U166,"")</f>
        <v/>
      </c>
      <c r="AC166" s="28" t="str">
        <f t="shared" si="1414"/>
        <v/>
      </c>
      <c r="AD166" s="28" t="str">
        <f t="shared" si="1414"/>
        <v/>
      </c>
      <c r="AE166" s="28" t="str">
        <f t="shared" si="1414"/>
        <v/>
      </c>
      <c r="AH166" s="28">
        <f t="shared" si="22"/>
        <v>0</v>
      </c>
      <c r="AI166" s="28">
        <f t="shared" si="23"/>
        <v>0</v>
      </c>
      <c r="AK166" s="78" t="str">
        <f t="shared" ref="AK166:AN166" si="1415">IF(U166&gt;0,AK$3,"")</f>
        <v>Thomas</v>
      </c>
      <c r="AL166" s="78" t="str">
        <f t="shared" si="1415"/>
        <v/>
      </c>
      <c r="AM166" s="78" t="str">
        <f t="shared" si="1415"/>
        <v>Janus</v>
      </c>
      <c r="AN166" s="78" t="str">
        <f t="shared" si="1415"/>
        <v/>
      </c>
      <c r="AO166" s="56">
        <f t="shared" si="25"/>
        <v>2</v>
      </c>
      <c r="AP166" s="8" t="str">
        <f t="shared" si="26"/>
        <v/>
      </c>
      <c r="AQ166" s="73" t="str">
        <f>IFERROR(__xludf.DUMMYFUNCTION("IFNA(QUERY(transpose(AY166:BB166),""Select Col1 where Col1 is not null limit 1"",0))"),"")</f>
        <v/>
      </c>
      <c r="AR166" s="56"/>
      <c r="AS166" s="28" t="str">
        <f t="shared" ref="AS166:AV166" si="1416">IF(AK166=AS$3,"",AS$3)</f>
        <v/>
      </c>
      <c r="AT166" s="28" t="str">
        <f t="shared" si="1416"/>
        <v>Peter</v>
      </c>
      <c r="AU166" s="28" t="str">
        <f t="shared" si="1416"/>
        <v/>
      </c>
      <c r="AV166" s="28" t="str">
        <f t="shared" si="1416"/>
        <v>Christian</v>
      </c>
      <c r="AW166" s="56">
        <f t="shared" si="28"/>
        <v>2</v>
      </c>
      <c r="AX166" s="28">
        <f t="shared" si="29"/>
        <v>0</v>
      </c>
      <c r="AY166" s="28" t="str">
        <f t="shared" ref="AY166:BB166" si="1417">IFNA(IFS(AY$3=$AP166,"",$AX166=U166,AY$3),"")</f>
        <v/>
      </c>
      <c r="AZ166" s="28" t="str">
        <f t="shared" si="1417"/>
        <v/>
      </c>
      <c r="BA166" s="28" t="str">
        <f t="shared" si="1417"/>
        <v/>
      </c>
      <c r="BB166" s="28" t="str">
        <f t="shared" si="1417"/>
        <v/>
      </c>
      <c r="BC166" s="58">
        <f>OFFSET('00_Regnskab_01'!$A$1,MATCH(A166,'00_Regnskab_01'!$A$1:$A$25)-1,2)</f>
        <v>43882</v>
      </c>
      <c r="BE166" s="80">
        <f t="shared" ref="BE166:BH166" si="1418">if(U166&gt;0,1+BE165,0)</f>
        <v>2</v>
      </c>
      <c r="BF166" s="28">
        <f t="shared" si="1418"/>
        <v>0</v>
      </c>
      <c r="BG166" s="28">
        <f t="shared" si="1418"/>
        <v>2</v>
      </c>
      <c r="BH166" s="28">
        <f t="shared" si="1418"/>
        <v>0</v>
      </c>
      <c r="BJ166" s="28">
        <f t="shared" ref="BJ166:BM166" si="1419">if(U166&lt;0,1+BJ165,0)</f>
        <v>0</v>
      </c>
      <c r="BK166" s="28">
        <f t="shared" si="1419"/>
        <v>4</v>
      </c>
      <c r="BL166" s="28">
        <f t="shared" si="1419"/>
        <v>0</v>
      </c>
      <c r="BM166" s="28">
        <f t="shared" si="1419"/>
        <v>2</v>
      </c>
      <c r="BO166" s="74">
        <f t="shared" ref="BO166:BR166" si="1420">if(U166&gt;0,U166+BO165,0)</f>
        <v>16</v>
      </c>
      <c r="BP166" s="74">
        <f t="shared" si="1420"/>
        <v>0</v>
      </c>
      <c r="BQ166" s="74">
        <f t="shared" si="1420"/>
        <v>16</v>
      </c>
      <c r="BR166" s="74">
        <f t="shared" si="1420"/>
        <v>0</v>
      </c>
      <c r="BT166" s="28">
        <f t="shared" ref="BT166:BW166" si="1421">if(U166&lt;0,U166+BT165,0)</f>
        <v>0</v>
      </c>
      <c r="BU166" s="28">
        <f t="shared" si="1421"/>
        <v>-36</v>
      </c>
      <c r="BV166" s="28">
        <f t="shared" si="1421"/>
        <v>0</v>
      </c>
      <c r="BW166" s="28">
        <f t="shared" si="1421"/>
        <v>-16</v>
      </c>
    </row>
    <row r="167">
      <c r="A167" s="89" t="s">
        <v>33</v>
      </c>
      <c r="B167" s="90">
        <f>'12_21-02-2020'!A10</f>
        <v>8</v>
      </c>
      <c r="C167" s="91">
        <f>'12_21-02-2020'!E10</f>
        <v>0</v>
      </c>
      <c r="D167" s="90">
        <f>'12_21-02-2020'!C10</f>
        <v>-8</v>
      </c>
      <c r="E167" s="90">
        <f>'12_21-02-2020'!D10</f>
        <v>48</v>
      </c>
      <c r="F167" s="90">
        <f>'12_21-02-2020'!B10</f>
        <v>-40</v>
      </c>
      <c r="G167" s="90">
        <f>'12_21-02-2020'!F10</f>
        <v>0</v>
      </c>
      <c r="H167" s="90"/>
      <c r="I167" s="90"/>
      <c r="J167" s="92"/>
      <c r="K167" s="90"/>
      <c r="L167" s="84"/>
      <c r="M167" s="84"/>
      <c r="N167" s="84"/>
      <c r="O167" s="84"/>
      <c r="P167" s="84"/>
      <c r="Q167" s="84"/>
      <c r="R167" s="84"/>
      <c r="S167" s="84"/>
      <c r="T167" s="84"/>
      <c r="U167" s="88">
        <f t="shared" ref="U167:X167" si="1422">C167-C166</f>
        <v>-4</v>
      </c>
      <c r="V167" s="84">
        <f t="shared" si="1422"/>
        <v>-4</v>
      </c>
      <c r="W167" s="84">
        <f t="shared" si="1422"/>
        <v>12</v>
      </c>
      <c r="X167" s="84">
        <f t="shared" si="1422"/>
        <v>-4</v>
      </c>
      <c r="Y167" s="84"/>
      <c r="Z167" s="84"/>
      <c r="AA167" s="84"/>
      <c r="AB167" s="84" t="str">
        <f t="shared" ref="AB167:AE167" si="1423">IF(AB$3=$H167,U167,"")</f>
        <v/>
      </c>
      <c r="AC167" s="84" t="str">
        <f t="shared" si="1423"/>
        <v/>
      </c>
      <c r="AD167" s="84" t="str">
        <f t="shared" si="1423"/>
        <v/>
      </c>
      <c r="AE167" s="84" t="str">
        <f t="shared" si="1423"/>
        <v/>
      </c>
      <c r="AF167" s="84"/>
      <c r="AG167" s="84"/>
      <c r="AH167" s="84">
        <f t="shared" si="22"/>
        <v>0</v>
      </c>
      <c r="AI167" s="84">
        <f t="shared" si="23"/>
        <v>0</v>
      </c>
      <c r="AJ167" s="84"/>
      <c r="AK167" s="93" t="str">
        <f t="shared" ref="AK167:AN167" si="1424">IF(U167&gt;0,AK$3,"")</f>
        <v/>
      </c>
      <c r="AL167" s="93" t="str">
        <f t="shared" si="1424"/>
        <v/>
      </c>
      <c r="AM167" s="93" t="str">
        <f t="shared" si="1424"/>
        <v>Janus</v>
      </c>
      <c r="AN167" s="93" t="str">
        <f t="shared" si="1424"/>
        <v/>
      </c>
      <c r="AO167" s="84">
        <f t="shared" si="25"/>
        <v>1</v>
      </c>
      <c r="AP167" s="94" t="str">
        <f t="shared" si="26"/>
        <v/>
      </c>
      <c r="AQ167" s="95" t="str">
        <f>IFERROR(__xludf.DUMMYFUNCTION("IFNA(QUERY(transpose(AY167:BB167),""Select Col1 where Col1 is not null limit 1"",0))"),"")</f>
        <v/>
      </c>
      <c r="AR167" s="84"/>
      <c r="AS167" s="84" t="str">
        <f t="shared" ref="AS167:AV167" si="1425">IF(AK167=AS$3,"",AS$3)</f>
        <v>Thomas</v>
      </c>
      <c r="AT167" s="84" t="str">
        <f t="shared" si="1425"/>
        <v>Peter</v>
      </c>
      <c r="AU167" s="84" t="str">
        <f t="shared" si="1425"/>
        <v/>
      </c>
      <c r="AV167" s="84" t="str">
        <f t="shared" si="1425"/>
        <v>Christian</v>
      </c>
      <c r="AW167" s="84">
        <f t="shared" si="28"/>
        <v>3</v>
      </c>
      <c r="AX167" s="84">
        <f t="shared" si="29"/>
        <v>0</v>
      </c>
      <c r="AY167" s="84" t="str">
        <f t="shared" ref="AY167:BB167" si="1426">IFNA(IFS(AY$3=$AP167,"",$AX167=U167,AY$3),"")</f>
        <v/>
      </c>
      <c r="AZ167" s="84" t="str">
        <f t="shared" si="1426"/>
        <v/>
      </c>
      <c r="BA167" s="84" t="str">
        <f t="shared" si="1426"/>
        <v/>
      </c>
      <c r="BB167" s="84" t="str">
        <f t="shared" si="1426"/>
        <v/>
      </c>
      <c r="BC167" s="96">
        <f>OFFSET('00_Regnskab_01'!$A$1,MATCH(A167,'00_Regnskab_01'!$A$1:$A$25)-1,2)</f>
        <v>43882</v>
      </c>
      <c r="BD167" s="84"/>
      <c r="BE167" s="97">
        <f t="shared" ref="BE167:BH167" si="1427">if(U167&gt;0,1+BE166,0)</f>
        <v>0</v>
      </c>
      <c r="BF167" s="84">
        <f t="shared" si="1427"/>
        <v>0</v>
      </c>
      <c r="BG167" s="84">
        <f t="shared" si="1427"/>
        <v>3</v>
      </c>
      <c r="BH167" s="84">
        <f t="shared" si="1427"/>
        <v>0</v>
      </c>
      <c r="BI167" s="84"/>
      <c r="BJ167" s="28">
        <f t="shared" ref="BJ167:BM167" si="1428">if(U167&lt;0,1+BJ166,0)</f>
        <v>1</v>
      </c>
      <c r="BK167" s="28">
        <f t="shared" si="1428"/>
        <v>5</v>
      </c>
      <c r="BL167" s="28">
        <f t="shared" si="1428"/>
        <v>0</v>
      </c>
      <c r="BM167" s="28">
        <f t="shared" si="1428"/>
        <v>3</v>
      </c>
      <c r="BN167" s="84"/>
      <c r="BO167" s="98">
        <f t="shared" ref="BO167:BR167" si="1429">if(U167&gt;0,U167+BO166,0)</f>
        <v>0</v>
      </c>
      <c r="BP167" s="98">
        <f t="shared" si="1429"/>
        <v>0</v>
      </c>
      <c r="BQ167" s="98">
        <f t="shared" si="1429"/>
        <v>28</v>
      </c>
      <c r="BR167" s="98">
        <f t="shared" si="1429"/>
        <v>0</v>
      </c>
      <c r="BS167" s="84"/>
      <c r="BT167" s="84">
        <f t="shared" ref="BT167:BW167" si="1430">if(U167&lt;0,U167+BT166,0)</f>
        <v>-4</v>
      </c>
      <c r="BU167" s="84">
        <f t="shared" si="1430"/>
        <v>-40</v>
      </c>
      <c r="BV167" s="84">
        <f t="shared" si="1430"/>
        <v>0</v>
      </c>
      <c r="BW167" s="84">
        <f t="shared" si="1430"/>
        <v>-20</v>
      </c>
      <c r="BX167" s="84"/>
      <c r="BY167" s="84"/>
    </row>
    <row r="168">
      <c r="A168" s="51" t="s">
        <v>36</v>
      </c>
      <c r="B168" s="32">
        <f>'12_21-02-2020'!A15</f>
        <v>9</v>
      </c>
      <c r="C168" s="69">
        <f>'12_21-02-2020'!E15</f>
        <v>-32</v>
      </c>
      <c r="D168" s="32">
        <f>'12_21-02-2020'!D15</f>
        <v>-32</v>
      </c>
      <c r="E168" s="32">
        <f>'12_21-02-2020'!B15</f>
        <v>32</v>
      </c>
      <c r="F168" s="32">
        <f>'12_21-02-2020'!C15</f>
        <v>32</v>
      </c>
      <c r="G168" s="32">
        <f>'12_21-02-2020'!G15</f>
        <v>0</v>
      </c>
      <c r="H168" s="32" t="str">
        <f>'12_21-02-2020'!H15</f>
        <v>Thomas</v>
      </c>
      <c r="I168" s="32"/>
      <c r="J168" s="70" t="str">
        <f>'12_21-02-2020'!I15</f>
        <v>janus</v>
      </c>
      <c r="K168" s="32" t="str">
        <f>'12_21-02-2020'!F15</f>
        <v>9 vip i 3</v>
      </c>
      <c r="L168" s="32"/>
      <c r="M168" s="48">
        <v>9.0</v>
      </c>
      <c r="N168" s="48" t="s">
        <v>86</v>
      </c>
      <c r="O168" s="48">
        <v>3.0</v>
      </c>
      <c r="P168" s="32"/>
      <c r="Q168" s="32"/>
      <c r="R168" s="32"/>
      <c r="S168" s="32"/>
      <c r="T168" s="32"/>
      <c r="U168" s="71">
        <f t="shared" ref="U168:X168" si="1431">C168</f>
        <v>-32</v>
      </c>
      <c r="V168" s="32">
        <f t="shared" si="1431"/>
        <v>-32</v>
      </c>
      <c r="W168" s="32">
        <f t="shared" si="1431"/>
        <v>32</v>
      </c>
      <c r="X168" s="32">
        <f t="shared" si="1431"/>
        <v>32</v>
      </c>
      <c r="Y168" s="32"/>
      <c r="Z168" s="32"/>
      <c r="AA168" s="32"/>
      <c r="AB168" s="28">
        <f t="shared" ref="AB168:AE168" si="1432">IF(AB$3=$H168,U168,"")</f>
        <v>-32</v>
      </c>
      <c r="AC168" s="28" t="str">
        <f t="shared" si="1432"/>
        <v/>
      </c>
      <c r="AD168" s="28" t="str">
        <f t="shared" si="1432"/>
        <v/>
      </c>
      <c r="AE168" s="28" t="str">
        <f t="shared" si="1432"/>
        <v/>
      </c>
      <c r="AH168" s="28">
        <f t="shared" si="22"/>
        <v>0</v>
      </c>
      <c r="AI168" s="28">
        <f t="shared" si="23"/>
        <v>-32</v>
      </c>
      <c r="AJ168" s="32"/>
      <c r="AK168" s="78" t="str">
        <f t="shared" ref="AK168:AN168" si="1433">IF(U168&gt;0,AK$3,"")</f>
        <v/>
      </c>
      <c r="AL168" s="78" t="str">
        <f t="shared" si="1433"/>
        <v/>
      </c>
      <c r="AM168" s="78" t="str">
        <f t="shared" si="1433"/>
        <v>Janus</v>
      </c>
      <c r="AN168" s="78" t="str">
        <f t="shared" si="1433"/>
        <v>Christian</v>
      </c>
      <c r="AO168" s="56">
        <f t="shared" si="25"/>
        <v>2</v>
      </c>
      <c r="AP168" s="8" t="str">
        <f t="shared" si="26"/>
        <v>Thomas</v>
      </c>
      <c r="AQ168" s="73" t="str">
        <f>IFERROR(__xludf.DUMMYFUNCTION("IFNA(QUERY(transpose(AY168:BB168),""Select Col1 where Col1 is not null limit 1"",0))"),"Peter")</f>
        <v>Peter</v>
      </c>
      <c r="AR168" s="56"/>
      <c r="AS168" s="28" t="str">
        <f t="shared" ref="AS168:AV168" si="1434">IF(AK168=AS$3,"",AS$3)</f>
        <v>Thomas</v>
      </c>
      <c r="AT168" s="28" t="str">
        <f t="shared" si="1434"/>
        <v>Peter</v>
      </c>
      <c r="AU168" s="28" t="str">
        <f t="shared" si="1434"/>
        <v/>
      </c>
      <c r="AV168" s="28" t="str">
        <f t="shared" si="1434"/>
        <v/>
      </c>
      <c r="AW168" s="56">
        <f t="shared" si="28"/>
        <v>2</v>
      </c>
      <c r="AX168" s="28">
        <f t="shared" si="29"/>
        <v>-32</v>
      </c>
      <c r="AY168" s="28" t="str">
        <f t="shared" ref="AY168:BB168" si="1435">IFNA(IFS(AY$3=$AP168,"",$AX168=U168,AY$3),"")</f>
        <v/>
      </c>
      <c r="AZ168" s="28" t="str">
        <f t="shared" si="1435"/>
        <v>Peter</v>
      </c>
      <c r="BA168" s="28" t="str">
        <f t="shared" si="1435"/>
        <v/>
      </c>
      <c r="BB168" s="28" t="str">
        <f t="shared" si="1435"/>
        <v/>
      </c>
      <c r="BC168" s="58">
        <f>OFFSET('00_Regnskab_01'!$A$1,MATCH(A168,'00_Regnskab_01'!$A$1:$A$25)-1,2)</f>
        <v>43882</v>
      </c>
      <c r="BD168" s="32"/>
      <c r="BE168" s="80">
        <f t="shared" ref="BE168:BH168" si="1436">if(U168&gt;0,1+BE167,0)</f>
        <v>0</v>
      </c>
      <c r="BF168" s="28">
        <f t="shared" si="1436"/>
        <v>0</v>
      </c>
      <c r="BG168" s="28">
        <f t="shared" si="1436"/>
        <v>4</v>
      </c>
      <c r="BH168" s="28">
        <f t="shared" si="1436"/>
        <v>1</v>
      </c>
      <c r="BI168" s="32"/>
      <c r="BJ168" s="28">
        <f t="shared" ref="BJ168:BM168" si="1437">if(U168&lt;0,1+BJ167,0)</f>
        <v>2</v>
      </c>
      <c r="BK168" s="28">
        <f t="shared" si="1437"/>
        <v>6</v>
      </c>
      <c r="BL168" s="28">
        <f t="shared" si="1437"/>
        <v>0</v>
      </c>
      <c r="BM168" s="28">
        <f t="shared" si="1437"/>
        <v>0</v>
      </c>
      <c r="BO168" s="74">
        <f t="shared" ref="BO168:BR168" si="1438">if(U168&gt;0,U168+BO167,0)</f>
        <v>0</v>
      </c>
      <c r="BP168" s="74">
        <f t="shared" si="1438"/>
        <v>0</v>
      </c>
      <c r="BQ168" s="74">
        <f t="shared" si="1438"/>
        <v>60</v>
      </c>
      <c r="BR168" s="74">
        <f t="shared" si="1438"/>
        <v>32</v>
      </c>
      <c r="BT168" s="28">
        <f t="shared" ref="BT168:BW168" si="1439">if(U168&lt;0,U168+BT167,0)</f>
        <v>-36</v>
      </c>
      <c r="BU168" s="28">
        <f t="shared" si="1439"/>
        <v>-72</v>
      </c>
      <c r="BV168" s="28">
        <f t="shared" si="1439"/>
        <v>0</v>
      </c>
      <c r="BW168" s="28">
        <f t="shared" si="1439"/>
        <v>0</v>
      </c>
      <c r="BX168" s="32"/>
      <c r="BY168" s="32"/>
    </row>
    <row r="169">
      <c r="A169" s="53" t="s">
        <v>36</v>
      </c>
      <c r="B169" s="28">
        <f>'12_21-02-2020'!A16</f>
        <v>10</v>
      </c>
      <c r="C169" s="75">
        <f>'12_21-02-2020'!E16</f>
        <v>-36</v>
      </c>
      <c r="D169" s="28">
        <f>'12_21-02-2020'!D16</f>
        <v>-36</v>
      </c>
      <c r="E169" s="28">
        <f>'12_21-02-2020'!B16</f>
        <v>44</v>
      </c>
      <c r="F169" s="28">
        <f>'12_21-02-2020'!C16</f>
        <v>28</v>
      </c>
      <c r="G169" s="28">
        <f>'12_21-02-2020'!G16</f>
        <v>0</v>
      </c>
      <c r="H169" s="28" t="str">
        <f>'12_21-02-2020'!H16</f>
        <v>Janus</v>
      </c>
      <c r="J169" s="76" t="str">
        <f>'12_21-02-2020'!I16</f>
        <v>christian</v>
      </c>
      <c r="K169" s="28" t="str">
        <f>'12_21-02-2020'!F16</f>
        <v>Sol</v>
      </c>
      <c r="L169" s="56"/>
      <c r="N169" s="25" t="s">
        <v>99</v>
      </c>
      <c r="T169" s="56"/>
      <c r="U169" s="77">
        <f t="shared" ref="U169:X169" si="1440">C169-C168</f>
        <v>-4</v>
      </c>
      <c r="V169" s="28">
        <f t="shared" si="1440"/>
        <v>-4</v>
      </c>
      <c r="W169" s="28">
        <f t="shared" si="1440"/>
        <v>12</v>
      </c>
      <c r="X169" s="28">
        <f t="shared" si="1440"/>
        <v>-4</v>
      </c>
      <c r="AB169" s="28" t="str">
        <f t="shared" ref="AB169:AE169" si="1441">IF(AB$3=$H169,U169,"")</f>
        <v/>
      </c>
      <c r="AC169" s="28" t="str">
        <f t="shared" si="1441"/>
        <v/>
      </c>
      <c r="AD169" s="28">
        <f t="shared" si="1441"/>
        <v>12</v>
      </c>
      <c r="AE169" s="28" t="str">
        <f t="shared" si="1441"/>
        <v/>
      </c>
      <c r="AH169" s="28">
        <f t="shared" si="22"/>
        <v>12</v>
      </c>
      <c r="AI169" s="28">
        <f t="shared" si="23"/>
        <v>0</v>
      </c>
      <c r="AK169" s="78" t="str">
        <f t="shared" ref="AK169:AN169" si="1442">IF(U169&gt;0,AK$3,"")</f>
        <v/>
      </c>
      <c r="AL169" s="78" t="str">
        <f t="shared" si="1442"/>
        <v/>
      </c>
      <c r="AM169" s="78" t="str">
        <f t="shared" si="1442"/>
        <v>Janus</v>
      </c>
      <c r="AN169" s="78" t="str">
        <f t="shared" si="1442"/>
        <v/>
      </c>
      <c r="AO169" s="56">
        <f t="shared" si="25"/>
        <v>1</v>
      </c>
      <c r="AP169" s="8" t="str">
        <f t="shared" si="26"/>
        <v>Janus</v>
      </c>
      <c r="AQ169" s="73" t="str">
        <f>IFERROR(__xludf.DUMMYFUNCTION("IFNA(QUERY(transpose(AY169:BB169),""Select Col1 where Col1 is not null limit 1"",0))"),"")</f>
        <v/>
      </c>
      <c r="AR169" s="56"/>
      <c r="AS169" s="28" t="str">
        <f t="shared" ref="AS169:AV169" si="1443">IF(AK169=AS$3,"",AS$3)</f>
        <v>Thomas</v>
      </c>
      <c r="AT169" s="28" t="str">
        <f t="shared" si="1443"/>
        <v>Peter</v>
      </c>
      <c r="AU169" s="28" t="str">
        <f t="shared" si="1443"/>
        <v/>
      </c>
      <c r="AV169" s="28" t="str">
        <f t="shared" si="1443"/>
        <v>Christian</v>
      </c>
      <c r="AW169" s="56">
        <f t="shared" si="28"/>
        <v>3</v>
      </c>
      <c r="AX169" s="28">
        <f t="shared" si="29"/>
        <v>12</v>
      </c>
      <c r="AY169" s="28" t="str">
        <f t="shared" ref="AY169:BB169" si="1444">IFNA(IFS(AY$3=$AP169,"",$AX169=U169,AY$3),"")</f>
        <v/>
      </c>
      <c r="AZ169" s="28" t="str">
        <f t="shared" si="1444"/>
        <v/>
      </c>
      <c r="BA169" s="28" t="str">
        <f t="shared" si="1444"/>
        <v/>
      </c>
      <c r="BB169" s="28" t="str">
        <f t="shared" si="1444"/>
        <v/>
      </c>
      <c r="BC169" s="58">
        <f>OFFSET('00_Regnskab_01'!$A$1,MATCH(A169,'00_Regnskab_01'!$A$1:$A$25)-1,2)</f>
        <v>43882</v>
      </c>
      <c r="BE169" s="80">
        <f t="shared" ref="BE169:BH169" si="1445">if(U169&gt;0,1+BE168,0)</f>
        <v>0</v>
      </c>
      <c r="BF169" s="28">
        <f t="shared" si="1445"/>
        <v>0</v>
      </c>
      <c r="BG169" s="28">
        <f t="shared" si="1445"/>
        <v>5</v>
      </c>
      <c r="BH169" s="28">
        <f t="shared" si="1445"/>
        <v>0</v>
      </c>
      <c r="BJ169" s="28">
        <f t="shared" ref="BJ169:BM169" si="1446">if(U169&lt;0,1+BJ168,0)</f>
        <v>3</v>
      </c>
      <c r="BK169" s="28">
        <f t="shared" si="1446"/>
        <v>7</v>
      </c>
      <c r="BL169" s="28">
        <f t="shared" si="1446"/>
        <v>0</v>
      </c>
      <c r="BM169" s="28">
        <f t="shared" si="1446"/>
        <v>1</v>
      </c>
      <c r="BO169" s="74">
        <f t="shared" ref="BO169:BR169" si="1447">if(U169&gt;0,U169+BO168,0)</f>
        <v>0</v>
      </c>
      <c r="BP169" s="74">
        <f t="shared" si="1447"/>
        <v>0</v>
      </c>
      <c r="BQ169" s="74">
        <f t="shared" si="1447"/>
        <v>72</v>
      </c>
      <c r="BR169" s="74">
        <f t="shared" si="1447"/>
        <v>0</v>
      </c>
      <c r="BT169" s="28">
        <f t="shared" ref="BT169:BW169" si="1448">if(U169&lt;0,U169+BT168,0)</f>
        <v>-40</v>
      </c>
      <c r="BU169" s="28">
        <f t="shared" si="1448"/>
        <v>-76</v>
      </c>
      <c r="BV169" s="28">
        <f t="shared" si="1448"/>
        <v>0</v>
      </c>
      <c r="BW169" s="28">
        <f t="shared" si="1448"/>
        <v>-4</v>
      </c>
    </row>
    <row r="170">
      <c r="A170" s="53" t="s">
        <v>36</v>
      </c>
      <c r="B170" s="28">
        <f>'12_21-02-2020'!A17</f>
        <v>11</v>
      </c>
      <c r="C170" s="75">
        <f>'12_21-02-2020'!E17</f>
        <v>-28</v>
      </c>
      <c r="D170" s="28">
        <f>'12_21-02-2020'!D17</f>
        <v>-44</v>
      </c>
      <c r="E170" s="28">
        <f>'12_21-02-2020'!B17</f>
        <v>36</v>
      </c>
      <c r="F170" s="28">
        <f>'12_21-02-2020'!C17</f>
        <v>36</v>
      </c>
      <c r="G170" s="28">
        <f>'12_21-02-2020'!G17</f>
        <v>0</v>
      </c>
      <c r="H170" s="28" t="str">
        <f>'12_21-02-2020'!H17</f>
        <v>Christian</v>
      </c>
      <c r="J170" s="76" t="str">
        <f>'12_21-02-2020'!I17</f>
        <v>thomas</v>
      </c>
      <c r="K170" s="28" t="str">
        <f>'12_21-02-2020'!F17</f>
        <v>9 alm</v>
      </c>
      <c r="L170" s="56"/>
      <c r="M170" s="25">
        <v>9.0</v>
      </c>
      <c r="N170" s="25" t="s">
        <v>100</v>
      </c>
      <c r="T170" s="56"/>
      <c r="U170" s="77">
        <f t="shared" ref="U170:X170" si="1449">C170-C169</f>
        <v>8</v>
      </c>
      <c r="V170" s="28">
        <f t="shared" si="1449"/>
        <v>-8</v>
      </c>
      <c r="W170" s="28">
        <f t="shared" si="1449"/>
        <v>-8</v>
      </c>
      <c r="X170" s="28">
        <f t="shared" si="1449"/>
        <v>8</v>
      </c>
      <c r="AB170" s="28" t="str">
        <f t="shared" ref="AB170:AE170" si="1450">IF(AB$3=$H170,U170,"")</f>
        <v/>
      </c>
      <c r="AC170" s="28" t="str">
        <f t="shared" si="1450"/>
        <v/>
      </c>
      <c r="AD170" s="28" t="str">
        <f t="shared" si="1450"/>
        <v/>
      </c>
      <c r="AE170" s="28">
        <f t="shared" si="1450"/>
        <v>8</v>
      </c>
      <c r="AH170" s="28">
        <f t="shared" si="22"/>
        <v>8</v>
      </c>
      <c r="AI170" s="28">
        <f t="shared" si="23"/>
        <v>0</v>
      </c>
      <c r="AK170" s="78" t="str">
        <f t="shared" ref="AK170:AN170" si="1451">IF(U170&gt;0,AK$3,"")</f>
        <v>Thomas</v>
      </c>
      <c r="AL170" s="78" t="str">
        <f t="shared" si="1451"/>
        <v/>
      </c>
      <c r="AM170" s="78" t="str">
        <f t="shared" si="1451"/>
        <v/>
      </c>
      <c r="AN170" s="78" t="str">
        <f t="shared" si="1451"/>
        <v>Christian</v>
      </c>
      <c r="AO170" s="56">
        <f t="shared" si="25"/>
        <v>2</v>
      </c>
      <c r="AP170" s="8" t="str">
        <f t="shared" si="26"/>
        <v>Christian</v>
      </c>
      <c r="AQ170" s="73" t="str">
        <f>IFERROR(__xludf.DUMMYFUNCTION("IFNA(QUERY(transpose(AY170:BB170),""Select Col1 where Col1 is not null limit 1"",0))"),"Thomas")</f>
        <v>Thomas</v>
      </c>
      <c r="AR170" s="56"/>
      <c r="AS170" s="28" t="str">
        <f t="shared" ref="AS170:AV170" si="1452">IF(AK170=AS$3,"",AS$3)</f>
        <v/>
      </c>
      <c r="AT170" s="28" t="str">
        <f t="shared" si="1452"/>
        <v>Peter</v>
      </c>
      <c r="AU170" s="28" t="str">
        <f t="shared" si="1452"/>
        <v>Janus</v>
      </c>
      <c r="AV170" s="28" t="str">
        <f t="shared" si="1452"/>
        <v/>
      </c>
      <c r="AW170" s="56">
        <f t="shared" si="28"/>
        <v>2</v>
      </c>
      <c r="AX170" s="28">
        <f t="shared" si="29"/>
        <v>8</v>
      </c>
      <c r="AY170" s="28" t="str">
        <f t="shared" ref="AY170:BB170" si="1453">IFNA(IFS(AY$3=$AP170,"",$AX170=U170,AY$3),"")</f>
        <v>Thomas</v>
      </c>
      <c r="AZ170" s="28" t="str">
        <f t="shared" si="1453"/>
        <v/>
      </c>
      <c r="BA170" s="28" t="str">
        <f t="shared" si="1453"/>
        <v/>
      </c>
      <c r="BB170" s="28" t="str">
        <f t="shared" si="1453"/>
        <v/>
      </c>
      <c r="BC170" s="58">
        <f>OFFSET('00_Regnskab_01'!$A$1,MATCH(A170,'00_Regnskab_01'!$A$1:$A$25)-1,2)</f>
        <v>43882</v>
      </c>
      <c r="BE170" s="80">
        <f t="shared" ref="BE170:BH170" si="1454">if(U170&gt;0,1+BE169,0)</f>
        <v>1</v>
      </c>
      <c r="BF170" s="28">
        <f t="shared" si="1454"/>
        <v>0</v>
      </c>
      <c r="BG170" s="28">
        <f t="shared" si="1454"/>
        <v>0</v>
      </c>
      <c r="BH170" s="28">
        <f t="shared" si="1454"/>
        <v>1</v>
      </c>
      <c r="BJ170" s="28">
        <f t="shared" ref="BJ170:BM170" si="1455">if(U170&lt;0,1+BJ169,0)</f>
        <v>0</v>
      </c>
      <c r="BK170" s="28">
        <f t="shared" si="1455"/>
        <v>8</v>
      </c>
      <c r="BL170" s="28">
        <f t="shared" si="1455"/>
        <v>1</v>
      </c>
      <c r="BM170" s="28">
        <f t="shared" si="1455"/>
        <v>0</v>
      </c>
      <c r="BO170" s="74">
        <f t="shared" ref="BO170:BR170" si="1456">if(U170&gt;0,U170+BO169,0)</f>
        <v>8</v>
      </c>
      <c r="BP170" s="74">
        <f t="shared" si="1456"/>
        <v>0</v>
      </c>
      <c r="BQ170" s="74">
        <f t="shared" si="1456"/>
        <v>0</v>
      </c>
      <c r="BR170" s="74">
        <f t="shared" si="1456"/>
        <v>8</v>
      </c>
      <c r="BT170" s="28">
        <f t="shared" ref="BT170:BW170" si="1457">if(U170&lt;0,U170+BT169,0)</f>
        <v>0</v>
      </c>
      <c r="BU170" s="28">
        <f t="shared" si="1457"/>
        <v>-84</v>
      </c>
      <c r="BV170" s="28">
        <f t="shared" si="1457"/>
        <v>-8</v>
      </c>
      <c r="BW170" s="28">
        <f t="shared" si="1457"/>
        <v>0</v>
      </c>
    </row>
    <row r="171">
      <c r="A171" s="53" t="s">
        <v>36</v>
      </c>
      <c r="B171" s="28">
        <f>'12_21-02-2020'!A18</f>
        <v>12</v>
      </c>
      <c r="C171" s="75">
        <f>'12_21-02-2020'!E18</f>
        <v>-36</v>
      </c>
      <c r="D171" s="28">
        <f>'12_21-02-2020'!D18</f>
        <v>-36</v>
      </c>
      <c r="E171" s="28">
        <f>'12_21-02-2020'!B18</f>
        <v>28</v>
      </c>
      <c r="F171" s="28">
        <f>'12_21-02-2020'!C18</f>
        <v>44</v>
      </c>
      <c r="G171" s="28">
        <f>'12_21-02-2020'!G18</f>
        <v>0</v>
      </c>
      <c r="H171" s="28" t="str">
        <f>'12_21-02-2020'!H18</f>
        <v>Peter</v>
      </c>
      <c r="J171" s="76" t="str">
        <f>'12_21-02-2020'!I18</f>
        <v>peter</v>
      </c>
      <c r="K171" s="28" t="str">
        <f>'12_21-02-2020'!F18</f>
        <v>sans</v>
      </c>
      <c r="L171" s="56"/>
      <c r="N171" s="25" t="s">
        <v>98</v>
      </c>
      <c r="T171" s="56"/>
      <c r="U171" s="77">
        <f t="shared" ref="U171:X171" si="1458">C171-C170</f>
        <v>-8</v>
      </c>
      <c r="V171" s="28">
        <f t="shared" si="1458"/>
        <v>8</v>
      </c>
      <c r="W171" s="28">
        <f t="shared" si="1458"/>
        <v>-8</v>
      </c>
      <c r="X171" s="28">
        <f t="shared" si="1458"/>
        <v>8</v>
      </c>
      <c r="AB171" s="28" t="str">
        <f t="shared" ref="AB171:AE171" si="1459">IF(AB$3=$H171,U171,"")</f>
        <v/>
      </c>
      <c r="AC171" s="28">
        <f t="shared" si="1459"/>
        <v>8</v>
      </c>
      <c r="AD171" s="28" t="str">
        <f t="shared" si="1459"/>
        <v/>
      </c>
      <c r="AE171" s="28" t="str">
        <f t="shared" si="1459"/>
        <v/>
      </c>
      <c r="AH171" s="28">
        <f t="shared" si="22"/>
        <v>8</v>
      </c>
      <c r="AI171" s="28">
        <f t="shared" si="23"/>
        <v>0</v>
      </c>
      <c r="AK171" s="78" t="str">
        <f t="shared" ref="AK171:AN171" si="1460">IF(U171&gt;0,AK$3,"")</f>
        <v/>
      </c>
      <c r="AL171" s="78" t="str">
        <f t="shared" si="1460"/>
        <v>Peter</v>
      </c>
      <c r="AM171" s="78" t="str">
        <f t="shared" si="1460"/>
        <v/>
      </c>
      <c r="AN171" s="78" t="str">
        <f t="shared" si="1460"/>
        <v>Christian</v>
      </c>
      <c r="AO171" s="56">
        <f t="shared" si="25"/>
        <v>2</v>
      </c>
      <c r="AP171" s="8" t="str">
        <f t="shared" si="26"/>
        <v>Peter</v>
      </c>
      <c r="AQ171" s="73" t="str">
        <f>IFERROR(__xludf.DUMMYFUNCTION("IFNA(QUERY(transpose(AY171:BB171),""Select Col1 where Col1 is not null limit 1"",0))"),"Christian")</f>
        <v>Christian</v>
      </c>
      <c r="AR171" s="56"/>
      <c r="AS171" s="28" t="str">
        <f t="shared" ref="AS171:AV171" si="1461">IF(AK171=AS$3,"",AS$3)</f>
        <v>Thomas</v>
      </c>
      <c r="AT171" s="28" t="str">
        <f t="shared" si="1461"/>
        <v/>
      </c>
      <c r="AU171" s="28" t="str">
        <f t="shared" si="1461"/>
        <v>Janus</v>
      </c>
      <c r="AV171" s="28" t="str">
        <f t="shared" si="1461"/>
        <v/>
      </c>
      <c r="AW171" s="56">
        <f t="shared" si="28"/>
        <v>2</v>
      </c>
      <c r="AX171" s="28">
        <f t="shared" si="29"/>
        <v>8</v>
      </c>
      <c r="AY171" s="28" t="str">
        <f t="shared" ref="AY171:BB171" si="1462">IFNA(IFS(AY$3=$AP171,"",$AX171=U171,AY$3),"")</f>
        <v/>
      </c>
      <c r="AZ171" s="28" t="str">
        <f t="shared" si="1462"/>
        <v/>
      </c>
      <c r="BA171" s="28" t="str">
        <f t="shared" si="1462"/>
        <v/>
      </c>
      <c r="BB171" s="28" t="str">
        <f t="shared" si="1462"/>
        <v>Christian</v>
      </c>
      <c r="BC171" s="58">
        <f>OFFSET('00_Regnskab_01'!$A$1,MATCH(A171,'00_Regnskab_01'!$A$1:$A$25)-1,2)</f>
        <v>43882</v>
      </c>
      <c r="BE171" s="80">
        <f t="shared" ref="BE171:BH171" si="1463">if(U171&gt;0,1+BE170,0)</f>
        <v>0</v>
      </c>
      <c r="BF171" s="28">
        <f t="shared" si="1463"/>
        <v>1</v>
      </c>
      <c r="BG171" s="28">
        <f t="shared" si="1463"/>
        <v>0</v>
      </c>
      <c r="BH171" s="28">
        <f t="shared" si="1463"/>
        <v>2</v>
      </c>
      <c r="BJ171" s="28">
        <f t="shared" ref="BJ171:BM171" si="1464">if(U171&lt;0,1+BJ170,0)</f>
        <v>1</v>
      </c>
      <c r="BK171" s="28">
        <f t="shared" si="1464"/>
        <v>0</v>
      </c>
      <c r="BL171" s="28">
        <f t="shared" si="1464"/>
        <v>2</v>
      </c>
      <c r="BM171" s="28">
        <f t="shared" si="1464"/>
        <v>0</v>
      </c>
      <c r="BO171" s="74">
        <f t="shared" ref="BO171:BR171" si="1465">if(U171&gt;0,U171+BO170,0)</f>
        <v>0</v>
      </c>
      <c r="BP171" s="74">
        <f t="shared" si="1465"/>
        <v>8</v>
      </c>
      <c r="BQ171" s="74">
        <f t="shared" si="1465"/>
        <v>0</v>
      </c>
      <c r="BR171" s="74">
        <f t="shared" si="1465"/>
        <v>16</v>
      </c>
      <c r="BT171" s="28">
        <f t="shared" ref="BT171:BW171" si="1466">if(U171&lt;0,U171+BT170,0)</f>
        <v>-8</v>
      </c>
      <c r="BU171" s="28">
        <f t="shared" si="1466"/>
        <v>0</v>
      </c>
      <c r="BV171" s="28">
        <f t="shared" si="1466"/>
        <v>-16</v>
      </c>
      <c r="BW171" s="28">
        <f t="shared" si="1466"/>
        <v>0</v>
      </c>
    </row>
    <row r="172">
      <c r="A172" s="53" t="s">
        <v>36</v>
      </c>
      <c r="B172" s="28">
        <f>'12_21-02-2020'!A19</f>
        <v>13</v>
      </c>
      <c r="C172" s="75">
        <f>'12_21-02-2020'!E19</f>
        <v>-28</v>
      </c>
      <c r="D172" s="28">
        <f>'12_21-02-2020'!D19</f>
        <v>-44</v>
      </c>
      <c r="E172" s="28">
        <f>'12_21-02-2020'!B19</f>
        <v>36</v>
      </c>
      <c r="F172" s="28">
        <f>'12_21-02-2020'!C19</f>
        <v>36</v>
      </c>
      <c r="G172" s="28">
        <f>'12_21-02-2020'!G19</f>
        <v>0</v>
      </c>
      <c r="H172" s="28" t="str">
        <f>'12_21-02-2020'!H19</f>
        <v>Thomas</v>
      </c>
      <c r="J172" s="76" t="str">
        <f>'12_21-02-2020'!I19</f>
        <v>janus</v>
      </c>
      <c r="K172" s="28" t="str">
        <f>'12_21-02-2020'!F19</f>
        <v>9 halve</v>
      </c>
      <c r="L172" s="56"/>
      <c r="M172" s="25">
        <v>9.0</v>
      </c>
      <c r="N172" s="25" t="s">
        <v>94</v>
      </c>
      <c r="T172" s="56"/>
      <c r="U172" s="77">
        <f t="shared" ref="U172:X172" si="1467">C172-C171</f>
        <v>8</v>
      </c>
      <c r="V172" s="28">
        <f t="shared" si="1467"/>
        <v>-8</v>
      </c>
      <c r="W172" s="28">
        <f t="shared" si="1467"/>
        <v>8</v>
      </c>
      <c r="X172" s="28">
        <f t="shared" si="1467"/>
        <v>-8</v>
      </c>
      <c r="AB172" s="28">
        <f t="shared" ref="AB172:AE172" si="1468">IF(AB$3=$H172,U172,"")</f>
        <v>8</v>
      </c>
      <c r="AC172" s="28" t="str">
        <f t="shared" si="1468"/>
        <v/>
      </c>
      <c r="AD172" s="28" t="str">
        <f t="shared" si="1468"/>
        <v/>
      </c>
      <c r="AE172" s="28" t="str">
        <f t="shared" si="1468"/>
        <v/>
      </c>
      <c r="AH172" s="28">
        <f t="shared" si="22"/>
        <v>8</v>
      </c>
      <c r="AI172" s="28">
        <f t="shared" si="23"/>
        <v>0</v>
      </c>
      <c r="AK172" s="78" t="str">
        <f t="shared" ref="AK172:AN172" si="1469">IF(U172&gt;0,AK$3,"")</f>
        <v>Thomas</v>
      </c>
      <c r="AL172" s="78" t="str">
        <f t="shared" si="1469"/>
        <v/>
      </c>
      <c r="AM172" s="78" t="str">
        <f t="shared" si="1469"/>
        <v>Janus</v>
      </c>
      <c r="AN172" s="78" t="str">
        <f t="shared" si="1469"/>
        <v/>
      </c>
      <c r="AO172" s="56">
        <f t="shared" si="25"/>
        <v>2</v>
      </c>
      <c r="AP172" s="8" t="str">
        <f t="shared" si="26"/>
        <v>Thomas</v>
      </c>
      <c r="AQ172" s="73" t="str">
        <f>IFERROR(__xludf.DUMMYFUNCTION("IFNA(QUERY(transpose(AY172:BB172),""Select Col1 where Col1 is not null limit 1"",0))"),"Janus")</f>
        <v>Janus</v>
      </c>
      <c r="AR172" s="56"/>
      <c r="AS172" s="28" t="str">
        <f t="shared" ref="AS172:AV172" si="1470">IF(AK172=AS$3,"",AS$3)</f>
        <v/>
      </c>
      <c r="AT172" s="28" t="str">
        <f t="shared" si="1470"/>
        <v>Peter</v>
      </c>
      <c r="AU172" s="28" t="str">
        <f t="shared" si="1470"/>
        <v/>
      </c>
      <c r="AV172" s="28" t="str">
        <f t="shared" si="1470"/>
        <v>Christian</v>
      </c>
      <c r="AW172" s="56">
        <f t="shared" si="28"/>
        <v>2</v>
      </c>
      <c r="AX172" s="28">
        <f t="shared" si="29"/>
        <v>8</v>
      </c>
      <c r="AY172" s="28" t="str">
        <f t="shared" ref="AY172:BB172" si="1471">IFNA(IFS(AY$3=$AP172,"",$AX172=U172,AY$3),"")</f>
        <v/>
      </c>
      <c r="AZ172" s="28" t="str">
        <f t="shared" si="1471"/>
        <v/>
      </c>
      <c r="BA172" s="28" t="str">
        <f t="shared" si="1471"/>
        <v>Janus</v>
      </c>
      <c r="BB172" s="28" t="str">
        <f t="shared" si="1471"/>
        <v/>
      </c>
      <c r="BC172" s="58">
        <f>OFFSET('00_Regnskab_01'!$A$1,MATCH(A172,'00_Regnskab_01'!$A$1:$A$25)-1,2)</f>
        <v>43882</v>
      </c>
      <c r="BE172" s="80">
        <f t="shared" ref="BE172:BH172" si="1472">if(U172&gt;0,1+BE171,0)</f>
        <v>1</v>
      </c>
      <c r="BF172" s="28">
        <f t="shared" si="1472"/>
        <v>0</v>
      </c>
      <c r="BG172" s="28">
        <f t="shared" si="1472"/>
        <v>1</v>
      </c>
      <c r="BH172" s="28">
        <f t="shared" si="1472"/>
        <v>0</v>
      </c>
      <c r="BJ172" s="28">
        <f t="shared" ref="BJ172:BM172" si="1473">if(U172&lt;0,1+BJ171,0)</f>
        <v>0</v>
      </c>
      <c r="BK172" s="28">
        <f t="shared" si="1473"/>
        <v>1</v>
      </c>
      <c r="BL172" s="28">
        <f t="shared" si="1473"/>
        <v>0</v>
      </c>
      <c r="BM172" s="28">
        <f t="shared" si="1473"/>
        <v>1</v>
      </c>
      <c r="BO172" s="74">
        <f t="shared" ref="BO172:BR172" si="1474">if(U172&gt;0,U172+BO171,0)</f>
        <v>8</v>
      </c>
      <c r="BP172" s="74">
        <f t="shared" si="1474"/>
        <v>0</v>
      </c>
      <c r="BQ172" s="74">
        <f t="shared" si="1474"/>
        <v>8</v>
      </c>
      <c r="BR172" s="74">
        <f t="shared" si="1474"/>
        <v>0</v>
      </c>
      <c r="BT172" s="28">
        <f t="shared" ref="BT172:BW172" si="1475">if(U172&lt;0,U172+BT171,0)</f>
        <v>0</v>
      </c>
      <c r="BU172" s="28">
        <f t="shared" si="1475"/>
        <v>-8</v>
      </c>
      <c r="BV172" s="28">
        <f t="shared" si="1475"/>
        <v>0</v>
      </c>
      <c r="BW172" s="28">
        <f t="shared" si="1475"/>
        <v>-8</v>
      </c>
    </row>
    <row r="173">
      <c r="A173" s="53" t="s">
        <v>36</v>
      </c>
      <c r="B173" s="28">
        <f>'12_21-02-2020'!A20</f>
        <v>14</v>
      </c>
      <c r="C173" s="75">
        <f>'12_21-02-2020'!E20</f>
        <v>-36</v>
      </c>
      <c r="D173" s="28">
        <f>'12_21-02-2020'!D20</f>
        <v>-36</v>
      </c>
      <c r="E173" s="28">
        <f>'12_21-02-2020'!B20</f>
        <v>28</v>
      </c>
      <c r="F173" s="28">
        <f>'12_21-02-2020'!C20</f>
        <v>44</v>
      </c>
      <c r="G173" s="28">
        <f>'12_21-02-2020'!G20</f>
        <v>0</v>
      </c>
      <c r="H173" s="28" t="str">
        <f>'12_21-02-2020'!H20</f>
        <v>Christian</v>
      </c>
      <c r="J173" s="76" t="str">
        <f>'12_21-02-2020'!I20</f>
        <v>christian</v>
      </c>
      <c r="K173" s="28" t="str">
        <f>'12_21-02-2020'!F20</f>
        <v>9 alm</v>
      </c>
      <c r="L173" s="56"/>
      <c r="M173" s="25">
        <v>9.0</v>
      </c>
      <c r="N173" s="25" t="s">
        <v>100</v>
      </c>
      <c r="T173" s="56"/>
      <c r="U173" s="77">
        <f t="shared" ref="U173:X173" si="1476">C173-C172</f>
        <v>-8</v>
      </c>
      <c r="V173" s="28">
        <f t="shared" si="1476"/>
        <v>8</v>
      </c>
      <c r="W173" s="28">
        <f t="shared" si="1476"/>
        <v>-8</v>
      </c>
      <c r="X173" s="28">
        <f t="shared" si="1476"/>
        <v>8</v>
      </c>
      <c r="AB173" s="28" t="str">
        <f t="shared" ref="AB173:AE173" si="1477">IF(AB$3=$H173,U173,"")</f>
        <v/>
      </c>
      <c r="AC173" s="28" t="str">
        <f t="shared" si="1477"/>
        <v/>
      </c>
      <c r="AD173" s="28" t="str">
        <f t="shared" si="1477"/>
        <v/>
      </c>
      <c r="AE173" s="28">
        <f t="shared" si="1477"/>
        <v>8</v>
      </c>
      <c r="AH173" s="28">
        <f t="shared" si="22"/>
        <v>8</v>
      </c>
      <c r="AI173" s="28">
        <f t="shared" si="23"/>
        <v>0</v>
      </c>
      <c r="AK173" s="78" t="str">
        <f t="shared" ref="AK173:AN173" si="1478">IF(U173&gt;0,AK$3,"")</f>
        <v/>
      </c>
      <c r="AL173" s="78" t="str">
        <f t="shared" si="1478"/>
        <v>Peter</v>
      </c>
      <c r="AM173" s="78" t="str">
        <f t="shared" si="1478"/>
        <v/>
      </c>
      <c r="AN173" s="78" t="str">
        <f t="shared" si="1478"/>
        <v>Christian</v>
      </c>
      <c r="AO173" s="56">
        <f t="shared" si="25"/>
        <v>2</v>
      </c>
      <c r="AP173" s="8" t="str">
        <f t="shared" si="26"/>
        <v>Christian</v>
      </c>
      <c r="AQ173" s="73" t="str">
        <f>IFERROR(__xludf.DUMMYFUNCTION("IFNA(QUERY(transpose(AY173:BB173),""Select Col1 where Col1 is not null limit 1"",0))"),"Peter")</f>
        <v>Peter</v>
      </c>
      <c r="AR173" s="56"/>
      <c r="AS173" s="28" t="str">
        <f t="shared" ref="AS173:AV173" si="1479">IF(AK173=AS$3,"",AS$3)</f>
        <v>Thomas</v>
      </c>
      <c r="AT173" s="28" t="str">
        <f t="shared" si="1479"/>
        <v/>
      </c>
      <c r="AU173" s="28" t="str">
        <f t="shared" si="1479"/>
        <v>Janus</v>
      </c>
      <c r="AV173" s="28" t="str">
        <f t="shared" si="1479"/>
        <v/>
      </c>
      <c r="AW173" s="56">
        <f t="shared" si="28"/>
        <v>2</v>
      </c>
      <c r="AX173" s="28">
        <f t="shared" si="29"/>
        <v>8</v>
      </c>
      <c r="AY173" s="28" t="str">
        <f t="shared" ref="AY173:BB173" si="1480">IFNA(IFS(AY$3=$AP173,"",$AX173=U173,AY$3),"")</f>
        <v/>
      </c>
      <c r="AZ173" s="28" t="str">
        <f t="shared" si="1480"/>
        <v>Peter</v>
      </c>
      <c r="BA173" s="28" t="str">
        <f t="shared" si="1480"/>
        <v/>
      </c>
      <c r="BB173" s="28" t="str">
        <f t="shared" si="1480"/>
        <v/>
      </c>
      <c r="BC173" s="58">
        <f>OFFSET('00_Regnskab_01'!$A$1,MATCH(A173,'00_Regnskab_01'!$A$1:$A$25)-1,2)</f>
        <v>43882</v>
      </c>
      <c r="BE173" s="80">
        <f t="shared" ref="BE173:BH173" si="1481">if(U173&gt;0,1+BE172,0)</f>
        <v>0</v>
      </c>
      <c r="BF173" s="28">
        <f t="shared" si="1481"/>
        <v>1</v>
      </c>
      <c r="BG173" s="28">
        <f t="shared" si="1481"/>
        <v>0</v>
      </c>
      <c r="BH173" s="28">
        <f t="shared" si="1481"/>
        <v>1</v>
      </c>
      <c r="BJ173" s="28">
        <f t="shared" ref="BJ173:BM173" si="1482">if(U173&lt;0,1+BJ172,0)</f>
        <v>1</v>
      </c>
      <c r="BK173" s="28">
        <f t="shared" si="1482"/>
        <v>0</v>
      </c>
      <c r="BL173" s="28">
        <f t="shared" si="1482"/>
        <v>1</v>
      </c>
      <c r="BM173" s="28">
        <f t="shared" si="1482"/>
        <v>0</v>
      </c>
      <c r="BO173" s="74">
        <f t="shared" ref="BO173:BR173" si="1483">if(U173&gt;0,U173+BO172,0)</f>
        <v>0</v>
      </c>
      <c r="BP173" s="74">
        <f t="shared" si="1483"/>
        <v>8</v>
      </c>
      <c r="BQ173" s="74">
        <f t="shared" si="1483"/>
        <v>0</v>
      </c>
      <c r="BR173" s="74">
        <f t="shared" si="1483"/>
        <v>8</v>
      </c>
      <c r="BT173" s="28">
        <f t="shared" ref="BT173:BW173" si="1484">if(U173&lt;0,U173+BT172,0)</f>
        <v>-8</v>
      </c>
      <c r="BU173" s="28">
        <f t="shared" si="1484"/>
        <v>0</v>
      </c>
      <c r="BV173" s="28">
        <f t="shared" si="1484"/>
        <v>-8</v>
      </c>
      <c r="BW173" s="28">
        <f t="shared" si="1484"/>
        <v>0</v>
      </c>
    </row>
    <row r="174">
      <c r="A174" s="53" t="s">
        <v>36</v>
      </c>
      <c r="B174" s="28">
        <f>'12_21-02-2020'!A21</f>
        <v>15</v>
      </c>
      <c r="C174" s="75">
        <f>'12_21-02-2020'!E21</f>
        <v>-12</v>
      </c>
      <c r="D174" s="28">
        <f>'12_21-02-2020'!D21</f>
        <v>-60</v>
      </c>
      <c r="E174" s="28">
        <f>'12_21-02-2020'!B21</f>
        <v>52</v>
      </c>
      <c r="F174" s="28">
        <f>'12_21-02-2020'!C21</f>
        <v>20</v>
      </c>
      <c r="G174" s="28">
        <f>'12_21-02-2020'!G21</f>
        <v>0</v>
      </c>
      <c r="H174" s="28" t="str">
        <f>'12_21-02-2020'!H21</f>
        <v>Peter</v>
      </c>
      <c r="J174" s="76" t="str">
        <f>'12_21-02-2020'!I21</f>
        <v>thomas</v>
      </c>
      <c r="K174" s="28" t="str">
        <f>'12_21-02-2020'!F21</f>
        <v>10 halve</v>
      </c>
      <c r="L174" s="56"/>
      <c r="M174" s="25">
        <v>10.0</v>
      </c>
      <c r="N174" s="25" t="s">
        <v>94</v>
      </c>
      <c r="T174" s="56"/>
      <c r="U174" s="77">
        <f t="shared" ref="U174:X174" si="1485">C174-C173</f>
        <v>24</v>
      </c>
      <c r="V174" s="28">
        <f t="shared" si="1485"/>
        <v>-24</v>
      </c>
      <c r="W174" s="28">
        <f t="shared" si="1485"/>
        <v>24</v>
      </c>
      <c r="X174" s="28">
        <f t="shared" si="1485"/>
        <v>-24</v>
      </c>
      <c r="AB174" s="28" t="str">
        <f t="shared" ref="AB174:AE174" si="1486">IF(AB$3=$H174,U174,"")</f>
        <v/>
      </c>
      <c r="AC174" s="28">
        <f t="shared" si="1486"/>
        <v>-24</v>
      </c>
      <c r="AD174" s="28" t="str">
        <f t="shared" si="1486"/>
        <v/>
      </c>
      <c r="AE174" s="28" t="str">
        <f t="shared" si="1486"/>
        <v/>
      </c>
      <c r="AH174" s="28">
        <f t="shared" si="22"/>
        <v>0</v>
      </c>
      <c r="AI174" s="28">
        <f t="shared" si="23"/>
        <v>-24</v>
      </c>
      <c r="AK174" s="78" t="str">
        <f t="shared" ref="AK174:AN174" si="1487">IF(U174&gt;0,AK$3,"")</f>
        <v>Thomas</v>
      </c>
      <c r="AL174" s="78" t="str">
        <f t="shared" si="1487"/>
        <v/>
      </c>
      <c r="AM174" s="78" t="str">
        <f t="shared" si="1487"/>
        <v>Janus</v>
      </c>
      <c r="AN174" s="78" t="str">
        <f t="shared" si="1487"/>
        <v/>
      </c>
      <c r="AO174" s="56">
        <f t="shared" si="25"/>
        <v>2</v>
      </c>
      <c r="AP174" s="8" t="str">
        <f t="shared" si="26"/>
        <v>Peter</v>
      </c>
      <c r="AQ174" s="73" t="str">
        <f>IFERROR(__xludf.DUMMYFUNCTION("IFNA(QUERY(transpose(AY174:BB174),""Select Col1 where Col1 is not null limit 1"",0))"),"Christian")</f>
        <v>Christian</v>
      </c>
      <c r="AR174" s="56"/>
      <c r="AS174" s="28" t="str">
        <f t="shared" ref="AS174:AV174" si="1488">IF(AK174=AS$3,"",AS$3)</f>
        <v/>
      </c>
      <c r="AT174" s="28" t="str">
        <f t="shared" si="1488"/>
        <v>Peter</v>
      </c>
      <c r="AU174" s="28" t="str">
        <f t="shared" si="1488"/>
        <v/>
      </c>
      <c r="AV174" s="28" t="str">
        <f t="shared" si="1488"/>
        <v>Christian</v>
      </c>
      <c r="AW174" s="56">
        <f t="shared" si="28"/>
        <v>2</v>
      </c>
      <c r="AX174" s="28">
        <f t="shared" si="29"/>
        <v>-24</v>
      </c>
      <c r="AY174" s="28" t="str">
        <f t="shared" ref="AY174:BB174" si="1489">IFNA(IFS(AY$3=$AP174,"",$AX174=U174,AY$3),"")</f>
        <v/>
      </c>
      <c r="AZ174" s="28" t="str">
        <f t="shared" si="1489"/>
        <v/>
      </c>
      <c r="BA174" s="28" t="str">
        <f t="shared" si="1489"/>
        <v/>
      </c>
      <c r="BB174" s="28" t="str">
        <f t="shared" si="1489"/>
        <v>Christian</v>
      </c>
      <c r="BC174" s="58">
        <f>OFFSET('00_Regnskab_01'!$A$1,MATCH(A174,'00_Regnskab_01'!$A$1:$A$25)-1,2)</f>
        <v>43882</v>
      </c>
      <c r="BE174" s="80">
        <f t="shared" ref="BE174:BH174" si="1490">if(U174&gt;0,1+BE173,0)</f>
        <v>1</v>
      </c>
      <c r="BF174" s="28">
        <f t="shared" si="1490"/>
        <v>0</v>
      </c>
      <c r="BG174" s="28">
        <f t="shared" si="1490"/>
        <v>1</v>
      </c>
      <c r="BH174" s="28">
        <f t="shared" si="1490"/>
        <v>0</v>
      </c>
      <c r="BJ174" s="28">
        <f t="shared" ref="BJ174:BM174" si="1491">if(U174&lt;0,1+BJ173,0)</f>
        <v>0</v>
      </c>
      <c r="BK174" s="28">
        <f t="shared" si="1491"/>
        <v>1</v>
      </c>
      <c r="BL174" s="28">
        <f t="shared" si="1491"/>
        <v>0</v>
      </c>
      <c r="BM174" s="28">
        <f t="shared" si="1491"/>
        <v>1</v>
      </c>
      <c r="BO174" s="74">
        <f t="shared" ref="BO174:BR174" si="1492">if(U174&gt;0,U174+BO173,0)</f>
        <v>24</v>
      </c>
      <c r="BP174" s="74">
        <f t="shared" si="1492"/>
        <v>0</v>
      </c>
      <c r="BQ174" s="74">
        <f t="shared" si="1492"/>
        <v>24</v>
      </c>
      <c r="BR174" s="74">
        <f t="shared" si="1492"/>
        <v>0</v>
      </c>
      <c r="BT174" s="28">
        <f t="shared" ref="BT174:BW174" si="1493">if(U174&lt;0,U174+BT173,0)</f>
        <v>0</v>
      </c>
      <c r="BU174" s="28">
        <f t="shared" si="1493"/>
        <v>-24</v>
      </c>
      <c r="BV174" s="28">
        <f t="shared" si="1493"/>
        <v>0</v>
      </c>
      <c r="BW174" s="28">
        <f t="shared" si="1493"/>
        <v>-24</v>
      </c>
    </row>
    <row r="175">
      <c r="A175" s="53" t="s">
        <v>36</v>
      </c>
      <c r="B175" s="28">
        <f>'12_21-02-2020'!A22</f>
        <v>16</v>
      </c>
      <c r="C175" s="75">
        <f>'12_21-02-2020'!E22</f>
        <v>0</v>
      </c>
      <c r="D175" s="28">
        <f>'12_21-02-2020'!D22</f>
        <v>-72</v>
      </c>
      <c r="E175" s="28">
        <f>'12_21-02-2020'!B22</f>
        <v>40</v>
      </c>
      <c r="F175" s="28">
        <f>'12_21-02-2020'!C22</f>
        <v>32</v>
      </c>
      <c r="G175" s="28">
        <f>'12_21-02-2020'!G22</f>
        <v>0</v>
      </c>
      <c r="H175" s="28" t="str">
        <f>'12_21-02-2020'!H22</f>
        <v>Janus</v>
      </c>
      <c r="J175" s="76" t="str">
        <f>'12_21-02-2020'!I22</f>
        <v>peter</v>
      </c>
      <c r="K175" s="28" t="str">
        <f>'12_21-02-2020'!F22</f>
        <v>9 halve</v>
      </c>
      <c r="L175" s="56"/>
      <c r="M175" s="25">
        <v>9.0</v>
      </c>
      <c r="N175" s="25" t="s">
        <v>94</v>
      </c>
      <c r="T175" s="56"/>
      <c r="U175" s="77">
        <f t="shared" ref="U175:X175" si="1494">C175-C174</f>
        <v>12</v>
      </c>
      <c r="V175" s="28">
        <f t="shared" si="1494"/>
        <v>-12</v>
      </c>
      <c r="W175" s="28">
        <f t="shared" si="1494"/>
        <v>-12</v>
      </c>
      <c r="X175" s="28">
        <f t="shared" si="1494"/>
        <v>12</v>
      </c>
      <c r="AB175" s="28" t="str">
        <f t="shared" ref="AB175:AE175" si="1495">IF(AB$3=$H175,U175,"")</f>
        <v/>
      </c>
      <c r="AC175" s="28" t="str">
        <f t="shared" si="1495"/>
        <v/>
      </c>
      <c r="AD175" s="28">
        <f t="shared" si="1495"/>
        <v>-12</v>
      </c>
      <c r="AE175" s="28" t="str">
        <f t="shared" si="1495"/>
        <v/>
      </c>
      <c r="AH175" s="28">
        <f t="shared" si="22"/>
        <v>0</v>
      </c>
      <c r="AI175" s="28">
        <f t="shared" si="23"/>
        <v>-12</v>
      </c>
      <c r="AK175" s="78" t="str">
        <f t="shared" ref="AK175:AN175" si="1496">IF(U175&gt;0,AK$3,"")</f>
        <v>Thomas</v>
      </c>
      <c r="AL175" s="78" t="str">
        <f t="shared" si="1496"/>
        <v/>
      </c>
      <c r="AM175" s="78" t="str">
        <f t="shared" si="1496"/>
        <v/>
      </c>
      <c r="AN175" s="78" t="str">
        <f t="shared" si="1496"/>
        <v>Christian</v>
      </c>
      <c r="AO175" s="56">
        <f t="shared" si="25"/>
        <v>2</v>
      </c>
      <c r="AP175" s="8" t="str">
        <f t="shared" si="26"/>
        <v>Janus</v>
      </c>
      <c r="AQ175" s="73" t="str">
        <f>IFERROR(__xludf.DUMMYFUNCTION("IFNA(QUERY(transpose(AY175:BB175),""Select Col1 where Col1 is not null limit 1"",0))"),"Peter")</f>
        <v>Peter</v>
      </c>
      <c r="AR175" s="56"/>
      <c r="AS175" s="28" t="str">
        <f t="shared" ref="AS175:AV175" si="1497">IF(AK175=AS$3,"",AS$3)</f>
        <v/>
      </c>
      <c r="AT175" s="28" t="str">
        <f t="shared" si="1497"/>
        <v>Peter</v>
      </c>
      <c r="AU175" s="28" t="str">
        <f t="shared" si="1497"/>
        <v>Janus</v>
      </c>
      <c r="AV175" s="28" t="str">
        <f t="shared" si="1497"/>
        <v/>
      </c>
      <c r="AW175" s="56">
        <f t="shared" si="28"/>
        <v>2</v>
      </c>
      <c r="AX175" s="28">
        <f t="shared" si="29"/>
        <v>-12</v>
      </c>
      <c r="AY175" s="28" t="str">
        <f t="shared" ref="AY175:BB175" si="1498">IFNA(IFS(AY$3=$AP175,"",$AX175=U175,AY$3),"")</f>
        <v/>
      </c>
      <c r="AZ175" s="28" t="str">
        <f t="shared" si="1498"/>
        <v>Peter</v>
      </c>
      <c r="BA175" s="28" t="str">
        <f t="shared" si="1498"/>
        <v/>
      </c>
      <c r="BB175" s="28" t="str">
        <f t="shared" si="1498"/>
        <v/>
      </c>
      <c r="BC175" s="58">
        <f>OFFSET('00_Regnskab_01'!$A$1,MATCH(A175,'00_Regnskab_01'!$A$1:$A$25)-1,2)</f>
        <v>43882</v>
      </c>
      <c r="BE175" s="80">
        <f t="shared" ref="BE175:BH175" si="1499">if(U175&gt;0,1+BE174,0)</f>
        <v>2</v>
      </c>
      <c r="BF175" s="28">
        <f t="shared" si="1499"/>
        <v>0</v>
      </c>
      <c r="BG175" s="28">
        <f t="shared" si="1499"/>
        <v>0</v>
      </c>
      <c r="BH175" s="28">
        <f t="shared" si="1499"/>
        <v>1</v>
      </c>
      <c r="BJ175" s="28">
        <f t="shared" ref="BJ175:BM175" si="1500">if(U175&lt;0,1+BJ174,0)</f>
        <v>0</v>
      </c>
      <c r="BK175" s="28">
        <f t="shared" si="1500"/>
        <v>2</v>
      </c>
      <c r="BL175" s="28">
        <f t="shared" si="1500"/>
        <v>1</v>
      </c>
      <c r="BM175" s="28">
        <f t="shared" si="1500"/>
        <v>0</v>
      </c>
      <c r="BO175" s="74">
        <f t="shared" ref="BO175:BR175" si="1501">if(U175&gt;0,U175+BO174,0)</f>
        <v>36</v>
      </c>
      <c r="BP175" s="74">
        <f t="shared" si="1501"/>
        <v>0</v>
      </c>
      <c r="BQ175" s="74">
        <f t="shared" si="1501"/>
        <v>0</v>
      </c>
      <c r="BR175" s="74">
        <f t="shared" si="1501"/>
        <v>12</v>
      </c>
      <c r="BT175" s="28">
        <f t="shared" ref="BT175:BW175" si="1502">if(U175&lt;0,U175+BT174,0)</f>
        <v>0</v>
      </c>
      <c r="BU175" s="28">
        <f t="shared" si="1502"/>
        <v>-36</v>
      </c>
      <c r="BV175" s="28">
        <f t="shared" si="1502"/>
        <v>-12</v>
      </c>
      <c r="BW175" s="28">
        <f t="shared" si="1502"/>
        <v>0</v>
      </c>
    </row>
    <row r="176">
      <c r="A176" s="53" t="s">
        <v>36</v>
      </c>
      <c r="B176" s="28">
        <f>'12_21-02-2020'!A23</f>
        <v>17</v>
      </c>
      <c r="C176" s="75">
        <f>'12_21-02-2020'!E23</f>
        <v>-36</v>
      </c>
      <c r="D176" s="28">
        <f>'12_21-02-2020'!D23</f>
        <v>-60</v>
      </c>
      <c r="E176" s="28">
        <f>'12_21-02-2020'!B23</f>
        <v>52</v>
      </c>
      <c r="F176" s="28">
        <f>'12_21-02-2020'!C23</f>
        <v>44</v>
      </c>
      <c r="G176" s="28">
        <f>'12_21-02-2020'!G23</f>
        <v>0</v>
      </c>
      <c r="H176" s="28" t="str">
        <f>'12_21-02-2020'!H23</f>
        <v>Thomas</v>
      </c>
      <c r="J176" s="76" t="str">
        <f>'12_21-02-2020'!I23</f>
        <v>janus</v>
      </c>
      <c r="K176" s="28" t="str">
        <f>'12_21-02-2020'!F23</f>
        <v> 9 vip i 1.</v>
      </c>
      <c r="L176" s="56"/>
      <c r="M176" s="25">
        <v>9.0</v>
      </c>
      <c r="N176" s="25" t="s">
        <v>86</v>
      </c>
      <c r="O176" s="25">
        <v>1.0</v>
      </c>
      <c r="T176" s="56"/>
      <c r="U176" s="77">
        <f t="shared" ref="U176:X176" si="1503">C176-C175</f>
        <v>-36</v>
      </c>
      <c r="V176" s="28">
        <f t="shared" si="1503"/>
        <v>12</v>
      </c>
      <c r="W176" s="28">
        <f t="shared" si="1503"/>
        <v>12</v>
      </c>
      <c r="X176" s="28">
        <f t="shared" si="1503"/>
        <v>12</v>
      </c>
      <c r="AB176" s="28">
        <f t="shared" ref="AB176:AE176" si="1504">IF(AB$3=$H176,U176,"")</f>
        <v>-36</v>
      </c>
      <c r="AC176" s="28" t="str">
        <f t="shared" si="1504"/>
        <v/>
      </c>
      <c r="AD176" s="28" t="str">
        <f t="shared" si="1504"/>
        <v/>
      </c>
      <c r="AE176" s="28" t="str">
        <f t="shared" si="1504"/>
        <v/>
      </c>
      <c r="AH176" s="28">
        <f t="shared" si="22"/>
        <v>0</v>
      </c>
      <c r="AI176" s="28">
        <f t="shared" si="23"/>
        <v>-36</v>
      </c>
      <c r="AK176" s="78" t="str">
        <f t="shared" ref="AK176:AN176" si="1505">IF(U176&gt;0,AK$3,"")</f>
        <v/>
      </c>
      <c r="AL176" s="78" t="str">
        <f t="shared" si="1505"/>
        <v>Peter</v>
      </c>
      <c r="AM176" s="78" t="str">
        <f t="shared" si="1505"/>
        <v>Janus</v>
      </c>
      <c r="AN176" s="78" t="str">
        <f t="shared" si="1505"/>
        <v>Christian</v>
      </c>
      <c r="AO176" s="56">
        <f t="shared" si="25"/>
        <v>3</v>
      </c>
      <c r="AP176" s="8" t="str">
        <f t="shared" si="26"/>
        <v>Thomas</v>
      </c>
      <c r="AQ176" s="73" t="str">
        <f>IFERROR(__xludf.DUMMYFUNCTION("IFNA(QUERY(transpose(AY176:BB176),""Select Col1 where Col1 is not null limit 1"",0))"),"")</f>
        <v/>
      </c>
      <c r="AR176" s="56"/>
      <c r="AS176" s="28" t="str">
        <f t="shared" ref="AS176:AV176" si="1506">IF(AK176=AS$3,"",AS$3)</f>
        <v>Thomas</v>
      </c>
      <c r="AT176" s="28" t="str">
        <f t="shared" si="1506"/>
        <v/>
      </c>
      <c r="AU176" s="28" t="str">
        <f t="shared" si="1506"/>
        <v/>
      </c>
      <c r="AV176" s="28" t="str">
        <f t="shared" si="1506"/>
        <v/>
      </c>
      <c r="AW176" s="56">
        <f t="shared" si="28"/>
        <v>1</v>
      </c>
      <c r="AX176" s="28">
        <f t="shared" si="29"/>
        <v>-36</v>
      </c>
      <c r="AY176" s="28" t="str">
        <f t="shared" ref="AY176:BB176" si="1507">IFNA(IFS(AY$3=$AP176,"",$AX176=U176,AY$3),"")</f>
        <v/>
      </c>
      <c r="AZ176" s="28" t="str">
        <f t="shared" si="1507"/>
        <v/>
      </c>
      <c r="BA176" s="28" t="str">
        <f t="shared" si="1507"/>
        <v/>
      </c>
      <c r="BB176" s="28" t="str">
        <f t="shared" si="1507"/>
        <v/>
      </c>
      <c r="BC176" s="58">
        <f>OFFSET('00_Regnskab_01'!$A$1,MATCH(A176,'00_Regnskab_01'!$A$1:$A$25)-1,2)</f>
        <v>43882</v>
      </c>
      <c r="BE176" s="80">
        <f t="shared" ref="BE176:BH176" si="1508">if(U176&gt;0,1+BE175,0)</f>
        <v>0</v>
      </c>
      <c r="BF176" s="28">
        <f t="shared" si="1508"/>
        <v>1</v>
      </c>
      <c r="BG176" s="28">
        <f t="shared" si="1508"/>
        <v>1</v>
      </c>
      <c r="BH176" s="28">
        <f t="shared" si="1508"/>
        <v>2</v>
      </c>
      <c r="BJ176" s="28">
        <f t="shared" ref="BJ176:BM176" si="1509">if(U176&lt;0,1+BJ175,0)</f>
        <v>1</v>
      </c>
      <c r="BK176" s="28">
        <f t="shared" si="1509"/>
        <v>0</v>
      </c>
      <c r="BL176" s="28">
        <f t="shared" si="1509"/>
        <v>0</v>
      </c>
      <c r="BM176" s="28">
        <f t="shared" si="1509"/>
        <v>0</v>
      </c>
      <c r="BO176" s="74">
        <f t="shared" ref="BO176:BR176" si="1510">if(U176&gt;0,U176+BO175,0)</f>
        <v>0</v>
      </c>
      <c r="BP176" s="74">
        <f t="shared" si="1510"/>
        <v>12</v>
      </c>
      <c r="BQ176" s="74">
        <f t="shared" si="1510"/>
        <v>12</v>
      </c>
      <c r="BR176" s="74">
        <f t="shared" si="1510"/>
        <v>24</v>
      </c>
      <c r="BT176" s="28">
        <f t="shared" ref="BT176:BW176" si="1511">if(U176&lt;0,U176+BT175,0)</f>
        <v>-36</v>
      </c>
      <c r="BU176" s="28">
        <f t="shared" si="1511"/>
        <v>0</v>
      </c>
      <c r="BV176" s="28">
        <f t="shared" si="1511"/>
        <v>0</v>
      </c>
      <c r="BW176" s="28">
        <f t="shared" si="1511"/>
        <v>0</v>
      </c>
    </row>
    <row r="177">
      <c r="A177" s="53" t="s">
        <v>36</v>
      </c>
      <c r="B177" s="28">
        <f>'12_21-02-2020'!A24</f>
        <v>18</v>
      </c>
      <c r="C177" s="75">
        <f>'12_21-02-2020'!E24</f>
        <v>-28</v>
      </c>
      <c r="D177" s="28">
        <f>'12_21-02-2020'!D24</f>
        <v>-68</v>
      </c>
      <c r="E177" s="28">
        <f>'12_21-02-2020'!B24</f>
        <v>60</v>
      </c>
      <c r="F177" s="28">
        <f>'12_21-02-2020'!C24</f>
        <v>36</v>
      </c>
      <c r="G177" s="28">
        <f>'12_21-02-2020'!G24</f>
        <v>0</v>
      </c>
      <c r="H177" s="28" t="str">
        <f>'12_21-02-2020'!H24</f>
        <v>Thomas</v>
      </c>
      <c r="J177" s="76" t="str">
        <f>'12_21-02-2020'!I24</f>
        <v>christian</v>
      </c>
      <c r="K177" s="28" t="str">
        <f>'12_21-02-2020'!F24</f>
        <v>9 alm</v>
      </c>
      <c r="L177" s="56"/>
      <c r="M177" s="25">
        <v>9.0</v>
      </c>
      <c r="N177" s="25" t="s">
        <v>100</v>
      </c>
      <c r="T177" s="56"/>
      <c r="U177" s="77">
        <f t="shared" ref="U177:X177" si="1512">C177-C176</f>
        <v>8</v>
      </c>
      <c r="V177" s="28">
        <f t="shared" si="1512"/>
        <v>-8</v>
      </c>
      <c r="W177" s="28">
        <f t="shared" si="1512"/>
        <v>8</v>
      </c>
      <c r="X177" s="28">
        <f t="shared" si="1512"/>
        <v>-8</v>
      </c>
      <c r="AB177" s="28">
        <f t="shared" ref="AB177:AE177" si="1513">IF(AB$3=$H177,U177,"")</f>
        <v>8</v>
      </c>
      <c r="AC177" s="28" t="str">
        <f t="shared" si="1513"/>
        <v/>
      </c>
      <c r="AD177" s="28" t="str">
        <f t="shared" si="1513"/>
        <v/>
      </c>
      <c r="AE177" s="28" t="str">
        <f t="shared" si="1513"/>
        <v/>
      </c>
      <c r="AH177" s="28">
        <f t="shared" si="22"/>
        <v>8</v>
      </c>
      <c r="AI177" s="28">
        <f t="shared" si="23"/>
        <v>0</v>
      </c>
      <c r="AK177" s="78" t="str">
        <f t="shared" ref="AK177:AN177" si="1514">IF(U177&gt;0,AK$3,"")</f>
        <v>Thomas</v>
      </c>
      <c r="AL177" s="78" t="str">
        <f t="shared" si="1514"/>
        <v/>
      </c>
      <c r="AM177" s="78" t="str">
        <f t="shared" si="1514"/>
        <v>Janus</v>
      </c>
      <c r="AN177" s="78" t="str">
        <f t="shared" si="1514"/>
        <v/>
      </c>
      <c r="AO177" s="56">
        <f t="shared" si="25"/>
        <v>2</v>
      </c>
      <c r="AP177" s="8" t="str">
        <f t="shared" si="26"/>
        <v>Thomas</v>
      </c>
      <c r="AQ177" s="73" t="str">
        <f>IFERROR(__xludf.DUMMYFUNCTION("IFNA(QUERY(transpose(AY177:BB177),""Select Col1 where Col1 is not null limit 1"",0))"),"Janus")</f>
        <v>Janus</v>
      </c>
      <c r="AR177" s="56"/>
      <c r="AS177" s="28" t="str">
        <f t="shared" ref="AS177:AV177" si="1515">IF(AK177=AS$3,"",AS$3)</f>
        <v/>
      </c>
      <c r="AT177" s="28" t="str">
        <f t="shared" si="1515"/>
        <v>Peter</v>
      </c>
      <c r="AU177" s="28" t="str">
        <f t="shared" si="1515"/>
        <v/>
      </c>
      <c r="AV177" s="28" t="str">
        <f t="shared" si="1515"/>
        <v>Christian</v>
      </c>
      <c r="AW177" s="56">
        <f t="shared" si="28"/>
        <v>2</v>
      </c>
      <c r="AX177" s="28">
        <f t="shared" si="29"/>
        <v>8</v>
      </c>
      <c r="AY177" s="28" t="str">
        <f t="shared" ref="AY177:BB177" si="1516">IFNA(IFS(AY$3=$AP177,"",$AX177=U177,AY$3),"")</f>
        <v/>
      </c>
      <c r="AZ177" s="28" t="str">
        <f t="shared" si="1516"/>
        <v/>
      </c>
      <c r="BA177" s="28" t="str">
        <f t="shared" si="1516"/>
        <v>Janus</v>
      </c>
      <c r="BB177" s="28" t="str">
        <f t="shared" si="1516"/>
        <v/>
      </c>
      <c r="BC177" s="58">
        <f>OFFSET('00_Regnskab_01'!$A$1,MATCH(A177,'00_Regnskab_01'!$A$1:$A$25)-1,2)</f>
        <v>43882</v>
      </c>
      <c r="BE177" s="80">
        <f t="shared" ref="BE177:BH177" si="1517">if(U177&gt;0,1+BE176,0)</f>
        <v>1</v>
      </c>
      <c r="BF177" s="28">
        <f t="shared" si="1517"/>
        <v>0</v>
      </c>
      <c r="BG177" s="28">
        <f t="shared" si="1517"/>
        <v>2</v>
      </c>
      <c r="BH177" s="28">
        <f t="shared" si="1517"/>
        <v>0</v>
      </c>
      <c r="BJ177" s="28">
        <f t="shared" ref="BJ177:BM177" si="1518">if(U177&lt;0,1+BJ176,0)</f>
        <v>0</v>
      </c>
      <c r="BK177" s="28">
        <f t="shared" si="1518"/>
        <v>1</v>
      </c>
      <c r="BL177" s="28">
        <f t="shared" si="1518"/>
        <v>0</v>
      </c>
      <c r="BM177" s="28">
        <f t="shared" si="1518"/>
        <v>1</v>
      </c>
      <c r="BO177" s="74">
        <f t="shared" ref="BO177:BR177" si="1519">if(U177&gt;0,U177+BO176,0)</f>
        <v>8</v>
      </c>
      <c r="BP177" s="74">
        <f t="shared" si="1519"/>
        <v>0</v>
      </c>
      <c r="BQ177" s="74">
        <f t="shared" si="1519"/>
        <v>20</v>
      </c>
      <c r="BR177" s="74">
        <f t="shared" si="1519"/>
        <v>0</v>
      </c>
      <c r="BT177" s="28">
        <f t="shared" ref="BT177:BW177" si="1520">if(U177&lt;0,U177+BT176,0)</f>
        <v>0</v>
      </c>
      <c r="BU177" s="28">
        <f t="shared" si="1520"/>
        <v>-8</v>
      </c>
      <c r="BV177" s="28">
        <f t="shared" si="1520"/>
        <v>0</v>
      </c>
      <c r="BW177" s="28">
        <f t="shared" si="1520"/>
        <v>-8</v>
      </c>
    </row>
    <row r="178">
      <c r="A178" s="53" t="s">
        <v>36</v>
      </c>
      <c r="B178" s="28">
        <f>'12_21-02-2020'!A25</f>
        <v>19</v>
      </c>
      <c r="C178" s="75">
        <f>'12_21-02-2020'!E25</f>
        <v>-36</v>
      </c>
      <c r="D178" s="28">
        <f>'12_21-02-2020'!D25</f>
        <v>-60</v>
      </c>
      <c r="E178" s="28">
        <f>'12_21-02-2020'!B25</f>
        <v>52</v>
      </c>
      <c r="F178" s="28">
        <f>'12_21-02-2020'!C25</f>
        <v>44</v>
      </c>
      <c r="G178" s="28">
        <f>'12_21-02-2020'!G25</f>
        <v>0</v>
      </c>
      <c r="H178" s="28" t="str">
        <f>'12_21-02-2020'!H25</f>
        <v>Christian</v>
      </c>
      <c r="J178" s="76" t="str">
        <f>'12_21-02-2020'!I25</f>
        <v>thomas</v>
      </c>
      <c r="K178" s="28" t="str">
        <f>'12_21-02-2020'!F25</f>
        <v>10 alm</v>
      </c>
      <c r="L178" s="56"/>
      <c r="M178" s="25">
        <v>10.0</v>
      </c>
      <c r="N178" s="25" t="s">
        <v>100</v>
      </c>
      <c r="T178" s="56"/>
      <c r="U178" s="77">
        <f t="shared" ref="U178:X178" si="1521">C178-C177</f>
        <v>-8</v>
      </c>
      <c r="V178" s="28">
        <f t="shared" si="1521"/>
        <v>8</v>
      </c>
      <c r="W178" s="28">
        <f t="shared" si="1521"/>
        <v>-8</v>
      </c>
      <c r="X178" s="28">
        <f t="shared" si="1521"/>
        <v>8</v>
      </c>
      <c r="AB178" s="28" t="str">
        <f t="shared" ref="AB178:AE178" si="1522">IF(AB$3=$H178,U178,"")</f>
        <v/>
      </c>
      <c r="AC178" s="28" t="str">
        <f t="shared" si="1522"/>
        <v/>
      </c>
      <c r="AD178" s="28" t="str">
        <f t="shared" si="1522"/>
        <v/>
      </c>
      <c r="AE178" s="28">
        <f t="shared" si="1522"/>
        <v>8</v>
      </c>
      <c r="AH178" s="28">
        <f t="shared" si="22"/>
        <v>8</v>
      </c>
      <c r="AI178" s="28">
        <f t="shared" si="23"/>
        <v>0</v>
      </c>
      <c r="AK178" s="78" t="str">
        <f t="shared" ref="AK178:AN178" si="1523">IF(U178&gt;0,AK$3,"")</f>
        <v/>
      </c>
      <c r="AL178" s="78" t="str">
        <f t="shared" si="1523"/>
        <v>Peter</v>
      </c>
      <c r="AM178" s="78" t="str">
        <f t="shared" si="1523"/>
        <v/>
      </c>
      <c r="AN178" s="78" t="str">
        <f t="shared" si="1523"/>
        <v>Christian</v>
      </c>
      <c r="AO178" s="56">
        <f t="shared" si="25"/>
        <v>2</v>
      </c>
      <c r="AP178" s="8" t="str">
        <f t="shared" si="26"/>
        <v>Christian</v>
      </c>
      <c r="AQ178" s="73" t="str">
        <f>IFERROR(__xludf.DUMMYFUNCTION("IFNA(QUERY(transpose(AY178:BB178),""Select Col1 where Col1 is not null limit 1"",0))"),"Peter")</f>
        <v>Peter</v>
      </c>
      <c r="AR178" s="56"/>
      <c r="AS178" s="28" t="str">
        <f t="shared" ref="AS178:AV178" si="1524">IF(AK178=AS$3,"",AS$3)</f>
        <v>Thomas</v>
      </c>
      <c r="AT178" s="28" t="str">
        <f t="shared" si="1524"/>
        <v/>
      </c>
      <c r="AU178" s="28" t="str">
        <f t="shared" si="1524"/>
        <v>Janus</v>
      </c>
      <c r="AV178" s="28" t="str">
        <f t="shared" si="1524"/>
        <v/>
      </c>
      <c r="AW178" s="56">
        <f t="shared" si="28"/>
        <v>2</v>
      </c>
      <c r="AX178" s="28">
        <f t="shared" si="29"/>
        <v>8</v>
      </c>
      <c r="AY178" s="28" t="str">
        <f t="shared" ref="AY178:BB178" si="1525">IFNA(IFS(AY$3=$AP178,"",$AX178=U178,AY$3),"")</f>
        <v/>
      </c>
      <c r="AZ178" s="28" t="str">
        <f t="shared" si="1525"/>
        <v>Peter</v>
      </c>
      <c r="BA178" s="28" t="str">
        <f t="shared" si="1525"/>
        <v/>
      </c>
      <c r="BB178" s="28" t="str">
        <f t="shared" si="1525"/>
        <v/>
      </c>
      <c r="BC178" s="58">
        <f>OFFSET('00_Regnskab_01'!$A$1,MATCH(A178,'00_Regnskab_01'!$A$1:$A$25)-1,2)</f>
        <v>43882</v>
      </c>
      <c r="BE178" s="80">
        <f t="shared" ref="BE178:BH178" si="1526">if(U178&gt;0,1+BE177,0)</f>
        <v>0</v>
      </c>
      <c r="BF178" s="28">
        <f t="shared" si="1526"/>
        <v>1</v>
      </c>
      <c r="BG178" s="28">
        <f t="shared" si="1526"/>
        <v>0</v>
      </c>
      <c r="BH178" s="28">
        <f t="shared" si="1526"/>
        <v>1</v>
      </c>
      <c r="BJ178" s="28">
        <f t="shared" ref="BJ178:BM178" si="1527">if(U178&lt;0,1+BJ177,0)</f>
        <v>1</v>
      </c>
      <c r="BK178" s="28">
        <f t="shared" si="1527"/>
        <v>0</v>
      </c>
      <c r="BL178" s="28">
        <f t="shared" si="1527"/>
        <v>1</v>
      </c>
      <c r="BM178" s="28">
        <f t="shared" si="1527"/>
        <v>0</v>
      </c>
      <c r="BO178" s="74">
        <f t="shared" ref="BO178:BR178" si="1528">if(U178&gt;0,U178+BO177,0)</f>
        <v>0</v>
      </c>
      <c r="BP178" s="74">
        <f t="shared" si="1528"/>
        <v>8</v>
      </c>
      <c r="BQ178" s="74">
        <f t="shared" si="1528"/>
        <v>0</v>
      </c>
      <c r="BR178" s="74">
        <f t="shared" si="1528"/>
        <v>8</v>
      </c>
      <c r="BT178" s="28">
        <f t="shared" ref="BT178:BW178" si="1529">if(U178&lt;0,U178+BT177,0)</f>
        <v>-8</v>
      </c>
      <c r="BU178" s="28">
        <f t="shared" si="1529"/>
        <v>0</v>
      </c>
      <c r="BV178" s="28">
        <f t="shared" si="1529"/>
        <v>-8</v>
      </c>
      <c r="BW178" s="28">
        <f t="shared" si="1529"/>
        <v>0</v>
      </c>
    </row>
    <row r="179">
      <c r="A179" s="53" t="s">
        <v>36</v>
      </c>
      <c r="B179" s="28">
        <f>'12_21-02-2020'!A26</f>
        <v>20</v>
      </c>
      <c r="C179" s="75">
        <f>'12_21-02-2020'!E26</f>
        <v>108</v>
      </c>
      <c r="D179" s="28">
        <f>'12_21-02-2020'!D26</f>
        <v>-108</v>
      </c>
      <c r="E179" s="28">
        <f>'12_21-02-2020'!B26</f>
        <v>4</v>
      </c>
      <c r="F179" s="28">
        <f>'12_21-02-2020'!C26</f>
        <v>-4</v>
      </c>
      <c r="G179" s="28">
        <f>'12_21-02-2020'!G26</f>
        <v>0</v>
      </c>
      <c r="H179" s="28" t="str">
        <f>'12_21-02-2020'!H26</f>
        <v>Thomas</v>
      </c>
      <c r="I179" s="25" t="s">
        <v>7</v>
      </c>
      <c r="J179" s="76" t="str">
        <f>'12_21-02-2020'!I26</f>
        <v>peter</v>
      </c>
      <c r="K179" s="28" t="str">
        <f>'12_21-02-2020'!F26</f>
        <v>9 vip i 3</v>
      </c>
      <c r="L179" s="56"/>
      <c r="M179" s="25">
        <v>9.0</v>
      </c>
      <c r="N179" s="25" t="s">
        <v>86</v>
      </c>
      <c r="O179" s="25">
        <v>3.0</v>
      </c>
      <c r="T179" s="56"/>
      <c r="U179" s="77">
        <f t="shared" ref="U179:X179" si="1530">C179-C178</f>
        <v>144</v>
      </c>
      <c r="V179" s="28">
        <f t="shared" si="1530"/>
        <v>-48</v>
      </c>
      <c r="W179" s="28">
        <f t="shared" si="1530"/>
        <v>-48</v>
      </c>
      <c r="X179" s="28">
        <f t="shared" si="1530"/>
        <v>-48</v>
      </c>
      <c r="AB179" s="28">
        <f t="shared" ref="AB179:AE179" si="1531">IF(AB$3=$H179,U179,"")</f>
        <v>144</v>
      </c>
      <c r="AC179" s="28" t="str">
        <f t="shared" si="1531"/>
        <v/>
      </c>
      <c r="AD179" s="28" t="str">
        <f t="shared" si="1531"/>
        <v/>
      </c>
      <c r="AE179" s="28" t="str">
        <f t="shared" si="1531"/>
        <v/>
      </c>
      <c r="AH179" s="28">
        <f t="shared" si="22"/>
        <v>144</v>
      </c>
      <c r="AI179" s="28">
        <f t="shared" si="23"/>
        <v>0</v>
      </c>
      <c r="AK179" s="78" t="str">
        <f t="shared" ref="AK179:AN179" si="1532">IF(U179&gt;0,AK$3,"")</f>
        <v>Thomas</v>
      </c>
      <c r="AL179" s="78" t="str">
        <f t="shared" si="1532"/>
        <v/>
      </c>
      <c r="AM179" s="78" t="str">
        <f t="shared" si="1532"/>
        <v/>
      </c>
      <c r="AN179" s="78" t="str">
        <f t="shared" si="1532"/>
        <v/>
      </c>
      <c r="AO179" s="56">
        <f t="shared" si="25"/>
        <v>1</v>
      </c>
      <c r="AP179" s="8" t="str">
        <f t="shared" si="26"/>
        <v>Thomas</v>
      </c>
      <c r="AQ179" s="73" t="str">
        <f>IFERROR(__xludf.DUMMYFUNCTION("IFNA(QUERY(transpose(AY179:BB179),""Select Col1 where Col1 is not null limit 1"",0))"),"")</f>
        <v/>
      </c>
      <c r="AR179" s="56"/>
      <c r="AS179" s="28" t="str">
        <f t="shared" ref="AS179:AV179" si="1533">IF(AK179=AS$3,"",AS$3)</f>
        <v/>
      </c>
      <c r="AT179" s="28" t="str">
        <f t="shared" si="1533"/>
        <v>Peter</v>
      </c>
      <c r="AU179" s="28" t="str">
        <f t="shared" si="1533"/>
        <v>Janus</v>
      </c>
      <c r="AV179" s="28" t="str">
        <f t="shared" si="1533"/>
        <v>Christian</v>
      </c>
      <c r="AW179" s="56">
        <f t="shared" si="28"/>
        <v>3</v>
      </c>
      <c r="AX179" s="28">
        <f t="shared" si="29"/>
        <v>144</v>
      </c>
      <c r="AY179" s="28" t="str">
        <f t="shared" ref="AY179:BB179" si="1534">IFNA(IFS(AY$3=$AP179,"",$AX179=U179,AY$3),"")</f>
        <v/>
      </c>
      <c r="AZ179" s="28" t="str">
        <f t="shared" si="1534"/>
        <v/>
      </c>
      <c r="BA179" s="28" t="str">
        <f t="shared" si="1534"/>
        <v/>
      </c>
      <c r="BB179" s="28" t="str">
        <f t="shared" si="1534"/>
        <v/>
      </c>
      <c r="BC179" s="58">
        <f>OFFSET('00_Regnskab_01'!$A$1,MATCH(A179,'00_Regnskab_01'!$A$1:$A$25)-1,2)</f>
        <v>43882</v>
      </c>
      <c r="BE179" s="80">
        <f t="shared" ref="BE179:BH179" si="1535">if(U179&gt;0,1+BE178,0)</f>
        <v>1</v>
      </c>
      <c r="BF179" s="28">
        <f t="shared" si="1535"/>
        <v>0</v>
      </c>
      <c r="BG179" s="28">
        <f t="shared" si="1535"/>
        <v>0</v>
      </c>
      <c r="BH179" s="28">
        <f t="shared" si="1535"/>
        <v>0</v>
      </c>
      <c r="BJ179" s="28">
        <f t="shared" ref="BJ179:BM179" si="1536">if(U179&lt;0,1+BJ178,0)</f>
        <v>0</v>
      </c>
      <c r="BK179" s="28">
        <f t="shared" si="1536"/>
        <v>1</v>
      </c>
      <c r="BL179" s="28">
        <f t="shared" si="1536"/>
        <v>2</v>
      </c>
      <c r="BM179" s="28">
        <f t="shared" si="1536"/>
        <v>1</v>
      </c>
      <c r="BO179" s="74">
        <f t="shared" ref="BO179:BR179" si="1537">if(U179&gt;0,U179+BO178,0)</f>
        <v>144</v>
      </c>
      <c r="BP179" s="74">
        <f t="shared" si="1537"/>
        <v>0</v>
      </c>
      <c r="BQ179" s="74">
        <f t="shared" si="1537"/>
        <v>0</v>
      </c>
      <c r="BR179" s="74">
        <f t="shared" si="1537"/>
        <v>0</v>
      </c>
      <c r="BT179" s="28">
        <f t="shared" ref="BT179:BW179" si="1538">if(U179&lt;0,U179+BT178,0)</f>
        <v>0</v>
      </c>
      <c r="BU179" s="28">
        <f t="shared" si="1538"/>
        <v>-48</v>
      </c>
      <c r="BV179" s="28">
        <f t="shared" si="1538"/>
        <v>-56</v>
      </c>
      <c r="BW179" s="28">
        <f t="shared" si="1538"/>
        <v>-48</v>
      </c>
    </row>
    <row r="180">
      <c r="A180" s="53" t="s">
        <v>36</v>
      </c>
      <c r="B180" s="28">
        <f>'12_21-02-2020'!A27</f>
        <v>21</v>
      </c>
      <c r="C180" s="75">
        <f>'12_21-02-2020'!E27</f>
        <v>96</v>
      </c>
      <c r="D180" s="28">
        <f>'12_21-02-2020'!D27</f>
        <v>-104</v>
      </c>
      <c r="E180" s="28">
        <f>'12_21-02-2020'!B27</f>
        <v>8</v>
      </c>
      <c r="F180" s="28">
        <f>'12_21-02-2020'!C27</f>
        <v>0</v>
      </c>
      <c r="G180" s="28">
        <f>'12_21-02-2020'!G27</f>
        <v>0</v>
      </c>
      <c r="H180" s="28" t="str">
        <f>'12_21-02-2020'!H27</f>
        <v>Thomas</v>
      </c>
      <c r="J180" s="76" t="str">
        <f>'12_21-02-2020'!I27</f>
        <v>janus</v>
      </c>
      <c r="K180" s="28" t="str">
        <f>'12_21-02-2020'!F27</f>
        <v>sol</v>
      </c>
      <c r="L180" s="56"/>
      <c r="N180" s="25" t="s">
        <v>99</v>
      </c>
      <c r="T180" s="56"/>
      <c r="U180" s="77">
        <f t="shared" ref="U180:X180" si="1539">C180-C179</f>
        <v>-12</v>
      </c>
      <c r="V180" s="28">
        <f t="shared" si="1539"/>
        <v>4</v>
      </c>
      <c r="W180" s="28">
        <f t="shared" si="1539"/>
        <v>4</v>
      </c>
      <c r="X180" s="28">
        <f t="shared" si="1539"/>
        <v>4</v>
      </c>
      <c r="AB180" s="28">
        <f t="shared" ref="AB180:AE180" si="1540">IF(AB$3=$H180,U180,"")</f>
        <v>-12</v>
      </c>
      <c r="AC180" s="28" t="str">
        <f t="shared" si="1540"/>
        <v/>
      </c>
      <c r="AD180" s="28" t="str">
        <f t="shared" si="1540"/>
        <v/>
      </c>
      <c r="AE180" s="28" t="str">
        <f t="shared" si="1540"/>
        <v/>
      </c>
      <c r="AH180" s="28">
        <f t="shared" si="22"/>
        <v>0</v>
      </c>
      <c r="AI180" s="28">
        <f t="shared" si="23"/>
        <v>-12</v>
      </c>
      <c r="AK180" s="78" t="str">
        <f t="shared" ref="AK180:AN180" si="1541">IF(U180&gt;0,AK$3,"")</f>
        <v/>
      </c>
      <c r="AL180" s="78" t="str">
        <f t="shared" si="1541"/>
        <v>Peter</v>
      </c>
      <c r="AM180" s="78" t="str">
        <f t="shared" si="1541"/>
        <v>Janus</v>
      </c>
      <c r="AN180" s="78" t="str">
        <f t="shared" si="1541"/>
        <v>Christian</v>
      </c>
      <c r="AO180" s="56">
        <f t="shared" si="25"/>
        <v>3</v>
      </c>
      <c r="AP180" s="8" t="str">
        <f t="shared" si="26"/>
        <v>Thomas</v>
      </c>
      <c r="AQ180" s="73" t="str">
        <f>IFERROR(__xludf.DUMMYFUNCTION("IFNA(QUERY(transpose(AY180:BB180),""Select Col1 where Col1 is not null limit 1"",0))"),"")</f>
        <v/>
      </c>
      <c r="AR180" s="56"/>
      <c r="AS180" s="28" t="str">
        <f t="shared" ref="AS180:AV180" si="1542">IF(AK180=AS$3,"",AS$3)</f>
        <v>Thomas</v>
      </c>
      <c r="AT180" s="28" t="str">
        <f t="shared" si="1542"/>
        <v/>
      </c>
      <c r="AU180" s="28" t="str">
        <f t="shared" si="1542"/>
        <v/>
      </c>
      <c r="AV180" s="28" t="str">
        <f t="shared" si="1542"/>
        <v/>
      </c>
      <c r="AW180" s="56">
        <f t="shared" si="28"/>
        <v>1</v>
      </c>
      <c r="AX180" s="28">
        <f t="shared" si="29"/>
        <v>-12</v>
      </c>
      <c r="AY180" s="28" t="str">
        <f t="shared" ref="AY180:BB180" si="1543">IFNA(IFS(AY$3=$AP180,"",$AX180=U180,AY$3),"")</f>
        <v/>
      </c>
      <c r="AZ180" s="28" t="str">
        <f t="shared" si="1543"/>
        <v/>
      </c>
      <c r="BA180" s="28" t="str">
        <f t="shared" si="1543"/>
        <v/>
      </c>
      <c r="BB180" s="28" t="str">
        <f t="shared" si="1543"/>
        <v/>
      </c>
      <c r="BC180" s="58">
        <f>OFFSET('00_Regnskab_01'!$A$1,MATCH(A180,'00_Regnskab_01'!$A$1:$A$25)-1,2)</f>
        <v>43882</v>
      </c>
      <c r="BE180" s="80">
        <f t="shared" ref="BE180:BH180" si="1544">if(U180&gt;0,1+BE179,0)</f>
        <v>0</v>
      </c>
      <c r="BF180" s="28">
        <f t="shared" si="1544"/>
        <v>1</v>
      </c>
      <c r="BG180" s="28">
        <f t="shared" si="1544"/>
        <v>1</v>
      </c>
      <c r="BH180" s="28">
        <f t="shared" si="1544"/>
        <v>1</v>
      </c>
      <c r="BJ180" s="28">
        <f t="shared" ref="BJ180:BM180" si="1545">if(U180&lt;0,1+BJ179,0)</f>
        <v>1</v>
      </c>
      <c r="BK180" s="28">
        <f t="shared" si="1545"/>
        <v>0</v>
      </c>
      <c r="BL180" s="28">
        <f t="shared" si="1545"/>
        <v>0</v>
      </c>
      <c r="BM180" s="28">
        <f t="shared" si="1545"/>
        <v>0</v>
      </c>
      <c r="BO180" s="74">
        <f t="shared" ref="BO180:BR180" si="1546">if(U180&gt;0,U180+BO179,0)</f>
        <v>0</v>
      </c>
      <c r="BP180" s="74">
        <f t="shared" si="1546"/>
        <v>4</v>
      </c>
      <c r="BQ180" s="74">
        <f t="shared" si="1546"/>
        <v>4</v>
      </c>
      <c r="BR180" s="74">
        <f t="shared" si="1546"/>
        <v>4</v>
      </c>
      <c r="BT180" s="28">
        <f t="shared" ref="BT180:BW180" si="1547">if(U180&lt;0,U180+BT179,0)</f>
        <v>-12</v>
      </c>
      <c r="BU180" s="28">
        <f t="shared" si="1547"/>
        <v>0</v>
      </c>
      <c r="BV180" s="28">
        <f t="shared" si="1547"/>
        <v>0</v>
      </c>
      <c r="BW180" s="28">
        <f t="shared" si="1547"/>
        <v>0</v>
      </c>
    </row>
    <row r="181">
      <c r="A181" s="53" t="s">
        <v>36</v>
      </c>
      <c r="B181" s="28">
        <f>'12_21-02-2020'!A28</f>
        <v>22</v>
      </c>
      <c r="C181" s="75">
        <f>'12_21-02-2020'!E28</f>
        <v>72</v>
      </c>
      <c r="D181" s="28">
        <f>'12_21-02-2020'!D28</f>
        <v>-80</v>
      </c>
      <c r="E181" s="28">
        <f>'12_21-02-2020'!B28</f>
        <v>-16</v>
      </c>
      <c r="F181" s="28">
        <f>'12_21-02-2020'!C28</f>
        <v>24</v>
      </c>
      <c r="G181" s="28">
        <f>'12_21-02-2020'!G28</f>
        <v>0</v>
      </c>
      <c r="H181" s="28" t="str">
        <f>'12_21-02-2020'!H28</f>
        <v>Christian</v>
      </c>
      <c r="J181" s="76" t="str">
        <f>'12_21-02-2020'!I28</f>
        <v>christian</v>
      </c>
      <c r="K181" s="28" t="str">
        <f>'12_21-02-2020'!F28</f>
        <v>10 gode</v>
      </c>
      <c r="L181" s="56"/>
      <c r="M181" s="25">
        <v>10.0</v>
      </c>
      <c r="N181" s="25" t="s">
        <v>95</v>
      </c>
      <c r="T181" s="56"/>
      <c r="U181" s="77">
        <f t="shared" ref="U181:X181" si="1548">C181-C180</f>
        <v>-24</v>
      </c>
      <c r="V181" s="28">
        <f t="shared" si="1548"/>
        <v>24</v>
      </c>
      <c r="W181" s="28">
        <f t="shared" si="1548"/>
        <v>-24</v>
      </c>
      <c r="X181" s="28">
        <f t="shared" si="1548"/>
        <v>24</v>
      </c>
      <c r="AB181" s="28" t="str">
        <f t="shared" ref="AB181:AE181" si="1549">IF(AB$3=$H181,U181,"")</f>
        <v/>
      </c>
      <c r="AC181" s="28" t="str">
        <f t="shared" si="1549"/>
        <v/>
      </c>
      <c r="AD181" s="28" t="str">
        <f t="shared" si="1549"/>
        <v/>
      </c>
      <c r="AE181" s="28">
        <f t="shared" si="1549"/>
        <v>24</v>
      </c>
      <c r="AH181" s="28">
        <f t="shared" si="22"/>
        <v>24</v>
      </c>
      <c r="AI181" s="28">
        <f t="shared" si="23"/>
        <v>0</v>
      </c>
      <c r="AK181" s="78" t="str">
        <f t="shared" ref="AK181:AN181" si="1550">IF(U181&gt;0,AK$3,"")</f>
        <v/>
      </c>
      <c r="AL181" s="78" t="str">
        <f t="shared" si="1550"/>
        <v>Peter</v>
      </c>
      <c r="AM181" s="78" t="str">
        <f t="shared" si="1550"/>
        <v/>
      </c>
      <c r="AN181" s="78" t="str">
        <f t="shared" si="1550"/>
        <v>Christian</v>
      </c>
      <c r="AO181" s="56">
        <f t="shared" si="25"/>
        <v>2</v>
      </c>
      <c r="AP181" s="8" t="str">
        <f t="shared" si="26"/>
        <v>Christian</v>
      </c>
      <c r="AQ181" s="73" t="str">
        <f>IFERROR(__xludf.DUMMYFUNCTION("IFNA(QUERY(transpose(AY181:BB181),""Select Col1 where Col1 is not null limit 1"",0))"),"Peter")</f>
        <v>Peter</v>
      </c>
      <c r="AR181" s="56"/>
      <c r="AS181" s="28" t="str">
        <f t="shared" ref="AS181:AV181" si="1551">IF(AK181=AS$3,"",AS$3)</f>
        <v>Thomas</v>
      </c>
      <c r="AT181" s="28" t="str">
        <f t="shared" si="1551"/>
        <v/>
      </c>
      <c r="AU181" s="28" t="str">
        <f t="shared" si="1551"/>
        <v>Janus</v>
      </c>
      <c r="AV181" s="28" t="str">
        <f t="shared" si="1551"/>
        <v/>
      </c>
      <c r="AW181" s="56">
        <f t="shared" si="28"/>
        <v>2</v>
      </c>
      <c r="AX181" s="28">
        <f t="shared" si="29"/>
        <v>24</v>
      </c>
      <c r="AY181" s="28" t="str">
        <f t="shared" ref="AY181:BB181" si="1552">IFNA(IFS(AY$3=$AP181,"",$AX181=U181,AY$3),"")</f>
        <v/>
      </c>
      <c r="AZ181" s="28" t="str">
        <f t="shared" si="1552"/>
        <v>Peter</v>
      </c>
      <c r="BA181" s="28" t="str">
        <f t="shared" si="1552"/>
        <v/>
      </c>
      <c r="BB181" s="28" t="str">
        <f t="shared" si="1552"/>
        <v/>
      </c>
      <c r="BC181" s="58">
        <f>OFFSET('00_Regnskab_01'!$A$1,MATCH(A181,'00_Regnskab_01'!$A$1:$A$25)-1,2)</f>
        <v>43882</v>
      </c>
      <c r="BE181" s="80">
        <f t="shared" ref="BE181:BH181" si="1553">if(U181&gt;0,1+BE180,0)</f>
        <v>0</v>
      </c>
      <c r="BF181" s="28">
        <f t="shared" si="1553"/>
        <v>2</v>
      </c>
      <c r="BG181" s="28">
        <f t="shared" si="1553"/>
        <v>0</v>
      </c>
      <c r="BH181" s="28">
        <f t="shared" si="1553"/>
        <v>2</v>
      </c>
      <c r="BJ181" s="28">
        <f t="shared" ref="BJ181:BM181" si="1554">if(U181&lt;0,1+BJ180,0)</f>
        <v>2</v>
      </c>
      <c r="BK181" s="28">
        <f t="shared" si="1554"/>
        <v>0</v>
      </c>
      <c r="BL181" s="28">
        <f t="shared" si="1554"/>
        <v>1</v>
      </c>
      <c r="BM181" s="28">
        <f t="shared" si="1554"/>
        <v>0</v>
      </c>
      <c r="BO181" s="74">
        <f t="shared" ref="BO181:BR181" si="1555">if(U181&gt;0,U181+BO180,0)</f>
        <v>0</v>
      </c>
      <c r="BP181" s="74">
        <f t="shared" si="1555"/>
        <v>28</v>
      </c>
      <c r="BQ181" s="74">
        <f t="shared" si="1555"/>
        <v>0</v>
      </c>
      <c r="BR181" s="74">
        <f t="shared" si="1555"/>
        <v>28</v>
      </c>
      <c r="BT181" s="28">
        <f t="shared" ref="BT181:BW181" si="1556">if(U181&lt;0,U181+BT180,0)</f>
        <v>-36</v>
      </c>
      <c r="BU181" s="28">
        <f t="shared" si="1556"/>
        <v>0</v>
      </c>
      <c r="BV181" s="28">
        <f t="shared" si="1556"/>
        <v>-24</v>
      </c>
      <c r="BW181" s="28">
        <f t="shared" si="1556"/>
        <v>0</v>
      </c>
    </row>
    <row r="182">
      <c r="A182" s="53" t="s">
        <v>36</v>
      </c>
      <c r="B182" s="28">
        <f>'12_21-02-2020'!A29</f>
        <v>23</v>
      </c>
      <c r="C182" s="75">
        <f>'12_21-02-2020'!E29</f>
        <v>68</v>
      </c>
      <c r="D182" s="28">
        <f>'12_21-02-2020'!D29</f>
        <v>-84</v>
      </c>
      <c r="E182" s="28">
        <f>'12_21-02-2020'!B29</f>
        <v>-20</v>
      </c>
      <c r="F182" s="28">
        <f>'12_21-02-2020'!C29</f>
        <v>36</v>
      </c>
      <c r="G182" s="28">
        <f>'12_21-02-2020'!G29</f>
        <v>0</v>
      </c>
      <c r="H182" s="28" t="str">
        <f>'12_21-02-2020'!H29</f>
        <v/>
      </c>
      <c r="J182" s="76" t="str">
        <f>'12_21-02-2020'!I29</f>
        <v>thomas</v>
      </c>
      <c r="K182" s="28" t="str">
        <f>'12_21-02-2020'!F29</f>
        <v>sol</v>
      </c>
      <c r="L182" s="56"/>
      <c r="N182" s="25" t="s">
        <v>99</v>
      </c>
      <c r="T182" s="56"/>
      <c r="U182" s="77">
        <f t="shared" ref="U182:X182" si="1557">C182-C181</f>
        <v>-4</v>
      </c>
      <c r="V182" s="28">
        <f t="shared" si="1557"/>
        <v>-4</v>
      </c>
      <c r="W182" s="28">
        <f t="shared" si="1557"/>
        <v>-4</v>
      </c>
      <c r="X182" s="28">
        <f t="shared" si="1557"/>
        <v>12</v>
      </c>
      <c r="AB182" s="28" t="str">
        <f t="shared" ref="AB182:AE182" si="1558">IF(AB$3=$H182,U182,"")</f>
        <v/>
      </c>
      <c r="AC182" s="28" t="str">
        <f t="shared" si="1558"/>
        <v/>
      </c>
      <c r="AD182" s="28" t="str">
        <f t="shared" si="1558"/>
        <v/>
      </c>
      <c r="AE182" s="28" t="str">
        <f t="shared" si="1558"/>
        <v/>
      </c>
      <c r="AH182" s="28">
        <f t="shared" si="22"/>
        <v>0</v>
      </c>
      <c r="AI182" s="28">
        <f t="shared" si="23"/>
        <v>0</v>
      </c>
      <c r="AK182" s="78" t="str">
        <f t="shared" ref="AK182:AN182" si="1559">IF(U182&gt;0,AK$3,"")</f>
        <v/>
      </c>
      <c r="AL182" s="78" t="str">
        <f t="shared" si="1559"/>
        <v/>
      </c>
      <c r="AM182" s="78" t="str">
        <f t="shared" si="1559"/>
        <v/>
      </c>
      <c r="AN182" s="78" t="str">
        <f t="shared" si="1559"/>
        <v>Christian</v>
      </c>
      <c r="AO182" s="56">
        <f t="shared" si="25"/>
        <v>1</v>
      </c>
      <c r="AP182" s="8" t="str">
        <f t="shared" si="26"/>
        <v/>
      </c>
      <c r="AQ182" s="73" t="str">
        <f>IFERROR(__xludf.DUMMYFUNCTION("IFNA(QUERY(transpose(AY182:BB182),""Select Col1 where Col1 is not null limit 1"",0))"),"")</f>
        <v/>
      </c>
      <c r="AR182" s="56"/>
      <c r="AS182" s="28" t="str">
        <f t="shared" ref="AS182:AV182" si="1560">IF(AK182=AS$3,"",AS$3)</f>
        <v>Thomas</v>
      </c>
      <c r="AT182" s="28" t="str">
        <f t="shared" si="1560"/>
        <v>Peter</v>
      </c>
      <c r="AU182" s="28" t="str">
        <f t="shared" si="1560"/>
        <v>Janus</v>
      </c>
      <c r="AV182" s="28" t="str">
        <f t="shared" si="1560"/>
        <v/>
      </c>
      <c r="AW182" s="56">
        <f t="shared" si="28"/>
        <v>3</v>
      </c>
      <c r="AX182" s="28">
        <f t="shared" si="29"/>
        <v>0</v>
      </c>
      <c r="AY182" s="28" t="str">
        <f t="shared" ref="AY182:BB182" si="1561">IFNA(IFS(AY$3=$AP182,"",$AX182=U182,AY$3),"")</f>
        <v/>
      </c>
      <c r="AZ182" s="28" t="str">
        <f t="shared" si="1561"/>
        <v/>
      </c>
      <c r="BA182" s="28" t="str">
        <f t="shared" si="1561"/>
        <v/>
      </c>
      <c r="BB182" s="28" t="str">
        <f t="shared" si="1561"/>
        <v/>
      </c>
      <c r="BC182" s="58">
        <f>OFFSET('00_Regnskab_01'!$A$1,MATCH(A182,'00_Regnskab_01'!$A$1:$A$25)-1,2)</f>
        <v>43882</v>
      </c>
      <c r="BE182" s="80">
        <f t="shared" ref="BE182:BH182" si="1562">if(U182&gt;0,1+BE181,0)</f>
        <v>0</v>
      </c>
      <c r="BF182" s="28">
        <f t="shared" si="1562"/>
        <v>0</v>
      </c>
      <c r="BG182" s="28">
        <f t="shared" si="1562"/>
        <v>0</v>
      </c>
      <c r="BH182" s="28">
        <f t="shared" si="1562"/>
        <v>3</v>
      </c>
      <c r="BJ182" s="28">
        <f t="shared" ref="BJ182:BM182" si="1563">if(U182&lt;0,1+BJ181,0)</f>
        <v>3</v>
      </c>
      <c r="BK182" s="28">
        <f t="shared" si="1563"/>
        <v>1</v>
      </c>
      <c r="BL182" s="28">
        <f t="shared" si="1563"/>
        <v>2</v>
      </c>
      <c r="BM182" s="28">
        <f t="shared" si="1563"/>
        <v>0</v>
      </c>
      <c r="BO182" s="74">
        <f t="shared" ref="BO182:BR182" si="1564">if(U182&gt;0,U182+BO181,0)</f>
        <v>0</v>
      </c>
      <c r="BP182" s="74">
        <f t="shared" si="1564"/>
        <v>0</v>
      </c>
      <c r="BQ182" s="74">
        <f t="shared" si="1564"/>
        <v>0</v>
      </c>
      <c r="BR182" s="74">
        <f t="shared" si="1564"/>
        <v>40</v>
      </c>
      <c r="BT182" s="28">
        <f t="shared" ref="BT182:BW182" si="1565">if(U182&lt;0,U182+BT181,0)</f>
        <v>-40</v>
      </c>
      <c r="BU182" s="28">
        <f t="shared" si="1565"/>
        <v>-4</v>
      </c>
      <c r="BV182" s="28">
        <f t="shared" si="1565"/>
        <v>-28</v>
      </c>
      <c r="BW182" s="28">
        <f t="shared" si="1565"/>
        <v>0</v>
      </c>
    </row>
    <row r="183">
      <c r="A183" s="53" t="s">
        <v>36</v>
      </c>
      <c r="B183" s="28">
        <f>'12_21-02-2020'!A30</f>
        <v>24</v>
      </c>
      <c r="C183" s="75">
        <f>'12_21-02-2020'!E30</f>
        <v>80</v>
      </c>
      <c r="D183" s="28">
        <f>'12_21-02-2020'!D30</f>
        <v>-96</v>
      </c>
      <c r="E183" s="28">
        <f>'12_21-02-2020'!B30</f>
        <v>-8</v>
      </c>
      <c r="F183" s="28">
        <f>'12_21-02-2020'!C30</f>
        <v>24</v>
      </c>
      <c r="G183" s="28">
        <f>'12_21-02-2020'!G30</f>
        <v>0</v>
      </c>
      <c r="H183" s="28" t="str">
        <f>'12_21-02-2020'!H30</f>
        <v/>
      </c>
      <c r="J183" s="76" t="str">
        <f>'12_21-02-2020'!I30</f>
        <v>peter</v>
      </c>
      <c r="K183" s="28" t="str">
        <f>'12_21-02-2020'!F30</f>
        <v>9 halve</v>
      </c>
      <c r="L183" s="56"/>
      <c r="M183" s="25">
        <v>9.0</v>
      </c>
      <c r="N183" s="25" t="s">
        <v>94</v>
      </c>
      <c r="T183" s="56"/>
      <c r="U183" s="77">
        <f t="shared" ref="U183:X183" si="1566">C183-C182</f>
        <v>12</v>
      </c>
      <c r="V183" s="28">
        <f t="shared" si="1566"/>
        <v>-12</v>
      </c>
      <c r="W183" s="28">
        <f t="shared" si="1566"/>
        <v>12</v>
      </c>
      <c r="X183" s="28">
        <f t="shared" si="1566"/>
        <v>-12</v>
      </c>
      <c r="AB183" s="28" t="str">
        <f t="shared" ref="AB183:AE183" si="1567">IF(AB$3=$H183,U183,"")</f>
        <v/>
      </c>
      <c r="AC183" s="28" t="str">
        <f t="shared" si="1567"/>
        <v/>
      </c>
      <c r="AD183" s="28" t="str">
        <f t="shared" si="1567"/>
        <v/>
      </c>
      <c r="AE183" s="28" t="str">
        <f t="shared" si="1567"/>
        <v/>
      </c>
      <c r="AH183" s="28">
        <f t="shared" si="22"/>
        <v>0</v>
      </c>
      <c r="AI183" s="28">
        <f t="shared" si="23"/>
        <v>0</v>
      </c>
      <c r="AK183" s="78" t="str">
        <f t="shared" ref="AK183:AN183" si="1568">IF(U183&gt;0,AK$3,"")</f>
        <v>Thomas</v>
      </c>
      <c r="AL183" s="78" t="str">
        <f t="shared" si="1568"/>
        <v/>
      </c>
      <c r="AM183" s="78" t="str">
        <f t="shared" si="1568"/>
        <v>Janus</v>
      </c>
      <c r="AN183" s="78" t="str">
        <f t="shared" si="1568"/>
        <v/>
      </c>
      <c r="AO183" s="56">
        <f t="shared" si="25"/>
        <v>2</v>
      </c>
      <c r="AP183" s="8" t="str">
        <f t="shared" si="26"/>
        <v/>
      </c>
      <c r="AQ183" s="73" t="str">
        <f>IFERROR(__xludf.DUMMYFUNCTION("IFNA(QUERY(transpose(AY183:BB183),""Select Col1 where Col1 is not null limit 1"",0))"),"")</f>
        <v/>
      </c>
      <c r="AR183" s="56"/>
      <c r="AS183" s="28" t="str">
        <f t="shared" ref="AS183:AV183" si="1569">IF(AK183=AS$3,"",AS$3)</f>
        <v/>
      </c>
      <c r="AT183" s="28" t="str">
        <f t="shared" si="1569"/>
        <v>Peter</v>
      </c>
      <c r="AU183" s="28" t="str">
        <f t="shared" si="1569"/>
        <v/>
      </c>
      <c r="AV183" s="28" t="str">
        <f t="shared" si="1569"/>
        <v>Christian</v>
      </c>
      <c r="AW183" s="56">
        <f t="shared" si="28"/>
        <v>2</v>
      </c>
      <c r="AX183" s="28">
        <f t="shared" si="29"/>
        <v>0</v>
      </c>
      <c r="AY183" s="28" t="str">
        <f t="shared" ref="AY183:BB183" si="1570">IFNA(IFS(AY$3=$AP183,"",$AX183=U183,AY$3),"")</f>
        <v/>
      </c>
      <c r="AZ183" s="28" t="str">
        <f t="shared" si="1570"/>
        <v/>
      </c>
      <c r="BA183" s="28" t="str">
        <f t="shared" si="1570"/>
        <v/>
      </c>
      <c r="BB183" s="28" t="str">
        <f t="shared" si="1570"/>
        <v/>
      </c>
      <c r="BC183" s="58">
        <f>OFFSET('00_Regnskab_01'!$A$1,MATCH(A183,'00_Regnskab_01'!$A$1:$A$25)-1,2)</f>
        <v>43882</v>
      </c>
      <c r="BE183" s="80">
        <f t="shared" ref="BE183:BH183" si="1571">if(U183&gt;0,1+BE182,0)</f>
        <v>1</v>
      </c>
      <c r="BF183" s="28">
        <f t="shared" si="1571"/>
        <v>0</v>
      </c>
      <c r="BG183" s="28">
        <f t="shared" si="1571"/>
        <v>1</v>
      </c>
      <c r="BH183" s="28">
        <f t="shared" si="1571"/>
        <v>0</v>
      </c>
      <c r="BJ183" s="28">
        <f t="shared" ref="BJ183:BM183" si="1572">if(U183&lt;0,1+BJ182,0)</f>
        <v>0</v>
      </c>
      <c r="BK183" s="28">
        <f t="shared" si="1572"/>
        <v>2</v>
      </c>
      <c r="BL183" s="28">
        <f t="shared" si="1572"/>
        <v>0</v>
      </c>
      <c r="BM183" s="28">
        <f t="shared" si="1572"/>
        <v>1</v>
      </c>
      <c r="BO183" s="74">
        <f t="shared" ref="BO183:BR183" si="1573">if(U183&gt;0,U183+BO182,0)</f>
        <v>12</v>
      </c>
      <c r="BP183" s="74">
        <f t="shared" si="1573"/>
        <v>0</v>
      </c>
      <c r="BQ183" s="74">
        <f t="shared" si="1573"/>
        <v>12</v>
      </c>
      <c r="BR183" s="74">
        <f t="shared" si="1573"/>
        <v>0</v>
      </c>
      <c r="BT183" s="28">
        <f t="shared" ref="BT183:BW183" si="1574">if(U183&lt;0,U183+BT182,0)</f>
        <v>0</v>
      </c>
      <c r="BU183" s="28">
        <f t="shared" si="1574"/>
        <v>-16</v>
      </c>
      <c r="BV183" s="28">
        <f t="shared" si="1574"/>
        <v>0</v>
      </c>
      <c r="BW183" s="28">
        <f t="shared" si="1574"/>
        <v>-12</v>
      </c>
    </row>
    <row r="184">
      <c r="A184" s="53" t="s">
        <v>36</v>
      </c>
      <c r="B184" s="28">
        <f>'12_21-02-2020'!A31</f>
        <v>25</v>
      </c>
      <c r="C184" s="75">
        <f>'12_21-02-2020'!E31</f>
        <v>76</v>
      </c>
      <c r="D184" s="28">
        <f>'12_21-02-2020'!D31</f>
        <v>-100</v>
      </c>
      <c r="E184" s="28">
        <f>'12_21-02-2020'!B31</f>
        <v>-12</v>
      </c>
      <c r="F184" s="28">
        <f>'12_21-02-2020'!C31</f>
        <v>36</v>
      </c>
      <c r="G184" s="28">
        <f>'12_21-02-2020'!G31</f>
        <v>0</v>
      </c>
      <c r="H184" s="28" t="str">
        <f>'12_21-02-2020'!H31</f>
        <v>Christian</v>
      </c>
      <c r="J184" s="76" t="str">
        <f>'12_21-02-2020'!I31</f>
        <v>janus</v>
      </c>
      <c r="K184" s="28" t="str">
        <f>'12_21-02-2020'!F31</f>
        <v>sol</v>
      </c>
      <c r="L184" s="56"/>
      <c r="N184" s="25" t="s">
        <v>99</v>
      </c>
      <c r="T184" s="56"/>
      <c r="U184" s="77">
        <f t="shared" ref="U184:X184" si="1575">C184-C183</f>
        <v>-4</v>
      </c>
      <c r="V184" s="28">
        <f t="shared" si="1575"/>
        <v>-4</v>
      </c>
      <c r="W184" s="28">
        <f t="shared" si="1575"/>
        <v>-4</v>
      </c>
      <c r="X184" s="28">
        <f t="shared" si="1575"/>
        <v>12</v>
      </c>
      <c r="AB184" s="28" t="str">
        <f t="shared" ref="AB184:AE184" si="1576">IF(AB$3=$H184,U184,"")</f>
        <v/>
      </c>
      <c r="AC184" s="28" t="str">
        <f t="shared" si="1576"/>
        <v/>
      </c>
      <c r="AD184" s="28" t="str">
        <f t="shared" si="1576"/>
        <v/>
      </c>
      <c r="AE184" s="28">
        <f t="shared" si="1576"/>
        <v>12</v>
      </c>
      <c r="AH184" s="28">
        <f t="shared" si="22"/>
        <v>12</v>
      </c>
      <c r="AI184" s="28">
        <f t="shared" si="23"/>
        <v>0</v>
      </c>
      <c r="AK184" s="78" t="str">
        <f t="shared" ref="AK184:AN184" si="1577">IF(U184&gt;0,AK$3,"")</f>
        <v/>
      </c>
      <c r="AL184" s="78" t="str">
        <f t="shared" si="1577"/>
        <v/>
      </c>
      <c r="AM184" s="78" t="str">
        <f t="shared" si="1577"/>
        <v/>
      </c>
      <c r="AN184" s="78" t="str">
        <f t="shared" si="1577"/>
        <v>Christian</v>
      </c>
      <c r="AO184" s="56">
        <f t="shared" si="25"/>
        <v>1</v>
      </c>
      <c r="AP184" s="8" t="str">
        <f t="shared" si="26"/>
        <v>Christian</v>
      </c>
      <c r="AQ184" s="73" t="str">
        <f>IFERROR(__xludf.DUMMYFUNCTION("IFNA(QUERY(transpose(AY184:BB184),""Select Col1 where Col1 is not null limit 1"",0))"),"")</f>
        <v/>
      </c>
      <c r="AR184" s="56"/>
      <c r="AS184" s="28" t="str">
        <f t="shared" ref="AS184:AV184" si="1578">IF(AK184=AS$3,"",AS$3)</f>
        <v>Thomas</v>
      </c>
      <c r="AT184" s="28" t="str">
        <f t="shared" si="1578"/>
        <v>Peter</v>
      </c>
      <c r="AU184" s="28" t="str">
        <f t="shared" si="1578"/>
        <v>Janus</v>
      </c>
      <c r="AV184" s="28" t="str">
        <f t="shared" si="1578"/>
        <v/>
      </c>
      <c r="AW184" s="56">
        <f t="shared" si="28"/>
        <v>3</v>
      </c>
      <c r="AX184" s="28">
        <f t="shared" si="29"/>
        <v>12</v>
      </c>
      <c r="AY184" s="28" t="str">
        <f t="shared" ref="AY184:BB184" si="1579">IFNA(IFS(AY$3=$AP184,"",$AX184=U184,AY$3),"")</f>
        <v/>
      </c>
      <c r="AZ184" s="28" t="str">
        <f t="shared" si="1579"/>
        <v/>
      </c>
      <c r="BA184" s="28" t="str">
        <f t="shared" si="1579"/>
        <v/>
      </c>
      <c r="BB184" s="28" t="str">
        <f t="shared" si="1579"/>
        <v/>
      </c>
      <c r="BC184" s="58">
        <f>OFFSET('00_Regnskab_01'!$A$1,MATCH(A184,'00_Regnskab_01'!$A$1:$A$25)-1,2)</f>
        <v>43882</v>
      </c>
      <c r="BE184" s="80">
        <f t="shared" ref="BE184:BH184" si="1580">if(U184&gt;0,1+BE183,0)</f>
        <v>0</v>
      </c>
      <c r="BF184" s="28">
        <f t="shared" si="1580"/>
        <v>0</v>
      </c>
      <c r="BG184" s="28">
        <f t="shared" si="1580"/>
        <v>0</v>
      </c>
      <c r="BH184" s="28">
        <f t="shared" si="1580"/>
        <v>1</v>
      </c>
      <c r="BJ184" s="28">
        <f t="shared" ref="BJ184:BM184" si="1581">if(U184&lt;0,1+BJ183,0)</f>
        <v>1</v>
      </c>
      <c r="BK184" s="28">
        <f t="shared" si="1581"/>
        <v>3</v>
      </c>
      <c r="BL184" s="28">
        <f t="shared" si="1581"/>
        <v>1</v>
      </c>
      <c r="BM184" s="28">
        <f t="shared" si="1581"/>
        <v>0</v>
      </c>
      <c r="BO184" s="74">
        <f t="shared" ref="BO184:BR184" si="1582">if(U184&gt;0,U184+BO183,0)</f>
        <v>0</v>
      </c>
      <c r="BP184" s="74">
        <f t="shared" si="1582"/>
        <v>0</v>
      </c>
      <c r="BQ184" s="74">
        <f t="shared" si="1582"/>
        <v>0</v>
      </c>
      <c r="BR184" s="74">
        <f t="shared" si="1582"/>
        <v>12</v>
      </c>
      <c r="BT184" s="28">
        <f t="shared" ref="BT184:BW184" si="1583">if(U184&lt;0,U184+BT183,0)</f>
        <v>-4</v>
      </c>
      <c r="BU184" s="28">
        <f t="shared" si="1583"/>
        <v>-20</v>
      </c>
      <c r="BV184" s="28">
        <f t="shared" si="1583"/>
        <v>-4</v>
      </c>
      <c r="BW184" s="28">
        <f t="shared" si="1583"/>
        <v>0</v>
      </c>
    </row>
    <row r="185">
      <c r="A185" s="53" t="s">
        <v>36</v>
      </c>
      <c r="B185" s="28">
        <f>'12_21-02-2020'!A32</f>
        <v>26</v>
      </c>
      <c r="C185" s="75">
        <f>'12_21-02-2020'!E32</f>
        <v>60</v>
      </c>
      <c r="D185" s="28">
        <f>'12_21-02-2020'!D32</f>
        <v>-84</v>
      </c>
      <c r="E185" s="28">
        <f>'12_21-02-2020'!B32</f>
        <v>-28</v>
      </c>
      <c r="F185" s="28">
        <f>'12_21-02-2020'!C32</f>
        <v>52</v>
      </c>
      <c r="G185" s="28">
        <f>'12_21-02-2020'!G32</f>
        <v>0</v>
      </c>
      <c r="H185" s="28" t="str">
        <f>'12_21-02-2020'!H32</f>
        <v>Thomas</v>
      </c>
      <c r="J185" s="76" t="str">
        <f>'12_21-02-2020'!I32</f>
        <v>christian</v>
      </c>
      <c r="K185" s="82" t="str">
        <f>'12_21-02-2020'!F32</f>
        <v>vip i 2.</v>
      </c>
      <c r="L185" s="56"/>
      <c r="N185" s="25" t="s">
        <v>86</v>
      </c>
      <c r="O185" s="25">
        <v>2.0</v>
      </c>
      <c r="T185" s="56"/>
      <c r="U185" s="77">
        <f t="shared" ref="U185:X185" si="1584">C185-C184</f>
        <v>-16</v>
      </c>
      <c r="V185" s="28">
        <f t="shared" si="1584"/>
        <v>16</v>
      </c>
      <c r="W185" s="28">
        <f t="shared" si="1584"/>
        <v>-16</v>
      </c>
      <c r="X185" s="28">
        <f t="shared" si="1584"/>
        <v>16</v>
      </c>
      <c r="AB185" s="28">
        <f t="shared" ref="AB185:AE185" si="1585">IF(AB$3=$H185,U185,"")</f>
        <v>-16</v>
      </c>
      <c r="AC185" s="28" t="str">
        <f t="shared" si="1585"/>
        <v/>
      </c>
      <c r="AD185" s="28" t="str">
        <f t="shared" si="1585"/>
        <v/>
      </c>
      <c r="AE185" s="28" t="str">
        <f t="shared" si="1585"/>
        <v/>
      </c>
      <c r="AH185" s="28">
        <f t="shared" si="22"/>
        <v>0</v>
      </c>
      <c r="AI185" s="28">
        <f t="shared" si="23"/>
        <v>-16</v>
      </c>
      <c r="AK185" s="78" t="str">
        <f t="shared" ref="AK185:AN185" si="1586">IF(U185&gt;0,AK$3,"")</f>
        <v/>
      </c>
      <c r="AL185" s="78" t="str">
        <f t="shared" si="1586"/>
        <v>Peter</v>
      </c>
      <c r="AM185" s="78" t="str">
        <f t="shared" si="1586"/>
        <v/>
      </c>
      <c r="AN185" s="78" t="str">
        <f t="shared" si="1586"/>
        <v>Christian</v>
      </c>
      <c r="AO185" s="56">
        <f t="shared" si="25"/>
        <v>2</v>
      </c>
      <c r="AP185" s="8" t="str">
        <f t="shared" si="26"/>
        <v>Thomas</v>
      </c>
      <c r="AQ185" s="73" t="str">
        <f>IFERROR(__xludf.DUMMYFUNCTION("IFNA(QUERY(transpose(AY185:BB185),""Select Col1 where Col1 is not null limit 1"",0))"),"Janus")</f>
        <v>Janus</v>
      </c>
      <c r="AR185" s="56"/>
      <c r="AS185" s="28" t="str">
        <f t="shared" ref="AS185:AV185" si="1587">IF(AK185=AS$3,"",AS$3)</f>
        <v>Thomas</v>
      </c>
      <c r="AT185" s="28" t="str">
        <f t="shared" si="1587"/>
        <v/>
      </c>
      <c r="AU185" s="28" t="str">
        <f t="shared" si="1587"/>
        <v>Janus</v>
      </c>
      <c r="AV185" s="28" t="str">
        <f t="shared" si="1587"/>
        <v/>
      </c>
      <c r="AW185" s="56">
        <f t="shared" si="28"/>
        <v>2</v>
      </c>
      <c r="AX185" s="28">
        <f t="shared" si="29"/>
        <v>-16</v>
      </c>
      <c r="AY185" s="28" t="str">
        <f t="shared" ref="AY185:BB185" si="1588">IFNA(IFS(AY$3=$AP185,"",$AX185=U185,AY$3),"")</f>
        <v/>
      </c>
      <c r="AZ185" s="28" t="str">
        <f t="shared" si="1588"/>
        <v/>
      </c>
      <c r="BA185" s="28" t="str">
        <f t="shared" si="1588"/>
        <v>Janus</v>
      </c>
      <c r="BB185" s="28" t="str">
        <f t="shared" si="1588"/>
        <v/>
      </c>
      <c r="BC185" s="58">
        <f>OFFSET('00_Regnskab_01'!$A$1,MATCH(A185,'00_Regnskab_01'!$A$1:$A$25)-1,2)</f>
        <v>43882</v>
      </c>
      <c r="BE185" s="80">
        <f t="shared" ref="BE185:BH185" si="1589">if(U185&gt;0,1+BE184,0)</f>
        <v>0</v>
      </c>
      <c r="BF185" s="28">
        <f t="shared" si="1589"/>
        <v>1</v>
      </c>
      <c r="BG185" s="28">
        <f t="shared" si="1589"/>
        <v>0</v>
      </c>
      <c r="BH185" s="28">
        <f t="shared" si="1589"/>
        <v>2</v>
      </c>
      <c r="BJ185" s="28">
        <f t="shared" ref="BJ185:BM185" si="1590">if(U185&lt;0,1+BJ184,0)</f>
        <v>2</v>
      </c>
      <c r="BK185" s="28">
        <f t="shared" si="1590"/>
        <v>0</v>
      </c>
      <c r="BL185" s="28">
        <f t="shared" si="1590"/>
        <v>2</v>
      </c>
      <c r="BM185" s="28">
        <f t="shared" si="1590"/>
        <v>0</v>
      </c>
      <c r="BO185" s="74">
        <f t="shared" ref="BO185:BR185" si="1591">if(U185&gt;0,U185+BO184,0)</f>
        <v>0</v>
      </c>
      <c r="BP185" s="74">
        <f t="shared" si="1591"/>
        <v>16</v>
      </c>
      <c r="BQ185" s="74">
        <f t="shared" si="1591"/>
        <v>0</v>
      </c>
      <c r="BR185" s="74">
        <f t="shared" si="1591"/>
        <v>28</v>
      </c>
      <c r="BT185" s="28">
        <f t="shared" ref="BT185:BW185" si="1592">if(U185&lt;0,U185+BT184,0)</f>
        <v>-20</v>
      </c>
      <c r="BU185" s="28">
        <f t="shared" si="1592"/>
        <v>0</v>
      </c>
      <c r="BV185" s="28">
        <f t="shared" si="1592"/>
        <v>-20</v>
      </c>
      <c r="BW185" s="28">
        <f t="shared" si="1592"/>
        <v>0</v>
      </c>
    </row>
    <row r="186">
      <c r="A186" s="53" t="s">
        <v>36</v>
      </c>
      <c r="B186" s="28">
        <f>'12_21-02-2020'!A33</f>
        <v>27</v>
      </c>
      <c r="C186" s="75">
        <f>'12_21-02-2020'!E33</f>
        <v>52</v>
      </c>
      <c r="D186" s="28">
        <f>'12_21-02-2020'!D33</f>
        <v>-60</v>
      </c>
      <c r="E186" s="28">
        <f>'12_21-02-2020'!B33</f>
        <v>-36</v>
      </c>
      <c r="F186" s="28">
        <f>'12_21-02-2020'!C33</f>
        <v>44</v>
      </c>
      <c r="G186" s="28">
        <f>'12_21-02-2020'!G33</f>
        <v>0</v>
      </c>
      <c r="H186" s="28" t="str">
        <f>'12_21-02-2020'!H33</f>
        <v>Peter</v>
      </c>
      <c r="J186" s="76" t="str">
        <f>'12_21-02-2020'!I33</f>
        <v>thomas</v>
      </c>
      <c r="K186" s="28" t="str">
        <f>'12_21-02-2020'!F33</f>
        <v>ren sol</v>
      </c>
      <c r="L186" s="56"/>
      <c r="N186" s="25" t="s">
        <v>97</v>
      </c>
      <c r="T186" s="56"/>
      <c r="U186" s="77">
        <f t="shared" ref="U186:X186" si="1593">C186-C185</f>
        <v>-8</v>
      </c>
      <c r="V186" s="28">
        <f t="shared" si="1593"/>
        <v>24</v>
      </c>
      <c r="W186" s="28">
        <f t="shared" si="1593"/>
        <v>-8</v>
      </c>
      <c r="X186" s="28">
        <f t="shared" si="1593"/>
        <v>-8</v>
      </c>
      <c r="AB186" s="28" t="str">
        <f t="shared" ref="AB186:AE186" si="1594">IF(AB$3=$H186,U186,"")</f>
        <v/>
      </c>
      <c r="AC186" s="28">
        <f t="shared" si="1594"/>
        <v>24</v>
      </c>
      <c r="AD186" s="28" t="str">
        <f t="shared" si="1594"/>
        <v/>
      </c>
      <c r="AE186" s="28" t="str">
        <f t="shared" si="1594"/>
        <v/>
      </c>
      <c r="AH186" s="28">
        <f t="shared" si="22"/>
        <v>24</v>
      </c>
      <c r="AI186" s="28">
        <f t="shared" si="23"/>
        <v>0</v>
      </c>
      <c r="AK186" s="78" t="str">
        <f t="shared" ref="AK186:AN186" si="1595">IF(U186&gt;0,AK$3,"")</f>
        <v/>
      </c>
      <c r="AL186" s="78" t="str">
        <f t="shared" si="1595"/>
        <v>Peter</v>
      </c>
      <c r="AM186" s="78" t="str">
        <f t="shared" si="1595"/>
        <v/>
      </c>
      <c r="AN186" s="78" t="str">
        <f t="shared" si="1595"/>
        <v/>
      </c>
      <c r="AO186" s="56">
        <f t="shared" si="25"/>
        <v>1</v>
      </c>
      <c r="AP186" s="8" t="str">
        <f t="shared" si="26"/>
        <v>Peter</v>
      </c>
      <c r="AQ186" s="73" t="str">
        <f>IFERROR(__xludf.DUMMYFUNCTION("IFNA(QUERY(transpose(AY186:BB186),""Select Col1 where Col1 is not null limit 1"",0))"),"")</f>
        <v/>
      </c>
      <c r="AR186" s="56"/>
      <c r="AS186" s="28" t="str">
        <f t="shared" ref="AS186:AV186" si="1596">IF(AK186=AS$3,"",AS$3)</f>
        <v>Thomas</v>
      </c>
      <c r="AT186" s="28" t="str">
        <f t="shared" si="1596"/>
        <v/>
      </c>
      <c r="AU186" s="28" t="str">
        <f t="shared" si="1596"/>
        <v>Janus</v>
      </c>
      <c r="AV186" s="28" t="str">
        <f t="shared" si="1596"/>
        <v>Christian</v>
      </c>
      <c r="AW186" s="56">
        <f t="shared" si="28"/>
        <v>3</v>
      </c>
      <c r="AX186" s="28">
        <f t="shared" si="29"/>
        <v>24</v>
      </c>
      <c r="AY186" s="28" t="str">
        <f t="shared" ref="AY186:BB186" si="1597">IFNA(IFS(AY$3=$AP186,"",$AX186=U186,AY$3),"")</f>
        <v/>
      </c>
      <c r="AZ186" s="28" t="str">
        <f t="shared" si="1597"/>
        <v/>
      </c>
      <c r="BA186" s="28" t="str">
        <f t="shared" si="1597"/>
        <v/>
      </c>
      <c r="BB186" s="28" t="str">
        <f t="shared" si="1597"/>
        <v/>
      </c>
      <c r="BC186" s="58">
        <f>OFFSET('00_Regnskab_01'!$A$1,MATCH(A186,'00_Regnskab_01'!$A$1:$A$25)-1,2)</f>
        <v>43882</v>
      </c>
      <c r="BE186" s="80">
        <f t="shared" ref="BE186:BH186" si="1598">if(U186&gt;0,1+BE185,0)</f>
        <v>0</v>
      </c>
      <c r="BF186" s="28">
        <f t="shared" si="1598"/>
        <v>2</v>
      </c>
      <c r="BG186" s="28">
        <f t="shared" si="1598"/>
        <v>0</v>
      </c>
      <c r="BH186" s="28">
        <f t="shared" si="1598"/>
        <v>0</v>
      </c>
      <c r="BJ186" s="28">
        <f t="shared" ref="BJ186:BM186" si="1599">if(U186&lt;0,1+BJ185,0)</f>
        <v>3</v>
      </c>
      <c r="BK186" s="28">
        <f t="shared" si="1599"/>
        <v>0</v>
      </c>
      <c r="BL186" s="28">
        <f t="shared" si="1599"/>
        <v>3</v>
      </c>
      <c r="BM186" s="28">
        <f t="shared" si="1599"/>
        <v>1</v>
      </c>
      <c r="BO186" s="74">
        <f t="shared" ref="BO186:BR186" si="1600">if(U186&gt;0,U186+BO185,0)</f>
        <v>0</v>
      </c>
      <c r="BP186" s="74">
        <f t="shared" si="1600"/>
        <v>40</v>
      </c>
      <c r="BQ186" s="74">
        <f t="shared" si="1600"/>
        <v>0</v>
      </c>
      <c r="BR186" s="74">
        <f t="shared" si="1600"/>
        <v>0</v>
      </c>
      <c r="BT186" s="28">
        <f t="shared" ref="BT186:BW186" si="1601">if(U186&lt;0,U186+BT185,0)</f>
        <v>-28</v>
      </c>
      <c r="BU186" s="28">
        <f t="shared" si="1601"/>
        <v>0</v>
      </c>
      <c r="BV186" s="28">
        <f t="shared" si="1601"/>
        <v>-28</v>
      </c>
      <c r="BW186" s="28">
        <f t="shared" si="1601"/>
        <v>-8</v>
      </c>
    </row>
    <row r="187">
      <c r="A187" s="53" t="s">
        <v>36</v>
      </c>
      <c r="B187" s="28">
        <f>'12_21-02-2020'!A34</f>
        <v>28</v>
      </c>
      <c r="C187" s="75">
        <f>'12_21-02-2020'!E34</f>
        <v>64</v>
      </c>
      <c r="D187" s="28">
        <f>'12_21-02-2020'!D34</f>
        <v>-48</v>
      </c>
      <c r="E187" s="28">
        <f>'12_21-02-2020'!B34</f>
        <v>-48</v>
      </c>
      <c r="F187" s="28">
        <f>'12_21-02-2020'!C34</f>
        <v>32</v>
      </c>
      <c r="G187" s="28">
        <f>'12_21-02-2020'!G34</f>
        <v>0</v>
      </c>
      <c r="H187" s="28" t="str">
        <f>'12_21-02-2020'!H34</f>
        <v>Christian</v>
      </c>
      <c r="J187" s="76" t="str">
        <f>'12_21-02-2020'!I34</f>
        <v>peter</v>
      </c>
      <c r="K187" s="28" t="str">
        <f>'12_21-02-2020'!F34</f>
        <v>9 gode</v>
      </c>
      <c r="L187" s="56"/>
      <c r="M187" s="25">
        <v>9.0</v>
      </c>
      <c r="N187" s="25" t="s">
        <v>95</v>
      </c>
      <c r="T187" s="56"/>
      <c r="U187" s="77">
        <f t="shared" ref="U187:X187" si="1602">C187-C186</f>
        <v>12</v>
      </c>
      <c r="V187" s="28">
        <f t="shared" si="1602"/>
        <v>12</v>
      </c>
      <c r="W187" s="28">
        <f t="shared" si="1602"/>
        <v>-12</v>
      </c>
      <c r="X187" s="28">
        <f t="shared" si="1602"/>
        <v>-12</v>
      </c>
      <c r="AB187" s="28" t="str">
        <f t="shared" ref="AB187:AE187" si="1603">IF(AB$3=$H187,U187,"")</f>
        <v/>
      </c>
      <c r="AC187" s="28" t="str">
        <f t="shared" si="1603"/>
        <v/>
      </c>
      <c r="AD187" s="28" t="str">
        <f t="shared" si="1603"/>
        <v/>
      </c>
      <c r="AE187" s="28">
        <f t="shared" si="1603"/>
        <v>-12</v>
      </c>
      <c r="AH187" s="28">
        <f t="shared" si="22"/>
        <v>0</v>
      </c>
      <c r="AI187" s="28">
        <f t="shared" si="23"/>
        <v>-12</v>
      </c>
      <c r="AK187" s="78" t="str">
        <f t="shared" ref="AK187:AN187" si="1604">IF(U187&gt;0,AK$3,"")</f>
        <v>Thomas</v>
      </c>
      <c r="AL187" s="78" t="str">
        <f t="shared" si="1604"/>
        <v>Peter</v>
      </c>
      <c r="AM187" s="78" t="str">
        <f t="shared" si="1604"/>
        <v/>
      </c>
      <c r="AN187" s="78" t="str">
        <f t="shared" si="1604"/>
        <v/>
      </c>
      <c r="AO187" s="56">
        <f t="shared" si="25"/>
        <v>2</v>
      </c>
      <c r="AP187" s="8" t="str">
        <f t="shared" si="26"/>
        <v>Christian</v>
      </c>
      <c r="AQ187" s="73" t="str">
        <f>IFERROR(__xludf.DUMMYFUNCTION("IFNA(QUERY(transpose(AY187:BB187),""Select Col1 where Col1 is not null limit 1"",0))"),"Janus")</f>
        <v>Janus</v>
      </c>
      <c r="AR187" s="56"/>
      <c r="AS187" s="28" t="str">
        <f t="shared" ref="AS187:AV187" si="1605">IF(AK187=AS$3,"",AS$3)</f>
        <v/>
      </c>
      <c r="AT187" s="28" t="str">
        <f t="shared" si="1605"/>
        <v/>
      </c>
      <c r="AU187" s="28" t="str">
        <f t="shared" si="1605"/>
        <v>Janus</v>
      </c>
      <c r="AV187" s="28" t="str">
        <f t="shared" si="1605"/>
        <v>Christian</v>
      </c>
      <c r="AW187" s="56">
        <f t="shared" si="28"/>
        <v>2</v>
      </c>
      <c r="AX187" s="28">
        <f t="shared" si="29"/>
        <v>-12</v>
      </c>
      <c r="AY187" s="28" t="str">
        <f t="shared" ref="AY187:BB187" si="1606">IFNA(IFS(AY$3=$AP187,"",$AX187=U187,AY$3),"")</f>
        <v/>
      </c>
      <c r="AZ187" s="28" t="str">
        <f t="shared" si="1606"/>
        <v/>
      </c>
      <c r="BA187" s="28" t="str">
        <f t="shared" si="1606"/>
        <v>Janus</v>
      </c>
      <c r="BB187" s="28" t="str">
        <f t="shared" si="1606"/>
        <v/>
      </c>
      <c r="BC187" s="58">
        <f>OFFSET('00_Regnskab_01'!$A$1,MATCH(A187,'00_Regnskab_01'!$A$1:$A$25)-1,2)</f>
        <v>43882</v>
      </c>
      <c r="BE187" s="80">
        <f t="shared" ref="BE187:BH187" si="1607">if(U187&gt;0,1+BE186,0)</f>
        <v>1</v>
      </c>
      <c r="BF187" s="28">
        <f t="shared" si="1607"/>
        <v>3</v>
      </c>
      <c r="BG187" s="28">
        <f t="shared" si="1607"/>
        <v>0</v>
      </c>
      <c r="BH187" s="28">
        <f t="shared" si="1607"/>
        <v>0</v>
      </c>
      <c r="BJ187" s="28">
        <f t="shared" ref="BJ187:BM187" si="1608">if(U187&lt;0,1+BJ186,0)</f>
        <v>0</v>
      </c>
      <c r="BK187" s="28">
        <f t="shared" si="1608"/>
        <v>0</v>
      </c>
      <c r="BL187" s="28">
        <f t="shared" si="1608"/>
        <v>4</v>
      </c>
      <c r="BM187" s="28">
        <f t="shared" si="1608"/>
        <v>2</v>
      </c>
      <c r="BO187" s="74">
        <f t="shared" ref="BO187:BR187" si="1609">if(U187&gt;0,U187+BO186,0)</f>
        <v>12</v>
      </c>
      <c r="BP187" s="74">
        <f t="shared" si="1609"/>
        <v>52</v>
      </c>
      <c r="BQ187" s="74">
        <f t="shared" si="1609"/>
        <v>0</v>
      </c>
      <c r="BR187" s="74">
        <f t="shared" si="1609"/>
        <v>0</v>
      </c>
      <c r="BT187" s="28">
        <f t="shared" ref="BT187:BW187" si="1610">if(U187&lt;0,U187+BT186,0)</f>
        <v>0</v>
      </c>
      <c r="BU187" s="28">
        <f t="shared" si="1610"/>
        <v>0</v>
      </c>
      <c r="BV187" s="28">
        <f t="shared" si="1610"/>
        <v>-40</v>
      </c>
      <c r="BW187" s="28">
        <f t="shared" si="1610"/>
        <v>-20</v>
      </c>
    </row>
    <row r="188">
      <c r="A188" s="53" t="s">
        <v>36</v>
      </c>
      <c r="B188" s="28">
        <f>'12_21-02-2020'!A35</f>
        <v>29</v>
      </c>
      <c r="C188" s="75">
        <f>'12_21-02-2020'!E35</f>
        <v>56</v>
      </c>
      <c r="D188" s="28">
        <f>'12_21-02-2020'!D35</f>
        <v>-56</v>
      </c>
      <c r="E188" s="28">
        <f>'12_21-02-2020'!B35</f>
        <v>-56</v>
      </c>
      <c r="F188" s="28">
        <f>'12_21-02-2020'!C35</f>
        <v>56</v>
      </c>
      <c r="G188" s="28">
        <f>'12_21-02-2020'!G35</f>
        <v>0</v>
      </c>
      <c r="H188" s="28" t="str">
        <f>'12_21-02-2020'!H35</f>
        <v>Christian</v>
      </c>
      <c r="J188" s="76" t="str">
        <f>'12_21-02-2020'!I35</f>
        <v>janus</v>
      </c>
      <c r="K188" s="82" t="str">
        <f>'12_21-02-2020'!F35</f>
        <v>10 sol</v>
      </c>
      <c r="L188" s="56"/>
      <c r="N188" s="25" t="s">
        <v>99</v>
      </c>
      <c r="T188" s="56"/>
      <c r="U188" s="77">
        <f t="shared" ref="U188:X188" si="1611">C188-C187</f>
        <v>-8</v>
      </c>
      <c r="V188" s="28">
        <f t="shared" si="1611"/>
        <v>-8</v>
      </c>
      <c r="W188" s="28">
        <f t="shared" si="1611"/>
        <v>-8</v>
      </c>
      <c r="X188" s="28">
        <f t="shared" si="1611"/>
        <v>24</v>
      </c>
      <c r="AB188" s="28" t="str">
        <f t="shared" ref="AB188:AE188" si="1612">IF(AB$3=$H188,U188,"")</f>
        <v/>
      </c>
      <c r="AC188" s="28" t="str">
        <f t="shared" si="1612"/>
        <v/>
      </c>
      <c r="AD188" s="28" t="str">
        <f t="shared" si="1612"/>
        <v/>
      </c>
      <c r="AE188" s="28">
        <f t="shared" si="1612"/>
        <v>24</v>
      </c>
      <c r="AH188" s="28">
        <f t="shared" si="22"/>
        <v>24</v>
      </c>
      <c r="AI188" s="28">
        <f t="shared" si="23"/>
        <v>0</v>
      </c>
      <c r="AK188" s="78" t="str">
        <f t="shared" ref="AK188:AN188" si="1613">IF(U188&gt;0,AK$3,"")</f>
        <v/>
      </c>
      <c r="AL188" s="78" t="str">
        <f t="shared" si="1613"/>
        <v/>
      </c>
      <c r="AM188" s="78" t="str">
        <f t="shared" si="1613"/>
        <v/>
      </c>
      <c r="AN188" s="78" t="str">
        <f t="shared" si="1613"/>
        <v>Christian</v>
      </c>
      <c r="AO188" s="56">
        <f t="shared" si="25"/>
        <v>1</v>
      </c>
      <c r="AP188" s="8" t="str">
        <f t="shared" si="26"/>
        <v>Christian</v>
      </c>
      <c r="AQ188" s="73" t="str">
        <f>IFERROR(__xludf.DUMMYFUNCTION("IFNA(QUERY(transpose(AY188:BB188),""Select Col1 where Col1 is not null limit 1"",0))"),"")</f>
        <v/>
      </c>
      <c r="AR188" s="56"/>
      <c r="AS188" s="28" t="str">
        <f t="shared" ref="AS188:AV188" si="1614">IF(AK188=AS$3,"",AS$3)</f>
        <v>Thomas</v>
      </c>
      <c r="AT188" s="28" t="str">
        <f t="shared" si="1614"/>
        <v>Peter</v>
      </c>
      <c r="AU188" s="28" t="str">
        <f t="shared" si="1614"/>
        <v>Janus</v>
      </c>
      <c r="AV188" s="28" t="str">
        <f t="shared" si="1614"/>
        <v/>
      </c>
      <c r="AW188" s="56">
        <f t="shared" si="28"/>
        <v>3</v>
      </c>
      <c r="AX188" s="28">
        <f t="shared" si="29"/>
        <v>24</v>
      </c>
      <c r="AY188" s="28" t="str">
        <f t="shared" ref="AY188:BB188" si="1615">IFNA(IFS(AY$3=$AP188,"",$AX188=U188,AY$3),"")</f>
        <v/>
      </c>
      <c r="AZ188" s="28" t="str">
        <f t="shared" si="1615"/>
        <v/>
      </c>
      <c r="BA188" s="28" t="str">
        <f t="shared" si="1615"/>
        <v/>
      </c>
      <c r="BB188" s="28" t="str">
        <f t="shared" si="1615"/>
        <v/>
      </c>
      <c r="BC188" s="58">
        <f>OFFSET('00_Regnskab_01'!$A$1,MATCH(A188,'00_Regnskab_01'!$A$1:$A$25)-1,2)</f>
        <v>43882</v>
      </c>
      <c r="BE188" s="80">
        <f t="shared" ref="BE188:BH188" si="1616">if(U188&gt;0,1+BE187,0)</f>
        <v>0</v>
      </c>
      <c r="BF188" s="28">
        <f t="shared" si="1616"/>
        <v>0</v>
      </c>
      <c r="BG188" s="28">
        <f t="shared" si="1616"/>
        <v>0</v>
      </c>
      <c r="BH188" s="28">
        <f t="shared" si="1616"/>
        <v>1</v>
      </c>
      <c r="BJ188" s="28">
        <f t="shared" ref="BJ188:BM188" si="1617">if(U188&lt;0,1+BJ187,0)</f>
        <v>1</v>
      </c>
      <c r="BK188" s="28">
        <f t="shared" si="1617"/>
        <v>1</v>
      </c>
      <c r="BL188" s="28">
        <f t="shared" si="1617"/>
        <v>5</v>
      </c>
      <c r="BM188" s="28">
        <f t="shared" si="1617"/>
        <v>0</v>
      </c>
      <c r="BO188" s="74">
        <f t="shared" ref="BO188:BR188" si="1618">if(U188&gt;0,U188+BO187,0)</f>
        <v>0</v>
      </c>
      <c r="BP188" s="74">
        <f t="shared" si="1618"/>
        <v>0</v>
      </c>
      <c r="BQ188" s="74">
        <f t="shared" si="1618"/>
        <v>0</v>
      </c>
      <c r="BR188" s="74">
        <f t="shared" si="1618"/>
        <v>24</v>
      </c>
      <c r="BT188" s="28">
        <f t="shared" ref="BT188:BW188" si="1619">if(U188&lt;0,U188+BT187,0)</f>
        <v>-8</v>
      </c>
      <c r="BU188" s="28">
        <f t="shared" si="1619"/>
        <v>-8</v>
      </c>
      <c r="BV188" s="28">
        <f t="shared" si="1619"/>
        <v>-48</v>
      </c>
      <c r="BW188" s="28">
        <f t="shared" si="1619"/>
        <v>0</v>
      </c>
    </row>
    <row r="189">
      <c r="A189" s="53" t="s">
        <v>36</v>
      </c>
      <c r="B189" s="28">
        <f>'12_21-02-2020'!A36</f>
        <v>30</v>
      </c>
      <c r="C189" s="75">
        <f>'12_21-02-2020'!E36</f>
        <v>48</v>
      </c>
      <c r="D189" s="28">
        <f>'12_21-02-2020'!D36</f>
        <v>-32</v>
      </c>
      <c r="E189" s="28">
        <f>'12_21-02-2020'!B36</f>
        <v>-64</v>
      </c>
      <c r="F189" s="28">
        <f>'12_21-02-2020'!C36</f>
        <v>48</v>
      </c>
      <c r="G189" s="28">
        <f>'12_21-02-2020'!G36</f>
        <v>0</v>
      </c>
      <c r="H189" s="28" t="str">
        <f>'12_21-02-2020'!H36</f>
        <v>Peter</v>
      </c>
      <c r="J189" s="76" t="str">
        <f>'12_21-02-2020'!I36</f>
        <v>christian</v>
      </c>
      <c r="K189" s="82" t="str">
        <f>'12_21-02-2020'!F36</f>
        <v>10 sol</v>
      </c>
      <c r="L189" s="56"/>
      <c r="N189" s="25" t="s">
        <v>99</v>
      </c>
      <c r="T189" s="56"/>
      <c r="U189" s="77">
        <f t="shared" ref="U189:X189" si="1620">C189-C188</f>
        <v>-8</v>
      </c>
      <c r="V189" s="28">
        <f t="shared" si="1620"/>
        <v>24</v>
      </c>
      <c r="W189" s="28">
        <f t="shared" si="1620"/>
        <v>-8</v>
      </c>
      <c r="X189" s="28">
        <f t="shared" si="1620"/>
        <v>-8</v>
      </c>
      <c r="AB189" s="28" t="str">
        <f t="shared" ref="AB189:AE189" si="1621">IF(AB$3=$H189,U189,"")</f>
        <v/>
      </c>
      <c r="AC189" s="28">
        <f t="shared" si="1621"/>
        <v>24</v>
      </c>
      <c r="AD189" s="28" t="str">
        <f t="shared" si="1621"/>
        <v/>
      </c>
      <c r="AE189" s="28" t="str">
        <f t="shared" si="1621"/>
        <v/>
      </c>
      <c r="AH189" s="28">
        <f t="shared" si="22"/>
        <v>24</v>
      </c>
      <c r="AI189" s="28">
        <f t="shared" si="23"/>
        <v>0</v>
      </c>
      <c r="AK189" s="78" t="str">
        <f t="shared" ref="AK189:AN189" si="1622">IF(U189&gt;0,AK$3,"")</f>
        <v/>
      </c>
      <c r="AL189" s="78" t="str">
        <f t="shared" si="1622"/>
        <v>Peter</v>
      </c>
      <c r="AM189" s="78" t="str">
        <f t="shared" si="1622"/>
        <v/>
      </c>
      <c r="AN189" s="78" t="str">
        <f t="shared" si="1622"/>
        <v/>
      </c>
      <c r="AO189" s="56">
        <f t="shared" si="25"/>
        <v>1</v>
      </c>
      <c r="AP189" s="8" t="str">
        <f t="shared" si="26"/>
        <v>Peter</v>
      </c>
      <c r="AQ189" s="73" t="str">
        <f>IFERROR(__xludf.DUMMYFUNCTION("IFNA(QUERY(transpose(AY189:BB189),""Select Col1 where Col1 is not null limit 1"",0))"),"")</f>
        <v/>
      </c>
      <c r="AR189" s="56"/>
      <c r="AS189" s="28" t="str">
        <f t="shared" ref="AS189:AV189" si="1623">IF(AK189=AS$3,"",AS$3)</f>
        <v>Thomas</v>
      </c>
      <c r="AT189" s="28" t="str">
        <f t="shared" si="1623"/>
        <v/>
      </c>
      <c r="AU189" s="28" t="str">
        <f t="shared" si="1623"/>
        <v>Janus</v>
      </c>
      <c r="AV189" s="28" t="str">
        <f t="shared" si="1623"/>
        <v>Christian</v>
      </c>
      <c r="AW189" s="56">
        <f t="shared" si="28"/>
        <v>3</v>
      </c>
      <c r="AX189" s="28">
        <f t="shared" si="29"/>
        <v>24</v>
      </c>
      <c r="AY189" s="28" t="str">
        <f t="shared" ref="AY189:BB189" si="1624">IFNA(IFS(AY$3=$AP189,"",$AX189=U189,AY$3),"")</f>
        <v/>
      </c>
      <c r="AZ189" s="28" t="str">
        <f t="shared" si="1624"/>
        <v/>
      </c>
      <c r="BA189" s="28" t="str">
        <f t="shared" si="1624"/>
        <v/>
      </c>
      <c r="BB189" s="28" t="str">
        <f t="shared" si="1624"/>
        <v/>
      </c>
      <c r="BC189" s="58">
        <f>OFFSET('00_Regnskab_01'!$A$1,MATCH(A189,'00_Regnskab_01'!$A$1:$A$25)-1,2)</f>
        <v>43882</v>
      </c>
      <c r="BE189" s="80">
        <f t="shared" ref="BE189:BH189" si="1625">if(U189&gt;0,1+BE188,0)</f>
        <v>0</v>
      </c>
      <c r="BF189" s="28">
        <f t="shared" si="1625"/>
        <v>1</v>
      </c>
      <c r="BG189" s="28">
        <f t="shared" si="1625"/>
        <v>0</v>
      </c>
      <c r="BH189" s="28">
        <f t="shared" si="1625"/>
        <v>0</v>
      </c>
      <c r="BJ189" s="28">
        <f t="shared" ref="BJ189:BM189" si="1626">if(U189&lt;0,1+BJ188,0)</f>
        <v>2</v>
      </c>
      <c r="BK189" s="28">
        <f t="shared" si="1626"/>
        <v>0</v>
      </c>
      <c r="BL189" s="28">
        <f t="shared" si="1626"/>
        <v>6</v>
      </c>
      <c r="BM189" s="28">
        <f t="shared" si="1626"/>
        <v>1</v>
      </c>
      <c r="BO189" s="74">
        <f t="shared" ref="BO189:BR189" si="1627">if(U189&gt;0,U189+BO188,0)</f>
        <v>0</v>
      </c>
      <c r="BP189" s="74">
        <f t="shared" si="1627"/>
        <v>24</v>
      </c>
      <c r="BQ189" s="74">
        <f t="shared" si="1627"/>
        <v>0</v>
      </c>
      <c r="BR189" s="74">
        <f t="shared" si="1627"/>
        <v>0</v>
      </c>
      <c r="BT189" s="28">
        <f t="shared" ref="BT189:BW189" si="1628">if(U189&lt;0,U189+BT188,0)</f>
        <v>-16</v>
      </c>
      <c r="BU189" s="28">
        <f t="shared" si="1628"/>
        <v>0</v>
      </c>
      <c r="BV189" s="28">
        <f t="shared" si="1628"/>
        <v>-56</v>
      </c>
      <c r="BW189" s="28">
        <f t="shared" si="1628"/>
        <v>-8</v>
      </c>
    </row>
    <row r="190">
      <c r="A190" s="53" t="s">
        <v>36</v>
      </c>
      <c r="B190" s="28">
        <f>'12_21-02-2020'!A37</f>
        <v>31</v>
      </c>
      <c r="C190" s="75">
        <f>'12_21-02-2020'!E37</f>
        <v>80</v>
      </c>
      <c r="D190" s="28">
        <f>'12_21-02-2020'!D37</f>
        <v>-64</v>
      </c>
      <c r="E190" s="28">
        <f>'12_21-02-2020'!B37</f>
        <v>-32</v>
      </c>
      <c r="F190" s="28">
        <f>'12_21-02-2020'!C37</f>
        <v>16</v>
      </c>
      <c r="G190" s="28">
        <f>'12_21-02-2020'!G37</f>
        <v>0</v>
      </c>
      <c r="H190" s="28" t="str">
        <f>'12_21-02-2020'!H37</f>
        <v>Janus</v>
      </c>
      <c r="J190" s="76" t="str">
        <f>'12_21-02-2020'!I37</f>
        <v>thomas</v>
      </c>
      <c r="K190" s="28" t="str">
        <f>'12_21-02-2020'!F37</f>
        <v>10 gode</v>
      </c>
      <c r="L190" s="56"/>
      <c r="M190" s="25">
        <v>10.0</v>
      </c>
      <c r="N190" s="25" t="s">
        <v>95</v>
      </c>
      <c r="T190" s="56"/>
      <c r="U190" s="77">
        <f t="shared" ref="U190:X190" si="1629">C190-C189</f>
        <v>32</v>
      </c>
      <c r="V190" s="28">
        <f t="shared" si="1629"/>
        <v>-32</v>
      </c>
      <c r="W190" s="28">
        <f t="shared" si="1629"/>
        <v>32</v>
      </c>
      <c r="X190" s="28">
        <f t="shared" si="1629"/>
        <v>-32</v>
      </c>
      <c r="AB190" s="28" t="str">
        <f t="shared" ref="AB190:AE190" si="1630">IF(AB$3=$H190,U190,"")</f>
        <v/>
      </c>
      <c r="AC190" s="28" t="str">
        <f t="shared" si="1630"/>
        <v/>
      </c>
      <c r="AD190" s="28">
        <f t="shared" si="1630"/>
        <v>32</v>
      </c>
      <c r="AE190" s="28" t="str">
        <f t="shared" si="1630"/>
        <v/>
      </c>
      <c r="AH190" s="28">
        <f t="shared" si="22"/>
        <v>32</v>
      </c>
      <c r="AI190" s="28">
        <f t="shared" si="23"/>
        <v>0</v>
      </c>
      <c r="AK190" s="78" t="str">
        <f t="shared" ref="AK190:AN190" si="1631">IF(U190&gt;0,AK$3,"")</f>
        <v>Thomas</v>
      </c>
      <c r="AL190" s="78" t="str">
        <f t="shared" si="1631"/>
        <v/>
      </c>
      <c r="AM190" s="78" t="str">
        <f t="shared" si="1631"/>
        <v>Janus</v>
      </c>
      <c r="AN190" s="78" t="str">
        <f t="shared" si="1631"/>
        <v/>
      </c>
      <c r="AO190" s="56">
        <f t="shared" si="25"/>
        <v>2</v>
      </c>
      <c r="AP190" s="8" t="str">
        <f t="shared" si="26"/>
        <v>Janus</v>
      </c>
      <c r="AQ190" s="73" t="str">
        <f>IFERROR(__xludf.DUMMYFUNCTION("IFNA(QUERY(transpose(AY190:BB190),""Select Col1 where Col1 is not null limit 1"",0))"),"Thomas")</f>
        <v>Thomas</v>
      </c>
      <c r="AR190" s="56"/>
      <c r="AS190" s="28" t="str">
        <f t="shared" ref="AS190:AV190" si="1632">IF(AK190=AS$3,"",AS$3)</f>
        <v/>
      </c>
      <c r="AT190" s="28" t="str">
        <f t="shared" si="1632"/>
        <v>Peter</v>
      </c>
      <c r="AU190" s="28" t="str">
        <f t="shared" si="1632"/>
        <v/>
      </c>
      <c r="AV190" s="28" t="str">
        <f t="shared" si="1632"/>
        <v>Christian</v>
      </c>
      <c r="AW190" s="56">
        <f t="shared" si="28"/>
        <v>2</v>
      </c>
      <c r="AX190" s="28">
        <f t="shared" si="29"/>
        <v>32</v>
      </c>
      <c r="AY190" s="28" t="str">
        <f t="shared" ref="AY190:BB190" si="1633">IFNA(IFS(AY$3=$AP190,"",$AX190=U190,AY$3),"")</f>
        <v>Thomas</v>
      </c>
      <c r="AZ190" s="28" t="str">
        <f t="shared" si="1633"/>
        <v/>
      </c>
      <c r="BA190" s="28" t="str">
        <f t="shared" si="1633"/>
        <v/>
      </c>
      <c r="BB190" s="28" t="str">
        <f t="shared" si="1633"/>
        <v/>
      </c>
      <c r="BC190" s="58">
        <f>OFFSET('00_Regnskab_01'!$A$1,MATCH(A190,'00_Regnskab_01'!$A$1:$A$25)-1,2)</f>
        <v>43882</v>
      </c>
      <c r="BE190" s="80">
        <f t="shared" ref="BE190:BH190" si="1634">if(U190&gt;0,1+BE189,0)</f>
        <v>1</v>
      </c>
      <c r="BF190" s="28">
        <f t="shared" si="1634"/>
        <v>0</v>
      </c>
      <c r="BG190" s="28">
        <f t="shared" si="1634"/>
        <v>1</v>
      </c>
      <c r="BH190" s="28">
        <f t="shared" si="1634"/>
        <v>0</v>
      </c>
      <c r="BJ190" s="28">
        <f t="shared" ref="BJ190:BM190" si="1635">if(U190&lt;0,1+BJ189,0)</f>
        <v>0</v>
      </c>
      <c r="BK190" s="28">
        <f t="shared" si="1635"/>
        <v>1</v>
      </c>
      <c r="BL190" s="28">
        <f t="shared" si="1635"/>
        <v>0</v>
      </c>
      <c r="BM190" s="28">
        <f t="shared" si="1635"/>
        <v>2</v>
      </c>
      <c r="BO190" s="74">
        <f t="shared" ref="BO190:BR190" si="1636">if(U190&gt;0,U190+BO189,0)</f>
        <v>32</v>
      </c>
      <c r="BP190" s="74">
        <f t="shared" si="1636"/>
        <v>0</v>
      </c>
      <c r="BQ190" s="74">
        <f t="shared" si="1636"/>
        <v>32</v>
      </c>
      <c r="BR190" s="74">
        <f t="shared" si="1636"/>
        <v>0</v>
      </c>
      <c r="BT190" s="28">
        <f t="shared" ref="BT190:BW190" si="1637">if(U190&lt;0,U190+BT189,0)</f>
        <v>0</v>
      </c>
      <c r="BU190" s="28">
        <f t="shared" si="1637"/>
        <v>-32</v>
      </c>
      <c r="BV190" s="28">
        <f t="shared" si="1637"/>
        <v>0</v>
      </c>
      <c r="BW190" s="28">
        <f t="shared" si="1637"/>
        <v>-40</v>
      </c>
    </row>
    <row r="191">
      <c r="A191" s="53" t="s">
        <v>36</v>
      </c>
      <c r="B191" s="28">
        <f>'12_21-02-2020'!A38</f>
        <v>32</v>
      </c>
      <c r="C191" s="75">
        <f>'12_21-02-2020'!E38</f>
        <v>72</v>
      </c>
      <c r="D191" s="28">
        <f>'12_21-02-2020'!D38</f>
        <v>-40</v>
      </c>
      <c r="E191" s="28">
        <f>'12_21-02-2020'!B38</f>
        <v>-40</v>
      </c>
      <c r="F191" s="28">
        <f>'12_21-02-2020'!C38</f>
        <v>8</v>
      </c>
      <c r="G191" s="28">
        <f>'12_21-02-2020'!G38</f>
        <v>0</v>
      </c>
      <c r="H191" s="28" t="str">
        <f>'12_21-02-2020'!H38</f>
        <v>peter</v>
      </c>
      <c r="J191" s="76" t="str">
        <f>'12_21-02-2020'!I38</f>
        <v>peter</v>
      </c>
      <c r="K191" s="28" t="str">
        <f>'12_21-02-2020'!F38</f>
        <v>ren sol</v>
      </c>
      <c r="L191" s="56"/>
      <c r="N191" s="25" t="s">
        <v>97</v>
      </c>
      <c r="T191" s="56"/>
      <c r="U191" s="77">
        <f t="shared" ref="U191:X191" si="1638">C191-C190</f>
        <v>-8</v>
      </c>
      <c r="V191" s="28">
        <f t="shared" si="1638"/>
        <v>24</v>
      </c>
      <c r="W191" s="28">
        <f t="shared" si="1638"/>
        <v>-8</v>
      </c>
      <c r="X191" s="28">
        <f t="shared" si="1638"/>
        <v>-8</v>
      </c>
      <c r="AB191" s="28" t="str">
        <f t="shared" ref="AB191:AE191" si="1639">IF(AB$3=$H191,U191,"")</f>
        <v/>
      </c>
      <c r="AC191" s="28">
        <f t="shared" si="1639"/>
        <v>24</v>
      </c>
      <c r="AD191" s="28" t="str">
        <f t="shared" si="1639"/>
        <v/>
      </c>
      <c r="AE191" s="28" t="str">
        <f t="shared" si="1639"/>
        <v/>
      </c>
      <c r="AH191" s="28">
        <f t="shared" si="22"/>
        <v>24</v>
      </c>
      <c r="AI191" s="28">
        <f t="shared" si="23"/>
        <v>0</v>
      </c>
      <c r="AK191" s="78" t="str">
        <f t="shared" ref="AK191:AN191" si="1640">IF(U191&gt;0,AK$3,"")</f>
        <v/>
      </c>
      <c r="AL191" s="78" t="str">
        <f t="shared" si="1640"/>
        <v>Peter</v>
      </c>
      <c r="AM191" s="78" t="str">
        <f t="shared" si="1640"/>
        <v/>
      </c>
      <c r="AN191" s="78" t="str">
        <f t="shared" si="1640"/>
        <v/>
      </c>
      <c r="AO191" s="56">
        <f t="shared" si="25"/>
        <v>1</v>
      </c>
      <c r="AP191" s="8" t="str">
        <f t="shared" si="26"/>
        <v>peter</v>
      </c>
      <c r="AQ191" s="73" t="str">
        <f>IFERROR(__xludf.DUMMYFUNCTION("IFNA(QUERY(transpose(AY191:BB191),""Select Col1 where Col1 is not null limit 1"",0))"),"")</f>
        <v/>
      </c>
      <c r="AR191" s="56"/>
      <c r="AS191" s="28" t="str">
        <f t="shared" ref="AS191:AV191" si="1641">IF(AK191=AS$3,"",AS$3)</f>
        <v>Thomas</v>
      </c>
      <c r="AT191" s="28" t="str">
        <f t="shared" si="1641"/>
        <v/>
      </c>
      <c r="AU191" s="28" t="str">
        <f t="shared" si="1641"/>
        <v>Janus</v>
      </c>
      <c r="AV191" s="28" t="str">
        <f t="shared" si="1641"/>
        <v>Christian</v>
      </c>
      <c r="AW191" s="56">
        <f t="shared" si="28"/>
        <v>3</v>
      </c>
      <c r="AX191" s="28">
        <f t="shared" si="29"/>
        <v>24</v>
      </c>
      <c r="AY191" s="28" t="str">
        <f t="shared" ref="AY191:BB191" si="1642">IFNA(IFS(AY$3=$AP191,"",$AX191=U191,AY$3),"")</f>
        <v/>
      </c>
      <c r="AZ191" s="28" t="str">
        <f t="shared" si="1642"/>
        <v/>
      </c>
      <c r="BA191" s="28" t="str">
        <f t="shared" si="1642"/>
        <v/>
      </c>
      <c r="BB191" s="28" t="str">
        <f t="shared" si="1642"/>
        <v/>
      </c>
      <c r="BC191" s="58">
        <f>OFFSET('00_Regnskab_01'!$A$1,MATCH(A191,'00_Regnskab_01'!$A$1:$A$25)-1,2)</f>
        <v>43882</v>
      </c>
      <c r="BE191" s="80">
        <f t="shared" ref="BE191:BH191" si="1643">if(U191&gt;0,1+BE190,0)</f>
        <v>0</v>
      </c>
      <c r="BF191" s="28">
        <f t="shared" si="1643"/>
        <v>1</v>
      </c>
      <c r="BG191" s="28">
        <f t="shared" si="1643"/>
        <v>0</v>
      </c>
      <c r="BH191" s="28">
        <f t="shared" si="1643"/>
        <v>0</v>
      </c>
      <c r="BJ191" s="28">
        <f t="shared" ref="BJ191:BM191" si="1644">if(U191&lt;0,1+BJ190,0)</f>
        <v>1</v>
      </c>
      <c r="BK191" s="28">
        <f t="shared" si="1644"/>
        <v>0</v>
      </c>
      <c r="BL191" s="28">
        <f t="shared" si="1644"/>
        <v>1</v>
      </c>
      <c r="BM191" s="28">
        <f t="shared" si="1644"/>
        <v>3</v>
      </c>
      <c r="BO191" s="74">
        <f t="shared" ref="BO191:BR191" si="1645">if(U191&gt;0,U191+BO190,0)</f>
        <v>0</v>
      </c>
      <c r="BP191" s="74">
        <f t="shared" si="1645"/>
        <v>24</v>
      </c>
      <c r="BQ191" s="74">
        <f t="shared" si="1645"/>
        <v>0</v>
      </c>
      <c r="BR191" s="74">
        <f t="shared" si="1645"/>
        <v>0</v>
      </c>
      <c r="BT191" s="28">
        <f t="shared" ref="BT191:BW191" si="1646">if(U191&lt;0,U191+BT190,0)</f>
        <v>-8</v>
      </c>
      <c r="BU191" s="28">
        <f t="shared" si="1646"/>
        <v>0</v>
      </c>
      <c r="BV191" s="28">
        <f t="shared" si="1646"/>
        <v>-8</v>
      </c>
      <c r="BW191" s="28">
        <f t="shared" si="1646"/>
        <v>-48</v>
      </c>
    </row>
    <row r="192">
      <c r="A192" s="53" t="s">
        <v>36</v>
      </c>
      <c r="B192" s="28">
        <f>'12_21-02-2020'!A39</f>
        <v>33</v>
      </c>
      <c r="C192" s="75">
        <f>'12_21-02-2020'!E39</f>
        <v>84</v>
      </c>
      <c r="D192" s="28">
        <f>'12_21-02-2020'!D39</f>
        <v>-52</v>
      </c>
      <c r="E192" s="28">
        <f>'12_21-02-2020'!B39</f>
        <v>-28</v>
      </c>
      <c r="F192" s="28">
        <f>'12_21-02-2020'!C39</f>
        <v>-4</v>
      </c>
      <c r="G192" s="28">
        <f>'12_21-02-2020'!G39</f>
        <v>0</v>
      </c>
      <c r="H192" s="28" t="str">
        <f>'12_21-02-2020'!H39</f>
        <v>Janus</v>
      </c>
      <c r="J192" s="76" t="str">
        <f>'12_21-02-2020'!I39</f>
        <v>janus</v>
      </c>
      <c r="K192" s="28" t="str">
        <f>'12_21-02-2020'!F39</f>
        <v>9 halve</v>
      </c>
      <c r="L192" s="56"/>
      <c r="M192" s="25">
        <v>9.0</v>
      </c>
      <c r="N192" s="25" t="s">
        <v>94</v>
      </c>
      <c r="T192" s="56"/>
      <c r="U192" s="77">
        <f t="shared" ref="U192:X192" si="1647">C192-C191</f>
        <v>12</v>
      </c>
      <c r="V192" s="28">
        <f t="shared" si="1647"/>
        <v>-12</v>
      </c>
      <c r="W192" s="28">
        <f t="shared" si="1647"/>
        <v>12</v>
      </c>
      <c r="X192" s="28">
        <f t="shared" si="1647"/>
        <v>-12</v>
      </c>
      <c r="AB192" s="28" t="str">
        <f t="shared" ref="AB192:AE192" si="1648">IF(AB$3=$H192,U192,"")</f>
        <v/>
      </c>
      <c r="AC192" s="28" t="str">
        <f t="shared" si="1648"/>
        <v/>
      </c>
      <c r="AD192" s="28">
        <f t="shared" si="1648"/>
        <v>12</v>
      </c>
      <c r="AE192" s="28" t="str">
        <f t="shared" si="1648"/>
        <v/>
      </c>
      <c r="AH192" s="28">
        <f t="shared" si="22"/>
        <v>12</v>
      </c>
      <c r="AI192" s="28">
        <f t="shared" si="23"/>
        <v>0</v>
      </c>
      <c r="AK192" s="78" t="str">
        <f t="shared" ref="AK192:AN192" si="1649">IF(U192&gt;0,AK$3,"")</f>
        <v>Thomas</v>
      </c>
      <c r="AL192" s="78" t="str">
        <f t="shared" si="1649"/>
        <v/>
      </c>
      <c r="AM192" s="78" t="str">
        <f t="shared" si="1649"/>
        <v>Janus</v>
      </c>
      <c r="AN192" s="78" t="str">
        <f t="shared" si="1649"/>
        <v/>
      </c>
      <c r="AO192" s="56">
        <f t="shared" si="25"/>
        <v>2</v>
      </c>
      <c r="AP192" s="8" t="str">
        <f t="shared" si="26"/>
        <v>Janus</v>
      </c>
      <c r="AQ192" s="73" t="str">
        <f>IFERROR(__xludf.DUMMYFUNCTION("IFNA(QUERY(transpose(AY192:BB192),""Select Col1 where Col1 is not null limit 1"",0))"),"Thomas")</f>
        <v>Thomas</v>
      </c>
      <c r="AR192" s="56"/>
      <c r="AS192" s="28" t="str">
        <f t="shared" ref="AS192:AV192" si="1650">IF(AK192=AS$3,"",AS$3)</f>
        <v/>
      </c>
      <c r="AT192" s="28" t="str">
        <f t="shared" si="1650"/>
        <v>Peter</v>
      </c>
      <c r="AU192" s="28" t="str">
        <f t="shared" si="1650"/>
        <v/>
      </c>
      <c r="AV192" s="28" t="str">
        <f t="shared" si="1650"/>
        <v>Christian</v>
      </c>
      <c r="AW192" s="56">
        <f t="shared" si="28"/>
        <v>2</v>
      </c>
      <c r="AX192" s="28">
        <f t="shared" si="29"/>
        <v>12</v>
      </c>
      <c r="AY192" s="28" t="str">
        <f t="shared" ref="AY192:BB192" si="1651">IFNA(IFS(AY$3=$AP192,"",$AX192=U192,AY$3),"")</f>
        <v>Thomas</v>
      </c>
      <c r="AZ192" s="28" t="str">
        <f t="shared" si="1651"/>
        <v/>
      </c>
      <c r="BA192" s="28" t="str">
        <f t="shared" si="1651"/>
        <v/>
      </c>
      <c r="BB192" s="28" t="str">
        <f t="shared" si="1651"/>
        <v/>
      </c>
      <c r="BC192" s="58">
        <f>OFFSET('00_Regnskab_01'!$A$1,MATCH(A192,'00_Regnskab_01'!$A$1:$A$25)-1,2)</f>
        <v>43882</v>
      </c>
      <c r="BE192" s="80">
        <f t="shared" ref="BE192:BH192" si="1652">if(U192&gt;0,1+BE191,0)</f>
        <v>1</v>
      </c>
      <c r="BF192" s="28">
        <f t="shared" si="1652"/>
        <v>0</v>
      </c>
      <c r="BG192" s="28">
        <f t="shared" si="1652"/>
        <v>1</v>
      </c>
      <c r="BH192" s="28">
        <f t="shared" si="1652"/>
        <v>0</v>
      </c>
      <c r="BJ192" s="28">
        <f t="shared" ref="BJ192:BM192" si="1653">if(U192&lt;0,1+BJ191,0)</f>
        <v>0</v>
      </c>
      <c r="BK192" s="28">
        <f t="shared" si="1653"/>
        <v>1</v>
      </c>
      <c r="BL192" s="28">
        <f t="shared" si="1653"/>
        <v>0</v>
      </c>
      <c r="BM192" s="28">
        <f t="shared" si="1653"/>
        <v>4</v>
      </c>
      <c r="BO192" s="74">
        <f t="shared" ref="BO192:BR192" si="1654">if(U192&gt;0,U192+BO191,0)</f>
        <v>12</v>
      </c>
      <c r="BP192" s="74">
        <f t="shared" si="1654"/>
        <v>0</v>
      </c>
      <c r="BQ192" s="74">
        <f t="shared" si="1654"/>
        <v>12</v>
      </c>
      <c r="BR192" s="74">
        <f t="shared" si="1654"/>
        <v>0</v>
      </c>
      <c r="BT192" s="28">
        <f t="shared" ref="BT192:BW192" si="1655">if(U192&lt;0,U192+BT191,0)</f>
        <v>0</v>
      </c>
      <c r="BU192" s="28">
        <f t="shared" si="1655"/>
        <v>-12</v>
      </c>
      <c r="BV192" s="28">
        <f t="shared" si="1655"/>
        <v>0</v>
      </c>
      <c r="BW192" s="28">
        <f t="shared" si="1655"/>
        <v>-60</v>
      </c>
    </row>
    <row r="193">
      <c r="A193" s="53" t="s">
        <v>36</v>
      </c>
      <c r="B193" s="28">
        <f>'12_21-02-2020'!A40</f>
        <v>34</v>
      </c>
      <c r="C193" s="75">
        <f>'12_21-02-2020'!E40</f>
        <v>92</v>
      </c>
      <c r="D193" s="28">
        <f>'12_21-02-2020'!D40</f>
        <v>-76</v>
      </c>
      <c r="E193" s="28">
        <f>'12_21-02-2020'!B40</f>
        <v>-20</v>
      </c>
      <c r="F193" s="28">
        <f>'12_21-02-2020'!C40</f>
        <v>4</v>
      </c>
      <c r="G193" s="28">
        <f>'12_21-02-2020'!G40</f>
        <v>0</v>
      </c>
      <c r="H193" s="28" t="str">
        <f>'12_21-02-2020'!H40</f>
        <v>Peter</v>
      </c>
      <c r="J193" s="76" t="str">
        <f>'12_21-02-2020'!I40</f>
        <v>christian</v>
      </c>
      <c r="K193" s="28" t="str">
        <f>'12_21-02-2020'!F40</f>
        <v>ren sol</v>
      </c>
      <c r="L193" s="56"/>
      <c r="N193" s="25" t="s">
        <v>97</v>
      </c>
      <c r="T193" s="56"/>
      <c r="U193" s="77">
        <f t="shared" ref="U193:X193" si="1656">C193-C192</f>
        <v>8</v>
      </c>
      <c r="V193" s="28">
        <f t="shared" si="1656"/>
        <v>-24</v>
      </c>
      <c r="W193" s="28">
        <f t="shared" si="1656"/>
        <v>8</v>
      </c>
      <c r="X193" s="28">
        <f t="shared" si="1656"/>
        <v>8</v>
      </c>
      <c r="AB193" s="28" t="str">
        <f t="shared" ref="AB193:AE193" si="1657">IF(AB$3=$H193,U193,"")</f>
        <v/>
      </c>
      <c r="AC193" s="28">
        <f t="shared" si="1657"/>
        <v>-24</v>
      </c>
      <c r="AD193" s="28" t="str">
        <f t="shared" si="1657"/>
        <v/>
      </c>
      <c r="AE193" s="28" t="str">
        <f t="shared" si="1657"/>
        <v/>
      </c>
      <c r="AH193" s="28">
        <f t="shared" si="22"/>
        <v>0</v>
      </c>
      <c r="AI193" s="28">
        <f t="shared" si="23"/>
        <v>-24</v>
      </c>
      <c r="AK193" s="78" t="str">
        <f t="shared" ref="AK193:AN193" si="1658">IF(U193&gt;0,AK$3,"")</f>
        <v>Thomas</v>
      </c>
      <c r="AL193" s="78" t="str">
        <f t="shared" si="1658"/>
        <v/>
      </c>
      <c r="AM193" s="78" t="str">
        <f t="shared" si="1658"/>
        <v>Janus</v>
      </c>
      <c r="AN193" s="78" t="str">
        <f t="shared" si="1658"/>
        <v>Christian</v>
      </c>
      <c r="AO193" s="56">
        <f t="shared" si="25"/>
        <v>3</v>
      </c>
      <c r="AP193" s="8" t="str">
        <f t="shared" si="26"/>
        <v>Peter</v>
      </c>
      <c r="AQ193" s="73" t="str">
        <f>IFERROR(__xludf.DUMMYFUNCTION("IFNA(QUERY(transpose(AY193:BB193),""Select Col1 where Col1 is not null limit 1"",0))"),"")</f>
        <v/>
      </c>
      <c r="AR193" s="56"/>
      <c r="AS193" s="28" t="str">
        <f t="shared" ref="AS193:AV193" si="1659">IF(AK193=AS$3,"",AS$3)</f>
        <v/>
      </c>
      <c r="AT193" s="28" t="str">
        <f t="shared" si="1659"/>
        <v>Peter</v>
      </c>
      <c r="AU193" s="28" t="str">
        <f t="shared" si="1659"/>
        <v/>
      </c>
      <c r="AV193" s="28" t="str">
        <f t="shared" si="1659"/>
        <v/>
      </c>
      <c r="AW193" s="56">
        <f t="shared" si="28"/>
        <v>1</v>
      </c>
      <c r="AX193" s="28">
        <f t="shared" si="29"/>
        <v>-24</v>
      </c>
      <c r="AY193" s="28" t="str">
        <f t="shared" ref="AY193:BB193" si="1660">IFNA(IFS(AY$3=$AP193,"",$AX193=U193,AY$3),"")</f>
        <v/>
      </c>
      <c r="AZ193" s="28" t="str">
        <f t="shared" si="1660"/>
        <v/>
      </c>
      <c r="BA193" s="28" t="str">
        <f t="shared" si="1660"/>
        <v/>
      </c>
      <c r="BB193" s="28" t="str">
        <f t="shared" si="1660"/>
        <v/>
      </c>
      <c r="BC193" s="58">
        <f>OFFSET('00_Regnskab_01'!$A$1,MATCH(A193,'00_Regnskab_01'!$A$1:$A$25)-1,2)</f>
        <v>43882</v>
      </c>
      <c r="BE193" s="80">
        <f t="shared" ref="BE193:BH193" si="1661">if(U193&gt;0,1+BE192,0)</f>
        <v>2</v>
      </c>
      <c r="BF193" s="28">
        <f t="shared" si="1661"/>
        <v>0</v>
      </c>
      <c r="BG193" s="28">
        <f t="shared" si="1661"/>
        <v>2</v>
      </c>
      <c r="BH193" s="28">
        <f t="shared" si="1661"/>
        <v>1</v>
      </c>
      <c r="BJ193" s="28">
        <f t="shared" ref="BJ193:BM193" si="1662">if(U193&lt;0,1+BJ192,0)</f>
        <v>0</v>
      </c>
      <c r="BK193" s="28">
        <f t="shared" si="1662"/>
        <v>2</v>
      </c>
      <c r="BL193" s="28">
        <f t="shared" si="1662"/>
        <v>0</v>
      </c>
      <c r="BM193" s="28">
        <f t="shared" si="1662"/>
        <v>0</v>
      </c>
      <c r="BO193" s="74">
        <f t="shared" ref="BO193:BR193" si="1663">if(U193&gt;0,U193+BO192,0)</f>
        <v>20</v>
      </c>
      <c r="BP193" s="74">
        <f t="shared" si="1663"/>
        <v>0</v>
      </c>
      <c r="BQ193" s="74">
        <f t="shared" si="1663"/>
        <v>20</v>
      </c>
      <c r="BR193" s="74">
        <f t="shared" si="1663"/>
        <v>8</v>
      </c>
      <c r="BT193" s="28">
        <f t="shared" ref="BT193:BW193" si="1664">if(U193&lt;0,U193+BT192,0)</f>
        <v>0</v>
      </c>
      <c r="BU193" s="28">
        <f t="shared" si="1664"/>
        <v>-36</v>
      </c>
      <c r="BV193" s="28">
        <f t="shared" si="1664"/>
        <v>0</v>
      </c>
      <c r="BW193" s="28">
        <f t="shared" si="1664"/>
        <v>0</v>
      </c>
    </row>
    <row r="194">
      <c r="A194" s="83" t="s">
        <v>36</v>
      </c>
      <c r="B194" s="84">
        <f>'12_21-02-2020'!A41</f>
        <v>35</v>
      </c>
      <c r="C194" s="85">
        <f>'12_21-02-2020'!E41</f>
        <v>104</v>
      </c>
      <c r="D194" s="84">
        <f>'12_21-02-2020'!D41</f>
        <v>-88</v>
      </c>
      <c r="E194" s="84">
        <f>'12_21-02-2020'!B41</f>
        <v>-32</v>
      </c>
      <c r="F194" s="84">
        <f>'12_21-02-2020'!C41</f>
        <v>16</v>
      </c>
      <c r="G194" s="84">
        <f>'12_21-02-2020'!G41</f>
        <v>0</v>
      </c>
      <c r="H194" s="84" t="str">
        <f>'12_21-02-2020'!H41</f>
        <v>Thomas</v>
      </c>
      <c r="I194" s="84"/>
      <c r="J194" s="86" t="str">
        <f>'12_21-02-2020'!I41</f>
        <v>thomas</v>
      </c>
      <c r="K194" s="84" t="str">
        <f>'12_21-02-2020'!F41</f>
        <v>9 vip i 1</v>
      </c>
      <c r="L194" s="84"/>
      <c r="M194" s="87">
        <v>9.0</v>
      </c>
      <c r="N194" s="87" t="s">
        <v>86</v>
      </c>
      <c r="O194" s="87">
        <v>1.0</v>
      </c>
      <c r="P194" s="84"/>
      <c r="Q194" s="84"/>
      <c r="R194" s="84"/>
      <c r="S194" s="84"/>
      <c r="T194" s="84"/>
      <c r="U194" s="88">
        <f t="shared" ref="U194:X194" si="1665">C194-C193</f>
        <v>12</v>
      </c>
      <c r="V194" s="84">
        <f t="shared" si="1665"/>
        <v>-12</v>
      </c>
      <c r="W194" s="84">
        <f t="shared" si="1665"/>
        <v>-12</v>
      </c>
      <c r="X194" s="84">
        <f t="shared" si="1665"/>
        <v>12</v>
      </c>
      <c r="Y194" s="84"/>
      <c r="Z194" s="84"/>
      <c r="AA194" s="84"/>
      <c r="AB194" s="28">
        <f t="shared" ref="AB194:AE194" si="1666">IF(AB$3=$H194,U194,"")</f>
        <v>12</v>
      </c>
      <c r="AC194" s="28" t="str">
        <f t="shared" si="1666"/>
        <v/>
      </c>
      <c r="AD194" s="28" t="str">
        <f t="shared" si="1666"/>
        <v/>
      </c>
      <c r="AE194" s="28" t="str">
        <f t="shared" si="1666"/>
        <v/>
      </c>
      <c r="AH194" s="28">
        <f t="shared" si="22"/>
        <v>12</v>
      </c>
      <c r="AI194" s="28">
        <f t="shared" si="23"/>
        <v>0</v>
      </c>
      <c r="AJ194" s="84"/>
      <c r="AK194" s="78" t="str">
        <f t="shared" ref="AK194:AN194" si="1667">IF(U194&gt;0,AK$3,"")</f>
        <v>Thomas</v>
      </c>
      <c r="AL194" s="78" t="str">
        <f t="shared" si="1667"/>
        <v/>
      </c>
      <c r="AM194" s="78" t="str">
        <f t="shared" si="1667"/>
        <v/>
      </c>
      <c r="AN194" s="78" t="str">
        <f t="shared" si="1667"/>
        <v>Christian</v>
      </c>
      <c r="AO194" s="56">
        <f t="shared" si="25"/>
        <v>2</v>
      </c>
      <c r="AP194" s="8" t="str">
        <f t="shared" si="26"/>
        <v>Thomas</v>
      </c>
      <c r="AQ194" s="73" t="str">
        <f>IFERROR(__xludf.DUMMYFUNCTION("IFNA(QUERY(transpose(AY194:BB194),""Select Col1 where Col1 is not null limit 1"",0))"),"Christian")</f>
        <v>Christian</v>
      </c>
      <c r="AR194" s="56"/>
      <c r="AS194" s="28" t="str">
        <f t="shared" ref="AS194:AV194" si="1668">IF(AK194=AS$3,"",AS$3)</f>
        <v/>
      </c>
      <c r="AT194" s="28" t="str">
        <f t="shared" si="1668"/>
        <v>Peter</v>
      </c>
      <c r="AU194" s="28" t="str">
        <f t="shared" si="1668"/>
        <v>Janus</v>
      </c>
      <c r="AV194" s="28" t="str">
        <f t="shared" si="1668"/>
        <v/>
      </c>
      <c r="AW194" s="56">
        <f t="shared" si="28"/>
        <v>2</v>
      </c>
      <c r="AX194" s="28">
        <f t="shared" si="29"/>
        <v>12</v>
      </c>
      <c r="AY194" s="28" t="str">
        <f t="shared" ref="AY194:BB194" si="1669">IFNA(IFS(AY$3=$AP194,"",$AX194=U194,AY$3),"")</f>
        <v/>
      </c>
      <c r="AZ194" s="28" t="str">
        <f t="shared" si="1669"/>
        <v/>
      </c>
      <c r="BA194" s="28" t="str">
        <f t="shared" si="1669"/>
        <v/>
      </c>
      <c r="BB194" s="28" t="str">
        <f t="shared" si="1669"/>
        <v>Christian</v>
      </c>
      <c r="BC194" s="58">
        <f>OFFSET('00_Regnskab_01'!$A$1,MATCH(A194,'00_Regnskab_01'!$A$1:$A$25)-1,2)</f>
        <v>43882</v>
      </c>
      <c r="BD194" s="84"/>
      <c r="BE194" s="80">
        <f t="shared" ref="BE194:BH194" si="1670">if(U194&gt;0,1+BE193,0)</f>
        <v>3</v>
      </c>
      <c r="BF194" s="28">
        <f t="shared" si="1670"/>
        <v>0</v>
      </c>
      <c r="BG194" s="28">
        <f t="shared" si="1670"/>
        <v>0</v>
      </c>
      <c r="BH194" s="28">
        <f t="shared" si="1670"/>
        <v>2</v>
      </c>
      <c r="BI194" s="84"/>
      <c r="BJ194" s="28">
        <f t="shared" ref="BJ194:BM194" si="1671">if(U194&lt;0,1+BJ193,0)</f>
        <v>0</v>
      </c>
      <c r="BK194" s="28">
        <f t="shared" si="1671"/>
        <v>3</v>
      </c>
      <c r="BL194" s="28">
        <f t="shared" si="1671"/>
        <v>1</v>
      </c>
      <c r="BM194" s="28">
        <f t="shared" si="1671"/>
        <v>0</v>
      </c>
      <c r="BO194" s="74">
        <f t="shared" ref="BO194:BR194" si="1672">if(U194&gt;0,U194+BO193,0)</f>
        <v>32</v>
      </c>
      <c r="BP194" s="74">
        <f t="shared" si="1672"/>
        <v>0</v>
      </c>
      <c r="BQ194" s="74">
        <f t="shared" si="1672"/>
        <v>0</v>
      </c>
      <c r="BR194" s="74">
        <f t="shared" si="1672"/>
        <v>20</v>
      </c>
      <c r="BT194" s="28">
        <f t="shared" ref="BT194:BW194" si="1673">if(U194&lt;0,U194+BT193,0)</f>
        <v>0</v>
      </c>
      <c r="BU194" s="28">
        <f t="shared" si="1673"/>
        <v>-48</v>
      </c>
      <c r="BV194" s="28">
        <f t="shared" si="1673"/>
        <v>-12</v>
      </c>
      <c r="BW194" s="28">
        <f t="shared" si="1673"/>
        <v>0</v>
      </c>
      <c r="BX194" s="84"/>
      <c r="BY194" s="84"/>
    </row>
    <row r="195">
      <c r="A195" s="51">
        <v>13.0</v>
      </c>
      <c r="B195" s="32">
        <f>'13_22-02-2020'!A3</f>
        <v>1</v>
      </c>
      <c r="C195" s="69">
        <f>'13_22-02-2020'!E3</f>
        <v>0</v>
      </c>
      <c r="D195" s="32">
        <f>'13_22-02-2020'!D3</f>
        <v>-16</v>
      </c>
      <c r="E195" s="32">
        <f>'13_22-02-2020'!B3</f>
        <v>0</v>
      </c>
      <c r="F195" s="32">
        <f>'13_22-02-2020'!C3</f>
        <v>16</v>
      </c>
      <c r="G195" s="32">
        <f>'13_22-02-2020'!F3</f>
        <v>0</v>
      </c>
      <c r="H195" s="32" t="str">
        <f>'13_22-02-2020'!H3</f>
        <v>Peter/Christian</v>
      </c>
      <c r="I195" s="32"/>
      <c r="J195" s="70" t="str">
        <f>'13_22-02-2020'!I3</f>
        <v>Thomas</v>
      </c>
      <c r="K195" s="32" t="str">
        <f>'13_22-02-2020'!G3</f>
        <v>Sol</v>
      </c>
      <c r="L195" s="32"/>
      <c r="M195" s="32"/>
      <c r="N195" s="48" t="s">
        <v>99</v>
      </c>
      <c r="O195" s="32"/>
      <c r="P195" s="32"/>
      <c r="Q195" s="48" t="s">
        <v>15</v>
      </c>
      <c r="R195" s="32"/>
      <c r="S195" s="32"/>
      <c r="T195" s="32"/>
      <c r="U195" s="71">
        <f t="shared" ref="U195:X195" si="1674">C195</f>
        <v>0</v>
      </c>
      <c r="V195" s="32">
        <f t="shared" si="1674"/>
        <v>-16</v>
      </c>
      <c r="W195" s="32">
        <f t="shared" si="1674"/>
        <v>0</v>
      </c>
      <c r="X195" s="32">
        <f t="shared" si="1674"/>
        <v>16</v>
      </c>
      <c r="Y195" s="32"/>
      <c r="Z195" s="32"/>
      <c r="AA195" s="32"/>
      <c r="AB195" s="28" t="str">
        <f t="shared" ref="AB195:AE195" si="1675">IF(AB$3=$H195,U195,"")</f>
        <v/>
      </c>
      <c r="AC195" s="28" t="str">
        <f t="shared" si="1675"/>
        <v/>
      </c>
      <c r="AD195" s="28" t="str">
        <f t="shared" si="1675"/>
        <v/>
      </c>
      <c r="AE195" s="28" t="str">
        <f t="shared" si="1675"/>
        <v/>
      </c>
      <c r="AH195" s="28">
        <f t="shared" si="22"/>
        <v>0</v>
      </c>
      <c r="AI195" s="28">
        <f t="shared" si="23"/>
        <v>0</v>
      </c>
      <c r="AJ195" s="32"/>
      <c r="AK195" s="78" t="str">
        <f t="shared" ref="AK195:AN195" si="1676">IF(U195&gt;0,AK$3,"")</f>
        <v/>
      </c>
      <c r="AL195" s="78" t="str">
        <f t="shared" si="1676"/>
        <v/>
      </c>
      <c r="AM195" s="78" t="str">
        <f t="shared" si="1676"/>
        <v/>
      </c>
      <c r="AN195" s="78" t="str">
        <f t="shared" si="1676"/>
        <v>Christian</v>
      </c>
      <c r="AO195" s="56">
        <f t="shared" si="25"/>
        <v>1</v>
      </c>
      <c r="AP195" s="8" t="str">
        <f t="shared" si="26"/>
        <v>Peter/Christian</v>
      </c>
      <c r="AQ195" s="73" t="str">
        <f>IFERROR(__xludf.DUMMYFUNCTION("IFNA(QUERY(transpose(AY195:BB195),""Select Col1 where Col1 is not null limit 1"",0))"),"Thomas")</f>
        <v>Thomas</v>
      </c>
      <c r="AR195" s="56"/>
      <c r="AS195" s="28" t="str">
        <f t="shared" ref="AS195:AV195" si="1677">IF(AK195=AS$3,"",AS$3)</f>
        <v>Thomas</v>
      </c>
      <c r="AT195" s="28" t="str">
        <f t="shared" si="1677"/>
        <v>Peter</v>
      </c>
      <c r="AU195" s="28" t="str">
        <f t="shared" si="1677"/>
        <v>Janus</v>
      </c>
      <c r="AV195" s="28" t="str">
        <f t="shared" si="1677"/>
        <v/>
      </c>
      <c r="AW195" s="56">
        <f t="shared" si="28"/>
        <v>3</v>
      </c>
      <c r="AX195" s="28">
        <f t="shared" si="29"/>
        <v>0</v>
      </c>
      <c r="AY195" s="28" t="str">
        <f t="shared" ref="AY195:BB195" si="1678">IFNA(IFS(AY$3=$AP195,"",$AX195=U195,AY$3),"")</f>
        <v>Thomas</v>
      </c>
      <c r="AZ195" s="28" t="str">
        <f t="shared" si="1678"/>
        <v/>
      </c>
      <c r="BA195" s="28" t="str">
        <f t="shared" si="1678"/>
        <v>Janus</v>
      </c>
      <c r="BB195" s="28" t="str">
        <f t="shared" si="1678"/>
        <v/>
      </c>
      <c r="BC195" s="58">
        <f>OFFSET('00_Regnskab_01'!$A$1,MATCH(A195,'00_Regnskab_01'!$A$1:$A$25)-1,2)</f>
        <v>43883</v>
      </c>
      <c r="BD195" s="32"/>
      <c r="BE195" s="80">
        <f t="shared" ref="BE195:BH195" si="1679">if(U195&gt;0,1+BE194,0)</f>
        <v>0</v>
      </c>
      <c r="BF195" s="28">
        <f t="shared" si="1679"/>
        <v>0</v>
      </c>
      <c r="BG195" s="28">
        <f t="shared" si="1679"/>
        <v>0</v>
      </c>
      <c r="BH195" s="28">
        <f t="shared" si="1679"/>
        <v>3</v>
      </c>
      <c r="BI195" s="32"/>
      <c r="BJ195" s="28">
        <f t="shared" ref="BJ195:BM195" si="1680">if(U195&lt;0,1+BJ194,0)</f>
        <v>0</v>
      </c>
      <c r="BK195" s="28">
        <f t="shared" si="1680"/>
        <v>4</v>
      </c>
      <c r="BL195" s="28">
        <f t="shared" si="1680"/>
        <v>0</v>
      </c>
      <c r="BM195" s="28">
        <f t="shared" si="1680"/>
        <v>0</v>
      </c>
      <c r="BO195" s="74">
        <f t="shared" ref="BO195:BR195" si="1681">if(U195&gt;0,U195+BO194,0)</f>
        <v>0</v>
      </c>
      <c r="BP195" s="74">
        <f t="shared" si="1681"/>
        <v>0</v>
      </c>
      <c r="BQ195" s="74">
        <f t="shared" si="1681"/>
        <v>0</v>
      </c>
      <c r="BR195" s="74">
        <f t="shared" si="1681"/>
        <v>36</v>
      </c>
      <c r="BT195" s="28">
        <f t="shared" ref="BT195:BW195" si="1682">if(U195&lt;0,U195+BT194,0)</f>
        <v>0</v>
      </c>
      <c r="BU195" s="28">
        <f t="shared" si="1682"/>
        <v>-64</v>
      </c>
      <c r="BV195" s="28">
        <f t="shared" si="1682"/>
        <v>0</v>
      </c>
      <c r="BW195" s="28">
        <f t="shared" si="1682"/>
        <v>0</v>
      </c>
      <c r="BX195" s="32"/>
      <c r="BY195" s="32"/>
    </row>
    <row r="196">
      <c r="A196" s="53">
        <v>13.0</v>
      </c>
      <c r="B196" s="28">
        <f>'13_22-02-2020'!A4</f>
        <v>2</v>
      </c>
      <c r="C196" s="75">
        <f>'13_22-02-2020'!E4</f>
        <v>8</v>
      </c>
      <c r="D196" s="28">
        <f>'13_22-02-2020'!D4</f>
        <v>-8</v>
      </c>
      <c r="E196" s="28">
        <f>'13_22-02-2020'!B4</f>
        <v>-8</v>
      </c>
      <c r="F196" s="28">
        <f>'13_22-02-2020'!C4</f>
        <v>8</v>
      </c>
      <c r="G196" s="28">
        <f>'13_22-02-2020'!F4</f>
        <v>0</v>
      </c>
      <c r="H196" s="28" t="str">
        <f>'13_22-02-2020'!H4</f>
        <v>Thomas</v>
      </c>
      <c r="J196" s="76" t="str">
        <f>'13_22-02-2020'!I4</f>
        <v>Janus</v>
      </c>
      <c r="K196" s="28" t="str">
        <f>'13_22-02-2020'!G4</f>
        <v>9 vip i 1.</v>
      </c>
      <c r="L196" s="56"/>
      <c r="M196" s="25">
        <v>9.0</v>
      </c>
      <c r="N196" s="25" t="s">
        <v>86</v>
      </c>
      <c r="O196" s="25">
        <v>1.0</v>
      </c>
      <c r="T196" s="56"/>
      <c r="U196" s="77">
        <f t="shared" ref="U196:X196" si="1683">C196-C195</f>
        <v>8</v>
      </c>
      <c r="V196" s="28">
        <f t="shared" si="1683"/>
        <v>8</v>
      </c>
      <c r="W196" s="28">
        <f t="shared" si="1683"/>
        <v>-8</v>
      </c>
      <c r="X196" s="28">
        <f t="shared" si="1683"/>
        <v>-8</v>
      </c>
      <c r="AB196" s="28">
        <f t="shared" ref="AB196:AE196" si="1684">IF(AB$3=$H196,U196,"")</f>
        <v>8</v>
      </c>
      <c r="AC196" s="28" t="str">
        <f t="shared" si="1684"/>
        <v/>
      </c>
      <c r="AD196" s="28" t="str">
        <f t="shared" si="1684"/>
        <v/>
      </c>
      <c r="AE196" s="28" t="str">
        <f t="shared" si="1684"/>
        <v/>
      </c>
      <c r="AH196" s="28">
        <f t="shared" si="22"/>
        <v>8</v>
      </c>
      <c r="AI196" s="28">
        <f t="shared" si="23"/>
        <v>0</v>
      </c>
      <c r="AK196" s="78" t="str">
        <f t="shared" ref="AK196:AN196" si="1685">IF(U196&gt;0,AK$3,"")</f>
        <v>Thomas</v>
      </c>
      <c r="AL196" s="78" t="str">
        <f t="shared" si="1685"/>
        <v>Peter</v>
      </c>
      <c r="AM196" s="78" t="str">
        <f t="shared" si="1685"/>
        <v/>
      </c>
      <c r="AN196" s="78" t="str">
        <f t="shared" si="1685"/>
        <v/>
      </c>
      <c r="AO196" s="56">
        <f t="shared" si="25"/>
        <v>2</v>
      </c>
      <c r="AP196" s="8" t="str">
        <f t="shared" si="26"/>
        <v>Thomas</v>
      </c>
      <c r="AQ196" s="73" t="str">
        <f>IFERROR(__xludf.DUMMYFUNCTION("IFNA(QUERY(transpose(AY196:BB196),""Select Col1 where Col1 is not null limit 1"",0))"),"Peter")</f>
        <v>Peter</v>
      </c>
      <c r="AR196" s="56"/>
      <c r="AS196" s="28" t="str">
        <f t="shared" ref="AS196:AV196" si="1686">IF(AK196=AS$3,"",AS$3)</f>
        <v/>
      </c>
      <c r="AT196" s="28" t="str">
        <f t="shared" si="1686"/>
        <v/>
      </c>
      <c r="AU196" s="28" t="str">
        <f t="shared" si="1686"/>
        <v>Janus</v>
      </c>
      <c r="AV196" s="28" t="str">
        <f t="shared" si="1686"/>
        <v>Christian</v>
      </c>
      <c r="AW196" s="56">
        <f t="shared" si="28"/>
        <v>2</v>
      </c>
      <c r="AX196" s="28">
        <f t="shared" si="29"/>
        <v>8</v>
      </c>
      <c r="AY196" s="28" t="str">
        <f t="shared" ref="AY196:BB196" si="1687">IFNA(IFS(AY$3=$AP196,"",$AX196=U196,AY$3),"")</f>
        <v/>
      </c>
      <c r="AZ196" s="28" t="str">
        <f t="shared" si="1687"/>
        <v>Peter</v>
      </c>
      <c r="BA196" s="28" t="str">
        <f t="shared" si="1687"/>
        <v/>
      </c>
      <c r="BB196" s="28" t="str">
        <f t="shared" si="1687"/>
        <v/>
      </c>
      <c r="BC196" s="58">
        <f>OFFSET('00_Regnskab_01'!$A$1,MATCH(A196,'00_Regnskab_01'!$A$1:$A$25)-1,2)</f>
        <v>43883</v>
      </c>
      <c r="BE196" s="80">
        <f t="shared" ref="BE196:BH196" si="1688">if(U196&gt;0,1+BE195,0)</f>
        <v>1</v>
      </c>
      <c r="BF196" s="28">
        <f t="shared" si="1688"/>
        <v>1</v>
      </c>
      <c r="BG196" s="28">
        <f t="shared" si="1688"/>
        <v>0</v>
      </c>
      <c r="BH196" s="28">
        <f t="shared" si="1688"/>
        <v>0</v>
      </c>
      <c r="BJ196" s="28">
        <f t="shared" ref="BJ196:BM196" si="1689">if(U196&lt;0,1+BJ195,0)</f>
        <v>0</v>
      </c>
      <c r="BK196" s="28">
        <f t="shared" si="1689"/>
        <v>0</v>
      </c>
      <c r="BL196" s="28">
        <f t="shared" si="1689"/>
        <v>1</v>
      </c>
      <c r="BM196" s="28">
        <f t="shared" si="1689"/>
        <v>1</v>
      </c>
      <c r="BO196" s="74">
        <f t="shared" ref="BO196:BR196" si="1690">if(U196&gt;0,U196+BO195,0)</f>
        <v>8</v>
      </c>
      <c r="BP196" s="74">
        <f t="shared" si="1690"/>
        <v>8</v>
      </c>
      <c r="BQ196" s="74">
        <f t="shared" si="1690"/>
        <v>0</v>
      </c>
      <c r="BR196" s="74">
        <f t="shared" si="1690"/>
        <v>0</v>
      </c>
      <c r="BT196" s="28">
        <f t="shared" ref="BT196:BW196" si="1691">if(U196&lt;0,U196+BT195,0)</f>
        <v>0</v>
      </c>
      <c r="BU196" s="28">
        <f t="shared" si="1691"/>
        <v>0</v>
      </c>
      <c r="BV196" s="28">
        <f t="shared" si="1691"/>
        <v>-8</v>
      </c>
      <c r="BW196" s="28">
        <f t="shared" si="1691"/>
        <v>-8</v>
      </c>
    </row>
    <row r="197">
      <c r="A197" s="53">
        <v>13.0</v>
      </c>
      <c r="B197" s="28">
        <f>'13_22-02-2020'!A5</f>
        <v>3</v>
      </c>
      <c r="C197" s="75">
        <f>'13_22-02-2020'!E5</f>
        <v>4</v>
      </c>
      <c r="D197" s="28">
        <f>'13_22-02-2020'!D5</f>
        <v>-12</v>
      </c>
      <c r="E197" s="28">
        <f>'13_22-02-2020'!B5</f>
        <v>4</v>
      </c>
      <c r="F197" s="28">
        <f>'13_22-02-2020'!C5</f>
        <v>4</v>
      </c>
      <c r="G197" s="28">
        <f>'13_22-02-2020'!F5</f>
        <v>0</v>
      </c>
      <c r="H197" s="28" t="str">
        <f>'13_22-02-2020'!H5</f>
        <v>Janus</v>
      </c>
      <c r="J197" s="76" t="str">
        <f>'13_22-02-2020'!I5</f>
        <v>Peter</v>
      </c>
      <c r="K197" s="28" t="str">
        <f>'13_22-02-2020'!G5</f>
        <v>Sol</v>
      </c>
      <c r="L197" s="56"/>
      <c r="N197" s="25" t="s">
        <v>99</v>
      </c>
      <c r="T197" s="56"/>
      <c r="U197" s="77">
        <f t="shared" ref="U197:X197" si="1692">C197-C196</f>
        <v>-4</v>
      </c>
      <c r="V197" s="28">
        <f t="shared" si="1692"/>
        <v>-4</v>
      </c>
      <c r="W197" s="28">
        <f t="shared" si="1692"/>
        <v>12</v>
      </c>
      <c r="X197" s="28">
        <f t="shared" si="1692"/>
        <v>-4</v>
      </c>
      <c r="AB197" s="28" t="str">
        <f t="shared" ref="AB197:AE197" si="1693">IF(AB$3=$H197,U197,"")</f>
        <v/>
      </c>
      <c r="AC197" s="28" t="str">
        <f t="shared" si="1693"/>
        <v/>
      </c>
      <c r="AD197" s="28">
        <f t="shared" si="1693"/>
        <v>12</v>
      </c>
      <c r="AE197" s="28" t="str">
        <f t="shared" si="1693"/>
        <v/>
      </c>
      <c r="AH197" s="28">
        <f t="shared" si="22"/>
        <v>12</v>
      </c>
      <c r="AI197" s="28">
        <f t="shared" si="23"/>
        <v>0</v>
      </c>
      <c r="AK197" s="78" t="str">
        <f t="shared" ref="AK197:AN197" si="1694">IF(U197&gt;0,AK$3,"")</f>
        <v/>
      </c>
      <c r="AL197" s="78" t="str">
        <f t="shared" si="1694"/>
        <v/>
      </c>
      <c r="AM197" s="78" t="str">
        <f t="shared" si="1694"/>
        <v>Janus</v>
      </c>
      <c r="AN197" s="78" t="str">
        <f t="shared" si="1694"/>
        <v/>
      </c>
      <c r="AO197" s="56">
        <f t="shared" si="25"/>
        <v>1</v>
      </c>
      <c r="AP197" s="8" t="str">
        <f t="shared" si="26"/>
        <v>Janus</v>
      </c>
      <c r="AQ197" s="73" t="str">
        <f>IFERROR(__xludf.DUMMYFUNCTION("IFNA(QUERY(transpose(AY197:BB197),""Select Col1 where Col1 is not null limit 1"",0))"),"")</f>
        <v/>
      </c>
      <c r="AR197" s="56"/>
      <c r="AS197" s="28" t="str">
        <f t="shared" ref="AS197:AV197" si="1695">IF(AK197=AS$3,"",AS$3)</f>
        <v>Thomas</v>
      </c>
      <c r="AT197" s="28" t="str">
        <f t="shared" si="1695"/>
        <v>Peter</v>
      </c>
      <c r="AU197" s="28" t="str">
        <f t="shared" si="1695"/>
        <v/>
      </c>
      <c r="AV197" s="28" t="str">
        <f t="shared" si="1695"/>
        <v>Christian</v>
      </c>
      <c r="AW197" s="56">
        <f t="shared" si="28"/>
        <v>3</v>
      </c>
      <c r="AX197" s="28">
        <f t="shared" si="29"/>
        <v>12</v>
      </c>
      <c r="AY197" s="28" t="str">
        <f t="shared" ref="AY197:BB197" si="1696">IFNA(IFS(AY$3=$AP197,"",$AX197=U197,AY$3),"")</f>
        <v/>
      </c>
      <c r="AZ197" s="28" t="str">
        <f t="shared" si="1696"/>
        <v/>
      </c>
      <c r="BA197" s="28" t="str">
        <f t="shared" si="1696"/>
        <v/>
      </c>
      <c r="BB197" s="28" t="str">
        <f t="shared" si="1696"/>
        <v/>
      </c>
      <c r="BC197" s="58">
        <f>OFFSET('00_Regnskab_01'!$A$1,MATCH(A197,'00_Regnskab_01'!$A$1:$A$25)-1,2)</f>
        <v>43883</v>
      </c>
      <c r="BE197" s="80">
        <f t="shared" ref="BE197:BH197" si="1697">if(U197&gt;0,1+BE196,0)</f>
        <v>0</v>
      </c>
      <c r="BF197" s="28">
        <f t="shared" si="1697"/>
        <v>0</v>
      </c>
      <c r="BG197" s="28">
        <f t="shared" si="1697"/>
        <v>1</v>
      </c>
      <c r="BH197" s="28">
        <f t="shared" si="1697"/>
        <v>0</v>
      </c>
      <c r="BJ197" s="28">
        <f t="shared" ref="BJ197:BM197" si="1698">if(U197&lt;0,1+BJ196,0)</f>
        <v>1</v>
      </c>
      <c r="BK197" s="28">
        <f t="shared" si="1698"/>
        <v>1</v>
      </c>
      <c r="BL197" s="28">
        <f t="shared" si="1698"/>
        <v>0</v>
      </c>
      <c r="BM197" s="28">
        <f t="shared" si="1698"/>
        <v>2</v>
      </c>
      <c r="BO197" s="74">
        <f t="shared" ref="BO197:BR197" si="1699">if(U197&gt;0,U197+BO196,0)</f>
        <v>0</v>
      </c>
      <c r="BP197" s="74">
        <f t="shared" si="1699"/>
        <v>0</v>
      </c>
      <c r="BQ197" s="74">
        <f t="shared" si="1699"/>
        <v>12</v>
      </c>
      <c r="BR197" s="74">
        <f t="shared" si="1699"/>
        <v>0</v>
      </c>
      <c r="BT197" s="28">
        <f t="shared" ref="BT197:BW197" si="1700">if(U197&lt;0,U197+BT196,0)</f>
        <v>-4</v>
      </c>
      <c r="BU197" s="28">
        <f t="shared" si="1700"/>
        <v>-4</v>
      </c>
      <c r="BV197" s="28">
        <f t="shared" si="1700"/>
        <v>0</v>
      </c>
      <c r="BW197" s="28">
        <f t="shared" si="1700"/>
        <v>-12</v>
      </c>
    </row>
    <row r="198">
      <c r="A198" s="53">
        <v>13.0</v>
      </c>
      <c r="B198" s="28">
        <f>'13_22-02-2020'!A6</f>
        <v>4</v>
      </c>
      <c r="C198" s="75">
        <f>'13_22-02-2020'!E6</f>
        <v>12</v>
      </c>
      <c r="D198" s="28">
        <f>'13_22-02-2020'!D6</f>
        <v>-4</v>
      </c>
      <c r="E198" s="28">
        <f>'13_22-02-2020'!B6</f>
        <v>-4</v>
      </c>
      <c r="F198" s="28">
        <f>'13_22-02-2020'!C6</f>
        <v>-4</v>
      </c>
      <c r="G198" s="28">
        <f>'13_22-02-2020'!F6</f>
        <v>0</v>
      </c>
      <c r="H198" s="28" t="str">
        <f>'13_22-02-2020'!H6</f>
        <v>Christian</v>
      </c>
      <c r="J198" s="76" t="str">
        <f>'13_22-02-2020'!I6</f>
        <v>Christian</v>
      </c>
      <c r="K198" s="28" t="str">
        <f>'13_22-02-2020'!G6</f>
        <v>10 alm</v>
      </c>
      <c r="L198" s="56"/>
      <c r="M198" s="25">
        <v>10.0</v>
      </c>
      <c r="N198" s="25" t="s">
        <v>100</v>
      </c>
      <c r="T198" s="56"/>
      <c r="U198" s="77">
        <f t="shared" ref="U198:X198" si="1701">C198-C197</f>
        <v>8</v>
      </c>
      <c r="V198" s="28">
        <f t="shared" si="1701"/>
        <v>8</v>
      </c>
      <c r="W198" s="28">
        <f t="shared" si="1701"/>
        <v>-8</v>
      </c>
      <c r="X198" s="28">
        <f t="shared" si="1701"/>
        <v>-8</v>
      </c>
      <c r="AB198" s="28" t="str">
        <f t="shared" ref="AB198:AE198" si="1702">IF(AB$3=$H198,U198,"")</f>
        <v/>
      </c>
      <c r="AC198" s="28" t="str">
        <f t="shared" si="1702"/>
        <v/>
      </c>
      <c r="AD198" s="28" t="str">
        <f t="shared" si="1702"/>
        <v/>
      </c>
      <c r="AE198" s="28">
        <f t="shared" si="1702"/>
        <v>-8</v>
      </c>
      <c r="AH198" s="28">
        <f t="shared" si="22"/>
        <v>0</v>
      </c>
      <c r="AI198" s="28">
        <f t="shared" si="23"/>
        <v>-8</v>
      </c>
      <c r="AK198" s="78" t="str">
        <f t="shared" ref="AK198:AN198" si="1703">IF(U198&gt;0,AK$3,"")</f>
        <v>Thomas</v>
      </c>
      <c r="AL198" s="78" t="str">
        <f t="shared" si="1703"/>
        <v>Peter</v>
      </c>
      <c r="AM198" s="78" t="str">
        <f t="shared" si="1703"/>
        <v/>
      </c>
      <c r="AN198" s="78" t="str">
        <f t="shared" si="1703"/>
        <v/>
      </c>
      <c r="AO198" s="56">
        <f t="shared" si="25"/>
        <v>2</v>
      </c>
      <c r="AP198" s="8" t="str">
        <f t="shared" si="26"/>
        <v>Christian</v>
      </c>
      <c r="AQ198" s="73" t="str">
        <f>IFERROR(__xludf.DUMMYFUNCTION("IFNA(QUERY(transpose(AY198:BB198),""Select Col1 where Col1 is not null limit 1"",0))"),"Janus")</f>
        <v>Janus</v>
      </c>
      <c r="AR198" s="56"/>
      <c r="AS198" s="28" t="str">
        <f t="shared" ref="AS198:AV198" si="1704">IF(AK198=AS$3,"",AS$3)</f>
        <v/>
      </c>
      <c r="AT198" s="28" t="str">
        <f t="shared" si="1704"/>
        <v/>
      </c>
      <c r="AU198" s="28" t="str">
        <f t="shared" si="1704"/>
        <v>Janus</v>
      </c>
      <c r="AV198" s="28" t="str">
        <f t="shared" si="1704"/>
        <v>Christian</v>
      </c>
      <c r="AW198" s="56">
        <f t="shared" si="28"/>
        <v>2</v>
      </c>
      <c r="AX198" s="28">
        <f t="shared" si="29"/>
        <v>-8</v>
      </c>
      <c r="AY198" s="28" t="str">
        <f t="shared" ref="AY198:BB198" si="1705">IFNA(IFS(AY$3=$AP198,"",$AX198=U198,AY$3),"")</f>
        <v/>
      </c>
      <c r="AZ198" s="28" t="str">
        <f t="shared" si="1705"/>
        <v/>
      </c>
      <c r="BA198" s="28" t="str">
        <f t="shared" si="1705"/>
        <v>Janus</v>
      </c>
      <c r="BB198" s="28" t="str">
        <f t="shared" si="1705"/>
        <v/>
      </c>
      <c r="BC198" s="58">
        <f>OFFSET('00_Regnskab_01'!$A$1,MATCH(A198,'00_Regnskab_01'!$A$1:$A$25)-1,2)</f>
        <v>43883</v>
      </c>
      <c r="BE198" s="80">
        <f t="shared" ref="BE198:BH198" si="1706">if(U198&gt;0,1+BE197,0)</f>
        <v>1</v>
      </c>
      <c r="BF198" s="28">
        <f t="shared" si="1706"/>
        <v>1</v>
      </c>
      <c r="BG198" s="28">
        <f t="shared" si="1706"/>
        <v>0</v>
      </c>
      <c r="BH198" s="28">
        <f t="shared" si="1706"/>
        <v>0</v>
      </c>
      <c r="BJ198" s="28">
        <f t="shared" ref="BJ198:BM198" si="1707">if(U198&lt;0,1+BJ197,0)</f>
        <v>0</v>
      </c>
      <c r="BK198" s="28">
        <f t="shared" si="1707"/>
        <v>0</v>
      </c>
      <c r="BL198" s="28">
        <f t="shared" si="1707"/>
        <v>1</v>
      </c>
      <c r="BM198" s="28">
        <f t="shared" si="1707"/>
        <v>3</v>
      </c>
      <c r="BO198" s="74">
        <f t="shared" ref="BO198:BR198" si="1708">if(U198&gt;0,U198+BO197,0)</f>
        <v>8</v>
      </c>
      <c r="BP198" s="74">
        <f t="shared" si="1708"/>
        <v>8</v>
      </c>
      <c r="BQ198" s="74">
        <f t="shared" si="1708"/>
        <v>0</v>
      </c>
      <c r="BR198" s="74">
        <f t="shared" si="1708"/>
        <v>0</v>
      </c>
      <c r="BT198" s="28">
        <f t="shared" ref="BT198:BW198" si="1709">if(U198&lt;0,U198+BT197,0)</f>
        <v>0</v>
      </c>
      <c r="BU198" s="28">
        <f t="shared" si="1709"/>
        <v>0</v>
      </c>
      <c r="BV198" s="28">
        <f t="shared" si="1709"/>
        <v>-8</v>
      </c>
      <c r="BW198" s="28">
        <f t="shared" si="1709"/>
        <v>-20</v>
      </c>
    </row>
    <row r="199">
      <c r="A199" s="53">
        <v>13.0</v>
      </c>
      <c r="B199" s="28">
        <f>'13_22-02-2020'!A7</f>
        <v>5</v>
      </c>
      <c r="C199" s="75">
        <f>'13_22-02-2020'!E7</f>
        <v>0</v>
      </c>
      <c r="D199" s="28">
        <f>'13_22-02-2020'!D7</f>
        <v>32</v>
      </c>
      <c r="E199" s="28">
        <f>'13_22-02-2020'!B7</f>
        <v>-16</v>
      </c>
      <c r="F199" s="28">
        <f>'13_22-02-2020'!C7</f>
        <v>-16</v>
      </c>
      <c r="G199" s="28">
        <f>'13_22-02-2020'!F7</f>
        <v>0</v>
      </c>
      <c r="H199" s="28" t="str">
        <f>'13_22-02-2020'!H7</f>
        <v>Peter</v>
      </c>
      <c r="J199" s="76" t="str">
        <f>'13_22-02-2020'!I7</f>
        <v>Thomas</v>
      </c>
      <c r="K199" s="28" t="str">
        <f>'13_22-02-2020'!G7</f>
        <v>9 sans</v>
      </c>
      <c r="L199" s="56"/>
      <c r="M199" s="25">
        <v>9.0</v>
      </c>
      <c r="N199" s="25" t="s">
        <v>98</v>
      </c>
      <c r="T199" s="56"/>
      <c r="U199" s="77">
        <f t="shared" ref="U199:X199" si="1710">C199-C198</f>
        <v>-12</v>
      </c>
      <c r="V199" s="28">
        <f t="shared" si="1710"/>
        <v>36</v>
      </c>
      <c r="W199" s="28">
        <f t="shared" si="1710"/>
        <v>-12</v>
      </c>
      <c r="X199" s="28">
        <f t="shared" si="1710"/>
        <v>-12</v>
      </c>
      <c r="AB199" s="28" t="str">
        <f t="shared" ref="AB199:AE199" si="1711">IF(AB$3=$H199,U199,"")</f>
        <v/>
      </c>
      <c r="AC199" s="28">
        <f t="shared" si="1711"/>
        <v>36</v>
      </c>
      <c r="AD199" s="28" t="str">
        <f t="shared" si="1711"/>
        <v/>
      </c>
      <c r="AE199" s="28" t="str">
        <f t="shared" si="1711"/>
        <v/>
      </c>
      <c r="AH199" s="28">
        <f t="shared" si="22"/>
        <v>36</v>
      </c>
      <c r="AI199" s="28">
        <f t="shared" si="23"/>
        <v>0</v>
      </c>
      <c r="AK199" s="78" t="str">
        <f t="shared" ref="AK199:AN199" si="1712">IF(U199&gt;0,AK$3,"")</f>
        <v/>
      </c>
      <c r="AL199" s="78" t="str">
        <f t="shared" si="1712"/>
        <v>Peter</v>
      </c>
      <c r="AM199" s="78" t="str">
        <f t="shared" si="1712"/>
        <v/>
      </c>
      <c r="AN199" s="78" t="str">
        <f t="shared" si="1712"/>
        <v/>
      </c>
      <c r="AO199" s="56">
        <f t="shared" si="25"/>
        <v>1</v>
      </c>
      <c r="AP199" s="8" t="str">
        <f t="shared" si="26"/>
        <v>Peter</v>
      </c>
      <c r="AQ199" s="73" t="str">
        <f>IFERROR(__xludf.DUMMYFUNCTION("IFNA(QUERY(transpose(AY199:BB199),""Select Col1 where Col1 is not null limit 1"",0))"),"")</f>
        <v/>
      </c>
      <c r="AR199" s="56"/>
      <c r="AS199" s="28" t="str">
        <f t="shared" ref="AS199:AV199" si="1713">IF(AK199=AS$3,"",AS$3)</f>
        <v>Thomas</v>
      </c>
      <c r="AT199" s="28" t="str">
        <f t="shared" si="1713"/>
        <v/>
      </c>
      <c r="AU199" s="28" t="str">
        <f t="shared" si="1713"/>
        <v>Janus</v>
      </c>
      <c r="AV199" s="28" t="str">
        <f t="shared" si="1713"/>
        <v>Christian</v>
      </c>
      <c r="AW199" s="56">
        <f t="shared" si="28"/>
        <v>3</v>
      </c>
      <c r="AX199" s="28">
        <f t="shared" si="29"/>
        <v>36</v>
      </c>
      <c r="AY199" s="28" t="str">
        <f t="shared" ref="AY199:BB199" si="1714">IFNA(IFS(AY$3=$AP199,"",$AX199=U199,AY$3),"")</f>
        <v/>
      </c>
      <c r="AZ199" s="28" t="str">
        <f t="shared" si="1714"/>
        <v/>
      </c>
      <c r="BA199" s="28" t="str">
        <f t="shared" si="1714"/>
        <v/>
      </c>
      <c r="BB199" s="28" t="str">
        <f t="shared" si="1714"/>
        <v/>
      </c>
      <c r="BC199" s="58">
        <f>OFFSET('00_Regnskab_01'!$A$1,MATCH(A199,'00_Regnskab_01'!$A$1:$A$25)-1,2)</f>
        <v>43883</v>
      </c>
      <c r="BE199" s="80">
        <f t="shared" ref="BE199:BH199" si="1715">if(U199&gt;0,1+BE198,0)</f>
        <v>0</v>
      </c>
      <c r="BF199" s="28">
        <f t="shared" si="1715"/>
        <v>2</v>
      </c>
      <c r="BG199" s="28">
        <f t="shared" si="1715"/>
        <v>0</v>
      </c>
      <c r="BH199" s="28">
        <f t="shared" si="1715"/>
        <v>0</v>
      </c>
      <c r="BJ199" s="28">
        <f t="shared" ref="BJ199:BM199" si="1716">if(U199&lt;0,1+BJ198,0)</f>
        <v>1</v>
      </c>
      <c r="BK199" s="28">
        <f t="shared" si="1716"/>
        <v>0</v>
      </c>
      <c r="BL199" s="28">
        <f t="shared" si="1716"/>
        <v>2</v>
      </c>
      <c r="BM199" s="28">
        <f t="shared" si="1716"/>
        <v>4</v>
      </c>
      <c r="BO199" s="74">
        <f t="shared" ref="BO199:BR199" si="1717">if(U199&gt;0,U199+BO198,0)</f>
        <v>0</v>
      </c>
      <c r="BP199" s="74">
        <f t="shared" si="1717"/>
        <v>44</v>
      </c>
      <c r="BQ199" s="74">
        <f t="shared" si="1717"/>
        <v>0</v>
      </c>
      <c r="BR199" s="74">
        <f t="shared" si="1717"/>
        <v>0</v>
      </c>
      <c r="BT199" s="28">
        <f t="shared" ref="BT199:BW199" si="1718">if(U199&lt;0,U199+BT198,0)</f>
        <v>-12</v>
      </c>
      <c r="BU199" s="28">
        <f t="shared" si="1718"/>
        <v>0</v>
      </c>
      <c r="BV199" s="28">
        <f t="shared" si="1718"/>
        <v>-20</v>
      </c>
      <c r="BW199" s="28">
        <f t="shared" si="1718"/>
        <v>-32</v>
      </c>
    </row>
    <row r="200">
      <c r="A200" s="53">
        <v>13.0</v>
      </c>
      <c r="B200" s="28">
        <f>'13_22-02-2020'!A8</f>
        <v>6</v>
      </c>
      <c r="C200" s="75">
        <f>'13_22-02-2020'!E8</f>
        <v>20</v>
      </c>
      <c r="D200" s="28">
        <f>'13_22-02-2020'!D8</f>
        <v>12</v>
      </c>
      <c r="E200" s="28">
        <f>'13_22-02-2020'!B8</f>
        <v>-36</v>
      </c>
      <c r="F200" s="28">
        <f>'13_22-02-2020'!C8</f>
        <v>4</v>
      </c>
      <c r="G200" s="28">
        <f>'13_22-02-2020'!F8</f>
        <v>0</v>
      </c>
      <c r="H200" s="28" t="str">
        <f>'13_22-02-2020'!H8</f>
        <v>Thomas</v>
      </c>
      <c r="J200" s="76" t="str">
        <f>'13_22-02-2020'!I8</f>
        <v>Janus</v>
      </c>
      <c r="K200" s="28" t="str">
        <f>'13_22-02-2020'!G8</f>
        <v>9 vip i første</v>
      </c>
      <c r="L200" s="56"/>
      <c r="M200" s="25">
        <v>9.0</v>
      </c>
      <c r="N200" s="25" t="s">
        <v>86</v>
      </c>
      <c r="O200" s="25">
        <v>1.0</v>
      </c>
      <c r="T200" s="56"/>
      <c r="U200" s="77">
        <f t="shared" ref="U200:X200" si="1719">C200-C199</f>
        <v>20</v>
      </c>
      <c r="V200" s="28">
        <f t="shared" si="1719"/>
        <v>-20</v>
      </c>
      <c r="W200" s="28">
        <f t="shared" si="1719"/>
        <v>-20</v>
      </c>
      <c r="X200" s="28">
        <f t="shared" si="1719"/>
        <v>20</v>
      </c>
      <c r="AB200" s="28">
        <f t="shared" ref="AB200:AE200" si="1720">IF(AB$3=$H200,U200,"")</f>
        <v>20</v>
      </c>
      <c r="AC200" s="28" t="str">
        <f t="shared" si="1720"/>
        <v/>
      </c>
      <c r="AD200" s="28" t="str">
        <f t="shared" si="1720"/>
        <v/>
      </c>
      <c r="AE200" s="28" t="str">
        <f t="shared" si="1720"/>
        <v/>
      </c>
      <c r="AH200" s="28">
        <f t="shared" si="22"/>
        <v>20</v>
      </c>
      <c r="AI200" s="28">
        <f t="shared" si="23"/>
        <v>0</v>
      </c>
      <c r="AK200" s="78" t="str">
        <f t="shared" ref="AK200:AN200" si="1721">IF(U200&gt;0,AK$3,"")</f>
        <v>Thomas</v>
      </c>
      <c r="AL200" s="78" t="str">
        <f t="shared" si="1721"/>
        <v/>
      </c>
      <c r="AM200" s="78" t="str">
        <f t="shared" si="1721"/>
        <v/>
      </c>
      <c r="AN200" s="78" t="str">
        <f t="shared" si="1721"/>
        <v>Christian</v>
      </c>
      <c r="AO200" s="56">
        <f t="shared" si="25"/>
        <v>2</v>
      </c>
      <c r="AP200" s="8" t="str">
        <f t="shared" si="26"/>
        <v>Thomas</v>
      </c>
      <c r="AQ200" s="73" t="str">
        <f>IFERROR(__xludf.DUMMYFUNCTION("IFNA(QUERY(transpose(AY200:BB200),""Select Col1 where Col1 is not null limit 1"",0))"),"Christian")</f>
        <v>Christian</v>
      </c>
      <c r="AR200" s="56"/>
      <c r="AS200" s="28" t="str">
        <f t="shared" ref="AS200:AV200" si="1722">IF(AK200=AS$3,"",AS$3)</f>
        <v/>
      </c>
      <c r="AT200" s="28" t="str">
        <f t="shared" si="1722"/>
        <v>Peter</v>
      </c>
      <c r="AU200" s="28" t="str">
        <f t="shared" si="1722"/>
        <v>Janus</v>
      </c>
      <c r="AV200" s="28" t="str">
        <f t="shared" si="1722"/>
        <v/>
      </c>
      <c r="AW200" s="56">
        <f t="shared" si="28"/>
        <v>2</v>
      </c>
      <c r="AX200" s="28">
        <f t="shared" si="29"/>
        <v>20</v>
      </c>
      <c r="AY200" s="28" t="str">
        <f t="shared" ref="AY200:BB200" si="1723">IFNA(IFS(AY$3=$AP200,"",$AX200=U200,AY$3),"")</f>
        <v/>
      </c>
      <c r="AZ200" s="28" t="str">
        <f t="shared" si="1723"/>
        <v/>
      </c>
      <c r="BA200" s="28" t="str">
        <f t="shared" si="1723"/>
        <v/>
      </c>
      <c r="BB200" s="28" t="str">
        <f t="shared" si="1723"/>
        <v>Christian</v>
      </c>
      <c r="BC200" s="58">
        <f>OFFSET('00_Regnskab_01'!$A$1,MATCH(A200,'00_Regnskab_01'!$A$1:$A$25)-1,2)</f>
        <v>43883</v>
      </c>
      <c r="BE200" s="80">
        <f t="shared" ref="BE200:BH200" si="1724">if(U200&gt;0,1+BE199,0)</f>
        <v>1</v>
      </c>
      <c r="BF200" s="28">
        <f t="shared" si="1724"/>
        <v>0</v>
      </c>
      <c r="BG200" s="28">
        <f t="shared" si="1724"/>
        <v>0</v>
      </c>
      <c r="BH200" s="28">
        <f t="shared" si="1724"/>
        <v>1</v>
      </c>
      <c r="BJ200" s="28">
        <f t="shared" ref="BJ200:BM200" si="1725">if(U200&lt;0,1+BJ199,0)</f>
        <v>0</v>
      </c>
      <c r="BK200" s="28">
        <f t="shared" si="1725"/>
        <v>1</v>
      </c>
      <c r="BL200" s="28">
        <f t="shared" si="1725"/>
        <v>3</v>
      </c>
      <c r="BM200" s="28">
        <f t="shared" si="1725"/>
        <v>0</v>
      </c>
      <c r="BO200" s="74">
        <f t="shared" ref="BO200:BR200" si="1726">if(U200&gt;0,U200+BO199,0)</f>
        <v>20</v>
      </c>
      <c r="BP200" s="74">
        <f t="shared" si="1726"/>
        <v>0</v>
      </c>
      <c r="BQ200" s="74">
        <f t="shared" si="1726"/>
        <v>0</v>
      </c>
      <c r="BR200" s="74">
        <f t="shared" si="1726"/>
        <v>20</v>
      </c>
      <c r="BT200" s="28">
        <f t="shared" ref="BT200:BW200" si="1727">if(U200&lt;0,U200+BT199,0)</f>
        <v>0</v>
      </c>
      <c r="BU200" s="28">
        <f t="shared" si="1727"/>
        <v>-20</v>
      </c>
      <c r="BV200" s="28">
        <f t="shared" si="1727"/>
        <v>-40</v>
      </c>
      <c r="BW200" s="28">
        <f t="shared" si="1727"/>
        <v>0</v>
      </c>
    </row>
    <row r="201">
      <c r="A201" s="53">
        <v>13.0</v>
      </c>
      <c r="B201" s="28">
        <f>'13_22-02-2020'!A9</f>
        <v>7</v>
      </c>
      <c r="C201" s="75">
        <f>'13_22-02-2020'!E9</f>
        <v>28</v>
      </c>
      <c r="D201" s="28">
        <f>'13_22-02-2020'!D9</f>
        <v>4</v>
      </c>
      <c r="E201" s="28">
        <f>'13_22-02-2020'!B9</f>
        <v>-44</v>
      </c>
      <c r="F201" s="28">
        <f>'13_22-02-2020'!C9</f>
        <v>12</v>
      </c>
      <c r="G201" s="28">
        <f>'13_22-02-2020'!F9</f>
        <v>0</v>
      </c>
      <c r="H201" s="28" t="str">
        <f>'13_22-02-2020'!H9</f>
        <v>Christian</v>
      </c>
      <c r="J201" s="76" t="str">
        <f>'13_22-02-2020'!I9</f>
        <v>Peter</v>
      </c>
      <c r="K201" s="28" t="str">
        <f>'13_22-02-2020'!G9</f>
        <v>9 gode</v>
      </c>
      <c r="L201" s="56"/>
      <c r="M201" s="25">
        <v>9.0</v>
      </c>
      <c r="N201" s="25" t="s">
        <v>95</v>
      </c>
      <c r="T201" s="56"/>
      <c r="U201" s="77">
        <f t="shared" ref="U201:X201" si="1728">C201-C200</f>
        <v>8</v>
      </c>
      <c r="V201" s="28">
        <f t="shared" si="1728"/>
        <v>-8</v>
      </c>
      <c r="W201" s="28">
        <f t="shared" si="1728"/>
        <v>-8</v>
      </c>
      <c r="X201" s="28">
        <f t="shared" si="1728"/>
        <v>8</v>
      </c>
      <c r="AB201" s="28" t="str">
        <f t="shared" ref="AB201:AE201" si="1729">IF(AB$3=$H201,U201,"")</f>
        <v/>
      </c>
      <c r="AC201" s="28" t="str">
        <f t="shared" si="1729"/>
        <v/>
      </c>
      <c r="AD201" s="28" t="str">
        <f t="shared" si="1729"/>
        <v/>
      </c>
      <c r="AE201" s="28">
        <f t="shared" si="1729"/>
        <v>8</v>
      </c>
      <c r="AH201" s="28">
        <f t="shared" si="22"/>
        <v>8</v>
      </c>
      <c r="AI201" s="28">
        <f t="shared" si="23"/>
        <v>0</v>
      </c>
      <c r="AK201" s="78" t="str">
        <f t="shared" ref="AK201:AN201" si="1730">IF(U201&gt;0,AK$3,"")</f>
        <v>Thomas</v>
      </c>
      <c r="AL201" s="78" t="str">
        <f t="shared" si="1730"/>
        <v/>
      </c>
      <c r="AM201" s="78" t="str">
        <f t="shared" si="1730"/>
        <v/>
      </c>
      <c r="AN201" s="78" t="str">
        <f t="shared" si="1730"/>
        <v>Christian</v>
      </c>
      <c r="AO201" s="56">
        <f t="shared" si="25"/>
        <v>2</v>
      </c>
      <c r="AP201" s="8" t="str">
        <f t="shared" si="26"/>
        <v>Christian</v>
      </c>
      <c r="AQ201" s="73" t="str">
        <f>IFERROR(__xludf.DUMMYFUNCTION("IFNA(QUERY(transpose(AY201:BB201),""Select Col1 where Col1 is not null limit 1"",0))"),"Thomas")</f>
        <v>Thomas</v>
      </c>
      <c r="AR201" s="56"/>
      <c r="AS201" s="28" t="str">
        <f t="shared" ref="AS201:AV201" si="1731">IF(AK201=AS$3,"",AS$3)</f>
        <v/>
      </c>
      <c r="AT201" s="28" t="str">
        <f t="shared" si="1731"/>
        <v>Peter</v>
      </c>
      <c r="AU201" s="28" t="str">
        <f t="shared" si="1731"/>
        <v>Janus</v>
      </c>
      <c r="AV201" s="28" t="str">
        <f t="shared" si="1731"/>
        <v/>
      </c>
      <c r="AW201" s="56">
        <f t="shared" si="28"/>
        <v>2</v>
      </c>
      <c r="AX201" s="28">
        <f t="shared" si="29"/>
        <v>8</v>
      </c>
      <c r="AY201" s="28" t="str">
        <f t="shared" ref="AY201:BB201" si="1732">IFNA(IFS(AY$3=$AP201,"",$AX201=U201,AY$3),"")</f>
        <v>Thomas</v>
      </c>
      <c r="AZ201" s="28" t="str">
        <f t="shared" si="1732"/>
        <v/>
      </c>
      <c r="BA201" s="28" t="str">
        <f t="shared" si="1732"/>
        <v/>
      </c>
      <c r="BB201" s="28" t="str">
        <f t="shared" si="1732"/>
        <v/>
      </c>
      <c r="BC201" s="58">
        <f>OFFSET('00_Regnskab_01'!$A$1,MATCH(A201,'00_Regnskab_01'!$A$1:$A$25)-1,2)</f>
        <v>43883</v>
      </c>
      <c r="BE201" s="80">
        <f t="shared" ref="BE201:BH201" si="1733">if(U201&gt;0,1+BE200,0)</f>
        <v>2</v>
      </c>
      <c r="BF201" s="28">
        <f t="shared" si="1733"/>
        <v>0</v>
      </c>
      <c r="BG201" s="28">
        <f t="shared" si="1733"/>
        <v>0</v>
      </c>
      <c r="BH201" s="28">
        <f t="shared" si="1733"/>
        <v>2</v>
      </c>
      <c r="BJ201" s="28">
        <f t="shared" ref="BJ201:BM201" si="1734">if(U201&lt;0,1+BJ200,0)</f>
        <v>0</v>
      </c>
      <c r="BK201" s="28">
        <f t="shared" si="1734"/>
        <v>2</v>
      </c>
      <c r="BL201" s="28">
        <f t="shared" si="1734"/>
        <v>4</v>
      </c>
      <c r="BM201" s="28">
        <f t="shared" si="1734"/>
        <v>0</v>
      </c>
      <c r="BO201" s="74">
        <f t="shared" ref="BO201:BR201" si="1735">if(U201&gt;0,U201+BO200,0)</f>
        <v>28</v>
      </c>
      <c r="BP201" s="74">
        <f t="shared" si="1735"/>
        <v>0</v>
      </c>
      <c r="BQ201" s="74">
        <f t="shared" si="1735"/>
        <v>0</v>
      </c>
      <c r="BR201" s="74">
        <f t="shared" si="1735"/>
        <v>28</v>
      </c>
      <c r="BT201" s="28">
        <f t="shared" ref="BT201:BW201" si="1736">if(U201&lt;0,U201+BT200,0)</f>
        <v>0</v>
      </c>
      <c r="BU201" s="28">
        <f t="shared" si="1736"/>
        <v>-28</v>
      </c>
      <c r="BV201" s="28">
        <f t="shared" si="1736"/>
        <v>-48</v>
      </c>
      <c r="BW201" s="28">
        <f t="shared" si="1736"/>
        <v>0</v>
      </c>
    </row>
    <row r="202">
      <c r="A202" s="53">
        <v>13.0</v>
      </c>
      <c r="B202" s="28">
        <f>'13_22-02-2020'!A10</f>
        <v>8</v>
      </c>
      <c r="C202" s="75">
        <f>'13_22-02-2020'!E10</f>
        <v>44</v>
      </c>
      <c r="D202" s="28">
        <f>'13_22-02-2020'!D10</f>
        <v>-12</v>
      </c>
      <c r="E202" s="28">
        <f>'13_22-02-2020'!B10</f>
        <v>-60</v>
      </c>
      <c r="F202" s="28">
        <f>'13_22-02-2020'!C10</f>
        <v>28</v>
      </c>
      <c r="G202" s="28">
        <f>'13_22-02-2020'!F10</f>
        <v>0</v>
      </c>
      <c r="H202" s="28" t="str">
        <f>'13_22-02-2020'!H10</f>
        <v>Thomas</v>
      </c>
      <c r="J202" s="76" t="str">
        <f>'13_22-02-2020'!I10</f>
        <v>Christian</v>
      </c>
      <c r="K202" s="28" t="str">
        <f>'13_22-02-2020'!G10</f>
        <v>9 halve</v>
      </c>
      <c r="L202" s="56"/>
      <c r="M202" s="25">
        <v>9.0</v>
      </c>
      <c r="N202" s="25" t="s">
        <v>94</v>
      </c>
      <c r="T202" s="56"/>
      <c r="U202" s="77">
        <f t="shared" ref="U202:X202" si="1737">C202-C201</f>
        <v>16</v>
      </c>
      <c r="V202" s="28">
        <f t="shared" si="1737"/>
        <v>-16</v>
      </c>
      <c r="W202" s="28">
        <f t="shared" si="1737"/>
        <v>-16</v>
      </c>
      <c r="X202" s="28">
        <f t="shared" si="1737"/>
        <v>16</v>
      </c>
      <c r="AB202" s="28">
        <f t="shared" ref="AB202:AE202" si="1738">IF(AB$3=$H202,U202,"")</f>
        <v>16</v>
      </c>
      <c r="AC202" s="28" t="str">
        <f t="shared" si="1738"/>
        <v/>
      </c>
      <c r="AD202" s="28" t="str">
        <f t="shared" si="1738"/>
        <v/>
      </c>
      <c r="AE202" s="28" t="str">
        <f t="shared" si="1738"/>
        <v/>
      </c>
      <c r="AH202" s="28">
        <f t="shared" si="22"/>
        <v>16</v>
      </c>
      <c r="AI202" s="28">
        <f t="shared" si="23"/>
        <v>0</v>
      </c>
      <c r="AK202" s="78" t="str">
        <f t="shared" ref="AK202:AN202" si="1739">IF(U202&gt;0,AK$3,"")</f>
        <v>Thomas</v>
      </c>
      <c r="AL202" s="78" t="str">
        <f t="shared" si="1739"/>
        <v/>
      </c>
      <c r="AM202" s="78" t="str">
        <f t="shared" si="1739"/>
        <v/>
      </c>
      <c r="AN202" s="78" t="str">
        <f t="shared" si="1739"/>
        <v>Christian</v>
      </c>
      <c r="AO202" s="56">
        <f t="shared" si="25"/>
        <v>2</v>
      </c>
      <c r="AP202" s="8" t="str">
        <f t="shared" si="26"/>
        <v>Thomas</v>
      </c>
      <c r="AQ202" s="73" t="str">
        <f>IFERROR(__xludf.DUMMYFUNCTION("IFNA(QUERY(transpose(AY202:BB202),""Select Col1 where Col1 is not null limit 1"",0))"),"Christian")</f>
        <v>Christian</v>
      </c>
      <c r="AR202" s="56"/>
      <c r="AS202" s="28" t="str">
        <f t="shared" ref="AS202:AV202" si="1740">IF(AK202=AS$3,"",AS$3)</f>
        <v/>
      </c>
      <c r="AT202" s="28" t="str">
        <f t="shared" si="1740"/>
        <v>Peter</v>
      </c>
      <c r="AU202" s="28" t="str">
        <f t="shared" si="1740"/>
        <v>Janus</v>
      </c>
      <c r="AV202" s="28" t="str">
        <f t="shared" si="1740"/>
        <v/>
      </c>
      <c r="AW202" s="56">
        <f t="shared" si="28"/>
        <v>2</v>
      </c>
      <c r="AX202" s="28">
        <f t="shared" si="29"/>
        <v>16</v>
      </c>
      <c r="AY202" s="28" t="str">
        <f t="shared" ref="AY202:BB202" si="1741">IFNA(IFS(AY$3=$AP202,"",$AX202=U202,AY$3),"")</f>
        <v/>
      </c>
      <c r="AZ202" s="28" t="str">
        <f t="shared" si="1741"/>
        <v/>
      </c>
      <c r="BA202" s="28" t="str">
        <f t="shared" si="1741"/>
        <v/>
      </c>
      <c r="BB202" s="28" t="str">
        <f t="shared" si="1741"/>
        <v>Christian</v>
      </c>
      <c r="BC202" s="58">
        <f>OFFSET('00_Regnskab_01'!$A$1,MATCH(A202,'00_Regnskab_01'!$A$1:$A$25)-1,2)</f>
        <v>43883</v>
      </c>
      <c r="BE202" s="80">
        <f t="shared" ref="BE202:BH202" si="1742">if(U202&gt;0,1+BE201,0)</f>
        <v>3</v>
      </c>
      <c r="BF202" s="28">
        <f t="shared" si="1742"/>
        <v>0</v>
      </c>
      <c r="BG202" s="28">
        <f t="shared" si="1742"/>
        <v>0</v>
      </c>
      <c r="BH202" s="28">
        <f t="shared" si="1742"/>
        <v>3</v>
      </c>
      <c r="BJ202" s="28">
        <f t="shared" ref="BJ202:BM202" si="1743">if(U202&lt;0,1+BJ201,0)</f>
        <v>0</v>
      </c>
      <c r="BK202" s="28">
        <f t="shared" si="1743"/>
        <v>3</v>
      </c>
      <c r="BL202" s="28">
        <f t="shared" si="1743"/>
        <v>5</v>
      </c>
      <c r="BM202" s="28">
        <f t="shared" si="1743"/>
        <v>0</v>
      </c>
      <c r="BO202" s="74">
        <f t="shared" ref="BO202:BR202" si="1744">if(U202&gt;0,U202+BO201,0)</f>
        <v>44</v>
      </c>
      <c r="BP202" s="74">
        <f t="shared" si="1744"/>
        <v>0</v>
      </c>
      <c r="BQ202" s="74">
        <f t="shared" si="1744"/>
        <v>0</v>
      </c>
      <c r="BR202" s="74">
        <f t="shared" si="1744"/>
        <v>44</v>
      </c>
      <c r="BT202" s="28">
        <f t="shared" ref="BT202:BW202" si="1745">if(U202&lt;0,U202+BT201,0)</f>
        <v>0</v>
      </c>
      <c r="BU202" s="28">
        <f t="shared" si="1745"/>
        <v>-44</v>
      </c>
      <c r="BV202" s="28">
        <f t="shared" si="1745"/>
        <v>-64</v>
      </c>
      <c r="BW202" s="28">
        <f t="shared" si="1745"/>
        <v>0</v>
      </c>
    </row>
    <row r="203">
      <c r="A203" s="53">
        <v>13.0</v>
      </c>
      <c r="B203" s="28">
        <f>'13_22-02-2020'!A11</f>
        <v>9</v>
      </c>
      <c r="C203" s="75">
        <f>'13_22-02-2020'!E11</f>
        <v>-20</v>
      </c>
      <c r="D203" s="28">
        <f>'13_22-02-2020'!D11</f>
        <v>52</v>
      </c>
      <c r="E203" s="28">
        <f>'13_22-02-2020'!B11</f>
        <v>4</v>
      </c>
      <c r="F203" s="28">
        <f>'13_22-02-2020'!C11</f>
        <v>-36</v>
      </c>
      <c r="G203" s="28">
        <f>'13_22-02-2020'!F11</f>
        <v>0</v>
      </c>
      <c r="H203" s="28" t="str">
        <f>'13_22-02-2020'!H11</f>
        <v>Thomas</v>
      </c>
      <c r="J203" s="76" t="str">
        <f>'13_22-02-2020'!I11</f>
        <v>Thomas</v>
      </c>
      <c r="K203" s="28" t="str">
        <f>'13_22-02-2020'!G11</f>
        <v>9 vip i 3 gode</v>
      </c>
      <c r="L203" s="56"/>
      <c r="M203" s="25">
        <v>9.0</v>
      </c>
      <c r="N203" s="25" t="s">
        <v>86</v>
      </c>
      <c r="O203" s="25">
        <v>3.0</v>
      </c>
      <c r="P203" s="25" t="s">
        <v>15</v>
      </c>
      <c r="T203" s="56"/>
      <c r="U203" s="77">
        <f t="shared" ref="U203:X203" si="1746">C203-C202</f>
        <v>-64</v>
      </c>
      <c r="V203" s="28">
        <f t="shared" si="1746"/>
        <v>64</v>
      </c>
      <c r="W203" s="28">
        <f t="shared" si="1746"/>
        <v>64</v>
      </c>
      <c r="X203" s="28">
        <f t="shared" si="1746"/>
        <v>-64</v>
      </c>
      <c r="AB203" s="28">
        <f t="shared" ref="AB203:AE203" si="1747">IF(AB$3=$H203,U203,"")</f>
        <v>-64</v>
      </c>
      <c r="AC203" s="28" t="str">
        <f t="shared" si="1747"/>
        <v/>
      </c>
      <c r="AD203" s="28" t="str">
        <f t="shared" si="1747"/>
        <v/>
      </c>
      <c r="AE203" s="28" t="str">
        <f t="shared" si="1747"/>
        <v/>
      </c>
      <c r="AH203" s="28">
        <f t="shared" si="22"/>
        <v>0</v>
      </c>
      <c r="AI203" s="28">
        <f t="shared" si="23"/>
        <v>-64</v>
      </c>
      <c r="AK203" s="78" t="str">
        <f t="shared" ref="AK203:AN203" si="1748">IF(U203&gt;0,AK$3,"")</f>
        <v/>
      </c>
      <c r="AL203" s="78" t="str">
        <f t="shared" si="1748"/>
        <v>Peter</v>
      </c>
      <c r="AM203" s="78" t="str">
        <f t="shared" si="1748"/>
        <v>Janus</v>
      </c>
      <c r="AN203" s="78" t="str">
        <f t="shared" si="1748"/>
        <v/>
      </c>
      <c r="AO203" s="56">
        <f t="shared" si="25"/>
        <v>2</v>
      </c>
      <c r="AP203" s="8" t="str">
        <f t="shared" si="26"/>
        <v>Thomas</v>
      </c>
      <c r="AQ203" s="73" t="str">
        <f>IFERROR(__xludf.DUMMYFUNCTION("IFNA(QUERY(transpose(AY203:BB203),""Select Col1 where Col1 is not null limit 1"",0))"),"Christian")</f>
        <v>Christian</v>
      </c>
      <c r="AR203" s="56"/>
      <c r="AS203" s="28" t="str">
        <f t="shared" ref="AS203:AV203" si="1749">IF(AK203=AS$3,"",AS$3)</f>
        <v>Thomas</v>
      </c>
      <c r="AT203" s="28" t="str">
        <f t="shared" si="1749"/>
        <v/>
      </c>
      <c r="AU203" s="28" t="str">
        <f t="shared" si="1749"/>
        <v/>
      </c>
      <c r="AV203" s="28" t="str">
        <f t="shared" si="1749"/>
        <v>Christian</v>
      </c>
      <c r="AW203" s="56">
        <f t="shared" si="28"/>
        <v>2</v>
      </c>
      <c r="AX203" s="28">
        <f t="shared" si="29"/>
        <v>-64</v>
      </c>
      <c r="AY203" s="28" t="str">
        <f t="shared" ref="AY203:BB203" si="1750">IFNA(IFS(AY$3=$AP203,"",$AX203=U203,AY$3),"")</f>
        <v/>
      </c>
      <c r="AZ203" s="28" t="str">
        <f t="shared" si="1750"/>
        <v/>
      </c>
      <c r="BA203" s="28" t="str">
        <f t="shared" si="1750"/>
        <v/>
      </c>
      <c r="BB203" s="28" t="str">
        <f t="shared" si="1750"/>
        <v>Christian</v>
      </c>
      <c r="BC203" s="58">
        <f>OFFSET('00_Regnskab_01'!$A$1,MATCH(A203,'00_Regnskab_01'!$A$1:$A$25)-1,2)</f>
        <v>43883</v>
      </c>
      <c r="BE203" s="80">
        <f t="shared" ref="BE203:BH203" si="1751">if(U203&gt;0,1+BE202,0)</f>
        <v>0</v>
      </c>
      <c r="BF203" s="28">
        <f t="shared" si="1751"/>
        <v>1</v>
      </c>
      <c r="BG203" s="28">
        <f t="shared" si="1751"/>
        <v>1</v>
      </c>
      <c r="BH203" s="28">
        <f t="shared" si="1751"/>
        <v>0</v>
      </c>
      <c r="BJ203" s="28">
        <f t="shared" ref="BJ203:BM203" si="1752">if(U203&lt;0,1+BJ202,0)</f>
        <v>1</v>
      </c>
      <c r="BK203" s="28">
        <f t="shared" si="1752"/>
        <v>0</v>
      </c>
      <c r="BL203" s="28">
        <f t="shared" si="1752"/>
        <v>0</v>
      </c>
      <c r="BM203" s="28">
        <f t="shared" si="1752"/>
        <v>1</v>
      </c>
      <c r="BO203" s="74">
        <f t="shared" ref="BO203:BR203" si="1753">if(U203&gt;0,U203+BO202,0)</f>
        <v>0</v>
      </c>
      <c r="BP203" s="74">
        <f t="shared" si="1753"/>
        <v>64</v>
      </c>
      <c r="BQ203" s="74">
        <f t="shared" si="1753"/>
        <v>64</v>
      </c>
      <c r="BR203" s="74">
        <f t="shared" si="1753"/>
        <v>0</v>
      </c>
      <c r="BT203" s="28">
        <f t="shared" ref="BT203:BW203" si="1754">if(U203&lt;0,U203+BT202,0)</f>
        <v>-64</v>
      </c>
      <c r="BU203" s="28">
        <f t="shared" si="1754"/>
        <v>0</v>
      </c>
      <c r="BV203" s="28">
        <f t="shared" si="1754"/>
        <v>0</v>
      </c>
      <c r="BW203" s="28">
        <f t="shared" si="1754"/>
        <v>-64</v>
      </c>
    </row>
    <row r="204">
      <c r="A204" s="53">
        <v>13.0</v>
      </c>
      <c r="B204" s="28">
        <f>'13_22-02-2020'!A12</f>
        <v>10</v>
      </c>
      <c r="C204" s="75">
        <f>'13_22-02-2020'!E12</f>
        <v>-12</v>
      </c>
      <c r="D204" s="28">
        <f>'13_22-02-2020'!D12</f>
        <v>28</v>
      </c>
      <c r="E204" s="28">
        <f>'13_22-02-2020'!B12</f>
        <v>12</v>
      </c>
      <c r="F204" s="28">
        <f>'13_22-02-2020'!C12</f>
        <v>-28</v>
      </c>
      <c r="G204" s="28">
        <f>'13_22-02-2020'!F12</f>
        <v>0</v>
      </c>
      <c r="H204" s="28" t="str">
        <f>'13_22-02-2020'!H12</f>
        <v>Peter</v>
      </c>
      <c r="J204" s="76" t="str">
        <f>'13_22-02-2020'!I12</f>
        <v>Janus</v>
      </c>
      <c r="K204" s="28" t="str">
        <f>'13_22-02-2020'!G12</f>
        <v>Ren sol</v>
      </c>
      <c r="L204" s="56"/>
      <c r="N204" s="25" t="s">
        <v>97</v>
      </c>
      <c r="T204" s="56"/>
      <c r="U204" s="77">
        <f t="shared" ref="U204:X204" si="1755">C204-C203</f>
        <v>8</v>
      </c>
      <c r="V204" s="28">
        <f t="shared" si="1755"/>
        <v>-24</v>
      </c>
      <c r="W204" s="28">
        <f t="shared" si="1755"/>
        <v>8</v>
      </c>
      <c r="X204" s="28">
        <f t="shared" si="1755"/>
        <v>8</v>
      </c>
      <c r="AB204" s="28" t="str">
        <f t="shared" ref="AB204:AE204" si="1756">IF(AB$3=$H204,U204,"")</f>
        <v/>
      </c>
      <c r="AC204" s="28">
        <f t="shared" si="1756"/>
        <v>-24</v>
      </c>
      <c r="AD204" s="28" t="str">
        <f t="shared" si="1756"/>
        <v/>
      </c>
      <c r="AE204" s="28" t="str">
        <f t="shared" si="1756"/>
        <v/>
      </c>
      <c r="AH204" s="28">
        <f t="shared" si="22"/>
        <v>0</v>
      </c>
      <c r="AI204" s="28">
        <f t="shared" si="23"/>
        <v>-24</v>
      </c>
      <c r="AK204" s="78" t="str">
        <f t="shared" ref="AK204:AN204" si="1757">IF(U204&gt;0,AK$3,"")</f>
        <v>Thomas</v>
      </c>
      <c r="AL204" s="78" t="str">
        <f t="shared" si="1757"/>
        <v/>
      </c>
      <c r="AM204" s="78" t="str">
        <f t="shared" si="1757"/>
        <v>Janus</v>
      </c>
      <c r="AN204" s="78" t="str">
        <f t="shared" si="1757"/>
        <v>Christian</v>
      </c>
      <c r="AO204" s="56">
        <f t="shared" si="25"/>
        <v>3</v>
      </c>
      <c r="AP204" s="8" t="str">
        <f t="shared" si="26"/>
        <v>Peter</v>
      </c>
      <c r="AQ204" s="73" t="str">
        <f>IFERROR(__xludf.DUMMYFUNCTION("IFNA(QUERY(transpose(AY204:BB204),""Select Col1 where Col1 is not null limit 1"",0))"),"")</f>
        <v/>
      </c>
      <c r="AR204" s="56"/>
      <c r="AS204" s="28" t="str">
        <f t="shared" ref="AS204:AV204" si="1758">IF(AK204=AS$3,"",AS$3)</f>
        <v/>
      </c>
      <c r="AT204" s="28" t="str">
        <f t="shared" si="1758"/>
        <v>Peter</v>
      </c>
      <c r="AU204" s="28" t="str">
        <f t="shared" si="1758"/>
        <v/>
      </c>
      <c r="AV204" s="28" t="str">
        <f t="shared" si="1758"/>
        <v/>
      </c>
      <c r="AW204" s="56">
        <f t="shared" si="28"/>
        <v>1</v>
      </c>
      <c r="AX204" s="28">
        <f t="shared" si="29"/>
        <v>-24</v>
      </c>
      <c r="AY204" s="28" t="str">
        <f t="shared" ref="AY204:BB204" si="1759">IFNA(IFS(AY$3=$AP204,"",$AX204=U204,AY$3),"")</f>
        <v/>
      </c>
      <c r="AZ204" s="28" t="str">
        <f t="shared" si="1759"/>
        <v/>
      </c>
      <c r="BA204" s="28" t="str">
        <f t="shared" si="1759"/>
        <v/>
      </c>
      <c r="BB204" s="28" t="str">
        <f t="shared" si="1759"/>
        <v/>
      </c>
      <c r="BC204" s="58">
        <f>OFFSET('00_Regnskab_01'!$A$1,MATCH(A204,'00_Regnskab_01'!$A$1:$A$25)-1,2)</f>
        <v>43883</v>
      </c>
      <c r="BE204" s="80">
        <f t="shared" ref="BE204:BH204" si="1760">if(U204&gt;0,1+BE203,0)</f>
        <v>1</v>
      </c>
      <c r="BF204" s="28">
        <f t="shared" si="1760"/>
        <v>0</v>
      </c>
      <c r="BG204" s="28">
        <f t="shared" si="1760"/>
        <v>2</v>
      </c>
      <c r="BH204" s="28">
        <f t="shared" si="1760"/>
        <v>1</v>
      </c>
      <c r="BJ204" s="28">
        <f t="shared" ref="BJ204:BM204" si="1761">if(U204&lt;0,1+BJ203,0)</f>
        <v>0</v>
      </c>
      <c r="BK204" s="28">
        <f t="shared" si="1761"/>
        <v>1</v>
      </c>
      <c r="BL204" s="28">
        <f t="shared" si="1761"/>
        <v>0</v>
      </c>
      <c r="BM204" s="28">
        <f t="shared" si="1761"/>
        <v>0</v>
      </c>
      <c r="BO204" s="74">
        <f t="shared" ref="BO204:BR204" si="1762">if(U204&gt;0,U204+BO203,0)</f>
        <v>8</v>
      </c>
      <c r="BP204" s="74">
        <f t="shared" si="1762"/>
        <v>0</v>
      </c>
      <c r="BQ204" s="74">
        <f t="shared" si="1762"/>
        <v>72</v>
      </c>
      <c r="BR204" s="74">
        <f t="shared" si="1762"/>
        <v>8</v>
      </c>
      <c r="BT204" s="28">
        <f t="shared" ref="BT204:BW204" si="1763">if(U204&lt;0,U204+BT203,0)</f>
        <v>0</v>
      </c>
      <c r="BU204" s="28">
        <f t="shared" si="1763"/>
        <v>-24</v>
      </c>
      <c r="BV204" s="28">
        <f t="shared" si="1763"/>
        <v>0</v>
      </c>
      <c r="BW204" s="28">
        <f t="shared" si="1763"/>
        <v>0</v>
      </c>
    </row>
    <row r="205">
      <c r="A205" s="53">
        <v>13.0</v>
      </c>
      <c r="B205" s="28">
        <f>'13_22-02-2020'!A13</f>
        <v>11</v>
      </c>
      <c r="C205" s="75">
        <f>'13_22-02-2020'!E13</f>
        <v>-16</v>
      </c>
      <c r="D205" s="28">
        <f>'13_22-02-2020'!D13</f>
        <v>32</v>
      </c>
      <c r="E205" s="28">
        <f>'13_22-02-2020'!B13</f>
        <v>16</v>
      </c>
      <c r="F205" s="28">
        <f>'13_22-02-2020'!C13</f>
        <v>-32</v>
      </c>
      <c r="G205" s="28">
        <f>'13_22-02-2020'!F13</f>
        <v>0</v>
      </c>
      <c r="H205" s="28" t="str">
        <f>'13_22-02-2020'!H13</f>
        <v>Thomas</v>
      </c>
      <c r="J205" s="76" t="str">
        <f>'13_22-02-2020'!I13</f>
        <v>Peter</v>
      </c>
      <c r="K205" s="28" t="str">
        <f>'13_22-02-2020'!G13</f>
        <v>8 gode</v>
      </c>
      <c r="L205" s="56"/>
      <c r="M205" s="25">
        <v>8.0</v>
      </c>
      <c r="N205" s="25" t="s">
        <v>95</v>
      </c>
      <c r="T205" s="56"/>
      <c r="U205" s="77">
        <f t="shared" ref="U205:X205" si="1764">C205-C204</f>
        <v>-4</v>
      </c>
      <c r="V205" s="28">
        <f t="shared" si="1764"/>
        <v>4</v>
      </c>
      <c r="W205" s="28">
        <f t="shared" si="1764"/>
        <v>4</v>
      </c>
      <c r="X205" s="28">
        <f t="shared" si="1764"/>
        <v>-4</v>
      </c>
      <c r="AB205" s="28">
        <f t="shared" ref="AB205:AE205" si="1765">IF(AB$3=$H205,U205,"")</f>
        <v>-4</v>
      </c>
      <c r="AC205" s="28" t="str">
        <f t="shared" si="1765"/>
        <v/>
      </c>
      <c r="AD205" s="28" t="str">
        <f t="shared" si="1765"/>
        <v/>
      </c>
      <c r="AE205" s="28" t="str">
        <f t="shared" si="1765"/>
        <v/>
      </c>
      <c r="AH205" s="28">
        <f t="shared" si="22"/>
        <v>0</v>
      </c>
      <c r="AI205" s="28">
        <f t="shared" si="23"/>
        <v>-4</v>
      </c>
      <c r="AK205" s="78" t="str">
        <f t="shared" ref="AK205:AN205" si="1766">IF(U205&gt;0,AK$3,"")</f>
        <v/>
      </c>
      <c r="AL205" s="78" t="str">
        <f t="shared" si="1766"/>
        <v>Peter</v>
      </c>
      <c r="AM205" s="78" t="str">
        <f t="shared" si="1766"/>
        <v>Janus</v>
      </c>
      <c r="AN205" s="78" t="str">
        <f t="shared" si="1766"/>
        <v/>
      </c>
      <c r="AO205" s="56">
        <f t="shared" si="25"/>
        <v>2</v>
      </c>
      <c r="AP205" s="8" t="str">
        <f t="shared" si="26"/>
        <v>Thomas</v>
      </c>
      <c r="AQ205" s="73" t="str">
        <f>IFERROR(__xludf.DUMMYFUNCTION("IFNA(QUERY(transpose(AY205:BB205),""Select Col1 where Col1 is not null limit 1"",0))"),"Christian")</f>
        <v>Christian</v>
      </c>
      <c r="AR205" s="56"/>
      <c r="AS205" s="28" t="str">
        <f t="shared" ref="AS205:AV205" si="1767">IF(AK205=AS$3,"",AS$3)</f>
        <v>Thomas</v>
      </c>
      <c r="AT205" s="28" t="str">
        <f t="shared" si="1767"/>
        <v/>
      </c>
      <c r="AU205" s="28" t="str">
        <f t="shared" si="1767"/>
        <v/>
      </c>
      <c r="AV205" s="28" t="str">
        <f t="shared" si="1767"/>
        <v>Christian</v>
      </c>
      <c r="AW205" s="56">
        <f t="shared" si="28"/>
        <v>2</v>
      </c>
      <c r="AX205" s="28">
        <f t="shared" si="29"/>
        <v>-4</v>
      </c>
      <c r="AY205" s="28" t="str">
        <f t="shared" ref="AY205:BB205" si="1768">IFNA(IFS(AY$3=$AP205,"",$AX205=U205,AY$3),"")</f>
        <v/>
      </c>
      <c r="AZ205" s="28" t="str">
        <f t="shared" si="1768"/>
        <v/>
      </c>
      <c r="BA205" s="28" t="str">
        <f t="shared" si="1768"/>
        <v/>
      </c>
      <c r="BB205" s="28" t="str">
        <f t="shared" si="1768"/>
        <v>Christian</v>
      </c>
      <c r="BC205" s="58">
        <f>OFFSET('00_Regnskab_01'!$A$1,MATCH(A205,'00_Regnskab_01'!$A$1:$A$25)-1,2)</f>
        <v>43883</v>
      </c>
      <c r="BE205" s="80">
        <f t="shared" ref="BE205:BH205" si="1769">if(U205&gt;0,1+BE204,0)</f>
        <v>0</v>
      </c>
      <c r="BF205" s="28">
        <f t="shared" si="1769"/>
        <v>1</v>
      </c>
      <c r="BG205" s="28">
        <f t="shared" si="1769"/>
        <v>3</v>
      </c>
      <c r="BH205" s="28">
        <f t="shared" si="1769"/>
        <v>0</v>
      </c>
      <c r="BJ205" s="28">
        <f t="shared" ref="BJ205:BM205" si="1770">if(U205&lt;0,1+BJ204,0)</f>
        <v>1</v>
      </c>
      <c r="BK205" s="28">
        <f t="shared" si="1770"/>
        <v>0</v>
      </c>
      <c r="BL205" s="28">
        <f t="shared" si="1770"/>
        <v>0</v>
      </c>
      <c r="BM205" s="28">
        <f t="shared" si="1770"/>
        <v>1</v>
      </c>
      <c r="BO205" s="74">
        <f t="shared" ref="BO205:BR205" si="1771">if(U205&gt;0,U205+BO204,0)</f>
        <v>0</v>
      </c>
      <c r="BP205" s="74">
        <f t="shared" si="1771"/>
        <v>4</v>
      </c>
      <c r="BQ205" s="74">
        <f t="shared" si="1771"/>
        <v>76</v>
      </c>
      <c r="BR205" s="74">
        <f t="shared" si="1771"/>
        <v>0</v>
      </c>
      <c r="BT205" s="28">
        <f t="shared" ref="BT205:BW205" si="1772">if(U205&lt;0,U205+BT204,0)</f>
        <v>-4</v>
      </c>
      <c r="BU205" s="28">
        <f t="shared" si="1772"/>
        <v>0</v>
      </c>
      <c r="BV205" s="28">
        <f t="shared" si="1772"/>
        <v>0</v>
      </c>
      <c r="BW205" s="28">
        <f t="shared" si="1772"/>
        <v>-4</v>
      </c>
    </row>
    <row r="206">
      <c r="A206" s="53">
        <v>13.0</v>
      </c>
      <c r="B206" s="28">
        <f>'13_22-02-2020'!A14</f>
        <v>12</v>
      </c>
      <c r="C206" s="75">
        <f>'13_22-02-2020'!E14</f>
        <v>-8</v>
      </c>
      <c r="D206" s="28">
        <f>'13_22-02-2020'!D14</f>
        <v>8</v>
      </c>
      <c r="E206" s="28">
        <f>'13_22-02-2020'!B14</f>
        <v>24</v>
      </c>
      <c r="F206" s="28">
        <f>'13_22-02-2020'!C14</f>
        <v>-24</v>
      </c>
      <c r="G206" s="28">
        <f>'13_22-02-2020'!F14</f>
        <v>0</v>
      </c>
      <c r="H206" s="28" t="str">
        <f>'13_22-02-2020'!H14</f>
        <v>Peter</v>
      </c>
      <c r="J206" s="76" t="str">
        <f>'13_22-02-2020'!I14</f>
        <v>Christian</v>
      </c>
      <c r="K206" s="28" t="str">
        <f>'13_22-02-2020'!G14</f>
        <v>ren sol</v>
      </c>
      <c r="L206" s="56"/>
      <c r="N206" s="25" t="s">
        <v>97</v>
      </c>
      <c r="T206" s="56"/>
      <c r="U206" s="77">
        <f t="shared" ref="U206:X206" si="1773">C206-C205</f>
        <v>8</v>
      </c>
      <c r="V206" s="28">
        <f t="shared" si="1773"/>
        <v>-24</v>
      </c>
      <c r="W206" s="28">
        <f t="shared" si="1773"/>
        <v>8</v>
      </c>
      <c r="X206" s="28">
        <f t="shared" si="1773"/>
        <v>8</v>
      </c>
      <c r="AB206" s="28" t="str">
        <f t="shared" ref="AB206:AE206" si="1774">IF(AB$3=$H206,U206,"")</f>
        <v/>
      </c>
      <c r="AC206" s="28">
        <f t="shared" si="1774"/>
        <v>-24</v>
      </c>
      <c r="AD206" s="28" t="str">
        <f t="shared" si="1774"/>
        <v/>
      </c>
      <c r="AE206" s="28" t="str">
        <f t="shared" si="1774"/>
        <v/>
      </c>
      <c r="AH206" s="28">
        <f t="shared" si="22"/>
        <v>0</v>
      </c>
      <c r="AI206" s="28">
        <f t="shared" si="23"/>
        <v>-24</v>
      </c>
      <c r="AK206" s="78" t="str">
        <f t="shared" ref="AK206:AN206" si="1775">IF(U206&gt;0,AK$3,"")</f>
        <v>Thomas</v>
      </c>
      <c r="AL206" s="78" t="str">
        <f t="shared" si="1775"/>
        <v/>
      </c>
      <c r="AM206" s="78" t="str">
        <f t="shared" si="1775"/>
        <v>Janus</v>
      </c>
      <c r="AN206" s="78" t="str">
        <f t="shared" si="1775"/>
        <v>Christian</v>
      </c>
      <c r="AO206" s="56">
        <f t="shared" si="25"/>
        <v>3</v>
      </c>
      <c r="AP206" s="8" t="str">
        <f t="shared" si="26"/>
        <v>Peter</v>
      </c>
      <c r="AQ206" s="73" t="str">
        <f>IFERROR(__xludf.DUMMYFUNCTION("IFNA(QUERY(transpose(AY206:BB206),""Select Col1 where Col1 is not null limit 1"",0))"),"")</f>
        <v/>
      </c>
      <c r="AR206" s="56"/>
      <c r="AS206" s="28" t="str">
        <f t="shared" ref="AS206:AV206" si="1776">IF(AK206=AS$3,"",AS$3)</f>
        <v/>
      </c>
      <c r="AT206" s="28" t="str">
        <f t="shared" si="1776"/>
        <v>Peter</v>
      </c>
      <c r="AU206" s="28" t="str">
        <f t="shared" si="1776"/>
        <v/>
      </c>
      <c r="AV206" s="28" t="str">
        <f t="shared" si="1776"/>
        <v/>
      </c>
      <c r="AW206" s="56">
        <f t="shared" si="28"/>
        <v>1</v>
      </c>
      <c r="AX206" s="28">
        <f t="shared" si="29"/>
        <v>-24</v>
      </c>
      <c r="AY206" s="28" t="str">
        <f t="shared" ref="AY206:BB206" si="1777">IFNA(IFS(AY$3=$AP206,"",$AX206=U206,AY$3),"")</f>
        <v/>
      </c>
      <c r="AZ206" s="28" t="str">
        <f t="shared" si="1777"/>
        <v/>
      </c>
      <c r="BA206" s="28" t="str">
        <f t="shared" si="1777"/>
        <v/>
      </c>
      <c r="BB206" s="28" t="str">
        <f t="shared" si="1777"/>
        <v/>
      </c>
      <c r="BC206" s="58">
        <f>OFFSET('00_Regnskab_01'!$A$1,MATCH(A206,'00_Regnskab_01'!$A$1:$A$25)-1,2)</f>
        <v>43883</v>
      </c>
      <c r="BE206" s="80">
        <f t="shared" ref="BE206:BH206" si="1778">if(U206&gt;0,1+BE205,0)</f>
        <v>1</v>
      </c>
      <c r="BF206" s="28">
        <f t="shared" si="1778"/>
        <v>0</v>
      </c>
      <c r="BG206" s="28">
        <f t="shared" si="1778"/>
        <v>4</v>
      </c>
      <c r="BH206" s="28">
        <f t="shared" si="1778"/>
        <v>1</v>
      </c>
      <c r="BJ206" s="28">
        <f t="shared" ref="BJ206:BM206" si="1779">if(U206&lt;0,1+BJ205,0)</f>
        <v>0</v>
      </c>
      <c r="BK206" s="28">
        <f t="shared" si="1779"/>
        <v>1</v>
      </c>
      <c r="BL206" s="28">
        <f t="shared" si="1779"/>
        <v>0</v>
      </c>
      <c r="BM206" s="28">
        <f t="shared" si="1779"/>
        <v>0</v>
      </c>
      <c r="BO206" s="74">
        <f t="shared" ref="BO206:BR206" si="1780">if(U206&gt;0,U206+BO205,0)</f>
        <v>8</v>
      </c>
      <c r="BP206" s="74">
        <f t="shared" si="1780"/>
        <v>0</v>
      </c>
      <c r="BQ206" s="74">
        <f t="shared" si="1780"/>
        <v>84</v>
      </c>
      <c r="BR206" s="74">
        <f t="shared" si="1780"/>
        <v>8</v>
      </c>
      <c r="BT206" s="28">
        <f t="shared" ref="BT206:BW206" si="1781">if(U206&lt;0,U206+BT205,0)</f>
        <v>0</v>
      </c>
      <c r="BU206" s="28">
        <f t="shared" si="1781"/>
        <v>-24</v>
      </c>
      <c r="BV206" s="28">
        <f t="shared" si="1781"/>
        <v>0</v>
      </c>
      <c r="BW206" s="28">
        <f t="shared" si="1781"/>
        <v>0</v>
      </c>
    </row>
    <row r="207">
      <c r="A207" s="53">
        <v>13.0</v>
      </c>
      <c r="B207" s="28">
        <f>'13_22-02-2020'!A15</f>
        <v>13</v>
      </c>
      <c r="C207" s="75">
        <f>'13_22-02-2020'!E15</f>
        <v>0</v>
      </c>
      <c r="D207" s="28">
        <f>'13_22-02-2020'!D15</f>
        <v>-16</v>
      </c>
      <c r="E207" s="28">
        <f>'13_22-02-2020'!B15</f>
        <v>32</v>
      </c>
      <c r="F207" s="28">
        <f>'13_22-02-2020'!C15</f>
        <v>-16</v>
      </c>
      <c r="G207" s="28">
        <f>'13_22-02-2020'!F15</f>
        <v>0</v>
      </c>
      <c r="H207" s="28" t="str">
        <f>'13_22-02-2020'!H15</f>
        <v>Peter</v>
      </c>
      <c r="J207" s="76" t="str">
        <f>'13_22-02-2020'!I15</f>
        <v>Thomas</v>
      </c>
      <c r="K207" s="28" t="str">
        <f>'13_22-02-2020'!G15</f>
        <v>Ren sol</v>
      </c>
      <c r="L207" s="56"/>
      <c r="N207" s="25" t="s">
        <v>97</v>
      </c>
      <c r="T207" s="56"/>
      <c r="U207" s="77">
        <f t="shared" ref="U207:X207" si="1782">C207-C206</f>
        <v>8</v>
      </c>
      <c r="V207" s="28">
        <f t="shared" si="1782"/>
        <v>-24</v>
      </c>
      <c r="W207" s="28">
        <f t="shared" si="1782"/>
        <v>8</v>
      </c>
      <c r="X207" s="28">
        <f t="shared" si="1782"/>
        <v>8</v>
      </c>
      <c r="AB207" s="28" t="str">
        <f t="shared" ref="AB207:AE207" si="1783">IF(AB$3=$H207,U207,"")</f>
        <v/>
      </c>
      <c r="AC207" s="28">
        <f t="shared" si="1783"/>
        <v>-24</v>
      </c>
      <c r="AD207" s="28" t="str">
        <f t="shared" si="1783"/>
        <v/>
      </c>
      <c r="AE207" s="28" t="str">
        <f t="shared" si="1783"/>
        <v/>
      </c>
      <c r="AH207" s="28">
        <f t="shared" si="22"/>
        <v>0</v>
      </c>
      <c r="AI207" s="28">
        <f t="shared" si="23"/>
        <v>-24</v>
      </c>
      <c r="AK207" s="78" t="str">
        <f t="shared" ref="AK207:AN207" si="1784">IF(U207&gt;0,AK$3,"")</f>
        <v>Thomas</v>
      </c>
      <c r="AL207" s="78" t="str">
        <f t="shared" si="1784"/>
        <v/>
      </c>
      <c r="AM207" s="78" t="str">
        <f t="shared" si="1784"/>
        <v>Janus</v>
      </c>
      <c r="AN207" s="78" t="str">
        <f t="shared" si="1784"/>
        <v>Christian</v>
      </c>
      <c r="AO207" s="56">
        <f t="shared" si="25"/>
        <v>3</v>
      </c>
      <c r="AP207" s="8" t="str">
        <f t="shared" si="26"/>
        <v>Peter</v>
      </c>
      <c r="AQ207" s="73" t="str">
        <f>IFERROR(__xludf.DUMMYFUNCTION("IFNA(QUERY(transpose(AY207:BB207),""Select Col1 where Col1 is not null limit 1"",0))"),"")</f>
        <v/>
      </c>
      <c r="AR207" s="56"/>
      <c r="AS207" s="28" t="str">
        <f t="shared" ref="AS207:AV207" si="1785">IF(AK207=AS$3,"",AS$3)</f>
        <v/>
      </c>
      <c r="AT207" s="28" t="str">
        <f t="shared" si="1785"/>
        <v>Peter</v>
      </c>
      <c r="AU207" s="28" t="str">
        <f t="shared" si="1785"/>
        <v/>
      </c>
      <c r="AV207" s="28" t="str">
        <f t="shared" si="1785"/>
        <v/>
      </c>
      <c r="AW207" s="56">
        <f t="shared" si="28"/>
        <v>1</v>
      </c>
      <c r="AX207" s="28">
        <f t="shared" si="29"/>
        <v>-24</v>
      </c>
      <c r="AY207" s="28" t="str">
        <f t="shared" ref="AY207:BB207" si="1786">IFNA(IFS(AY$3=$AP207,"",$AX207=U207,AY$3),"")</f>
        <v/>
      </c>
      <c r="AZ207" s="28" t="str">
        <f t="shared" si="1786"/>
        <v/>
      </c>
      <c r="BA207" s="28" t="str">
        <f t="shared" si="1786"/>
        <v/>
      </c>
      <c r="BB207" s="28" t="str">
        <f t="shared" si="1786"/>
        <v/>
      </c>
      <c r="BC207" s="58">
        <f>OFFSET('00_Regnskab_01'!$A$1,MATCH(A207,'00_Regnskab_01'!$A$1:$A$25)-1,2)</f>
        <v>43883</v>
      </c>
      <c r="BE207" s="80">
        <f t="shared" ref="BE207:BH207" si="1787">if(U207&gt;0,1+BE206,0)</f>
        <v>2</v>
      </c>
      <c r="BF207" s="28">
        <f t="shared" si="1787"/>
        <v>0</v>
      </c>
      <c r="BG207" s="28">
        <f t="shared" si="1787"/>
        <v>5</v>
      </c>
      <c r="BH207" s="28">
        <f t="shared" si="1787"/>
        <v>2</v>
      </c>
      <c r="BJ207" s="28">
        <f t="shared" ref="BJ207:BM207" si="1788">if(U207&lt;0,1+BJ206,0)</f>
        <v>0</v>
      </c>
      <c r="BK207" s="28">
        <f t="shared" si="1788"/>
        <v>2</v>
      </c>
      <c r="BL207" s="28">
        <f t="shared" si="1788"/>
        <v>0</v>
      </c>
      <c r="BM207" s="28">
        <f t="shared" si="1788"/>
        <v>0</v>
      </c>
      <c r="BO207" s="74">
        <f t="shared" ref="BO207:BR207" si="1789">if(U207&gt;0,U207+BO206,0)</f>
        <v>16</v>
      </c>
      <c r="BP207" s="74">
        <f t="shared" si="1789"/>
        <v>0</v>
      </c>
      <c r="BQ207" s="74">
        <f t="shared" si="1789"/>
        <v>92</v>
      </c>
      <c r="BR207" s="74">
        <f t="shared" si="1789"/>
        <v>16</v>
      </c>
      <c r="BT207" s="28">
        <f t="shared" ref="BT207:BW207" si="1790">if(U207&lt;0,U207+BT206,0)</f>
        <v>0</v>
      </c>
      <c r="BU207" s="28">
        <f t="shared" si="1790"/>
        <v>-48</v>
      </c>
      <c r="BV207" s="28">
        <f t="shared" si="1790"/>
        <v>0</v>
      </c>
      <c r="BW207" s="28">
        <f t="shared" si="1790"/>
        <v>0</v>
      </c>
    </row>
    <row r="208">
      <c r="A208" s="53">
        <v>13.0</v>
      </c>
      <c r="B208" s="28">
        <f>'13_22-02-2020'!A16</f>
        <v>14</v>
      </c>
      <c r="C208" s="75">
        <f>'13_22-02-2020'!E16</f>
        <v>16</v>
      </c>
      <c r="D208" s="28">
        <f>'13_22-02-2020'!D16</f>
        <v>-32</v>
      </c>
      <c r="E208" s="28">
        <f>'13_22-02-2020'!B16</f>
        <v>48</v>
      </c>
      <c r="F208" s="28">
        <f>'13_22-02-2020'!C16</f>
        <v>-32</v>
      </c>
      <c r="G208" s="28">
        <f>'13_22-02-2020'!F16</f>
        <v>0</v>
      </c>
      <c r="H208" s="28" t="str">
        <f>'13_22-02-2020'!H16</f>
        <v>Thomas</v>
      </c>
      <c r="J208" s="76" t="str">
        <f>'13_22-02-2020'!I16</f>
        <v>Janus</v>
      </c>
      <c r="K208" s="28" t="str">
        <f>'13_22-02-2020'!G16</f>
        <v>8 vip i 3</v>
      </c>
      <c r="L208" s="56"/>
      <c r="M208" s="25">
        <v>8.0</v>
      </c>
      <c r="N208" s="25" t="s">
        <v>86</v>
      </c>
      <c r="O208" s="25">
        <v>3.0</v>
      </c>
      <c r="T208" s="56"/>
      <c r="U208" s="77">
        <f t="shared" ref="U208:X208" si="1791">C208-C207</f>
        <v>16</v>
      </c>
      <c r="V208" s="28">
        <f t="shared" si="1791"/>
        <v>-16</v>
      </c>
      <c r="W208" s="28">
        <f t="shared" si="1791"/>
        <v>16</v>
      </c>
      <c r="X208" s="28">
        <f t="shared" si="1791"/>
        <v>-16</v>
      </c>
      <c r="AB208" s="28">
        <f t="shared" ref="AB208:AE208" si="1792">IF(AB$3=$H208,U208,"")</f>
        <v>16</v>
      </c>
      <c r="AC208" s="28" t="str">
        <f t="shared" si="1792"/>
        <v/>
      </c>
      <c r="AD208" s="28" t="str">
        <f t="shared" si="1792"/>
        <v/>
      </c>
      <c r="AE208" s="28" t="str">
        <f t="shared" si="1792"/>
        <v/>
      </c>
      <c r="AH208" s="28">
        <f t="shared" si="22"/>
        <v>16</v>
      </c>
      <c r="AI208" s="28">
        <f t="shared" si="23"/>
        <v>0</v>
      </c>
      <c r="AK208" s="78" t="str">
        <f t="shared" ref="AK208:AN208" si="1793">IF(U208&gt;0,AK$3,"")</f>
        <v>Thomas</v>
      </c>
      <c r="AL208" s="78" t="str">
        <f t="shared" si="1793"/>
        <v/>
      </c>
      <c r="AM208" s="78" t="str">
        <f t="shared" si="1793"/>
        <v>Janus</v>
      </c>
      <c r="AN208" s="78" t="str">
        <f t="shared" si="1793"/>
        <v/>
      </c>
      <c r="AO208" s="56">
        <f t="shared" si="25"/>
        <v>2</v>
      </c>
      <c r="AP208" s="8" t="str">
        <f t="shared" si="26"/>
        <v>Thomas</v>
      </c>
      <c r="AQ208" s="73" t="str">
        <f>IFERROR(__xludf.DUMMYFUNCTION("IFNA(QUERY(transpose(AY208:BB208),""Select Col1 where Col1 is not null limit 1"",0))"),"Janus")</f>
        <v>Janus</v>
      </c>
      <c r="AR208" s="56"/>
      <c r="AS208" s="28" t="str">
        <f t="shared" ref="AS208:AV208" si="1794">IF(AK208=AS$3,"",AS$3)</f>
        <v/>
      </c>
      <c r="AT208" s="28" t="str">
        <f t="shared" si="1794"/>
        <v>Peter</v>
      </c>
      <c r="AU208" s="28" t="str">
        <f t="shared" si="1794"/>
        <v/>
      </c>
      <c r="AV208" s="28" t="str">
        <f t="shared" si="1794"/>
        <v>Christian</v>
      </c>
      <c r="AW208" s="56">
        <f t="shared" si="28"/>
        <v>2</v>
      </c>
      <c r="AX208" s="28">
        <f t="shared" si="29"/>
        <v>16</v>
      </c>
      <c r="AY208" s="28" t="str">
        <f t="shared" ref="AY208:BB208" si="1795">IFNA(IFS(AY$3=$AP208,"",$AX208=U208,AY$3),"")</f>
        <v/>
      </c>
      <c r="AZ208" s="28" t="str">
        <f t="shared" si="1795"/>
        <v/>
      </c>
      <c r="BA208" s="28" t="str">
        <f t="shared" si="1795"/>
        <v>Janus</v>
      </c>
      <c r="BB208" s="28" t="str">
        <f t="shared" si="1795"/>
        <v/>
      </c>
      <c r="BC208" s="58">
        <f>OFFSET('00_Regnskab_01'!$A$1,MATCH(A208,'00_Regnskab_01'!$A$1:$A$25)-1,2)</f>
        <v>43883</v>
      </c>
      <c r="BE208" s="80">
        <f t="shared" ref="BE208:BH208" si="1796">if(U208&gt;0,1+BE207,0)</f>
        <v>3</v>
      </c>
      <c r="BF208" s="28">
        <f t="shared" si="1796"/>
        <v>0</v>
      </c>
      <c r="BG208" s="28">
        <f t="shared" si="1796"/>
        <v>6</v>
      </c>
      <c r="BH208" s="28">
        <f t="shared" si="1796"/>
        <v>0</v>
      </c>
      <c r="BJ208" s="28">
        <f t="shared" ref="BJ208:BM208" si="1797">if(U208&lt;0,1+BJ207,0)</f>
        <v>0</v>
      </c>
      <c r="BK208" s="28">
        <f t="shared" si="1797"/>
        <v>3</v>
      </c>
      <c r="BL208" s="28">
        <f t="shared" si="1797"/>
        <v>0</v>
      </c>
      <c r="BM208" s="28">
        <f t="shared" si="1797"/>
        <v>1</v>
      </c>
      <c r="BO208" s="74">
        <f t="shared" ref="BO208:BR208" si="1798">if(U208&gt;0,U208+BO207,0)</f>
        <v>32</v>
      </c>
      <c r="BP208" s="74">
        <f t="shared" si="1798"/>
        <v>0</v>
      </c>
      <c r="BQ208" s="74">
        <f t="shared" si="1798"/>
        <v>108</v>
      </c>
      <c r="BR208" s="74">
        <f t="shared" si="1798"/>
        <v>0</v>
      </c>
      <c r="BT208" s="28">
        <f t="shared" ref="BT208:BW208" si="1799">if(U208&lt;0,U208+BT207,0)</f>
        <v>0</v>
      </c>
      <c r="BU208" s="28">
        <f t="shared" si="1799"/>
        <v>-64</v>
      </c>
      <c r="BV208" s="28">
        <f t="shared" si="1799"/>
        <v>0</v>
      </c>
      <c r="BW208" s="28">
        <f t="shared" si="1799"/>
        <v>-16</v>
      </c>
    </row>
    <row r="209">
      <c r="A209" s="53">
        <v>13.0</v>
      </c>
      <c r="B209" s="28">
        <f>'13_22-02-2020'!A17</f>
        <v>15</v>
      </c>
      <c r="C209" s="75">
        <f>'13_22-02-2020'!E17</f>
        <v>32</v>
      </c>
      <c r="D209" s="28">
        <f>'13_22-02-2020'!D17</f>
        <v>-48</v>
      </c>
      <c r="E209" s="28">
        <f>'13_22-02-2020'!B17</f>
        <v>32</v>
      </c>
      <c r="F209" s="28">
        <f>'13_22-02-2020'!C17</f>
        <v>-16</v>
      </c>
      <c r="G209" s="28">
        <f>'13_22-02-2020'!F17</f>
        <v>0</v>
      </c>
      <c r="H209" s="28" t="str">
        <f>'13_22-02-2020'!H17</f>
        <v>Thomas</v>
      </c>
      <c r="J209" s="76" t="str">
        <f>'13_22-02-2020'!I17</f>
        <v>Peter</v>
      </c>
      <c r="K209" s="28" t="str">
        <f>'13_22-02-2020'!G17</f>
        <v>9 gode</v>
      </c>
      <c r="L209" s="56"/>
      <c r="M209" s="25">
        <v>9.0</v>
      </c>
      <c r="N209" s="25" t="s">
        <v>95</v>
      </c>
      <c r="T209" s="56"/>
      <c r="U209" s="77">
        <f t="shared" ref="U209:X209" si="1800">C209-C208</f>
        <v>16</v>
      </c>
      <c r="V209" s="28">
        <f t="shared" si="1800"/>
        <v>-16</v>
      </c>
      <c r="W209" s="28">
        <f t="shared" si="1800"/>
        <v>-16</v>
      </c>
      <c r="X209" s="28">
        <f t="shared" si="1800"/>
        <v>16</v>
      </c>
      <c r="AB209" s="28">
        <f t="shared" ref="AB209:AE209" si="1801">IF(AB$3=$H209,U209,"")</f>
        <v>16</v>
      </c>
      <c r="AC209" s="28" t="str">
        <f t="shared" si="1801"/>
        <v/>
      </c>
      <c r="AD209" s="28" t="str">
        <f t="shared" si="1801"/>
        <v/>
      </c>
      <c r="AE209" s="28" t="str">
        <f t="shared" si="1801"/>
        <v/>
      </c>
      <c r="AH209" s="28">
        <f t="shared" si="22"/>
        <v>16</v>
      </c>
      <c r="AI209" s="28">
        <f t="shared" si="23"/>
        <v>0</v>
      </c>
      <c r="AK209" s="78" t="str">
        <f t="shared" ref="AK209:AN209" si="1802">IF(U209&gt;0,AK$3,"")</f>
        <v>Thomas</v>
      </c>
      <c r="AL209" s="78" t="str">
        <f t="shared" si="1802"/>
        <v/>
      </c>
      <c r="AM209" s="78" t="str">
        <f t="shared" si="1802"/>
        <v/>
      </c>
      <c r="AN209" s="78" t="str">
        <f t="shared" si="1802"/>
        <v>Christian</v>
      </c>
      <c r="AO209" s="56">
        <f t="shared" si="25"/>
        <v>2</v>
      </c>
      <c r="AP209" s="8" t="str">
        <f t="shared" si="26"/>
        <v>Thomas</v>
      </c>
      <c r="AQ209" s="73" t="str">
        <f>IFERROR(__xludf.DUMMYFUNCTION("IFNA(QUERY(transpose(AY209:BB209),""Select Col1 where Col1 is not null limit 1"",0))"),"Christian")</f>
        <v>Christian</v>
      </c>
      <c r="AR209" s="56"/>
      <c r="AS209" s="28" t="str">
        <f t="shared" ref="AS209:AV209" si="1803">IF(AK209=AS$3,"",AS$3)</f>
        <v/>
      </c>
      <c r="AT209" s="28" t="str">
        <f t="shared" si="1803"/>
        <v>Peter</v>
      </c>
      <c r="AU209" s="28" t="str">
        <f t="shared" si="1803"/>
        <v>Janus</v>
      </c>
      <c r="AV209" s="28" t="str">
        <f t="shared" si="1803"/>
        <v/>
      </c>
      <c r="AW209" s="56">
        <f t="shared" si="28"/>
        <v>2</v>
      </c>
      <c r="AX209" s="28">
        <f t="shared" si="29"/>
        <v>16</v>
      </c>
      <c r="AY209" s="28" t="str">
        <f t="shared" ref="AY209:BB209" si="1804">IFNA(IFS(AY$3=$AP209,"",$AX209=U209,AY$3),"")</f>
        <v/>
      </c>
      <c r="AZ209" s="28" t="str">
        <f t="shared" si="1804"/>
        <v/>
      </c>
      <c r="BA209" s="28" t="str">
        <f t="shared" si="1804"/>
        <v/>
      </c>
      <c r="BB209" s="28" t="str">
        <f t="shared" si="1804"/>
        <v>Christian</v>
      </c>
      <c r="BC209" s="58">
        <f>OFFSET('00_Regnskab_01'!$A$1,MATCH(A209,'00_Regnskab_01'!$A$1:$A$25)-1,2)</f>
        <v>43883</v>
      </c>
      <c r="BE209" s="80">
        <f t="shared" ref="BE209:BH209" si="1805">if(U209&gt;0,1+BE208,0)</f>
        <v>4</v>
      </c>
      <c r="BF209" s="28">
        <f t="shared" si="1805"/>
        <v>0</v>
      </c>
      <c r="BG209" s="28">
        <f t="shared" si="1805"/>
        <v>0</v>
      </c>
      <c r="BH209" s="28">
        <f t="shared" si="1805"/>
        <v>1</v>
      </c>
      <c r="BJ209" s="28">
        <f t="shared" ref="BJ209:BM209" si="1806">if(U209&lt;0,1+BJ208,0)</f>
        <v>0</v>
      </c>
      <c r="BK209" s="28">
        <f t="shared" si="1806"/>
        <v>4</v>
      </c>
      <c r="BL209" s="28">
        <f t="shared" si="1806"/>
        <v>1</v>
      </c>
      <c r="BM209" s="28">
        <f t="shared" si="1806"/>
        <v>0</v>
      </c>
      <c r="BO209" s="74">
        <f t="shared" ref="BO209:BR209" si="1807">if(U209&gt;0,U209+BO208,0)</f>
        <v>48</v>
      </c>
      <c r="BP209" s="74">
        <f t="shared" si="1807"/>
        <v>0</v>
      </c>
      <c r="BQ209" s="74">
        <f t="shared" si="1807"/>
        <v>0</v>
      </c>
      <c r="BR209" s="74">
        <f t="shared" si="1807"/>
        <v>16</v>
      </c>
      <c r="BT209" s="28">
        <f t="shared" ref="BT209:BW209" si="1808">if(U209&lt;0,U209+BT208,0)</f>
        <v>0</v>
      </c>
      <c r="BU209" s="28">
        <f t="shared" si="1808"/>
        <v>-80</v>
      </c>
      <c r="BV209" s="28">
        <f t="shared" si="1808"/>
        <v>-16</v>
      </c>
      <c r="BW209" s="28">
        <f t="shared" si="1808"/>
        <v>0</v>
      </c>
    </row>
    <row r="210">
      <c r="A210" s="53">
        <v>13.0</v>
      </c>
      <c r="B210" s="28">
        <f>'13_22-02-2020'!A18</f>
        <v>16</v>
      </c>
      <c r="C210" s="75">
        <f>'13_22-02-2020'!E18</f>
        <v>40</v>
      </c>
      <c r="D210" s="28">
        <f>'13_22-02-2020'!D18</f>
        <v>-56</v>
      </c>
      <c r="E210" s="28">
        <f>'13_22-02-2020'!B18</f>
        <v>40</v>
      </c>
      <c r="F210" s="28">
        <f>'13_22-02-2020'!C18</f>
        <v>-24</v>
      </c>
      <c r="G210" s="28">
        <f>'13_22-02-2020'!F18</f>
        <v>0</v>
      </c>
      <c r="H210" s="28" t="str">
        <f>'13_22-02-2020'!H18</f>
        <v>Thoms/Janus</v>
      </c>
      <c r="J210" s="76" t="str">
        <f>'13_22-02-2020'!I18</f>
        <v>Christian</v>
      </c>
      <c r="K210" s="28" t="str">
        <f>'13_22-02-2020'!G18</f>
        <v>2 gange sol</v>
      </c>
      <c r="L210" s="56"/>
      <c r="N210" s="25" t="s">
        <v>99</v>
      </c>
      <c r="Q210" s="25" t="s">
        <v>15</v>
      </c>
      <c r="T210" s="56"/>
      <c r="U210" s="77">
        <f t="shared" ref="U210:X210" si="1809">C210-C209</f>
        <v>8</v>
      </c>
      <c r="V210" s="28">
        <f t="shared" si="1809"/>
        <v>-8</v>
      </c>
      <c r="W210" s="28">
        <f t="shared" si="1809"/>
        <v>8</v>
      </c>
      <c r="X210" s="28">
        <f t="shared" si="1809"/>
        <v>-8</v>
      </c>
      <c r="AB210" s="28" t="str">
        <f t="shared" ref="AB210:AE210" si="1810">IF(AB$3=$H210,U210,"")</f>
        <v/>
      </c>
      <c r="AC210" s="28" t="str">
        <f t="shared" si="1810"/>
        <v/>
      </c>
      <c r="AD210" s="28" t="str">
        <f t="shared" si="1810"/>
        <v/>
      </c>
      <c r="AE210" s="28" t="str">
        <f t="shared" si="1810"/>
        <v/>
      </c>
      <c r="AH210" s="28">
        <f t="shared" si="22"/>
        <v>0</v>
      </c>
      <c r="AI210" s="28">
        <f t="shared" si="23"/>
        <v>0</v>
      </c>
      <c r="AK210" s="78" t="str">
        <f t="shared" ref="AK210:AN210" si="1811">IF(U210&gt;0,AK$3,"")</f>
        <v>Thomas</v>
      </c>
      <c r="AL210" s="78" t="str">
        <f t="shared" si="1811"/>
        <v/>
      </c>
      <c r="AM210" s="78" t="str">
        <f t="shared" si="1811"/>
        <v>Janus</v>
      </c>
      <c r="AN210" s="78" t="str">
        <f t="shared" si="1811"/>
        <v/>
      </c>
      <c r="AO210" s="56">
        <f t="shared" si="25"/>
        <v>2</v>
      </c>
      <c r="AP210" s="8" t="str">
        <f t="shared" si="26"/>
        <v>Thoms/Janus</v>
      </c>
      <c r="AQ210" s="73" t="str">
        <f>IFERROR(__xludf.DUMMYFUNCTION("IFNA(QUERY(transpose(AY210:BB210),""Select Col1 where Col1 is not null limit 1"",0))"),"")</f>
        <v/>
      </c>
      <c r="AR210" s="56"/>
      <c r="AS210" s="28" t="str">
        <f t="shared" ref="AS210:AV210" si="1812">IF(AK210=AS$3,"",AS$3)</f>
        <v/>
      </c>
      <c r="AT210" s="28" t="str">
        <f t="shared" si="1812"/>
        <v>Peter</v>
      </c>
      <c r="AU210" s="28" t="str">
        <f t="shared" si="1812"/>
        <v/>
      </c>
      <c r="AV210" s="28" t="str">
        <f t="shared" si="1812"/>
        <v>Christian</v>
      </c>
      <c r="AW210" s="56">
        <f t="shared" si="28"/>
        <v>2</v>
      </c>
      <c r="AX210" s="28">
        <f t="shared" si="29"/>
        <v>0</v>
      </c>
      <c r="AY210" s="28" t="str">
        <f t="shared" ref="AY210:BB210" si="1813">IFNA(IFS(AY$3=$AP210,"",$AX210=U210,AY$3),"")</f>
        <v/>
      </c>
      <c r="AZ210" s="28" t="str">
        <f t="shared" si="1813"/>
        <v/>
      </c>
      <c r="BA210" s="28" t="str">
        <f t="shared" si="1813"/>
        <v/>
      </c>
      <c r="BB210" s="28" t="str">
        <f t="shared" si="1813"/>
        <v/>
      </c>
      <c r="BC210" s="58">
        <f>OFFSET('00_Regnskab_01'!$A$1,MATCH(A210,'00_Regnskab_01'!$A$1:$A$25)-1,2)</f>
        <v>43883</v>
      </c>
      <c r="BE210" s="80">
        <f t="shared" ref="BE210:BH210" si="1814">if(U210&gt;0,1+BE209,0)</f>
        <v>5</v>
      </c>
      <c r="BF210" s="28">
        <f t="shared" si="1814"/>
        <v>0</v>
      </c>
      <c r="BG210" s="28">
        <f t="shared" si="1814"/>
        <v>1</v>
      </c>
      <c r="BH210" s="28">
        <f t="shared" si="1814"/>
        <v>0</v>
      </c>
      <c r="BJ210" s="28">
        <f t="shared" ref="BJ210:BM210" si="1815">if(U210&lt;0,1+BJ209,0)</f>
        <v>0</v>
      </c>
      <c r="BK210" s="28">
        <f t="shared" si="1815"/>
        <v>5</v>
      </c>
      <c r="BL210" s="28">
        <f t="shared" si="1815"/>
        <v>0</v>
      </c>
      <c r="BM210" s="28">
        <f t="shared" si="1815"/>
        <v>1</v>
      </c>
      <c r="BO210" s="74">
        <f t="shared" ref="BO210:BR210" si="1816">if(U210&gt;0,U210+BO209,0)</f>
        <v>56</v>
      </c>
      <c r="BP210" s="74">
        <f t="shared" si="1816"/>
        <v>0</v>
      </c>
      <c r="BQ210" s="74">
        <f t="shared" si="1816"/>
        <v>8</v>
      </c>
      <c r="BR210" s="74">
        <f t="shared" si="1816"/>
        <v>0</v>
      </c>
      <c r="BT210" s="28">
        <f t="shared" ref="BT210:BW210" si="1817">if(U210&lt;0,U210+BT209,0)</f>
        <v>0</v>
      </c>
      <c r="BU210" s="28">
        <f t="shared" si="1817"/>
        <v>-88</v>
      </c>
      <c r="BV210" s="28">
        <f t="shared" si="1817"/>
        <v>0</v>
      </c>
      <c r="BW210" s="28">
        <f t="shared" si="1817"/>
        <v>-8</v>
      </c>
    </row>
    <row r="211">
      <c r="A211" s="53">
        <v>13.0</v>
      </c>
      <c r="B211" s="28">
        <f>'13_22-02-2020'!A19</f>
        <v>17</v>
      </c>
      <c r="C211" s="75">
        <f>'13_22-02-2020'!E19</f>
        <v>60</v>
      </c>
      <c r="D211" s="28">
        <f>'13_22-02-2020'!D19</f>
        <v>-116</v>
      </c>
      <c r="E211" s="28">
        <f>'13_22-02-2020'!B19</f>
        <v>60</v>
      </c>
      <c r="F211" s="28">
        <f>'13_22-02-2020'!C19</f>
        <v>-4</v>
      </c>
      <c r="G211" s="28">
        <f>'13_22-02-2020'!F19</f>
        <v>0</v>
      </c>
      <c r="H211" s="28" t="str">
        <f>'13_22-02-2020'!H19</f>
        <v>Peter</v>
      </c>
      <c r="J211" s="76" t="str">
        <f>'13_22-02-2020'!I19</f>
        <v>Thomas</v>
      </c>
      <c r="K211" s="28" t="str">
        <f>'13_22-02-2020'!G19</f>
        <v>9 halve</v>
      </c>
      <c r="L211" s="56"/>
      <c r="M211" s="25">
        <v>9.0</v>
      </c>
      <c r="N211" s="25" t="s">
        <v>94</v>
      </c>
      <c r="T211" s="56"/>
      <c r="U211" s="77">
        <f t="shared" ref="U211:X211" si="1818">C211-C210</f>
        <v>20</v>
      </c>
      <c r="V211" s="28">
        <f t="shared" si="1818"/>
        <v>-60</v>
      </c>
      <c r="W211" s="28">
        <f t="shared" si="1818"/>
        <v>20</v>
      </c>
      <c r="X211" s="28">
        <f t="shared" si="1818"/>
        <v>20</v>
      </c>
      <c r="AB211" s="28" t="str">
        <f t="shared" ref="AB211:AE211" si="1819">IF(AB$3=$H211,U211,"")</f>
        <v/>
      </c>
      <c r="AC211" s="28">
        <f t="shared" si="1819"/>
        <v>-60</v>
      </c>
      <c r="AD211" s="28" t="str">
        <f t="shared" si="1819"/>
        <v/>
      </c>
      <c r="AE211" s="28" t="str">
        <f t="shared" si="1819"/>
        <v/>
      </c>
      <c r="AH211" s="28">
        <f t="shared" si="22"/>
        <v>0</v>
      </c>
      <c r="AI211" s="28">
        <f t="shared" si="23"/>
        <v>-60</v>
      </c>
      <c r="AK211" s="78" t="str">
        <f t="shared" ref="AK211:AN211" si="1820">IF(U211&gt;0,AK$3,"")</f>
        <v>Thomas</v>
      </c>
      <c r="AL211" s="78" t="str">
        <f t="shared" si="1820"/>
        <v/>
      </c>
      <c r="AM211" s="78" t="str">
        <f t="shared" si="1820"/>
        <v>Janus</v>
      </c>
      <c r="AN211" s="78" t="str">
        <f t="shared" si="1820"/>
        <v>Christian</v>
      </c>
      <c r="AO211" s="56">
        <f t="shared" si="25"/>
        <v>3</v>
      </c>
      <c r="AP211" s="8" t="str">
        <f t="shared" si="26"/>
        <v>Peter</v>
      </c>
      <c r="AQ211" s="73" t="str">
        <f>IFERROR(__xludf.DUMMYFUNCTION("IFNA(QUERY(transpose(AY211:BB211),""Select Col1 where Col1 is not null limit 1"",0))"),"")</f>
        <v/>
      </c>
      <c r="AR211" s="56"/>
      <c r="AS211" s="28" t="str">
        <f t="shared" ref="AS211:AV211" si="1821">IF(AK211=AS$3,"",AS$3)</f>
        <v/>
      </c>
      <c r="AT211" s="28" t="str">
        <f t="shared" si="1821"/>
        <v>Peter</v>
      </c>
      <c r="AU211" s="28" t="str">
        <f t="shared" si="1821"/>
        <v/>
      </c>
      <c r="AV211" s="28" t="str">
        <f t="shared" si="1821"/>
        <v/>
      </c>
      <c r="AW211" s="56">
        <f t="shared" si="28"/>
        <v>1</v>
      </c>
      <c r="AX211" s="28">
        <f t="shared" si="29"/>
        <v>-60</v>
      </c>
      <c r="AY211" s="28" t="str">
        <f t="shared" ref="AY211:BB211" si="1822">IFNA(IFS(AY$3=$AP211,"",$AX211=U211,AY$3),"")</f>
        <v/>
      </c>
      <c r="AZ211" s="28" t="str">
        <f t="shared" si="1822"/>
        <v/>
      </c>
      <c r="BA211" s="28" t="str">
        <f t="shared" si="1822"/>
        <v/>
      </c>
      <c r="BB211" s="28" t="str">
        <f t="shared" si="1822"/>
        <v/>
      </c>
      <c r="BC211" s="58">
        <f>OFFSET('00_Regnskab_01'!$A$1,MATCH(A211,'00_Regnskab_01'!$A$1:$A$25)-1,2)</f>
        <v>43883</v>
      </c>
      <c r="BE211" s="80">
        <f t="shared" ref="BE211:BH211" si="1823">if(U211&gt;0,1+BE210,0)</f>
        <v>6</v>
      </c>
      <c r="BF211" s="28">
        <f t="shared" si="1823"/>
        <v>0</v>
      </c>
      <c r="BG211" s="28">
        <f t="shared" si="1823"/>
        <v>2</v>
      </c>
      <c r="BH211" s="28">
        <f t="shared" si="1823"/>
        <v>1</v>
      </c>
      <c r="BJ211" s="28">
        <f t="shared" ref="BJ211:BM211" si="1824">if(U211&lt;0,1+BJ210,0)</f>
        <v>0</v>
      </c>
      <c r="BK211" s="28">
        <f t="shared" si="1824"/>
        <v>6</v>
      </c>
      <c r="BL211" s="28">
        <f t="shared" si="1824"/>
        <v>0</v>
      </c>
      <c r="BM211" s="28">
        <f t="shared" si="1824"/>
        <v>0</v>
      </c>
      <c r="BO211" s="74">
        <f t="shared" ref="BO211:BR211" si="1825">if(U211&gt;0,U211+BO210,0)</f>
        <v>76</v>
      </c>
      <c r="BP211" s="74">
        <f t="shared" si="1825"/>
        <v>0</v>
      </c>
      <c r="BQ211" s="74">
        <f t="shared" si="1825"/>
        <v>28</v>
      </c>
      <c r="BR211" s="74">
        <f t="shared" si="1825"/>
        <v>20</v>
      </c>
      <c r="BT211" s="28">
        <f t="shared" ref="BT211:BW211" si="1826">if(U211&lt;0,U211+BT210,0)</f>
        <v>0</v>
      </c>
      <c r="BU211" s="28">
        <f t="shared" si="1826"/>
        <v>-148</v>
      </c>
      <c r="BV211" s="28">
        <f t="shared" si="1826"/>
        <v>0</v>
      </c>
      <c r="BW211" s="28">
        <f t="shared" si="1826"/>
        <v>0</v>
      </c>
    </row>
    <row r="212">
      <c r="A212" s="53">
        <v>13.0</v>
      </c>
      <c r="B212" s="28">
        <f>'13_22-02-2020'!A20</f>
        <v>18</v>
      </c>
      <c r="C212" s="75">
        <f>'13_22-02-2020'!E20</f>
        <v>96</v>
      </c>
      <c r="D212" s="28">
        <f>'13_22-02-2020'!D20</f>
        <v>-80</v>
      </c>
      <c r="E212" s="28">
        <f>'13_22-02-2020'!B20</f>
        <v>24</v>
      </c>
      <c r="F212" s="28">
        <f>'13_22-02-2020'!C20</f>
        <v>-40</v>
      </c>
      <c r="G212" s="28">
        <f>'13_22-02-2020'!F20</f>
        <v>0</v>
      </c>
      <c r="H212" s="28" t="str">
        <f>'13_22-02-2020'!H20</f>
        <v>Thomas</v>
      </c>
      <c r="J212" s="76" t="str">
        <f>'13_22-02-2020'!I20</f>
        <v>Janus</v>
      </c>
      <c r="K212" s="28" t="str">
        <f>'13_22-02-2020'!G20</f>
        <v>10 alm</v>
      </c>
      <c r="L212" s="56"/>
      <c r="M212" s="25">
        <v>10.0</v>
      </c>
      <c r="N212" s="25" t="s">
        <v>100</v>
      </c>
      <c r="S212" s="25" t="s">
        <v>102</v>
      </c>
      <c r="T212" s="56"/>
      <c r="U212" s="77">
        <f t="shared" ref="U212:X212" si="1827">C212-C211</f>
        <v>36</v>
      </c>
      <c r="V212" s="28">
        <f t="shared" si="1827"/>
        <v>36</v>
      </c>
      <c r="W212" s="28">
        <f t="shared" si="1827"/>
        <v>-36</v>
      </c>
      <c r="X212" s="28">
        <f t="shared" si="1827"/>
        <v>-36</v>
      </c>
      <c r="AB212" s="28">
        <f t="shared" ref="AB212:AE212" si="1828">IF(AB$3=$H212,U212,"")</f>
        <v>36</v>
      </c>
      <c r="AC212" s="28" t="str">
        <f t="shared" si="1828"/>
        <v/>
      </c>
      <c r="AD212" s="28" t="str">
        <f t="shared" si="1828"/>
        <v/>
      </c>
      <c r="AE212" s="28" t="str">
        <f t="shared" si="1828"/>
        <v/>
      </c>
      <c r="AH212" s="28">
        <f t="shared" si="22"/>
        <v>36</v>
      </c>
      <c r="AI212" s="28">
        <f t="shared" si="23"/>
        <v>0</v>
      </c>
      <c r="AK212" s="78" t="str">
        <f t="shared" ref="AK212:AN212" si="1829">IF(U212&gt;0,AK$3,"")</f>
        <v>Thomas</v>
      </c>
      <c r="AL212" s="78" t="str">
        <f t="shared" si="1829"/>
        <v>Peter</v>
      </c>
      <c r="AM212" s="78" t="str">
        <f t="shared" si="1829"/>
        <v/>
      </c>
      <c r="AN212" s="78" t="str">
        <f t="shared" si="1829"/>
        <v/>
      </c>
      <c r="AO212" s="56">
        <f t="shared" si="25"/>
        <v>2</v>
      </c>
      <c r="AP212" s="8" t="str">
        <f t="shared" si="26"/>
        <v>Thomas</v>
      </c>
      <c r="AQ212" s="73" t="str">
        <f>IFERROR(__xludf.DUMMYFUNCTION("IFNA(QUERY(transpose(AY212:BB212),""Select Col1 where Col1 is not null limit 1"",0))"),"Peter")</f>
        <v>Peter</v>
      </c>
      <c r="AR212" s="56"/>
      <c r="AS212" s="28" t="str">
        <f t="shared" ref="AS212:AV212" si="1830">IF(AK212=AS$3,"",AS$3)</f>
        <v/>
      </c>
      <c r="AT212" s="28" t="str">
        <f t="shared" si="1830"/>
        <v/>
      </c>
      <c r="AU212" s="28" t="str">
        <f t="shared" si="1830"/>
        <v>Janus</v>
      </c>
      <c r="AV212" s="28" t="str">
        <f t="shared" si="1830"/>
        <v>Christian</v>
      </c>
      <c r="AW212" s="56">
        <f t="shared" si="28"/>
        <v>2</v>
      </c>
      <c r="AX212" s="28">
        <f t="shared" si="29"/>
        <v>36</v>
      </c>
      <c r="AY212" s="28" t="str">
        <f t="shared" ref="AY212:BB212" si="1831">IFNA(IFS(AY$3=$AP212,"",$AX212=U212,AY$3),"")</f>
        <v/>
      </c>
      <c r="AZ212" s="28" t="str">
        <f t="shared" si="1831"/>
        <v>Peter</v>
      </c>
      <c r="BA212" s="28" t="str">
        <f t="shared" si="1831"/>
        <v/>
      </c>
      <c r="BB212" s="28" t="str">
        <f t="shared" si="1831"/>
        <v/>
      </c>
      <c r="BC212" s="58">
        <f>OFFSET('00_Regnskab_01'!$A$1,MATCH(A212,'00_Regnskab_01'!$A$1:$A$25)-1,2)</f>
        <v>43883</v>
      </c>
      <c r="BE212" s="80">
        <f t="shared" ref="BE212:BH212" si="1832">if(U212&gt;0,1+BE211,0)</f>
        <v>7</v>
      </c>
      <c r="BF212" s="28">
        <f t="shared" si="1832"/>
        <v>1</v>
      </c>
      <c r="BG212" s="28">
        <f t="shared" si="1832"/>
        <v>0</v>
      </c>
      <c r="BH212" s="28">
        <f t="shared" si="1832"/>
        <v>0</v>
      </c>
      <c r="BJ212" s="28">
        <f t="shared" ref="BJ212:BM212" si="1833">if(U212&lt;0,1+BJ211,0)</f>
        <v>0</v>
      </c>
      <c r="BK212" s="28">
        <f t="shared" si="1833"/>
        <v>0</v>
      </c>
      <c r="BL212" s="28">
        <f t="shared" si="1833"/>
        <v>1</v>
      </c>
      <c r="BM212" s="28">
        <f t="shared" si="1833"/>
        <v>1</v>
      </c>
      <c r="BO212" s="74">
        <f t="shared" ref="BO212:BR212" si="1834">if(U212&gt;0,U212+BO211,0)</f>
        <v>112</v>
      </c>
      <c r="BP212" s="74">
        <f t="shared" si="1834"/>
        <v>36</v>
      </c>
      <c r="BQ212" s="74">
        <f t="shared" si="1834"/>
        <v>0</v>
      </c>
      <c r="BR212" s="74">
        <f t="shared" si="1834"/>
        <v>0</v>
      </c>
      <c r="BT212" s="28">
        <f t="shared" ref="BT212:BW212" si="1835">if(U212&lt;0,U212+BT211,0)</f>
        <v>0</v>
      </c>
      <c r="BU212" s="28">
        <f t="shared" si="1835"/>
        <v>0</v>
      </c>
      <c r="BV212" s="28">
        <f t="shared" si="1835"/>
        <v>-36</v>
      </c>
      <c r="BW212" s="28">
        <f t="shared" si="1835"/>
        <v>-36</v>
      </c>
    </row>
    <row r="213">
      <c r="A213" s="53">
        <v>13.0</v>
      </c>
      <c r="B213" s="28">
        <f>'13_22-02-2020'!A21</f>
        <v>19</v>
      </c>
      <c r="C213" s="75">
        <f>'13_22-02-2020'!E21</f>
        <v>92</v>
      </c>
      <c r="D213" s="28">
        <f>'13_22-02-2020'!D21</f>
        <v>-84</v>
      </c>
      <c r="E213" s="28">
        <f>'13_22-02-2020'!B21</f>
        <v>20</v>
      </c>
      <c r="F213" s="28">
        <f>'13_22-02-2020'!C21</f>
        <v>-28</v>
      </c>
      <c r="G213" s="28">
        <f>'13_22-02-2020'!F21</f>
        <v>0</v>
      </c>
      <c r="H213" s="28" t="str">
        <f>'13_22-02-2020'!H21</f>
        <v>Christian</v>
      </c>
      <c r="J213" s="76" t="str">
        <f>'13_22-02-2020'!I21</f>
        <v>Peter</v>
      </c>
      <c r="K213" s="28" t="str">
        <f>'13_22-02-2020'!G21</f>
        <v>Sol</v>
      </c>
      <c r="L213" s="56"/>
      <c r="N213" s="25" t="s">
        <v>99</v>
      </c>
      <c r="T213" s="56"/>
      <c r="U213" s="77">
        <f t="shared" ref="U213:X213" si="1836">C213-C212</f>
        <v>-4</v>
      </c>
      <c r="V213" s="28">
        <f t="shared" si="1836"/>
        <v>-4</v>
      </c>
      <c r="W213" s="28">
        <f t="shared" si="1836"/>
        <v>-4</v>
      </c>
      <c r="X213" s="28">
        <f t="shared" si="1836"/>
        <v>12</v>
      </c>
      <c r="AB213" s="28" t="str">
        <f t="shared" ref="AB213:AE213" si="1837">IF(AB$3=$H213,U213,"")</f>
        <v/>
      </c>
      <c r="AC213" s="28" t="str">
        <f t="shared" si="1837"/>
        <v/>
      </c>
      <c r="AD213" s="28" t="str">
        <f t="shared" si="1837"/>
        <v/>
      </c>
      <c r="AE213" s="28">
        <f t="shared" si="1837"/>
        <v>12</v>
      </c>
      <c r="AH213" s="28">
        <f t="shared" si="22"/>
        <v>12</v>
      </c>
      <c r="AI213" s="28">
        <f t="shared" si="23"/>
        <v>0</v>
      </c>
      <c r="AK213" s="78" t="str">
        <f t="shared" ref="AK213:AN213" si="1838">IF(U213&gt;0,AK$3,"")</f>
        <v/>
      </c>
      <c r="AL213" s="78" t="str">
        <f t="shared" si="1838"/>
        <v/>
      </c>
      <c r="AM213" s="78" t="str">
        <f t="shared" si="1838"/>
        <v/>
      </c>
      <c r="AN213" s="78" t="str">
        <f t="shared" si="1838"/>
        <v>Christian</v>
      </c>
      <c r="AO213" s="56">
        <f t="shared" si="25"/>
        <v>1</v>
      </c>
      <c r="AP213" s="8" t="str">
        <f t="shared" si="26"/>
        <v>Christian</v>
      </c>
      <c r="AQ213" s="73" t="str">
        <f>IFERROR(__xludf.DUMMYFUNCTION("IFNA(QUERY(transpose(AY213:BB213),""Select Col1 where Col1 is not null limit 1"",0))"),"")</f>
        <v/>
      </c>
      <c r="AR213" s="56"/>
      <c r="AS213" s="28" t="str">
        <f t="shared" ref="AS213:AV213" si="1839">IF(AK213=AS$3,"",AS$3)</f>
        <v>Thomas</v>
      </c>
      <c r="AT213" s="28" t="str">
        <f t="shared" si="1839"/>
        <v>Peter</v>
      </c>
      <c r="AU213" s="28" t="str">
        <f t="shared" si="1839"/>
        <v>Janus</v>
      </c>
      <c r="AV213" s="28" t="str">
        <f t="shared" si="1839"/>
        <v/>
      </c>
      <c r="AW213" s="56">
        <f t="shared" si="28"/>
        <v>3</v>
      </c>
      <c r="AX213" s="28">
        <f t="shared" si="29"/>
        <v>12</v>
      </c>
      <c r="AY213" s="28" t="str">
        <f t="shared" ref="AY213:BB213" si="1840">IFNA(IFS(AY$3=$AP213,"",$AX213=U213,AY$3),"")</f>
        <v/>
      </c>
      <c r="AZ213" s="28" t="str">
        <f t="shared" si="1840"/>
        <v/>
      </c>
      <c r="BA213" s="28" t="str">
        <f t="shared" si="1840"/>
        <v/>
      </c>
      <c r="BB213" s="28" t="str">
        <f t="shared" si="1840"/>
        <v/>
      </c>
      <c r="BC213" s="58">
        <f>OFFSET('00_Regnskab_01'!$A$1,MATCH(A213,'00_Regnskab_01'!$A$1:$A$25)-1,2)</f>
        <v>43883</v>
      </c>
      <c r="BE213" s="80">
        <f t="shared" ref="BE213:BH213" si="1841">if(U213&gt;0,1+BE212,0)</f>
        <v>0</v>
      </c>
      <c r="BF213" s="28">
        <f t="shared" si="1841"/>
        <v>0</v>
      </c>
      <c r="BG213" s="28">
        <f t="shared" si="1841"/>
        <v>0</v>
      </c>
      <c r="BH213" s="28">
        <f t="shared" si="1841"/>
        <v>1</v>
      </c>
      <c r="BJ213" s="28">
        <f t="shared" ref="BJ213:BM213" si="1842">if(U213&lt;0,1+BJ212,0)</f>
        <v>1</v>
      </c>
      <c r="BK213" s="28">
        <f t="shared" si="1842"/>
        <v>1</v>
      </c>
      <c r="BL213" s="28">
        <f t="shared" si="1842"/>
        <v>2</v>
      </c>
      <c r="BM213" s="28">
        <f t="shared" si="1842"/>
        <v>0</v>
      </c>
      <c r="BO213" s="74">
        <f t="shared" ref="BO213:BR213" si="1843">if(U213&gt;0,U213+BO212,0)</f>
        <v>0</v>
      </c>
      <c r="BP213" s="74">
        <f t="shared" si="1843"/>
        <v>0</v>
      </c>
      <c r="BQ213" s="74">
        <f t="shared" si="1843"/>
        <v>0</v>
      </c>
      <c r="BR213" s="74">
        <f t="shared" si="1843"/>
        <v>12</v>
      </c>
      <c r="BT213" s="28">
        <f t="shared" ref="BT213:BW213" si="1844">if(U213&lt;0,U213+BT212,0)</f>
        <v>-4</v>
      </c>
      <c r="BU213" s="28">
        <f t="shared" si="1844"/>
        <v>-4</v>
      </c>
      <c r="BV213" s="28">
        <f t="shared" si="1844"/>
        <v>-40</v>
      </c>
      <c r="BW213" s="28">
        <f t="shared" si="1844"/>
        <v>0</v>
      </c>
    </row>
    <row r="214">
      <c r="A214" s="53">
        <v>13.0</v>
      </c>
      <c r="B214" s="28">
        <f>'13_22-02-2020'!A22</f>
        <v>20</v>
      </c>
      <c r="C214" s="75">
        <f>'13_22-02-2020'!E22</f>
        <v>60</v>
      </c>
      <c r="D214" s="28">
        <f>'13_22-02-2020'!D22</f>
        <v>-52</v>
      </c>
      <c r="E214" s="28">
        <f>'13_22-02-2020'!B22</f>
        <v>52</v>
      </c>
      <c r="F214" s="28">
        <f>'13_22-02-2020'!C22</f>
        <v>-60</v>
      </c>
      <c r="G214" s="28">
        <f>'13_22-02-2020'!F22</f>
        <v>0</v>
      </c>
      <c r="H214" s="28" t="str">
        <f>'13_22-02-2020'!H22</f>
        <v>Thomas</v>
      </c>
      <c r="J214" s="76" t="str">
        <f>'13_22-02-2020'!I22</f>
        <v>Christian</v>
      </c>
      <c r="K214" s="28" t="str">
        <f>'13_22-02-2020'!G22</f>
        <v>10 Vip i 1. </v>
      </c>
      <c r="L214" s="56"/>
      <c r="M214" s="25">
        <v>10.0</v>
      </c>
      <c r="N214" s="25" t="s">
        <v>86</v>
      </c>
      <c r="O214" s="25">
        <v>1.0</v>
      </c>
      <c r="T214" s="56"/>
      <c r="U214" s="77">
        <f t="shared" ref="U214:X214" si="1845">C214-C213</f>
        <v>-32</v>
      </c>
      <c r="V214" s="28">
        <f t="shared" si="1845"/>
        <v>32</v>
      </c>
      <c r="W214" s="28">
        <f t="shared" si="1845"/>
        <v>32</v>
      </c>
      <c r="X214" s="28">
        <f t="shared" si="1845"/>
        <v>-32</v>
      </c>
      <c r="AB214" s="28">
        <f t="shared" ref="AB214:AE214" si="1846">IF(AB$3=$H214,U214,"")</f>
        <v>-32</v>
      </c>
      <c r="AC214" s="28" t="str">
        <f t="shared" si="1846"/>
        <v/>
      </c>
      <c r="AD214" s="28" t="str">
        <f t="shared" si="1846"/>
        <v/>
      </c>
      <c r="AE214" s="28" t="str">
        <f t="shared" si="1846"/>
        <v/>
      </c>
      <c r="AH214" s="28">
        <f t="shared" si="22"/>
        <v>0</v>
      </c>
      <c r="AI214" s="28">
        <f t="shared" si="23"/>
        <v>-32</v>
      </c>
      <c r="AK214" s="78" t="str">
        <f t="shared" ref="AK214:AN214" si="1847">IF(U214&gt;0,AK$3,"")</f>
        <v/>
      </c>
      <c r="AL214" s="78" t="str">
        <f t="shared" si="1847"/>
        <v>Peter</v>
      </c>
      <c r="AM214" s="78" t="str">
        <f t="shared" si="1847"/>
        <v>Janus</v>
      </c>
      <c r="AN214" s="78" t="str">
        <f t="shared" si="1847"/>
        <v/>
      </c>
      <c r="AO214" s="56">
        <f t="shared" si="25"/>
        <v>2</v>
      </c>
      <c r="AP214" s="8" t="str">
        <f t="shared" si="26"/>
        <v>Thomas</v>
      </c>
      <c r="AQ214" s="73" t="str">
        <f>IFERROR(__xludf.DUMMYFUNCTION("IFNA(QUERY(transpose(AY214:BB214),""Select Col1 where Col1 is not null limit 1"",0))"),"Christian")</f>
        <v>Christian</v>
      </c>
      <c r="AR214" s="56"/>
      <c r="AS214" s="28" t="str">
        <f t="shared" ref="AS214:AV214" si="1848">IF(AK214=AS$3,"",AS$3)</f>
        <v>Thomas</v>
      </c>
      <c r="AT214" s="28" t="str">
        <f t="shared" si="1848"/>
        <v/>
      </c>
      <c r="AU214" s="28" t="str">
        <f t="shared" si="1848"/>
        <v/>
      </c>
      <c r="AV214" s="28" t="str">
        <f t="shared" si="1848"/>
        <v>Christian</v>
      </c>
      <c r="AW214" s="56">
        <f t="shared" si="28"/>
        <v>2</v>
      </c>
      <c r="AX214" s="28">
        <f t="shared" si="29"/>
        <v>-32</v>
      </c>
      <c r="AY214" s="28" t="str">
        <f t="shared" ref="AY214:BB214" si="1849">IFNA(IFS(AY$3=$AP214,"",$AX214=U214,AY$3),"")</f>
        <v/>
      </c>
      <c r="AZ214" s="28" t="str">
        <f t="shared" si="1849"/>
        <v/>
      </c>
      <c r="BA214" s="28" t="str">
        <f t="shared" si="1849"/>
        <v/>
      </c>
      <c r="BB214" s="28" t="str">
        <f t="shared" si="1849"/>
        <v>Christian</v>
      </c>
      <c r="BC214" s="58">
        <f>OFFSET('00_Regnskab_01'!$A$1,MATCH(A214,'00_Regnskab_01'!$A$1:$A$25)-1,2)</f>
        <v>43883</v>
      </c>
      <c r="BE214" s="80">
        <f t="shared" ref="BE214:BH214" si="1850">if(U214&gt;0,1+BE213,0)</f>
        <v>0</v>
      </c>
      <c r="BF214" s="28">
        <f t="shared" si="1850"/>
        <v>1</v>
      </c>
      <c r="BG214" s="28">
        <f t="shared" si="1850"/>
        <v>1</v>
      </c>
      <c r="BH214" s="28">
        <f t="shared" si="1850"/>
        <v>0</v>
      </c>
      <c r="BJ214" s="28">
        <f t="shared" ref="BJ214:BM214" si="1851">if(U214&lt;0,1+BJ213,0)</f>
        <v>2</v>
      </c>
      <c r="BK214" s="28">
        <f t="shared" si="1851"/>
        <v>0</v>
      </c>
      <c r="BL214" s="28">
        <f t="shared" si="1851"/>
        <v>0</v>
      </c>
      <c r="BM214" s="28">
        <f t="shared" si="1851"/>
        <v>1</v>
      </c>
      <c r="BO214" s="74">
        <f t="shared" ref="BO214:BR214" si="1852">if(U214&gt;0,U214+BO213,0)</f>
        <v>0</v>
      </c>
      <c r="BP214" s="74">
        <f t="shared" si="1852"/>
        <v>32</v>
      </c>
      <c r="BQ214" s="74">
        <f t="shared" si="1852"/>
        <v>32</v>
      </c>
      <c r="BR214" s="74">
        <f t="shared" si="1852"/>
        <v>0</v>
      </c>
      <c r="BT214" s="28">
        <f t="shared" ref="BT214:BW214" si="1853">if(U214&lt;0,U214+BT213,0)</f>
        <v>-36</v>
      </c>
      <c r="BU214" s="28">
        <f t="shared" si="1853"/>
        <v>0</v>
      </c>
      <c r="BV214" s="28">
        <f t="shared" si="1853"/>
        <v>0</v>
      </c>
      <c r="BW214" s="28">
        <f t="shared" si="1853"/>
        <v>-32</v>
      </c>
    </row>
    <row r="215">
      <c r="A215" s="53">
        <v>13.0</v>
      </c>
      <c r="B215" s="28">
        <f>'13_22-02-2020'!A23</f>
        <v>21</v>
      </c>
      <c r="C215" s="75">
        <f>'13_22-02-2020'!E23</f>
        <v>72</v>
      </c>
      <c r="D215" s="28">
        <f>'13_22-02-2020'!D23</f>
        <v>-64</v>
      </c>
      <c r="E215" s="28">
        <f>'13_22-02-2020'!B23</f>
        <v>64</v>
      </c>
      <c r="F215" s="28">
        <f>'13_22-02-2020'!C23</f>
        <v>-72</v>
      </c>
      <c r="G215" s="28">
        <f>'13_22-02-2020'!F23</f>
        <v>0</v>
      </c>
      <c r="H215" s="28" t="str">
        <f>'13_22-02-2020'!H23</f>
        <v>Christian</v>
      </c>
      <c r="J215" s="76" t="str">
        <f>'13_22-02-2020'!I23</f>
        <v>Thomas</v>
      </c>
      <c r="K215" s="28" t="str">
        <f>'13_22-02-2020'!G23</f>
        <v>9 halve</v>
      </c>
      <c r="L215" s="56"/>
      <c r="M215" s="25">
        <v>9.0</v>
      </c>
      <c r="N215" s="25" t="s">
        <v>94</v>
      </c>
      <c r="T215" s="56"/>
      <c r="U215" s="77">
        <f t="shared" ref="U215:X215" si="1854">C215-C214</f>
        <v>12</v>
      </c>
      <c r="V215" s="28">
        <f t="shared" si="1854"/>
        <v>-12</v>
      </c>
      <c r="W215" s="28">
        <f t="shared" si="1854"/>
        <v>12</v>
      </c>
      <c r="X215" s="28">
        <f t="shared" si="1854"/>
        <v>-12</v>
      </c>
      <c r="AB215" s="28" t="str">
        <f t="shared" ref="AB215:AE215" si="1855">IF(AB$3=$H215,U215,"")</f>
        <v/>
      </c>
      <c r="AC215" s="28" t="str">
        <f t="shared" si="1855"/>
        <v/>
      </c>
      <c r="AD215" s="28" t="str">
        <f t="shared" si="1855"/>
        <v/>
      </c>
      <c r="AE215" s="28">
        <f t="shared" si="1855"/>
        <v>-12</v>
      </c>
      <c r="AH215" s="28">
        <f t="shared" si="22"/>
        <v>0</v>
      </c>
      <c r="AI215" s="28">
        <f t="shared" si="23"/>
        <v>-12</v>
      </c>
      <c r="AK215" s="78" t="str">
        <f t="shared" ref="AK215:AN215" si="1856">IF(U215&gt;0,AK$3,"")</f>
        <v>Thomas</v>
      </c>
      <c r="AL215" s="78" t="str">
        <f t="shared" si="1856"/>
        <v/>
      </c>
      <c r="AM215" s="78" t="str">
        <f t="shared" si="1856"/>
        <v>Janus</v>
      </c>
      <c r="AN215" s="78" t="str">
        <f t="shared" si="1856"/>
        <v/>
      </c>
      <c r="AO215" s="56">
        <f t="shared" si="25"/>
        <v>2</v>
      </c>
      <c r="AP215" s="8" t="str">
        <f t="shared" si="26"/>
        <v>Christian</v>
      </c>
      <c r="AQ215" s="73" t="str">
        <f>IFERROR(__xludf.DUMMYFUNCTION("IFNA(QUERY(transpose(AY215:BB215),""Select Col1 where Col1 is not null limit 1"",0))"),"Peter")</f>
        <v>Peter</v>
      </c>
      <c r="AR215" s="56"/>
      <c r="AS215" s="28" t="str">
        <f t="shared" ref="AS215:AV215" si="1857">IF(AK215=AS$3,"",AS$3)</f>
        <v/>
      </c>
      <c r="AT215" s="28" t="str">
        <f t="shared" si="1857"/>
        <v>Peter</v>
      </c>
      <c r="AU215" s="28" t="str">
        <f t="shared" si="1857"/>
        <v/>
      </c>
      <c r="AV215" s="28" t="str">
        <f t="shared" si="1857"/>
        <v>Christian</v>
      </c>
      <c r="AW215" s="56">
        <f t="shared" si="28"/>
        <v>2</v>
      </c>
      <c r="AX215" s="28">
        <f t="shared" si="29"/>
        <v>-12</v>
      </c>
      <c r="AY215" s="28" t="str">
        <f t="shared" ref="AY215:BB215" si="1858">IFNA(IFS(AY$3=$AP215,"",$AX215=U215,AY$3),"")</f>
        <v/>
      </c>
      <c r="AZ215" s="28" t="str">
        <f t="shared" si="1858"/>
        <v>Peter</v>
      </c>
      <c r="BA215" s="28" t="str">
        <f t="shared" si="1858"/>
        <v/>
      </c>
      <c r="BB215" s="28" t="str">
        <f t="shared" si="1858"/>
        <v/>
      </c>
      <c r="BC215" s="58">
        <f>OFFSET('00_Regnskab_01'!$A$1,MATCH(A215,'00_Regnskab_01'!$A$1:$A$25)-1,2)</f>
        <v>43883</v>
      </c>
      <c r="BE215" s="80">
        <f t="shared" ref="BE215:BH215" si="1859">if(U215&gt;0,1+BE214,0)</f>
        <v>1</v>
      </c>
      <c r="BF215" s="28">
        <f t="shared" si="1859"/>
        <v>0</v>
      </c>
      <c r="BG215" s="28">
        <f t="shared" si="1859"/>
        <v>2</v>
      </c>
      <c r="BH215" s="28">
        <f t="shared" si="1859"/>
        <v>0</v>
      </c>
      <c r="BJ215" s="28">
        <f t="shared" ref="BJ215:BM215" si="1860">if(U215&lt;0,1+BJ214,0)</f>
        <v>0</v>
      </c>
      <c r="BK215" s="28">
        <f t="shared" si="1860"/>
        <v>1</v>
      </c>
      <c r="BL215" s="28">
        <f t="shared" si="1860"/>
        <v>0</v>
      </c>
      <c r="BM215" s="28">
        <f t="shared" si="1860"/>
        <v>2</v>
      </c>
      <c r="BO215" s="74">
        <f t="shared" ref="BO215:BR215" si="1861">if(U215&gt;0,U215+BO214,0)</f>
        <v>12</v>
      </c>
      <c r="BP215" s="74">
        <f t="shared" si="1861"/>
        <v>0</v>
      </c>
      <c r="BQ215" s="74">
        <f t="shared" si="1861"/>
        <v>44</v>
      </c>
      <c r="BR215" s="74">
        <f t="shared" si="1861"/>
        <v>0</v>
      </c>
      <c r="BT215" s="28">
        <f t="shared" ref="BT215:BW215" si="1862">if(U215&lt;0,U215+BT214,0)</f>
        <v>0</v>
      </c>
      <c r="BU215" s="28">
        <f t="shared" si="1862"/>
        <v>-12</v>
      </c>
      <c r="BV215" s="28">
        <f t="shared" si="1862"/>
        <v>0</v>
      </c>
      <c r="BW215" s="28">
        <f t="shared" si="1862"/>
        <v>-44</v>
      </c>
    </row>
    <row r="216">
      <c r="A216" s="53">
        <v>13.0</v>
      </c>
      <c r="B216" s="28">
        <f>'13_22-02-2020'!A24</f>
        <v>22</v>
      </c>
      <c r="C216" s="75">
        <f>'13_22-02-2020'!E24</f>
        <v>120</v>
      </c>
      <c r="D216" s="28">
        <f>'13_22-02-2020'!D24</f>
        <v>-208</v>
      </c>
      <c r="E216" s="28">
        <f>'13_22-02-2020'!B24</f>
        <v>112</v>
      </c>
      <c r="F216" s="28">
        <f>'13_22-02-2020'!C24</f>
        <v>-24</v>
      </c>
      <c r="G216" s="28">
        <f>'13_22-02-2020'!F24</f>
        <v>0</v>
      </c>
      <c r="H216" s="28" t="str">
        <f>'13_22-02-2020'!H24</f>
        <v>Peter</v>
      </c>
      <c r="J216" s="76" t="str">
        <f>'13_22-02-2020'!I24</f>
        <v>Janus</v>
      </c>
      <c r="K216" s="28" t="str">
        <f>'13_22-02-2020'!G24</f>
        <v>9 vip i 2.</v>
      </c>
      <c r="L216" s="56"/>
      <c r="M216" s="25">
        <v>9.0</v>
      </c>
      <c r="N216" s="25" t="s">
        <v>86</v>
      </c>
      <c r="O216" s="25">
        <v>2.0</v>
      </c>
      <c r="R216" s="25" t="s">
        <v>15</v>
      </c>
      <c r="T216" s="56"/>
      <c r="U216" s="77">
        <f t="shared" ref="U216:X216" si="1863">C216-C215</f>
        <v>48</v>
      </c>
      <c r="V216" s="28">
        <f t="shared" si="1863"/>
        <v>-144</v>
      </c>
      <c r="W216" s="28">
        <f t="shared" si="1863"/>
        <v>48</v>
      </c>
      <c r="X216" s="28">
        <f t="shared" si="1863"/>
        <v>48</v>
      </c>
      <c r="AB216" s="28" t="str">
        <f t="shared" ref="AB216:AE216" si="1864">IF(AB$3=$H216,U216,"")</f>
        <v/>
      </c>
      <c r="AC216" s="28">
        <f t="shared" si="1864"/>
        <v>-144</v>
      </c>
      <c r="AD216" s="28" t="str">
        <f t="shared" si="1864"/>
        <v/>
      </c>
      <c r="AE216" s="28" t="str">
        <f t="shared" si="1864"/>
        <v/>
      </c>
      <c r="AH216" s="28">
        <f t="shared" si="22"/>
        <v>0</v>
      </c>
      <c r="AI216" s="28">
        <f t="shared" si="23"/>
        <v>-144</v>
      </c>
      <c r="AK216" s="78" t="str">
        <f t="shared" ref="AK216:AN216" si="1865">IF(U216&gt;0,AK$3,"")</f>
        <v>Thomas</v>
      </c>
      <c r="AL216" s="78" t="str">
        <f t="shared" si="1865"/>
        <v/>
      </c>
      <c r="AM216" s="78" t="str">
        <f t="shared" si="1865"/>
        <v>Janus</v>
      </c>
      <c r="AN216" s="78" t="str">
        <f t="shared" si="1865"/>
        <v>Christian</v>
      </c>
      <c r="AO216" s="56">
        <f t="shared" si="25"/>
        <v>3</v>
      </c>
      <c r="AP216" s="8" t="str">
        <f t="shared" si="26"/>
        <v>Peter</v>
      </c>
      <c r="AQ216" s="73" t="str">
        <f>IFERROR(__xludf.DUMMYFUNCTION("IFNA(QUERY(transpose(AY216:BB216),""Select Col1 where Col1 is not null limit 1"",0))"),"")</f>
        <v/>
      </c>
      <c r="AR216" s="56"/>
      <c r="AS216" s="28" t="str">
        <f t="shared" ref="AS216:AV216" si="1866">IF(AK216=AS$3,"",AS$3)</f>
        <v/>
      </c>
      <c r="AT216" s="28" t="str">
        <f t="shared" si="1866"/>
        <v>Peter</v>
      </c>
      <c r="AU216" s="28" t="str">
        <f t="shared" si="1866"/>
        <v/>
      </c>
      <c r="AV216" s="28" t="str">
        <f t="shared" si="1866"/>
        <v/>
      </c>
      <c r="AW216" s="56">
        <f t="shared" si="28"/>
        <v>1</v>
      </c>
      <c r="AX216" s="28">
        <f t="shared" si="29"/>
        <v>-144</v>
      </c>
      <c r="AY216" s="28" t="str">
        <f t="shared" ref="AY216:BB216" si="1867">IFNA(IFS(AY$3=$AP216,"",$AX216=U216,AY$3),"")</f>
        <v/>
      </c>
      <c r="AZ216" s="28" t="str">
        <f t="shared" si="1867"/>
        <v/>
      </c>
      <c r="BA216" s="28" t="str">
        <f t="shared" si="1867"/>
        <v/>
      </c>
      <c r="BB216" s="28" t="str">
        <f t="shared" si="1867"/>
        <v/>
      </c>
      <c r="BC216" s="58">
        <f>OFFSET('00_Regnskab_01'!$A$1,MATCH(A216,'00_Regnskab_01'!$A$1:$A$25)-1,2)</f>
        <v>43883</v>
      </c>
      <c r="BE216" s="80">
        <f t="shared" ref="BE216:BH216" si="1868">if(U216&gt;0,1+BE215,0)</f>
        <v>2</v>
      </c>
      <c r="BF216" s="28">
        <f t="shared" si="1868"/>
        <v>0</v>
      </c>
      <c r="BG216" s="28">
        <f t="shared" si="1868"/>
        <v>3</v>
      </c>
      <c r="BH216" s="28">
        <f t="shared" si="1868"/>
        <v>1</v>
      </c>
      <c r="BJ216" s="28">
        <f t="shared" ref="BJ216:BM216" si="1869">if(U216&lt;0,1+BJ215,0)</f>
        <v>0</v>
      </c>
      <c r="BK216" s="28">
        <f t="shared" si="1869"/>
        <v>2</v>
      </c>
      <c r="BL216" s="28">
        <f t="shared" si="1869"/>
        <v>0</v>
      </c>
      <c r="BM216" s="28">
        <f t="shared" si="1869"/>
        <v>0</v>
      </c>
      <c r="BO216" s="74">
        <f t="shared" ref="BO216:BR216" si="1870">if(U216&gt;0,U216+BO215,0)</f>
        <v>60</v>
      </c>
      <c r="BP216" s="74">
        <f t="shared" si="1870"/>
        <v>0</v>
      </c>
      <c r="BQ216" s="74">
        <f t="shared" si="1870"/>
        <v>92</v>
      </c>
      <c r="BR216" s="74">
        <f t="shared" si="1870"/>
        <v>48</v>
      </c>
      <c r="BT216" s="28">
        <f t="shared" ref="BT216:BW216" si="1871">if(U216&lt;0,U216+BT215,0)</f>
        <v>0</v>
      </c>
      <c r="BU216" s="28">
        <f t="shared" si="1871"/>
        <v>-156</v>
      </c>
      <c r="BV216" s="28">
        <f t="shared" si="1871"/>
        <v>0</v>
      </c>
      <c r="BW216" s="28">
        <f t="shared" si="1871"/>
        <v>0</v>
      </c>
    </row>
    <row r="217">
      <c r="A217" s="53">
        <v>13.0</v>
      </c>
      <c r="B217" s="28">
        <f>'13_22-02-2020'!A25</f>
        <v>23</v>
      </c>
      <c r="C217" s="75">
        <f>'13_22-02-2020'!E25</f>
        <v>184</v>
      </c>
      <c r="D217" s="28">
        <f>'13_22-02-2020'!D25</f>
        <v>-144</v>
      </c>
      <c r="E217" s="28">
        <f>'13_22-02-2020'!B25</f>
        <v>48</v>
      </c>
      <c r="F217" s="28">
        <f>'13_22-02-2020'!C25</f>
        <v>-88</v>
      </c>
      <c r="G217" s="28">
        <f>'13_22-02-2020'!F25</f>
        <v>0</v>
      </c>
      <c r="H217" s="28" t="str">
        <f>'13_22-02-2020'!H25</f>
        <v>Thomas</v>
      </c>
      <c r="J217" s="76" t="str">
        <f>'13_22-02-2020'!I25</f>
        <v>Janus</v>
      </c>
      <c r="K217" s="28" t="str">
        <f>'13_22-02-2020'!G25</f>
        <v>11 alm</v>
      </c>
      <c r="L217" s="56"/>
      <c r="M217" s="25">
        <v>11.0</v>
      </c>
      <c r="N217" s="25" t="s">
        <v>100</v>
      </c>
      <c r="S217" s="25" t="s">
        <v>102</v>
      </c>
      <c r="T217" s="56"/>
      <c r="U217" s="77">
        <f t="shared" ref="U217:X217" si="1872">C217-C216</f>
        <v>64</v>
      </c>
      <c r="V217" s="28">
        <f t="shared" si="1872"/>
        <v>64</v>
      </c>
      <c r="W217" s="28">
        <f t="shared" si="1872"/>
        <v>-64</v>
      </c>
      <c r="X217" s="28">
        <f t="shared" si="1872"/>
        <v>-64</v>
      </c>
      <c r="AB217" s="28">
        <f t="shared" ref="AB217:AE217" si="1873">IF(AB$3=$H217,U217,"")</f>
        <v>64</v>
      </c>
      <c r="AC217" s="28" t="str">
        <f t="shared" si="1873"/>
        <v/>
      </c>
      <c r="AD217" s="28" t="str">
        <f t="shared" si="1873"/>
        <v/>
      </c>
      <c r="AE217" s="28" t="str">
        <f t="shared" si="1873"/>
        <v/>
      </c>
      <c r="AH217" s="28">
        <f t="shared" si="22"/>
        <v>64</v>
      </c>
      <c r="AI217" s="28">
        <f t="shared" si="23"/>
        <v>0</v>
      </c>
      <c r="AK217" s="78" t="str">
        <f t="shared" ref="AK217:AN217" si="1874">IF(U217&gt;0,AK$3,"")</f>
        <v>Thomas</v>
      </c>
      <c r="AL217" s="78" t="str">
        <f t="shared" si="1874"/>
        <v>Peter</v>
      </c>
      <c r="AM217" s="78" t="str">
        <f t="shared" si="1874"/>
        <v/>
      </c>
      <c r="AN217" s="78" t="str">
        <f t="shared" si="1874"/>
        <v/>
      </c>
      <c r="AO217" s="56">
        <f t="shared" si="25"/>
        <v>2</v>
      </c>
      <c r="AP217" s="8" t="str">
        <f t="shared" si="26"/>
        <v>Thomas</v>
      </c>
      <c r="AQ217" s="73" t="str">
        <f>IFERROR(__xludf.DUMMYFUNCTION("IFNA(QUERY(transpose(AY217:BB217),""Select Col1 where Col1 is not null limit 1"",0))"),"Peter")</f>
        <v>Peter</v>
      </c>
      <c r="AR217" s="56"/>
      <c r="AS217" s="28" t="str">
        <f t="shared" ref="AS217:AV217" si="1875">IF(AK217=AS$3,"",AS$3)</f>
        <v/>
      </c>
      <c r="AT217" s="28" t="str">
        <f t="shared" si="1875"/>
        <v/>
      </c>
      <c r="AU217" s="28" t="str">
        <f t="shared" si="1875"/>
        <v>Janus</v>
      </c>
      <c r="AV217" s="28" t="str">
        <f t="shared" si="1875"/>
        <v>Christian</v>
      </c>
      <c r="AW217" s="56">
        <f t="shared" si="28"/>
        <v>2</v>
      </c>
      <c r="AX217" s="28">
        <f t="shared" si="29"/>
        <v>64</v>
      </c>
      <c r="AY217" s="28" t="str">
        <f t="shared" ref="AY217:BB217" si="1876">IFNA(IFS(AY$3=$AP217,"",$AX217=U217,AY$3),"")</f>
        <v/>
      </c>
      <c r="AZ217" s="28" t="str">
        <f t="shared" si="1876"/>
        <v>Peter</v>
      </c>
      <c r="BA217" s="28" t="str">
        <f t="shared" si="1876"/>
        <v/>
      </c>
      <c r="BB217" s="28" t="str">
        <f t="shared" si="1876"/>
        <v/>
      </c>
      <c r="BC217" s="58">
        <f>OFFSET('00_Regnskab_01'!$A$1,MATCH(A217,'00_Regnskab_01'!$A$1:$A$25)-1,2)</f>
        <v>43883</v>
      </c>
      <c r="BE217" s="80">
        <f t="shared" ref="BE217:BH217" si="1877">if(U217&gt;0,1+BE216,0)</f>
        <v>3</v>
      </c>
      <c r="BF217" s="28">
        <f t="shared" si="1877"/>
        <v>1</v>
      </c>
      <c r="BG217" s="28">
        <f t="shared" si="1877"/>
        <v>0</v>
      </c>
      <c r="BH217" s="28">
        <f t="shared" si="1877"/>
        <v>0</v>
      </c>
      <c r="BJ217" s="28">
        <f t="shared" ref="BJ217:BM217" si="1878">if(U217&lt;0,1+BJ216,0)</f>
        <v>0</v>
      </c>
      <c r="BK217" s="28">
        <f t="shared" si="1878"/>
        <v>0</v>
      </c>
      <c r="BL217" s="28">
        <f t="shared" si="1878"/>
        <v>1</v>
      </c>
      <c r="BM217" s="28">
        <f t="shared" si="1878"/>
        <v>1</v>
      </c>
      <c r="BO217" s="74">
        <f t="shared" ref="BO217:BR217" si="1879">if(U217&gt;0,U217+BO216,0)</f>
        <v>124</v>
      </c>
      <c r="BP217" s="74">
        <f t="shared" si="1879"/>
        <v>64</v>
      </c>
      <c r="BQ217" s="74">
        <f t="shared" si="1879"/>
        <v>0</v>
      </c>
      <c r="BR217" s="74">
        <f t="shared" si="1879"/>
        <v>0</v>
      </c>
      <c r="BT217" s="28">
        <f t="shared" ref="BT217:BW217" si="1880">if(U217&lt;0,U217+BT216,0)</f>
        <v>0</v>
      </c>
      <c r="BU217" s="28">
        <f t="shared" si="1880"/>
        <v>0</v>
      </c>
      <c r="BV217" s="28">
        <f t="shared" si="1880"/>
        <v>-64</v>
      </c>
      <c r="BW217" s="28">
        <f t="shared" si="1880"/>
        <v>-64</v>
      </c>
    </row>
    <row r="218">
      <c r="A218" s="53">
        <v>13.0</v>
      </c>
      <c r="B218" s="28">
        <f>'13_22-02-2020'!A26</f>
        <v>24</v>
      </c>
      <c r="C218" s="75">
        <f>'13_22-02-2020'!E26</f>
        <v>168</v>
      </c>
      <c r="D218" s="28">
        <f>'13_22-02-2020'!D26</f>
        <v>-128</v>
      </c>
      <c r="E218" s="28">
        <f>'13_22-02-2020'!B26</f>
        <v>64</v>
      </c>
      <c r="F218" s="28">
        <f>'13_22-02-2020'!C26</f>
        <v>-104</v>
      </c>
      <c r="G218" s="28">
        <f>'13_22-02-2020'!F26</f>
        <v>0</v>
      </c>
      <c r="H218" s="28" t="str">
        <f>'13_22-02-2020'!H26</f>
        <v>Janus</v>
      </c>
      <c r="J218" s="76" t="str">
        <f>'13_22-02-2020'!I26</f>
        <v>Peter</v>
      </c>
      <c r="K218" s="28" t="str">
        <f>'13_22-02-2020'!G26</f>
        <v>9 gode</v>
      </c>
      <c r="L218" s="56"/>
      <c r="M218" s="25">
        <v>9.0</v>
      </c>
      <c r="N218" s="25" t="s">
        <v>95</v>
      </c>
      <c r="T218" s="56"/>
      <c r="U218" s="77">
        <f t="shared" ref="U218:X218" si="1881">C218-C217</f>
        <v>-16</v>
      </c>
      <c r="V218" s="28">
        <f t="shared" si="1881"/>
        <v>16</v>
      </c>
      <c r="W218" s="28">
        <f t="shared" si="1881"/>
        <v>16</v>
      </c>
      <c r="X218" s="28">
        <f t="shared" si="1881"/>
        <v>-16</v>
      </c>
      <c r="AB218" s="28" t="str">
        <f t="shared" ref="AB218:AE218" si="1882">IF(AB$3=$H218,U218,"")</f>
        <v/>
      </c>
      <c r="AC218" s="28" t="str">
        <f t="shared" si="1882"/>
        <v/>
      </c>
      <c r="AD218" s="28">
        <f t="shared" si="1882"/>
        <v>16</v>
      </c>
      <c r="AE218" s="28" t="str">
        <f t="shared" si="1882"/>
        <v/>
      </c>
      <c r="AH218" s="28">
        <f t="shared" si="22"/>
        <v>16</v>
      </c>
      <c r="AI218" s="28">
        <f t="shared" si="23"/>
        <v>0</v>
      </c>
      <c r="AK218" s="78" t="str">
        <f t="shared" ref="AK218:AN218" si="1883">IF(U218&gt;0,AK$3,"")</f>
        <v/>
      </c>
      <c r="AL218" s="78" t="str">
        <f t="shared" si="1883"/>
        <v>Peter</v>
      </c>
      <c r="AM218" s="78" t="str">
        <f t="shared" si="1883"/>
        <v>Janus</v>
      </c>
      <c r="AN218" s="78" t="str">
        <f t="shared" si="1883"/>
        <v/>
      </c>
      <c r="AO218" s="56">
        <f t="shared" si="25"/>
        <v>2</v>
      </c>
      <c r="AP218" s="8" t="str">
        <f t="shared" si="26"/>
        <v>Janus</v>
      </c>
      <c r="AQ218" s="73" t="str">
        <f>IFERROR(__xludf.DUMMYFUNCTION("IFNA(QUERY(transpose(AY218:BB218),""Select Col1 where Col1 is not null limit 1"",0))"),"Peter")</f>
        <v>Peter</v>
      </c>
      <c r="AR218" s="56"/>
      <c r="AS218" s="28" t="str">
        <f t="shared" ref="AS218:AV218" si="1884">IF(AK218=AS$3,"",AS$3)</f>
        <v>Thomas</v>
      </c>
      <c r="AT218" s="28" t="str">
        <f t="shared" si="1884"/>
        <v/>
      </c>
      <c r="AU218" s="28" t="str">
        <f t="shared" si="1884"/>
        <v/>
      </c>
      <c r="AV218" s="28" t="str">
        <f t="shared" si="1884"/>
        <v>Christian</v>
      </c>
      <c r="AW218" s="56">
        <f t="shared" si="28"/>
        <v>2</v>
      </c>
      <c r="AX218" s="28">
        <f t="shared" si="29"/>
        <v>16</v>
      </c>
      <c r="AY218" s="28" t="str">
        <f t="shared" ref="AY218:BB218" si="1885">IFNA(IFS(AY$3=$AP218,"",$AX218=U218,AY$3),"")</f>
        <v/>
      </c>
      <c r="AZ218" s="28" t="str">
        <f t="shared" si="1885"/>
        <v>Peter</v>
      </c>
      <c r="BA218" s="28" t="str">
        <f t="shared" si="1885"/>
        <v/>
      </c>
      <c r="BB218" s="28" t="str">
        <f t="shared" si="1885"/>
        <v/>
      </c>
      <c r="BC218" s="58">
        <f>OFFSET('00_Regnskab_01'!$A$1,MATCH(A218,'00_Regnskab_01'!$A$1:$A$25)-1,2)</f>
        <v>43883</v>
      </c>
      <c r="BE218" s="80">
        <f t="shared" ref="BE218:BH218" si="1886">if(U218&gt;0,1+BE217,0)</f>
        <v>0</v>
      </c>
      <c r="BF218" s="28">
        <f t="shared" si="1886"/>
        <v>2</v>
      </c>
      <c r="BG218" s="28">
        <f t="shared" si="1886"/>
        <v>1</v>
      </c>
      <c r="BH218" s="28">
        <f t="shared" si="1886"/>
        <v>0</v>
      </c>
      <c r="BJ218" s="28">
        <f t="shared" ref="BJ218:BM218" si="1887">if(U218&lt;0,1+BJ217,0)</f>
        <v>1</v>
      </c>
      <c r="BK218" s="28">
        <f t="shared" si="1887"/>
        <v>0</v>
      </c>
      <c r="BL218" s="28">
        <f t="shared" si="1887"/>
        <v>0</v>
      </c>
      <c r="BM218" s="28">
        <f t="shared" si="1887"/>
        <v>2</v>
      </c>
      <c r="BO218" s="74">
        <f t="shared" ref="BO218:BR218" si="1888">if(U218&gt;0,U218+BO217,0)</f>
        <v>0</v>
      </c>
      <c r="BP218" s="74">
        <f t="shared" si="1888"/>
        <v>80</v>
      </c>
      <c r="BQ218" s="74">
        <f t="shared" si="1888"/>
        <v>16</v>
      </c>
      <c r="BR218" s="74">
        <f t="shared" si="1888"/>
        <v>0</v>
      </c>
      <c r="BT218" s="28">
        <f t="shared" ref="BT218:BW218" si="1889">if(U218&lt;0,U218+BT217,0)</f>
        <v>-16</v>
      </c>
      <c r="BU218" s="28">
        <f t="shared" si="1889"/>
        <v>0</v>
      </c>
      <c r="BV218" s="28">
        <f t="shared" si="1889"/>
        <v>0</v>
      </c>
      <c r="BW218" s="28">
        <f t="shared" si="1889"/>
        <v>-80</v>
      </c>
    </row>
    <row r="219">
      <c r="A219" s="53">
        <v>13.0</v>
      </c>
      <c r="B219" s="28">
        <f>'13_22-02-2020'!A27</f>
        <v>25</v>
      </c>
      <c r="C219" s="75">
        <f>'13_22-02-2020'!E27</f>
        <v>192</v>
      </c>
      <c r="D219" s="28">
        <f>'13_22-02-2020'!D27</f>
        <v>-104</v>
      </c>
      <c r="E219" s="28">
        <f>'13_22-02-2020'!B27</f>
        <v>40</v>
      </c>
      <c r="F219" s="28">
        <f>'13_22-02-2020'!C27</f>
        <v>-128</v>
      </c>
      <c r="G219" s="28">
        <f>'13_22-02-2020'!F27</f>
        <v>0</v>
      </c>
      <c r="H219" s="28" t="str">
        <f>'13_22-02-2020'!H27</f>
        <v>Thomas</v>
      </c>
      <c r="J219" s="76" t="str">
        <f>'13_22-02-2020'!I27</f>
        <v>Christian</v>
      </c>
      <c r="K219" s="28" t="str">
        <f>'13_22-02-2020'!G27</f>
        <v>11 alm </v>
      </c>
      <c r="L219" s="56"/>
      <c r="M219" s="25">
        <v>11.0</v>
      </c>
      <c r="N219" s="25" t="s">
        <v>100</v>
      </c>
      <c r="T219" s="56"/>
      <c r="U219" s="77">
        <f t="shared" ref="U219:X219" si="1890">C219-C218</f>
        <v>24</v>
      </c>
      <c r="V219" s="28">
        <f t="shared" si="1890"/>
        <v>24</v>
      </c>
      <c r="W219" s="28">
        <f t="shared" si="1890"/>
        <v>-24</v>
      </c>
      <c r="X219" s="28">
        <f t="shared" si="1890"/>
        <v>-24</v>
      </c>
      <c r="AB219" s="28">
        <f t="shared" ref="AB219:AE219" si="1891">IF(AB$3=$H219,U219,"")</f>
        <v>24</v>
      </c>
      <c r="AC219" s="28" t="str">
        <f t="shared" si="1891"/>
        <v/>
      </c>
      <c r="AD219" s="28" t="str">
        <f t="shared" si="1891"/>
        <v/>
      </c>
      <c r="AE219" s="28" t="str">
        <f t="shared" si="1891"/>
        <v/>
      </c>
      <c r="AH219" s="28">
        <f t="shared" si="22"/>
        <v>24</v>
      </c>
      <c r="AI219" s="28">
        <f t="shared" si="23"/>
        <v>0</v>
      </c>
      <c r="AK219" s="78" t="str">
        <f t="shared" ref="AK219:AN219" si="1892">IF(U219&gt;0,AK$3,"")</f>
        <v>Thomas</v>
      </c>
      <c r="AL219" s="78" t="str">
        <f t="shared" si="1892"/>
        <v>Peter</v>
      </c>
      <c r="AM219" s="78" t="str">
        <f t="shared" si="1892"/>
        <v/>
      </c>
      <c r="AN219" s="78" t="str">
        <f t="shared" si="1892"/>
        <v/>
      </c>
      <c r="AO219" s="56">
        <f t="shared" si="25"/>
        <v>2</v>
      </c>
      <c r="AP219" s="8" t="str">
        <f t="shared" si="26"/>
        <v>Thomas</v>
      </c>
      <c r="AQ219" s="73" t="str">
        <f>IFERROR(__xludf.DUMMYFUNCTION("IFNA(QUERY(transpose(AY219:BB219),""Select Col1 where Col1 is not null limit 1"",0))"),"Peter")</f>
        <v>Peter</v>
      </c>
      <c r="AR219" s="56"/>
      <c r="AS219" s="28" t="str">
        <f t="shared" ref="AS219:AV219" si="1893">IF(AK219=AS$3,"",AS$3)</f>
        <v/>
      </c>
      <c r="AT219" s="28" t="str">
        <f t="shared" si="1893"/>
        <v/>
      </c>
      <c r="AU219" s="28" t="str">
        <f t="shared" si="1893"/>
        <v>Janus</v>
      </c>
      <c r="AV219" s="28" t="str">
        <f t="shared" si="1893"/>
        <v>Christian</v>
      </c>
      <c r="AW219" s="56">
        <f t="shared" si="28"/>
        <v>2</v>
      </c>
      <c r="AX219" s="28">
        <f t="shared" si="29"/>
        <v>24</v>
      </c>
      <c r="AY219" s="28" t="str">
        <f t="shared" ref="AY219:BB219" si="1894">IFNA(IFS(AY$3=$AP219,"",$AX219=U219,AY$3),"")</f>
        <v/>
      </c>
      <c r="AZ219" s="28" t="str">
        <f t="shared" si="1894"/>
        <v>Peter</v>
      </c>
      <c r="BA219" s="28" t="str">
        <f t="shared" si="1894"/>
        <v/>
      </c>
      <c r="BB219" s="28" t="str">
        <f t="shared" si="1894"/>
        <v/>
      </c>
      <c r="BC219" s="58">
        <f>OFFSET('00_Regnskab_01'!$A$1,MATCH(A219,'00_Regnskab_01'!$A$1:$A$25)-1,2)</f>
        <v>43883</v>
      </c>
      <c r="BE219" s="80">
        <f t="shared" ref="BE219:BH219" si="1895">if(U219&gt;0,1+BE218,0)</f>
        <v>1</v>
      </c>
      <c r="BF219" s="28">
        <f t="shared" si="1895"/>
        <v>3</v>
      </c>
      <c r="BG219" s="28">
        <f t="shared" si="1895"/>
        <v>0</v>
      </c>
      <c r="BH219" s="28">
        <f t="shared" si="1895"/>
        <v>0</v>
      </c>
      <c r="BJ219" s="28">
        <f t="shared" ref="BJ219:BM219" si="1896">if(U219&lt;0,1+BJ218,0)</f>
        <v>0</v>
      </c>
      <c r="BK219" s="28">
        <f t="shared" si="1896"/>
        <v>0</v>
      </c>
      <c r="BL219" s="28">
        <f t="shared" si="1896"/>
        <v>1</v>
      </c>
      <c r="BM219" s="28">
        <f t="shared" si="1896"/>
        <v>3</v>
      </c>
      <c r="BO219" s="74">
        <f t="shared" ref="BO219:BR219" si="1897">if(U219&gt;0,U219+BO218,0)</f>
        <v>24</v>
      </c>
      <c r="BP219" s="74">
        <f t="shared" si="1897"/>
        <v>104</v>
      </c>
      <c r="BQ219" s="74">
        <f t="shared" si="1897"/>
        <v>0</v>
      </c>
      <c r="BR219" s="74">
        <f t="shared" si="1897"/>
        <v>0</v>
      </c>
      <c r="BT219" s="28">
        <f t="shared" ref="BT219:BW219" si="1898">if(U219&lt;0,U219+BT218,0)</f>
        <v>0</v>
      </c>
      <c r="BU219" s="28">
        <f t="shared" si="1898"/>
        <v>0</v>
      </c>
      <c r="BV219" s="28">
        <f t="shared" si="1898"/>
        <v>-24</v>
      </c>
      <c r="BW219" s="28">
        <f t="shared" si="1898"/>
        <v>-104</v>
      </c>
    </row>
    <row r="220">
      <c r="A220" s="53">
        <v>13.0</v>
      </c>
      <c r="B220" s="28">
        <f>'13_22-02-2020'!A28</f>
        <v>26</v>
      </c>
      <c r="C220" s="75">
        <f>'13_22-02-2020'!E28</f>
        <v>198</v>
      </c>
      <c r="D220" s="28">
        <f>'13_22-02-2020'!D28</f>
        <v>-98</v>
      </c>
      <c r="E220" s="28">
        <f>'13_22-02-2020'!B28</f>
        <v>34</v>
      </c>
      <c r="F220" s="28">
        <f>'13_22-02-2020'!C28</f>
        <v>-134</v>
      </c>
      <c r="G220" s="28">
        <f>'13_22-02-2020'!F28</f>
        <v>0</v>
      </c>
      <c r="H220" s="28" t="str">
        <f>'13_22-02-2020'!H28</f>
        <v>Peter</v>
      </c>
      <c r="J220" s="76" t="str">
        <f>'13_22-02-2020'!I28</f>
        <v>Thomas</v>
      </c>
      <c r="K220" s="28" t="str">
        <f>'13_22-02-2020'!G28</f>
        <v>8 halve</v>
      </c>
      <c r="L220" s="56"/>
      <c r="M220" s="25">
        <v>8.0</v>
      </c>
      <c r="N220" s="25" t="s">
        <v>94</v>
      </c>
      <c r="T220" s="56"/>
      <c r="U220" s="77">
        <f t="shared" ref="U220:X220" si="1899">C220-C219</f>
        <v>6</v>
      </c>
      <c r="V220" s="28">
        <f t="shared" si="1899"/>
        <v>6</v>
      </c>
      <c r="W220" s="28">
        <f t="shared" si="1899"/>
        <v>-6</v>
      </c>
      <c r="X220" s="28">
        <f t="shared" si="1899"/>
        <v>-6</v>
      </c>
      <c r="AB220" s="28" t="str">
        <f t="shared" ref="AB220:AE220" si="1900">IF(AB$3=$H220,U220,"")</f>
        <v/>
      </c>
      <c r="AC220" s="28">
        <f t="shared" si="1900"/>
        <v>6</v>
      </c>
      <c r="AD220" s="28" t="str">
        <f t="shared" si="1900"/>
        <v/>
      </c>
      <c r="AE220" s="28" t="str">
        <f t="shared" si="1900"/>
        <v/>
      </c>
      <c r="AH220" s="28">
        <f t="shared" si="22"/>
        <v>6</v>
      </c>
      <c r="AI220" s="28">
        <f t="shared" si="23"/>
        <v>0</v>
      </c>
      <c r="AK220" s="78" t="str">
        <f t="shared" ref="AK220:AN220" si="1901">IF(U220&gt;0,AK$3,"")</f>
        <v>Thomas</v>
      </c>
      <c r="AL220" s="78" t="str">
        <f t="shared" si="1901"/>
        <v>Peter</v>
      </c>
      <c r="AM220" s="78" t="str">
        <f t="shared" si="1901"/>
        <v/>
      </c>
      <c r="AN220" s="78" t="str">
        <f t="shared" si="1901"/>
        <v/>
      </c>
      <c r="AO220" s="56">
        <f t="shared" si="25"/>
        <v>2</v>
      </c>
      <c r="AP220" s="8" t="str">
        <f t="shared" si="26"/>
        <v>Peter</v>
      </c>
      <c r="AQ220" s="73" t="str">
        <f>IFERROR(__xludf.DUMMYFUNCTION("IFNA(QUERY(transpose(AY220:BB220),""Select Col1 where Col1 is not null limit 1"",0))"),"Thomas")</f>
        <v>Thomas</v>
      </c>
      <c r="AR220" s="56"/>
      <c r="AS220" s="28" t="str">
        <f t="shared" ref="AS220:AV220" si="1902">IF(AK220=AS$3,"",AS$3)</f>
        <v/>
      </c>
      <c r="AT220" s="28" t="str">
        <f t="shared" si="1902"/>
        <v/>
      </c>
      <c r="AU220" s="28" t="str">
        <f t="shared" si="1902"/>
        <v>Janus</v>
      </c>
      <c r="AV220" s="28" t="str">
        <f t="shared" si="1902"/>
        <v>Christian</v>
      </c>
      <c r="AW220" s="56">
        <f t="shared" si="28"/>
        <v>2</v>
      </c>
      <c r="AX220" s="28">
        <f t="shared" si="29"/>
        <v>6</v>
      </c>
      <c r="AY220" s="28" t="str">
        <f t="shared" ref="AY220:BB220" si="1903">IFNA(IFS(AY$3=$AP220,"",$AX220=U220,AY$3),"")</f>
        <v>Thomas</v>
      </c>
      <c r="AZ220" s="28" t="str">
        <f t="shared" si="1903"/>
        <v/>
      </c>
      <c r="BA220" s="28" t="str">
        <f t="shared" si="1903"/>
        <v/>
      </c>
      <c r="BB220" s="28" t="str">
        <f t="shared" si="1903"/>
        <v/>
      </c>
      <c r="BC220" s="58">
        <f>OFFSET('00_Regnskab_01'!$A$1,MATCH(A220,'00_Regnskab_01'!$A$1:$A$25)-1,2)</f>
        <v>43883</v>
      </c>
      <c r="BE220" s="80">
        <f t="shared" ref="BE220:BH220" si="1904">if(U220&gt;0,1+BE219,0)</f>
        <v>2</v>
      </c>
      <c r="BF220" s="28">
        <f t="shared" si="1904"/>
        <v>4</v>
      </c>
      <c r="BG220" s="28">
        <f t="shared" si="1904"/>
        <v>0</v>
      </c>
      <c r="BH220" s="28">
        <f t="shared" si="1904"/>
        <v>0</v>
      </c>
      <c r="BJ220" s="28">
        <f t="shared" ref="BJ220:BM220" si="1905">if(U220&lt;0,1+BJ219,0)</f>
        <v>0</v>
      </c>
      <c r="BK220" s="28">
        <f t="shared" si="1905"/>
        <v>0</v>
      </c>
      <c r="BL220" s="28">
        <f t="shared" si="1905"/>
        <v>2</v>
      </c>
      <c r="BM220" s="28">
        <f t="shared" si="1905"/>
        <v>4</v>
      </c>
      <c r="BO220" s="74">
        <f t="shared" ref="BO220:BR220" si="1906">if(U220&gt;0,U220+BO219,0)</f>
        <v>30</v>
      </c>
      <c r="BP220" s="74">
        <f t="shared" si="1906"/>
        <v>110</v>
      </c>
      <c r="BQ220" s="74">
        <f t="shared" si="1906"/>
        <v>0</v>
      </c>
      <c r="BR220" s="74">
        <f t="shared" si="1906"/>
        <v>0</v>
      </c>
      <c r="BT220" s="28">
        <f t="shared" ref="BT220:BW220" si="1907">if(U220&lt;0,U220+BT219,0)</f>
        <v>0</v>
      </c>
      <c r="BU220" s="28">
        <f t="shared" si="1907"/>
        <v>0</v>
      </c>
      <c r="BV220" s="28">
        <f t="shared" si="1907"/>
        <v>-30</v>
      </c>
      <c r="BW220" s="28">
        <f t="shared" si="1907"/>
        <v>-110</v>
      </c>
    </row>
    <row r="221">
      <c r="A221" s="53">
        <v>13.0</v>
      </c>
      <c r="B221" s="28">
        <f>'13_22-02-2020'!A29</f>
        <v>27</v>
      </c>
      <c r="C221" s="75">
        <f>'13_22-02-2020'!E29</f>
        <v>166</v>
      </c>
      <c r="D221" s="28">
        <f>'13_22-02-2020'!D29</f>
        <v>-66</v>
      </c>
      <c r="E221" s="28">
        <f>'13_22-02-2020'!B29</f>
        <v>66</v>
      </c>
      <c r="F221" s="28">
        <f>'13_22-02-2020'!C29</f>
        <v>-166</v>
      </c>
      <c r="G221" s="28">
        <f>'13_22-02-2020'!F29</f>
        <v>0</v>
      </c>
      <c r="H221" s="28" t="str">
        <f>'13_22-02-2020'!H29</f>
        <v>Thomas</v>
      </c>
      <c r="J221" s="76" t="str">
        <f>'13_22-02-2020'!I29</f>
        <v>Janus</v>
      </c>
      <c r="K221" s="28" t="str">
        <f>'13_22-02-2020'!G29</f>
        <v>9 vip i 3.</v>
      </c>
      <c r="L221" s="56"/>
      <c r="M221" s="25">
        <v>9.0</v>
      </c>
      <c r="N221" s="25" t="s">
        <v>86</v>
      </c>
      <c r="O221" s="25">
        <v>3.0</v>
      </c>
      <c r="T221" s="56"/>
      <c r="U221" s="77">
        <f t="shared" ref="U221:X221" si="1908">C221-C220</f>
        <v>-32</v>
      </c>
      <c r="V221" s="28">
        <f t="shared" si="1908"/>
        <v>32</v>
      </c>
      <c r="W221" s="28">
        <f t="shared" si="1908"/>
        <v>32</v>
      </c>
      <c r="X221" s="28">
        <f t="shared" si="1908"/>
        <v>-32</v>
      </c>
      <c r="AB221" s="28">
        <f t="shared" ref="AB221:AE221" si="1909">IF(AB$3=$H221,U221,"")</f>
        <v>-32</v>
      </c>
      <c r="AC221" s="28" t="str">
        <f t="shared" si="1909"/>
        <v/>
      </c>
      <c r="AD221" s="28" t="str">
        <f t="shared" si="1909"/>
        <v/>
      </c>
      <c r="AE221" s="28" t="str">
        <f t="shared" si="1909"/>
        <v/>
      </c>
      <c r="AH221" s="28">
        <f t="shared" si="22"/>
        <v>0</v>
      </c>
      <c r="AI221" s="28">
        <f t="shared" si="23"/>
        <v>-32</v>
      </c>
      <c r="AK221" s="78" t="str">
        <f t="shared" ref="AK221:AN221" si="1910">IF(U221&gt;0,AK$3,"")</f>
        <v/>
      </c>
      <c r="AL221" s="78" t="str">
        <f t="shared" si="1910"/>
        <v>Peter</v>
      </c>
      <c r="AM221" s="78" t="str">
        <f t="shared" si="1910"/>
        <v>Janus</v>
      </c>
      <c r="AN221" s="78" t="str">
        <f t="shared" si="1910"/>
        <v/>
      </c>
      <c r="AO221" s="56">
        <f t="shared" si="25"/>
        <v>2</v>
      </c>
      <c r="AP221" s="8" t="str">
        <f t="shared" si="26"/>
        <v>Thomas</v>
      </c>
      <c r="AQ221" s="73" t="str">
        <f>IFERROR(__xludf.DUMMYFUNCTION("IFNA(QUERY(transpose(AY221:BB221),""Select Col1 where Col1 is not null limit 1"",0))"),"Christian")</f>
        <v>Christian</v>
      </c>
      <c r="AR221" s="56"/>
      <c r="AS221" s="28" t="str">
        <f t="shared" ref="AS221:AV221" si="1911">IF(AK221=AS$3,"",AS$3)</f>
        <v>Thomas</v>
      </c>
      <c r="AT221" s="28" t="str">
        <f t="shared" si="1911"/>
        <v/>
      </c>
      <c r="AU221" s="28" t="str">
        <f t="shared" si="1911"/>
        <v/>
      </c>
      <c r="AV221" s="28" t="str">
        <f t="shared" si="1911"/>
        <v>Christian</v>
      </c>
      <c r="AW221" s="56">
        <f t="shared" si="28"/>
        <v>2</v>
      </c>
      <c r="AX221" s="28">
        <f t="shared" si="29"/>
        <v>-32</v>
      </c>
      <c r="AY221" s="28" t="str">
        <f t="shared" ref="AY221:BB221" si="1912">IFNA(IFS(AY$3=$AP221,"",$AX221=U221,AY$3),"")</f>
        <v/>
      </c>
      <c r="AZ221" s="28" t="str">
        <f t="shared" si="1912"/>
        <v/>
      </c>
      <c r="BA221" s="28" t="str">
        <f t="shared" si="1912"/>
        <v/>
      </c>
      <c r="BB221" s="28" t="str">
        <f t="shared" si="1912"/>
        <v>Christian</v>
      </c>
      <c r="BC221" s="58">
        <f>OFFSET('00_Regnskab_01'!$A$1,MATCH(A221,'00_Regnskab_01'!$A$1:$A$25)-1,2)</f>
        <v>43883</v>
      </c>
      <c r="BE221" s="80">
        <f t="shared" ref="BE221:BH221" si="1913">if(U221&gt;0,1+BE220,0)</f>
        <v>0</v>
      </c>
      <c r="BF221" s="28">
        <f t="shared" si="1913"/>
        <v>5</v>
      </c>
      <c r="BG221" s="28">
        <f t="shared" si="1913"/>
        <v>1</v>
      </c>
      <c r="BH221" s="28">
        <f t="shared" si="1913"/>
        <v>0</v>
      </c>
      <c r="BJ221" s="28">
        <f t="shared" ref="BJ221:BM221" si="1914">if(U221&lt;0,1+BJ220,0)</f>
        <v>1</v>
      </c>
      <c r="BK221" s="28">
        <f t="shared" si="1914"/>
        <v>0</v>
      </c>
      <c r="BL221" s="28">
        <f t="shared" si="1914"/>
        <v>0</v>
      </c>
      <c r="BM221" s="28">
        <f t="shared" si="1914"/>
        <v>5</v>
      </c>
      <c r="BO221" s="74">
        <f t="shared" ref="BO221:BR221" si="1915">if(U221&gt;0,U221+BO220,0)</f>
        <v>0</v>
      </c>
      <c r="BP221" s="74">
        <f t="shared" si="1915"/>
        <v>142</v>
      </c>
      <c r="BQ221" s="74">
        <f t="shared" si="1915"/>
        <v>32</v>
      </c>
      <c r="BR221" s="74">
        <f t="shared" si="1915"/>
        <v>0</v>
      </c>
      <c r="BT221" s="28">
        <f t="shared" ref="BT221:BW221" si="1916">if(U221&lt;0,U221+BT220,0)</f>
        <v>-32</v>
      </c>
      <c r="BU221" s="28">
        <f t="shared" si="1916"/>
        <v>0</v>
      </c>
      <c r="BV221" s="28">
        <f t="shared" si="1916"/>
        <v>0</v>
      </c>
      <c r="BW221" s="28">
        <f t="shared" si="1916"/>
        <v>-142</v>
      </c>
    </row>
    <row r="222">
      <c r="A222" s="53">
        <v>13.0</v>
      </c>
      <c r="B222" s="28">
        <f>'13_22-02-2020'!A30</f>
        <v>28</v>
      </c>
      <c r="C222" s="75">
        <f>'13_22-02-2020'!E30</f>
        <v>150</v>
      </c>
      <c r="D222" s="28">
        <f>'13_22-02-2020'!D30</f>
        <v>-82</v>
      </c>
      <c r="E222" s="28">
        <f>'13_22-02-2020'!B30</f>
        <v>82</v>
      </c>
      <c r="F222" s="28">
        <f>'13_22-02-2020'!C30</f>
        <v>-150</v>
      </c>
      <c r="G222" s="28">
        <f>'13_22-02-2020'!F30</f>
        <v>0</v>
      </c>
      <c r="H222" s="28" t="str">
        <f>'13_22-02-2020'!H30</f>
        <v>Thomas</v>
      </c>
      <c r="J222" s="76" t="str">
        <f>'13_22-02-2020'!I30</f>
        <v>Peter</v>
      </c>
      <c r="K222" s="28" t="str">
        <f>'13_22-02-2020'!G30</f>
        <v>9 vip i 2.</v>
      </c>
      <c r="L222" s="56"/>
      <c r="M222" s="25">
        <v>9.0</v>
      </c>
      <c r="N222" s="25" t="s">
        <v>86</v>
      </c>
      <c r="O222" s="25">
        <v>2.0</v>
      </c>
      <c r="T222" s="56"/>
      <c r="U222" s="77">
        <f t="shared" ref="U222:X222" si="1917">C222-C221</f>
        <v>-16</v>
      </c>
      <c r="V222" s="28">
        <f t="shared" si="1917"/>
        <v>-16</v>
      </c>
      <c r="W222" s="28">
        <f t="shared" si="1917"/>
        <v>16</v>
      </c>
      <c r="X222" s="28">
        <f t="shared" si="1917"/>
        <v>16</v>
      </c>
      <c r="AB222" s="28">
        <f t="shared" ref="AB222:AE222" si="1918">IF(AB$3=$H222,U222,"")</f>
        <v>-16</v>
      </c>
      <c r="AC222" s="28" t="str">
        <f t="shared" si="1918"/>
        <v/>
      </c>
      <c r="AD222" s="28" t="str">
        <f t="shared" si="1918"/>
        <v/>
      </c>
      <c r="AE222" s="28" t="str">
        <f t="shared" si="1918"/>
        <v/>
      </c>
      <c r="AH222" s="28">
        <f t="shared" si="22"/>
        <v>0</v>
      </c>
      <c r="AI222" s="28">
        <f t="shared" si="23"/>
        <v>-16</v>
      </c>
      <c r="AK222" s="78" t="str">
        <f t="shared" ref="AK222:AN222" si="1919">IF(U222&gt;0,AK$3,"")</f>
        <v/>
      </c>
      <c r="AL222" s="78" t="str">
        <f t="shared" si="1919"/>
        <v/>
      </c>
      <c r="AM222" s="78" t="str">
        <f t="shared" si="1919"/>
        <v>Janus</v>
      </c>
      <c r="AN222" s="78" t="str">
        <f t="shared" si="1919"/>
        <v>Christian</v>
      </c>
      <c r="AO222" s="56">
        <f t="shared" si="25"/>
        <v>2</v>
      </c>
      <c r="AP222" s="8" t="str">
        <f t="shared" si="26"/>
        <v>Thomas</v>
      </c>
      <c r="AQ222" s="73" t="str">
        <f>IFERROR(__xludf.DUMMYFUNCTION("IFNA(QUERY(transpose(AY222:BB222),""Select Col1 where Col1 is not null limit 1"",0))"),"Peter")</f>
        <v>Peter</v>
      </c>
      <c r="AR222" s="56"/>
      <c r="AS222" s="28" t="str">
        <f t="shared" ref="AS222:AV222" si="1920">IF(AK222=AS$3,"",AS$3)</f>
        <v>Thomas</v>
      </c>
      <c r="AT222" s="28" t="str">
        <f t="shared" si="1920"/>
        <v>Peter</v>
      </c>
      <c r="AU222" s="28" t="str">
        <f t="shared" si="1920"/>
        <v/>
      </c>
      <c r="AV222" s="28" t="str">
        <f t="shared" si="1920"/>
        <v/>
      </c>
      <c r="AW222" s="56">
        <f t="shared" si="28"/>
        <v>2</v>
      </c>
      <c r="AX222" s="28">
        <f t="shared" si="29"/>
        <v>-16</v>
      </c>
      <c r="AY222" s="28" t="str">
        <f t="shared" ref="AY222:BB222" si="1921">IFNA(IFS(AY$3=$AP222,"",$AX222=U222,AY$3),"")</f>
        <v/>
      </c>
      <c r="AZ222" s="28" t="str">
        <f t="shared" si="1921"/>
        <v>Peter</v>
      </c>
      <c r="BA222" s="28" t="str">
        <f t="shared" si="1921"/>
        <v/>
      </c>
      <c r="BB222" s="28" t="str">
        <f t="shared" si="1921"/>
        <v/>
      </c>
      <c r="BC222" s="58">
        <f>OFFSET('00_Regnskab_01'!$A$1,MATCH(A222,'00_Regnskab_01'!$A$1:$A$25)-1,2)</f>
        <v>43883</v>
      </c>
      <c r="BE222" s="80">
        <f t="shared" ref="BE222:BH222" si="1922">if(U222&gt;0,1+BE221,0)</f>
        <v>0</v>
      </c>
      <c r="BF222" s="28">
        <f t="shared" si="1922"/>
        <v>0</v>
      </c>
      <c r="BG222" s="28">
        <f t="shared" si="1922"/>
        <v>2</v>
      </c>
      <c r="BH222" s="28">
        <f t="shared" si="1922"/>
        <v>1</v>
      </c>
      <c r="BJ222" s="28">
        <f t="shared" ref="BJ222:BM222" si="1923">if(U222&lt;0,1+BJ221,0)</f>
        <v>2</v>
      </c>
      <c r="BK222" s="28">
        <f t="shared" si="1923"/>
        <v>1</v>
      </c>
      <c r="BL222" s="28">
        <f t="shared" si="1923"/>
        <v>0</v>
      </c>
      <c r="BM222" s="28">
        <f t="shared" si="1923"/>
        <v>0</v>
      </c>
      <c r="BO222" s="74">
        <f t="shared" ref="BO222:BR222" si="1924">if(U222&gt;0,U222+BO221,0)</f>
        <v>0</v>
      </c>
      <c r="BP222" s="74">
        <f t="shared" si="1924"/>
        <v>0</v>
      </c>
      <c r="BQ222" s="74">
        <f t="shared" si="1924"/>
        <v>48</v>
      </c>
      <c r="BR222" s="74">
        <f t="shared" si="1924"/>
        <v>16</v>
      </c>
      <c r="BT222" s="28">
        <f t="shared" ref="BT222:BW222" si="1925">if(U222&lt;0,U222+BT221,0)</f>
        <v>-48</v>
      </c>
      <c r="BU222" s="28">
        <f t="shared" si="1925"/>
        <v>-16</v>
      </c>
      <c r="BV222" s="28">
        <f t="shared" si="1925"/>
        <v>0</v>
      </c>
      <c r="BW222" s="28">
        <f t="shared" si="1925"/>
        <v>0</v>
      </c>
    </row>
    <row r="223">
      <c r="A223" s="53">
        <v>13.0</v>
      </c>
      <c r="B223" s="28">
        <f>'13_22-02-2020'!A31</f>
        <v>29</v>
      </c>
      <c r="C223" s="75">
        <f>'13_22-02-2020'!E31</f>
        <v>146</v>
      </c>
      <c r="D223" s="28">
        <f>'13_22-02-2020'!D31</f>
        <v>-70</v>
      </c>
      <c r="E223" s="28">
        <f>'13_22-02-2020'!B31</f>
        <v>78</v>
      </c>
      <c r="F223" s="28">
        <f>'13_22-02-2020'!C31</f>
        <v>-154</v>
      </c>
      <c r="G223" s="28">
        <f>'13_22-02-2020'!F31</f>
        <v>0</v>
      </c>
      <c r="H223" s="28" t="str">
        <f>'13_22-02-2020'!H31</f>
        <v>Peter</v>
      </c>
      <c r="J223" s="76" t="str">
        <f>'13_22-02-2020'!I31</f>
        <v>Christian</v>
      </c>
      <c r="K223" s="28" t="str">
        <f>'13_22-02-2020'!G31</f>
        <v>Sol</v>
      </c>
      <c r="L223" s="56"/>
      <c r="N223" s="25" t="s">
        <v>99</v>
      </c>
      <c r="T223" s="56"/>
      <c r="U223" s="77">
        <f t="shared" ref="U223:X223" si="1926">C223-C222</f>
        <v>-4</v>
      </c>
      <c r="V223" s="28">
        <f t="shared" si="1926"/>
        <v>12</v>
      </c>
      <c r="W223" s="28">
        <f t="shared" si="1926"/>
        <v>-4</v>
      </c>
      <c r="X223" s="28">
        <f t="shared" si="1926"/>
        <v>-4</v>
      </c>
      <c r="AB223" s="28" t="str">
        <f t="shared" ref="AB223:AE223" si="1927">IF(AB$3=$H223,U223,"")</f>
        <v/>
      </c>
      <c r="AC223" s="28">
        <f t="shared" si="1927"/>
        <v>12</v>
      </c>
      <c r="AD223" s="28" t="str">
        <f t="shared" si="1927"/>
        <v/>
      </c>
      <c r="AE223" s="28" t="str">
        <f t="shared" si="1927"/>
        <v/>
      </c>
      <c r="AH223" s="28">
        <f t="shared" si="22"/>
        <v>12</v>
      </c>
      <c r="AI223" s="28">
        <f t="shared" si="23"/>
        <v>0</v>
      </c>
      <c r="AK223" s="78" t="str">
        <f t="shared" ref="AK223:AN223" si="1928">IF(U223&gt;0,AK$3,"")</f>
        <v/>
      </c>
      <c r="AL223" s="78" t="str">
        <f t="shared" si="1928"/>
        <v>Peter</v>
      </c>
      <c r="AM223" s="78" t="str">
        <f t="shared" si="1928"/>
        <v/>
      </c>
      <c r="AN223" s="78" t="str">
        <f t="shared" si="1928"/>
        <v/>
      </c>
      <c r="AO223" s="56">
        <f t="shared" si="25"/>
        <v>1</v>
      </c>
      <c r="AP223" s="8" t="str">
        <f t="shared" si="26"/>
        <v>Peter</v>
      </c>
      <c r="AQ223" s="73" t="str">
        <f>IFERROR(__xludf.DUMMYFUNCTION("IFNA(QUERY(transpose(AY223:BB223),""Select Col1 where Col1 is not null limit 1"",0))"),"")</f>
        <v/>
      </c>
      <c r="AR223" s="56"/>
      <c r="AS223" s="28" t="str">
        <f t="shared" ref="AS223:AV223" si="1929">IF(AK223=AS$3,"",AS$3)</f>
        <v>Thomas</v>
      </c>
      <c r="AT223" s="28" t="str">
        <f t="shared" si="1929"/>
        <v/>
      </c>
      <c r="AU223" s="28" t="str">
        <f t="shared" si="1929"/>
        <v>Janus</v>
      </c>
      <c r="AV223" s="28" t="str">
        <f t="shared" si="1929"/>
        <v>Christian</v>
      </c>
      <c r="AW223" s="56">
        <f t="shared" si="28"/>
        <v>3</v>
      </c>
      <c r="AX223" s="28">
        <f t="shared" si="29"/>
        <v>12</v>
      </c>
      <c r="AY223" s="28" t="str">
        <f t="shared" ref="AY223:BB223" si="1930">IFNA(IFS(AY$3=$AP223,"",$AX223=U223,AY$3),"")</f>
        <v/>
      </c>
      <c r="AZ223" s="28" t="str">
        <f t="shared" si="1930"/>
        <v/>
      </c>
      <c r="BA223" s="28" t="str">
        <f t="shared" si="1930"/>
        <v/>
      </c>
      <c r="BB223" s="28" t="str">
        <f t="shared" si="1930"/>
        <v/>
      </c>
      <c r="BC223" s="58">
        <f>OFFSET('00_Regnskab_01'!$A$1,MATCH(A223,'00_Regnskab_01'!$A$1:$A$25)-1,2)</f>
        <v>43883</v>
      </c>
      <c r="BE223" s="80">
        <f t="shared" ref="BE223:BH223" si="1931">if(U223&gt;0,1+BE222,0)</f>
        <v>0</v>
      </c>
      <c r="BF223" s="28">
        <f t="shared" si="1931"/>
        <v>1</v>
      </c>
      <c r="BG223" s="28">
        <f t="shared" si="1931"/>
        <v>0</v>
      </c>
      <c r="BH223" s="28">
        <f t="shared" si="1931"/>
        <v>0</v>
      </c>
      <c r="BJ223" s="28">
        <f t="shared" ref="BJ223:BM223" si="1932">if(U223&lt;0,1+BJ222,0)</f>
        <v>3</v>
      </c>
      <c r="BK223" s="28">
        <f t="shared" si="1932"/>
        <v>0</v>
      </c>
      <c r="BL223" s="28">
        <f t="shared" si="1932"/>
        <v>1</v>
      </c>
      <c r="BM223" s="28">
        <f t="shared" si="1932"/>
        <v>1</v>
      </c>
      <c r="BO223" s="74">
        <f t="shared" ref="BO223:BR223" si="1933">if(U223&gt;0,U223+BO222,0)</f>
        <v>0</v>
      </c>
      <c r="BP223" s="74">
        <f t="shared" si="1933"/>
        <v>12</v>
      </c>
      <c r="BQ223" s="74">
        <f t="shared" si="1933"/>
        <v>0</v>
      </c>
      <c r="BR223" s="74">
        <f t="shared" si="1933"/>
        <v>0</v>
      </c>
      <c r="BT223" s="28">
        <f t="shared" ref="BT223:BW223" si="1934">if(U223&lt;0,U223+BT222,0)</f>
        <v>-52</v>
      </c>
      <c r="BU223" s="28">
        <f t="shared" si="1934"/>
        <v>0</v>
      </c>
      <c r="BV223" s="28">
        <f t="shared" si="1934"/>
        <v>-4</v>
      </c>
      <c r="BW223" s="28">
        <f t="shared" si="1934"/>
        <v>-4</v>
      </c>
    </row>
    <row r="224">
      <c r="A224" s="53">
        <v>13.0</v>
      </c>
      <c r="B224" s="28">
        <f>'13_22-02-2020'!A32</f>
        <v>30</v>
      </c>
      <c r="C224" s="75">
        <f>'13_22-02-2020'!E32</f>
        <v>130</v>
      </c>
      <c r="D224" s="28">
        <f>'13_22-02-2020'!D32</f>
        <v>-86</v>
      </c>
      <c r="E224" s="28">
        <f>'13_22-02-2020'!B32</f>
        <v>94</v>
      </c>
      <c r="F224" s="28">
        <f>'13_22-02-2020'!C32</f>
        <v>-138</v>
      </c>
      <c r="G224" s="28">
        <f>'13_22-02-2020'!F32</f>
        <v>0</v>
      </c>
      <c r="H224" s="28" t="str">
        <f>'13_22-02-2020'!H32</f>
        <v>Thomas</v>
      </c>
      <c r="J224" s="76" t="str">
        <f>'13_22-02-2020'!I32</f>
        <v>Thomas</v>
      </c>
      <c r="K224" s="28" t="str">
        <f>'13_22-02-2020'!G32</f>
        <v>9 vip i 2.</v>
      </c>
      <c r="L224" s="56"/>
      <c r="M224" s="25">
        <v>9.0</v>
      </c>
      <c r="N224" s="25" t="s">
        <v>86</v>
      </c>
      <c r="O224" s="25">
        <v>2.0</v>
      </c>
      <c r="T224" s="56"/>
      <c r="U224" s="77">
        <f t="shared" ref="U224:X224" si="1935">C224-C223</f>
        <v>-16</v>
      </c>
      <c r="V224" s="28">
        <f t="shared" si="1935"/>
        <v>-16</v>
      </c>
      <c r="W224" s="28">
        <f t="shared" si="1935"/>
        <v>16</v>
      </c>
      <c r="X224" s="28">
        <f t="shared" si="1935"/>
        <v>16</v>
      </c>
      <c r="AB224" s="28">
        <f t="shared" ref="AB224:AE224" si="1936">IF(AB$3=$H224,U224,"")</f>
        <v>-16</v>
      </c>
      <c r="AC224" s="28" t="str">
        <f t="shared" si="1936"/>
        <v/>
      </c>
      <c r="AD224" s="28" t="str">
        <f t="shared" si="1936"/>
        <v/>
      </c>
      <c r="AE224" s="28" t="str">
        <f t="shared" si="1936"/>
        <v/>
      </c>
      <c r="AH224" s="28">
        <f t="shared" si="22"/>
        <v>0</v>
      </c>
      <c r="AI224" s="28">
        <f t="shared" si="23"/>
        <v>-16</v>
      </c>
      <c r="AK224" s="78" t="str">
        <f t="shared" ref="AK224:AN224" si="1937">IF(U224&gt;0,AK$3,"")</f>
        <v/>
      </c>
      <c r="AL224" s="78" t="str">
        <f t="shared" si="1937"/>
        <v/>
      </c>
      <c r="AM224" s="78" t="str">
        <f t="shared" si="1937"/>
        <v>Janus</v>
      </c>
      <c r="AN224" s="78" t="str">
        <f t="shared" si="1937"/>
        <v>Christian</v>
      </c>
      <c r="AO224" s="56">
        <f t="shared" si="25"/>
        <v>2</v>
      </c>
      <c r="AP224" s="8" t="str">
        <f t="shared" si="26"/>
        <v>Thomas</v>
      </c>
      <c r="AQ224" s="73" t="str">
        <f>IFERROR(__xludf.DUMMYFUNCTION("IFNA(QUERY(transpose(AY224:BB224),""Select Col1 where Col1 is not null limit 1"",0))"),"Peter")</f>
        <v>Peter</v>
      </c>
      <c r="AR224" s="56"/>
      <c r="AS224" s="28" t="str">
        <f t="shared" ref="AS224:AV224" si="1938">IF(AK224=AS$3,"",AS$3)</f>
        <v>Thomas</v>
      </c>
      <c r="AT224" s="28" t="str">
        <f t="shared" si="1938"/>
        <v>Peter</v>
      </c>
      <c r="AU224" s="28" t="str">
        <f t="shared" si="1938"/>
        <v/>
      </c>
      <c r="AV224" s="28" t="str">
        <f t="shared" si="1938"/>
        <v/>
      </c>
      <c r="AW224" s="56">
        <f t="shared" si="28"/>
        <v>2</v>
      </c>
      <c r="AX224" s="28">
        <f t="shared" si="29"/>
        <v>-16</v>
      </c>
      <c r="AY224" s="28" t="str">
        <f t="shared" ref="AY224:BB224" si="1939">IFNA(IFS(AY$3=$AP224,"",$AX224=U224,AY$3),"")</f>
        <v/>
      </c>
      <c r="AZ224" s="28" t="str">
        <f t="shared" si="1939"/>
        <v>Peter</v>
      </c>
      <c r="BA224" s="28" t="str">
        <f t="shared" si="1939"/>
        <v/>
      </c>
      <c r="BB224" s="28" t="str">
        <f t="shared" si="1939"/>
        <v/>
      </c>
      <c r="BC224" s="58">
        <f>OFFSET('00_Regnskab_01'!$A$1,MATCH(A224,'00_Regnskab_01'!$A$1:$A$25)-1,2)</f>
        <v>43883</v>
      </c>
      <c r="BE224" s="80">
        <f t="shared" ref="BE224:BH224" si="1940">if(U224&gt;0,1+BE223,0)</f>
        <v>0</v>
      </c>
      <c r="BF224" s="28">
        <f t="shared" si="1940"/>
        <v>0</v>
      </c>
      <c r="BG224" s="28">
        <f t="shared" si="1940"/>
        <v>1</v>
      </c>
      <c r="BH224" s="28">
        <f t="shared" si="1940"/>
        <v>1</v>
      </c>
      <c r="BJ224" s="28">
        <f t="shared" ref="BJ224:BM224" si="1941">if(U224&lt;0,1+BJ223,0)</f>
        <v>4</v>
      </c>
      <c r="BK224" s="28">
        <f t="shared" si="1941"/>
        <v>1</v>
      </c>
      <c r="BL224" s="28">
        <f t="shared" si="1941"/>
        <v>0</v>
      </c>
      <c r="BM224" s="28">
        <f t="shared" si="1941"/>
        <v>0</v>
      </c>
      <c r="BO224" s="74">
        <f t="shared" ref="BO224:BR224" si="1942">if(U224&gt;0,U224+BO223,0)</f>
        <v>0</v>
      </c>
      <c r="BP224" s="74">
        <f t="shared" si="1942"/>
        <v>0</v>
      </c>
      <c r="BQ224" s="74">
        <f t="shared" si="1942"/>
        <v>16</v>
      </c>
      <c r="BR224" s="74">
        <f t="shared" si="1942"/>
        <v>16</v>
      </c>
      <c r="BT224" s="28">
        <f t="shared" ref="BT224:BW224" si="1943">if(U224&lt;0,U224+BT223,0)</f>
        <v>-68</v>
      </c>
      <c r="BU224" s="28">
        <f t="shared" si="1943"/>
        <v>-16</v>
      </c>
      <c r="BV224" s="28">
        <f t="shared" si="1943"/>
        <v>0</v>
      </c>
      <c r="BW224" s="28">
        <f t="shared" si="1943"/>
        <v>0</v>
      </c>
    </row>
    <row r="225">
      <c r="A225" s="83">
        <v>13.0</v>
      </c>
      <c r="B225" s="84">
        <f>'13_22-02-2020'!A33</f>
        <v>31</v>
      </c>
      <c r="C225" s="85">
        <f>'13_22-02-2020'!E33</f>
        <v>178</v>
      </c>
      <c r="D225" s="84">
        <f>'13_22-02-2020'!D33</f>
        <v>-134</v>
      </c>
      <c r="E225" s="84">
        <f>'13_22-02-2020'!B33</f>
        <v>142</v>
      </c>
      <c r="F225" s="84">
        <f>'13_22-02-2020'!C33</f>
        <v>-186</v>
      </c>
      <c r="G225" s="84">
        <f>'13_22-02-2020'!F33</f>
        <v>0</v>
      </c>
      <c r="H225" s="84" t="str">
        <f>'13_22-02-2020'!H33</f>
        <v>Thomas</v>
      </c>
      <c r="I225" s="84"/>
      <c r="J225" s="86" t="str">
        <f>'13_22-02-2020'!I33</f>
        <v>Janus</v>
      </c>
      <c r="K225" s="84" t="str">
        <f>'13_22-02-2020'!G33</f>
        <v>9 vip i 3.</v>
      </c>
      <c r="L225" s="84"/>
      <c r="M225" s="87">
        <v>9.0</v>
      </c>
      <c r="N225" s="87" t="s">
        <v>86</v>
      </c>
      <c r="O225" s="87">
        <v>3.0</v>
      </c>
      <c r="P225" s="84"/>
      <c r="Q225" s="84"/>
      <c r="R225" s="84"/>
      <c r="S225" s="84"/>
      <c r="T225" s="84"/>
      <c r="U225" s="88">
        <f t="shared" ref="U225:X225" si="1944">C225-C224</f>
        <v>48</v>
      </c>
      <c r="V225" s="84">
        <f t="shared" si="1944"/>
        <v>-48</v>
      </c>
      <c r="W225" s="84">
        <f t="shared" si="1944"/>
        <v>48</v>
      </c>
      <c r="X225" s="84">
        <f t="shared" si="1944"/>
        <v>-48</v>
      </c>
      <c r="Y225" s="84"/>
      <c r="Z225" s="84"/>
      <c r="AA225" s="84"/>
      <c r="AB225" s="28">
        <f t="shared" ref="AB225:AE225" si="1945">IF(AB$3=$H225,U225,"")</f>
        <v>48</v>
      </c>
      <c r="AC225" s="28" t="str">
        <f t="shared" si="1945"/>
        <v/>
      </c>
      <c r="AD225" s="28" t="str">
        <f t="shared" si="1945"/>
        <v/>
      </c>
      <c r="AE225" s="28" t="str">
        <f t="shared" si="1945"/>
        <v/>
      </c>
      <c r="AH225" s="28">
        <f t="shared" si="22"/>
        <v>48</v>
      </c>
      <c r="AI225" s="28">
        <f t="shared" si="23"/>
        <v>0</v>
      </c>
      <c r="AJ225" s="84"/>
      <c r="AK225" s="78" t="str">
        <f t="shared" ref="AK225:AN225" si="1946">IF(U225&gt;0,AK$3,"")</f>
        <v>Thomas</v>
      </c>
      <c r="AL225" s="78" t="str">
        <f t="shared" si="1946"/>
        <v/>
      </c>
      <c r="AM225" s="78" t="str">
        <f t="shared" si="1946"/>
        <v>Janus</v>
      </c>
      <c r="AN225" s="78" t="str">
        <f t="shared" si="1946"/>
        <v/>
      </c>
      <c r="AO225" s="56">
        <f t="shared" si="25"/>
        <v>2</v>
      </c>
      <c r="AP225" s="8" t="str">
        <f t="shared" si="26"/>
        <v>Thomas</v>
      </c>
      <c r="AQ225" s="73" t="str">
        <f>IFERROR(__xludf.DUMMYFUNCTION("IFNA(QUERY(transpose(AY225:BB225),""Select Col1 where Col1 is not null limit 1"",0))"),"Janus")</f>
        <v>Janus</v>
      </c>
      <c r="AR225" s="56"/>
      <c r="AS225" s="28" t="str">
        <f t="shared" ref="AS225:AV225" si="1947">IF(AK225=AS$3,"",AS$3)</f>
        <v/>
      </c>
      <c r="AT225" s="28" t="str">
        <f t="shared" si="1947"/>
        <v>Peter</v>
      </c>
      <c r="AU225" s="28" t="str">
        <f t="shared" si="1947"/>
        <v/>
      </c>
      <c r="AV225" s="28" t="str">
        <f t="shared" si="1947"/>
        <v>Christian</v>
      </c>
      <c r="AW225" s="56">
        <f t="shared" si="28"/>
        <v>2</v>
      </c>
      <c r="AX225" s="28">
        <f t="shared" si="29"/>
        <v>48</v>
      </c>
      <c r="AY225" s="28" t="str">
        <f t="shared" ref="AY225:BB225" si="1948">IFNA(IFS(AY$3=$AP225,"",$AX225=U225,AY$3),"")</f>
        <v/>
      </c>
      <c r="AZ225" s="28" t="str">
        <f t="shared" si="1948"/>
        <v/>
      </c>
      <c r="BA225" s="28" t="str">
        <f t="shared" si="1948"/>
        <v>Janus</v>
      </c>
      <c r="BB225" s="28" t="str">
        <f t="shared" si="1948"/>
        <v/>
      </c>
      <c r="BC225" s="58">
        <f>OFFSET('00_Regnskab_01'!$A$1,MATCH(A225,'00_Regnskab_01'!$A$1:$A$25)-1,2)</f>
        <v>43883</v>
      </c>
      <c r="BD225" s="84"/>
      <c r="BE225" s="80">
        <f t="shared" ref="BE225:BH225" si="1949">if(U225&gt;0,1+BE224,0)</f>
        <v>1</v>
      </c>
      <c r="BF225" s="28">
        <f t="shared" si="1949"/>
        <v>0</v>
      </c>
      <c r="BG225" s="28">
        <f t="shared" si="1949"/>
        <v>2</v>
      </c>
      <c r="BH225" s="28">
        <f t="shared" si="1949"/>
        <v>0</v>
      </c>
      <c r="BI225" s="84"/>
      <c r="BJ225" s="28">
        <f t="shared" ref="BJ225:BM225" si="1950">if(U225&lt;0,1+BJ224,0)</f>
        <v>0</v>
      </c>
      <c r="BK225" s="28">
        <f t="shared" si="1950"/>
        <v>2</v>
      </c>
      <c r="BL225" s="28">
        <f t="shared" si="1950"/>
        <v>0</v>
      </c>
      <c r="BM225" s="28">
        <f t="shared" si="1950"/>
        <v>1</v>
      </c>
      <c r="BO225" s="74">
        <f t="shared" ref="BO225:BR225" si="1951">if(U225&gt;0,U225+BO224,0)</f>
        <v>48</v>
      </c>
      <c r="BP225" s="74">
        <f t="shared" si="1951"/>
        <v>0</v>
      </c>
      <c r="BQ225" s="74">
        <f t="shared" si="1951"/>
        <v>64</v>
      </c>
      <c r="BR225" s="74">
        <f t="shared" si="1951"/>
        <v>0</v>
      </c>
      <c r="BT225" s="28">
        <f t="shared" ref="BT225:BW225" si="1952">if(U225&lt;0,U225+BT224,0)</f>
        <v>0</v>
      </c>
      <c r="BU225" s="28">
        <f t="shared" si="1952"/>
        <v>-64</v>
      </c>
      <c r="BV225" s="28">
        <f t="shared" si="1952"/>
        <v>0</v>
      </c>
      <c r="BW225" s="28">
        <f t="shared" si="1952"/>
        <v>-48</v>
      </c>
      <c r="BX225" s="84"/>
      <c r="BY225" s="84"/>
    </row>
    <row r="226">
      <c r="A226" s="51">
        <v>14.0</v>
      </c>
      <c r="B226" s="32">
        <f>'14_02-10-2020'!A3</f>
        <v>1</v>
      </c>
      <c r="C226" s="69">
        <f>'14_02-10-2020'!B3</f>
        <v>-24</v>
      </c>
      <c r="D226" s="32">
        <f>'14_02-10-2020'!D3</f>
        <v>8</v>
      </c>
      <c r="E226" s="32">
        <f>'14_02-10-2020'!C3</f>
        <v>8</v>
      </c>
      <c r="F226" s="32">
        <f>'14_02-10-2020'!E3</f>
        <v>8</v>
      </c>
      <c r="G226" s="32">
        <f>'14_02-10-2020'!F3</f>
        <v>0</v>
      </c>
      <c r="H226" s="32" t="str">
        <f>'14_02-10-2020'!H3</f>
        <v>Thomas</v>
      </c>
      <c r="I226" s="32"/>
      <c r="J226" s="70" t="str">
        <f>'14_02-10-2020'!I3</f>
        <v>Janus</v>
      </c>
      <c r="K226" s="32" t="str">
        <f>'14_02-10-2020'!G3</f>
        <v>9 vip 1. første</v>
      </c>
      <c r="L226" s="32"/>
      <c r="M226" s="48">
        <v>9.0</v>
      </c>
      <c r="N226" s="48" t="s">
        <v>86</v>
      </c>
      <c r="O226" s="48">
        <v>1.0</v>
      </c>
      <c r="P226" s="32"/>
      <c r="Q226" s="32"/>
      <c r="R226" s="32"/>
      <c r="S226" s="32"/>
      <c r="T226" s="32"/>
      <c r="U226" s="71">
        <f t="shared" ref="U226:X226" si="1953">C226</f>
        <v>-24</v>
      </c>
      <c r="V226" s="32">
        <f t="shared" si="1953"/>
        <v>8</v>
      </c>
      <c r="W226" s="32">
        <f t="shared" si="1953"/>
        <v>8</v>
      </c>
      <c r="X226" s="32">
        <f t="shared" si="1953"/>
        <v>8</v>
      </c>
      <c r="Y226" s="32"/>
      <c r="Z226" s="32"/>
      <c r="AA226" s="32"/>
      <c r="AB226" s="28">
        <f t="shared" ref="AB226:AE226" si="1954">IF(AB$3=$H226,U226,"")</f>
        <v>-24</v>
      </c>
      <c r="AC226" s="28" t="str">
        <f t="shared" si="1954"/>
        <v/>
      </c>
      <c r="AD226" s="28" t="str">
        <f t="shared" si="1954"/>
        <v/>
      </c>
      <c r="AE226" s="28" t="str">
        <f t="shared" si="1954"/>
        <v/>
      </c>
      <c r="AH226" s="28">
        <f t="shared" si="22"/>
        <v>0</v>
      </c>
      <c r="AI226" s="28">
        <f t="shared" si="23"/>
        <v>-24</v>
      </c>
      <c r="AJ226" s="32"/>
      <c r="AK226" s="78" t="str">
        <f t="shared" ref="AK226:AN226" si="1955">IF(U226&gt;0,AK$3,"")</f>
        <v/>
      </c>
      <c r="AL226" s="78" t="str">
        <f t="shared" si="1955"/>
        <v>Peter</v>
      </c>
      <c r="AM226" s="78" t="str">
        <f t="shared" si="1955"/>
        <v>Janus</v>
      </c>
      <c r="AN226" s="78" t="str">
        <f t="shared" si="1955"/>
        <v>Christian</v>
      </c>
      <c r="AO226" s="56">
        <f t="shared" si="25"/>
        <v>3</v>
      </c>
      <c r="AP226" s="8" t="str">
        <f t="shared" si="26"/>
        <v>Thomas</v>
      </c>
      <c r="AQ226" s="73" t="str">
        <f>IFERROR(__xludf.DUMMYFUNCTION("IFNA(QUERY(transpose(AY226:BB226),""Select Col1 where Col1 is not null limit 1"",0))"),"")</f>
        <v/>
      </c>
      <c r="AR226" s="56"/>
      <c r="AS226" s="28" t="str">
        <f t="shared" ref="AS226:AV226" si="1956">IF(AK226=AS$3,"",AS$3)</f>
        <v>Thomas</v>
      </c>
      <c r="AT226" s="28" t="str">
        <f t="shared" si="1956"/>
        <v/>
      </c>
      <c r="AU226" s="28" t="str">
        <f t="shared" si="1956"/>
        <v/>
      </c>
      <c r="AV226" s="28" t="str">
        <f t="shared" si="1956"/>
        <v/>
      </c>
      <c r="AW226" s="56">
        <f t="shared" si="28"/>
        <v>1</v>
      </c>
      <c r="AX226" s="28">
        <f t="shared" si="29"/>
        <v>-24</v>
      </c>
      <c r="AY226" s="28" t="str">
        <f t="shared" ref="AY226:BB226" si="1957">IFNA(IFS(AY$3=$AP226,"",$AX226=U226,AY$3),"")</f>
        <v/>
      </c>
      <c r="AZ226" s="28" t="str">
        <f t="shared" si="1957"/>
        <v/>
      </c>
      <c r="BA226" s="28" t="str">
        <f t="shared" si="1957"/>
        <v/>
      </c>
      <c r="BB226" s="28" t="str">
        <f t="shared" si="1957"/>
        <v/>
      </c>
      <c r="BC226" s="58">
        <f>OFFSET('00_Regnskab_01'!$A$1,MATCH(A226,'00_Regnskab_01'!$A$1:$A$25)-1,2)</f>
        <v>44106</v>
      </c>
      <c r="BD226" s="32"/>
      <c r="BE226" s="80">
        <f t="shared" ref="BE226:BH226" si="1958">if(U226&gt;0,1+BE225,0)</f>
        <v>0</v>
      </c>
      <c r="BF226" s="28">
        <f t="shared" si="1958"/>
        <v>1</v>
      </c>
      <c r="BG226" s="28">
        <f t="shared" si="1958"/>
        <v>3</v>
      </c>
      <c r="BH226" s="28">
        <f t="shared" si="1958"/>
        <v>1</v>
      </c>
      <c r="BI226" s="32"/>
      <c r="BJ226" s="28">
        <f t="shared" ref="BJ226:BM226" si="1959">if(U226&lt;0,1+BJ225,0)</f>
        <v>1</v>
      </c>
      <c r="BK226" s="28">
        <f t="shared" si="1959"/>
        <v>0</v>
      </c>
      <c r="BL226" s="28">
        <f t="shared" si="1959"/>
        <v>0</v>
      </c>
      <c r="BM226" s="28">
        <f t="shared" si="1959"/>
        <v>0</v>
      </c>
      <c r="BO226" s="74">
        <f t="shared" ref="BO226:BR226" si="1960">if(U226&gt;0,U226+BO225,0)</f>
        <v>0</v>
      </c>
      <c r="BP226" s="74">
        <f t="shared" si="1960"/>
        <v>8</v>
      </c>
      <c r="BQ226" s="74">
        <f t="shared" si="1960"/>
        <v>72</v>
      </c>
      <c r="BR226" s="74">
        <f t="shared" si="1960"/>
        <v>8</v>
      </c>
      <c r="BT226" s="28">
        <f t="shared" ref="BT226:BW226" si="1961">if(U226&lt;0,U226+BT225,0)</f>
        <v>-24</v>
      </c>
      <c r="BU226" s="28">
        <f t="shared" si="1961"/>
        <v>0</v>
      </c>
      <c r="BV226" s="28">
        <f t="shared" si="1961"/>
        <v>0</v>
      </c>
      <c r="BW226" s="28">
        <f t="shared" si="1961"/>
        <v>0</v>
      </c>
      <c r="BX226" s="32"/>
      <c r="BY226" s="32"/>
    </row>
    <row r="227">
      <c r="A227" s="53">
        <v>14.0</v>
      </c>
      <c r="B227" s="28">
        <f>'14_02-10-2020'!A4</f>
        <v>2</v>
      </c>
      <c r="C227" s="75">
        <f>'14_02-10-2020'!B4</f>
        <v>-120</v>
      </c>
      <c r="D227" s="28">
        <f>'14_02-10-2020'!D4</f>
        <v>104</v>
      </c>
      <c r="E227" s="28">
        <f>'14_02-10-2020'!C4</f>
        <v>104</v>
      </c>
      <c r="F227" s="28">
        <f>'14_02-10-2020'!E4</f>
        <v>-88</v>
      </c>
      <c r="G227" s="28">
        <f>'14_02-10-2020'!F4</f>
        <v>0</v>
      </c>
      <c r="H227" s="28" t="str">
        <f>'14_02-10-2020'!H4</f>
        <v>Thomas</v>
      </c>
      <c r="J227" s="76" t="str">
        <f>'14_02-10-2020'!I4</f>
        <v>Peter</v>
      </c>
      <c r="K227" s="28" t="str">
        <f>'14_02-10-2020'!G4</f>
        <v>9. vip i 3.</v>
      </c>
      <c r="L227" s="56"/>
      <c r="M227" s="25">
        <v>9.0</v>
      </c>
      <c r="N227" s="25" t="s">
        <v>86</v>
      </c>
      <c r="O227" s="25">
        <v>3.0</v>
      </c>
      <c r="T227" s="56"/>
      <c r="U227" s="77">
        <f t="shared" ref="U227:X227" si="1962">C227-C226</f>
        <v>-96</v>
      </c>
      <c r="V227" s="28">
        <f t="shared" si="1962"/>
        <v>96</v>
      </c>
      <c r="W227" s="28">
        <f t="shared" si="1962"/>
        <v>96</v>
      </c>
      <c r="X227" s="28">
        <f t="shared" si="1962"/>
        <v>-96</v>
      </c>
      <c r="AB227" s="28">
        <f t="shared" ref="AB227:AE227" si="1963">IF(AB$3=$H227,U227,"")</f>
        <v>-96</v>
      </c>
      <c r="AC227" s="28" t="str">
        <f t="shared" si="1963"/>
        <v/>
      </c>
      <c r="AD227" s="28" t="str">
        <f t="shared" si="1963"/>
        <v/>
      </c>
      <c r="AE227" s="28" t="str">
        <f t="shared" si="1963"/>
        <v/>
      </c>
      <c r="AH227" s="28">
        <f t="shared" si="22"/>
        <v>0</v>
      </c>
      <c r="AI227" s="28">
        <f t="shared" si="23"/>
        <v>-96</v>
      </c>
      <c r="AK227" s="78" t="str">
        <f t="shared" ref="AK227:AN227" si="1964">IF(U227&gt;0,AK$3,"")</f>
        <v/>
      </c>
      <c r="AL227" s="78" t="str">
        <f t="shared" si="1964"/>
        <v>Peter</v>
      </c>
      <c r="AM227" s="78" t="str">
        <f t="shared" si="1964"/>
        <v>Janus</v>
      </c>
      <c r="AN227" s="78" t="str">
        <f t="shared" si="1964"/>
        <v/>
      </c>
      <c r="AO227" s="56">
        <f t="shared" si="25"/>
        <v>2</v>
      </c>
      <c r="AP227" s="8" t="str">
        <f t="shared" si="26"/>
        <v>Thomas</v>
      </c>
      <c r="AQ227" s="73" t="str">
        <f>IFERROR(__xludf.DUMMYFUNCTION("IFNA(QUERY(transpose(AY227:BB227),""Select Col1 where Col1 is not null limit 1"",0))"),"Christian")</f>
        <v>Christian</v>
      </c>
      <c r="AR227" s="56"/>
      <c r="AS227" s="28" t="str">
        <f t="shared" ref="AS227:AV227" si="1965">IF(AK227=AS$3,"",AS$3)</f>
        <v>Thomas</v>
      </c>
      <c r="AT227" s="28" t="str">
        <f t="shared" si="1965"/>
        <v/>
      </c>
      <c r="AU227" s="28" t="str">
        <f t="shared" si="1965"/>
        <v/>
      </c>
      <c r="AV227" s="28" t="str">
        <f t="shared" si="1965"/>
        <v>Christian</v>
      </c>
      <c r="AW227" s="56">
        <f t="shared" si="28"/>
        <v>2</v>
      </c>
      <c r="AX227" s="28">
        <f t="shared" si="29"/>
        <v>-96</v>
      </c>
      <c r="AY227" s="28" t="str">
        <f t="shared" ref="AY227:BB227" si="1966">IFNA(IFS(AY$3=$AP227,"",$AX227=U227,AY$3),"")</f>
        <v/>
      </c>
      <c r="AZ227" s="28" t="str">
        <f t="shared" si="1966"/>
        <v/>
      </c>
      <c r="BA227" s="28" t="str">
        <f t="shared" si="1966"/>
        <v/>
      </c>
      <c r="BB227" s="28" t="str">
        <f t="shared" si="1966"/>
        <v>Christian</v>
      </c>
      <c r="BC227" s="58">
        <f>OFFSET('00_Regnskab_01'!$A$1,MATCH(A227,'00_Regnskab_01'!$A$1:$A$25)-1,2)</f>
        <v>44106</v>
      </c>
      <c r="BE227" s="80">
        <f t="shared" ref="BE227:BH227" si="1967">if(U227&gt;0,1+BE226,0)</f>
        <v>0</v>
      </c>
      <c r="BF227" s="28">
        <f t="shared" si="1967"/>
        <v>2</v>
      </c>
      <c r="BG227" s="28">
        <f t="shared" si="1967"/>
        <v>4</v>
      </c>
      <c r="BH227" s="28">
        <f t="shared" si="1967"/>
        <v>0</v>
      </c>
      <c r="BJ227" s="28">
        <f t="shared" ref="BJ227:BM227" si="1968">if(U227&lt;0,1+BJ226,0)</f>
        <v>2</v>
      </c>
      <c r="BK227" s="28">
        <f t="shared" si="1968"/>
        <v>0</v>
      </c>
      <c r="BL227" s="28">
        <f t="shared" si="1968"/>
        <v>0</v>
      </c>
      <c r="BM227" s="28">
        <f t="shared" si="1968"/>
        <v>1</v>
      </c>
      <c r="BO227" s="74">
        <f t="shared" ref="BO227:BR227" si="1969">if(U227&gt;0,U227+BO226,0)</f>
        <v>0</v>
      </c>
      <c r="BP227" s="74">
        <f t="shared" si="1969"/>
        <v>104</v>
      </c>
      <c r="BQ227" s="74">
        <f t="shared" si="1969"/>
        <v>168</v>
      </c>
      <c r="BR227" s="74">
        <f t="shared" si="1969"/>
        <v>0</v>
      </c>
      <c r="BT227" s="28">
        <f t="shared" ref="BT227:BW227" si="1970">if(U227&lt;0,U227+BT226,0)</f>
        <v>-120</v>
      </c>
      <c r="BU227" s="28">
        <f t="shared" si="1970"/>
        <v>0</v>
      </c>
      <c r="BV227" s="28">
        <f t="shared" si="1970"/>
        <v>0</v>
      </c>
      <c r="BW227" s="28">
        <f t="shared" si="1970"/>
        <v>-96</v>
      </c>
    </row>
    <row r="228">
      <c r="A228" s="53">
        <v>14.0</v>
      </c>
      <c r="B228" s="28">
        <f>'14_02-10-2020'!A5</f>
        <v>3</v>
      </c>
      <c r="C228" s="75">
        <f>'14_02-10-2020'!B5</f>
        <v>-104</v>
      </c>
      <c r="D228" s="28">
        <f>'14_02-10-2020'!D5</f>
        <v>120</v>
      </c>
      <c r="E228" s="28">
        <f>'14_02-10-2020'!C5</f>
        <v>88</v>
      </c>
      <c r="F228" s="28">
        <f>'14_02-10-2020'!E5</f>
        <v>-104</v>
      </c>
      <c r="G228" s="28">
        <f>'14_02-10-2020'!F5</f>
        <v>0</v>
      </c>
      <c r="H228" s="28" t="str">
        <f>'14_02-10-2020'!H5</f>
        <v>Thomas</v>
      </c>
      <c r="J228" s="76" t="str">
        <f>'14_02-10-2020'!I5</f>
        <v>Christian</v>
      </c>
      <c r="K228" s="28" t="str">
        <f>'14_02-10-2020'!G5</f>
        <v>9. vip i 1. </v>
      </c>
      <c r="L228" s="56"/>
      <c r="M228" s="25">
        <v>9.0</v>
      </c>
      <c r="N228" s="25" t="s">
        <v>86</v>
      </c>
      <c r="O228" s="25">
        <v>1.0</v>
      </c>
      <c r="T228" s="56"/>
      <c r="U228" s="77">
        <f t="shared" ref="U228:X228" si="1971">C228-C227</f>
        <v>16</v>
      </c>
      <c r="V228" s="28">
        <f t="shared" si="1971"/>
        <v>16</v>
      </c>
      <c r="W228" s="28">
        <f t="shared" si="1971"/>
        <v>-16</v>
      </c>
      <c r="X228" s="28">
        <f t="shared" si="1971"/>
        <v>-16</v>
      </c>
      <c r="AB228" s="28">
        <f t="shared" ref="AB228:AE228" si="1972">IF(AB$3=$H228,U228,"")</f>
        <v>16</v>
      </c>
      <c r="AC228" s="28" t="str">
        <f t="shared" si="1972"/>
        <v/>
      </c>
      <c r="AD228" s="28" t="str">
        <f t="shared" si="1972"/>
        <v/>
      </c>
      <c r="AE228" s="28" t="str">
        <f t="shared" si="1972"/>
        <v/>
      </c>
      <c r="AH228" s="28">
        <f t="shared" si="22"/>
        <v>16</v>
      </c>
      <c r="AI228" s="28">
        <f t="shared" si="23"/>
        <v>0</v>
      </c>
      <c r="AK228" s="78" t="str">
        <f t="shared" ref="AK228:AN228" si="1973">IF(U228&gt;0,AK$3,"")</f>
        <v>Thomas</v>
      </c>
      <c r="AL228" s="78" t="str">
        <f t="shared" si="1973"/>
        <v>Peter</v>
      </c>
      <c r="AM228" s="78" t="str">
        <f t="shared" si="1973"/>
        <v/>
      </c>
      <c r="AN228" s="78" t="str">
        <f t="shared" si="1973"/>
        <v/>
      </c>
      <c r="AO228" s="56">
        <f t="shared" si="25"/>
        <v>2</v>
      </c>
      <c r="AP228" s="8" t="str">
        <f t="shared" si="26"/>
        <v>Thomas</v>
      </c>
      <c r="AQ228" s="73" t="str">
        <f>IFERROR(__xludf.DUMMYFUNCTION("IFNA(QUERY(transpose(AY228:BB228),""Select Col1 where Col1 is not null limit 1"",0))"),"Peter")</f>
        <v>Peter</v>
      </c>
      <c r="AR228" s="56"/>
      <c r="AS228" s="28" t="str">
        <f t="shared" ref="AS228:AV228" si="1974">IF(AK228=AS$3,"",AS$3)</f>
        <v/>
      </c>
      <c r="AT228" s="28" t="str">
        <f t="shared" si="1974"/>
        <v/>
      </c>
      <c r="AU228" s="28" t="str">
        <f t="shared" si="1974"/>
        <v>Janus</v>
      </c>
      <c r="AV228" s="28" t="str">
        <f t="shared" si="1974"/>
        <v>Christian</v>
      </c>
      <c r="AW228" s="56">
        <f t="shared" si="28"/>
        <v>2</v>
      </c>
      <c r="AX228" s="28">
        <f t="shared" si="29"/>
        <v>16</v>
      </c>
      <c r="AY228" s="28" t="str">
        <f t="shared" ref="AY228:BB228" si="1975">IFNA(IFS(AY$3=$AP228,"",$AX228=U228,AY$3),"")</f>
        <v/>
      </c>
      <c r="AZ228" s="28" t="str">
        <f t="shared" si="1975"/>
        <v>Peter</v>
      </c>
      <c r="BA228" s="28" t="str">
        <f t="shared" si="1975"/>
        <v/>
      </c>
      <c r="BB228" s="28" t="str">
        <f t="shared" si="1975"/>
        <v/>
      </c>
      <c r="BC228" s="58">
        <f>OFFSET('00_Regnskab_01'!$A$1,MATCH(A228,'00_Regnskab_01'!$A$1:$A$25)-1,2)</f>
        <v>44106</v>
      </c>
      <c r="BE228" s="80">
        <f t="shared" ref="BE228:BH228" si="1976">if(U228&gt;0,1+BE227,0)</f>
        <v>1</v>
      </c>
      <c r="BF228" s="28">
        <f t="shared" si="1976"/>
        <v>3</v>
      </c>
      <c r="BG228" s="28">
        <f t="shared" si="1976"/>
        <v>0</v>
      </c>
      <c r="BH228" s="28">
        <f t="shared" si="1976"/>
        <v>0</v>
      </c>
      <c r="BJ228" s="28">
        <f t="shared" ref="BJ228:BM228" si="1977">if(U228&lt;0,1+BJ227,0)</f>
        <v>0</v>
      </c>
      <c r="BK228" s="28">
        <f t="shared" si="1977"/>
        <v>0</v>
      </c>
      <c r="BL228" s="28">
        <f t="shared" si="1977"/>
        <v>1</v>
      </c>
      <c r="BM228" s="28">
        <f t="shared" si="1977"/>
        <v>2</v>
      </c>
      <c r="BO228" s="74">
        <f t="shared" ref="BO228:BR228" si="1978">if(U228&gt;0,U228+BO227,0)</f>
        <v>16</v>
      </c>
      <c r="BP228" s="74">
        <f t="shared" si="1978"/>
        <v>120</v>
      </c>
      <c r="BQ228" s="74">
        <f t="shared" si="1978"/>
        <v>0</v>
      </c>
      <c r="BR228" s="74">
        <f t="shared" si="1978"/>
        <v>0</v>
      </c>
      <c r="BT228" s="28">
        <f t="shared" ref="BT228:BW228" si="1979">if(U228&lt;0,U228+BT227,0)</f>
        <v>0</v>
      </c>
      <c r="BU228" s="28">
        <f t="shared" si="1979"/>
        <v>0</v>
      </c>
      <c r="BV228" s="28">
        <f t="shared" si="1979"/>
        <v>-16</v>
      </c>
      <c r="BW228" s="28">
        <f t="shared" si="1979"/>
        <v>-112</v>
      </c>
    </row>
    <row r="229">
      <c r="A229" s="53">
        <v>14.0</v>
      </c>
      <c r="B229" s="28">
        <f>'14_02-10-2020'!A6</f>
        <v>4</v>
      </c>
      <c r="C229" s="75">
        <f>'14_02-10-2020'!B6</f>
        <v>-136</v>
      </c>
      <c r="D229" s="28">
        <f>'14_02-10-2020'!D6</f>
        <v>88</v>
      </c>
      <c r="E229" s="28">
        <f>'14_02-10-2020'!C6</f>
        <v>120</v>
      </c>
      <c r="F229" s="28">
        <f>'14_02-10-2020'!E6</f>
        <v>-72</v>
      </c>
      <c r="G229" s="28">
        <f>'14_02-10-2020'!F6</f>
        <v>0</v>
      </c>
      <c r="H229" s="28" t="str">
        <f>'14_02-10-2020'!H6</f>
        <v>Janus</v>
      </c>
      <c r="J229" s="76" t="str">
        <f>'14_02-10-2020'!I6</f>
        <v>Thomas</v>
      </c>
      <c r="K229" s="28" t="str">
        <f>'14_02-10-2020'!G6</f>
        <v>9. vip i 3.</v>
      </c>
      <c r="L229" s="56"/>
      <c r="M229" s="25">
        <v>9.0</v>
      </c>
      <c r="N229" s="25" t="s">
        <v>86</v>
      </c>
      <c r="O229" s="25">
        <v>3.0</v>
      </c>
      <c r="T229" s="56"/>
      <c r="U229" s="77">
        <f t="shared" ref="U229:X229" si="1980">C229-C228</f>
        <v>-32</v>
      </c>
      <c r="V229" s="28">
        <f t="shared" si="1980"/>
        <v>-32</v>
      </c>
      <c r="W229" s="28">
        <f t="shared" si="1980"/>
        <v>32</v>
      </c>
      <c r="X229" s="28">
        <f t="shared" si="1980"/>
        <v>32</v>
      </c>
      <c r="AB229" s="28" t="str">
        <f t="shared" ref="AB229:AE229" si="1981">IF(AB$3=$H229,U229,"")</f>
        <v/>
      </c>
      <c r="AC229" s="28" t="str">
        <f t="shared" si="1981"/>
        <v/>
      </c>
      <c r="AD229" s="28">
        <f t="shared" si="1981"/>
        <v>32</v>
      </c>
      <c r="AE229" s="28" t="str">
        <f t="shared" si="1981"/>
        <v/>
      </c>
      <c r="AH229" s="28">
        <f t="shared" si="22"/>
        <v>32</v>
      </c>
      <c r="AI229" s="28">
        <f t="shared" si="23"/>
        <v>0</v>
      </c>
      <c r="AK229" s="78" t="str">
        <f t="shared" ref="AK229:AN229" si="1982">IF(U229&gt;0,AK$3,"")</f>
        <v/>
      </c>
      <c r="AL229" s="78" t="str">
        <f t="shared" si="1982"/>
        <v/>
      </c>
      <c r="AM229" s="78" t="str">
        <f t="shared" si="1982"/>
        <v>Janus</v>
      </c>
      <c r="AN229" s="78" t="str">
        <f t="shared" si="1982"/>
        <v>Christian</v>
      </c>
      <c r="AO229" s="56">
        <f t="shared" si="25"/>
        <v>2</v>
      </c>
      <c r="AP229" s="8" t="str">
        <f t="shared" si="26"/>
        <v>Janus</v>
      </c>
      <c r="AQ229" s="73" t="str">
        <f>IFERROR(__xludf.DUMMYFUNCTION("IFNA(QUERY(transpose(AY229:BB229),""Select Col1 where Col1 is not null limit 1"",0))"),"Christian")</f>
        <v>Christian</v>
      </c>
      <c r="AR229" s="56"/>
      <c r="AS229" s="28" t="str">
        <f t="shared" ref="AS229:AV229" si="1983">IF(AK229=AS$3,"",AS$3)</f>
        <v>Thomas</v>
      </c>
      <c r="AT229" s="28" t="str">
        <f t="shared" si="1983"/>
        <v>Peter</v>
      </c>
      <c r="AU229" s="28" t="str">
        <f t="shared" si="1983"/>
        <v/>
      </c>
      <c r="AV229" s="28" t="str">
        <f t="shared" si="1983"/>
        <v/>
      </c>
      <c r="AW229" s="56">
        <f t="shared" si="28"/>
        <v>2</v>
      </c>
      <c r="AX229" s="28">
        <f t="shared" si="29"/>
        <v>32</v>
      </c>
      <c r="AY229" s="28" t="str">
        <f t="shared" ref="AY229:BB229" si="1984">IFNA(IFS(AY$3=$AP229,"",$AX229=U229,AY$3),"")</f>
        <v/>
      </c>
      <c r="AZ229" s="28" t="str">
        <f t="shared" si="1984"/>
        <v/>
      </c>
      <c r="BA229" s="28" t="str">
        <f t="shared" si="1984"/>
        <v/>
      </c>
      <c r="BB229" s="28" t="str">
        <f t="shared" si="1984"/>
        <v>Christian</v>
      </c>
      <c r="BC229" s="58">
        <f>OFFSET('00_Regnskab_01'!$A$1,MATCH(A229,'00_Regnskab_01'!$A$1:$A$25)-1,2)</f>
        <v>44106</v>
      </c>
      <c r="BE229" s="80">
        <f t="shared" ref="BE229:BH229" si="1985">if(U229&gt;0,1+BE228,0)</f>
        <v>0</v>
      </c>
      <c r="BF229" s="28">
        <f t="shared" si="1985"/>
        <v>0</v>
      </c>
      <c r="BG229" s="28">
        <f t="shared" si="1985"/>
        <v>1</v>
      </c>
      <c r="BH229" s="28">
        <f t="shared" si="1985"/>
        <v>1</v>
      </c>
      <c r="BJ229" s="28">
        <f t="shared" ref="BJ229:BM229" si="1986">if(U229&lt;0,1+BJ228,0)</f>
        <v>1</v>
      </c>
      <c r="BK229" s="28">
        <f t="shared" si="1986"/>
        <v>1</v>
      </c>
      <c r="BL229" s="28">
        <f t="shared" si="1986"/>
        <v>0</v>
      </c>
      <c r="BM229" s="28">
        <f t="shared" si="1986"/>
        <v>0</v>
      </c>
      <c r="BO229" s="74">
        <f t="shared" ref="BO229:BR229" si="1987">if(U229&gt;0,U229+BO228,0)</f>
        <v>0</v>
      </c>
      <c r="BP229" s="74">
        <f t="shared" si="1987"/>
        <v>0</v>
      </c>
      <c r="BQ229" s="74">
        <f t="shared" si="1987"/>
        <v>32</v>
      </c>
      <c r="BR229" s="74">
        <f t="shared" si="1987"/>
        <v>32</v>
      </c>
      <c r="BT229" s="28">
        <f t="shared" ref="BT229:BW229" si="1988">if(U229&lt;0,U229+BT228,0)</f>
        <v>-32</v>
      </c>
      <c r="BU229" s="28">
        <f t="shared" si="1988"/>
        <v>-32</v>
      </c>
      <c r="BV229" s="28">
        <f t="shared" si="1988"/>
        <v>0</v>
      </c>
      <c r="BW229" s="28">
        <f t="shared" si="1988"/>
        <v>0</v>
      </c>
    </row>
    <row r="230">
      <c r="A230" s="53">
        <v>14.0</v>
      </c>
      <c r="B230" s="28">
        <f>'14_02-10-2020'!A7</f>
        <v>5</v>
      </c>
      <c r="C230" s="75">
        <f>'14_02-10-2020'!B7</f>
        <v>-140</v>
      </c>
      <c r="D230" s="28">
        <f>'14_02-10-2020'!D7</f>
        <v>84</v>
      </c>
      <c r="E230" s="28">
        <f>'14_02-10-2020'!C7</f>
        <v>116</v>
      </c>
      <c r="F230" s="28">
        <f>'14_02-10-2020'!E7</f>
        <v>-60</v>
      </c>
      <c r="G230" s="28">
        <f>'14_02-10-2020'!F7</f>
        <v>0</v>
      </c>
      <c r="H230" s="28" t="str">
        <f>'14_02-10-2020'!H7</f>
        <v>Christian</v>
      </c>
      <c r="J230" s="76" t="str">
        <f>'14_02-10-2020'!I7</f>
        <v>Janus</v>
      </c>
      <c r="K230" s="28" t="str">
        <f>'14_02-10-2020'!G7</f>
        <v>sol</v>
      </c>
      <c r="L230" s="56"/>
      <c r="N230" s="25" t="s">
        <v>99</v>
      </c>
      <c r="T230" s="56"/>
      <c r="U230" s="77">
        <f t="shared" ref="U230:X230" si="1989">C230-C229</f>
        <v>-4</v>
      </c>
      <c r="V230" s="28">
        <f t="shared" si="1989"/>
        <v>-4</v>
      </c>
      <c r="W230" s="28">
        <f t="shared" si="1989"/>
        <v>-4</v>
      </c>
      <c r="X230" s="28">
        <f t="shared" si="1989"/>
        <v>12</v>
      </c>
      <c r="AB230" s="28" t="str">
        <f t="shared" ref="AB230:AE230" si="1990">IF(AB$3=$H230,U230,"")</f>
        <v/>
      </c>
      <c r="AC230" s="28" t="str">
        <f t="shared" si="1990"/>
        <v/>
      </c>
      <c r="AD230" s="28" t="str">
        <f t="shared" si="1990"/>
        <v/>
      </c>
      <c r="AE230" s="28">
        <f t="shared" si="1990"/>
        <v>12</v>
      </c>
      <c r="AH230" s="28">
        <f t="shared" si="22"/>
        <v>12</v>
      </c>
      <c r="AI230" s="28">
        <f t="shared" si="23"/>
        <v>0</v>
      </c>
      <c r="AK230" s="78" t="str">
        <f t="shared" ref="AK230:AN230" si="1991">IF(U230&gt;0,AK$3,"")</f>
        <v/>
      </c>
      <c r="AL230" s="78" t="str">
        <f t="shared" si="1991"/>
        <v/>
      </c>
      <c r="AM230" s="78" t="str">
        <f t="shared" si="1991"/>
        <v/>
      </c>
      <c r="AN230" s="78" t="str">
        <f t="shared" si="1991"/>
        <v>Christian</v>
      </c>
      <c r="AO230" s="56">
        <f t="shared" si="25"/>
        <v>1</v>
      </c>
      <c r="AP230" s="8" t="str">
        <f t="shared" si="26"/>
        <v>Christian</v>
      </c>
      <c r="AQ230" s="73" t="str">
        <f>IFERROR(__xludf.DUMMYFUNCTION("IFNA(QUERY(transpose(AY230:BB230),""Select Col1 where Col1 is not null limit 1"",0))"),"")</f>
        <v/>
      </c>
      <c r="AR230" s="56"/>
      <c r="AS230" s="28" t="str">
        <f t="shared" ref="AS230:AV230" si="1992">IF(AK230=AS$3,"",AS$3)</f>
        <v>Thomas</v>
      </c>
      <c r="AT230" s="28" t="str">
        <f t="shared" si="1992"/>
        <v>Peter</v>
      </c>
      <c r="AU230" s="28" t="str">
        <f t="shared" si="1992"/>
        <v>Janus</v>
      </c>
      <c r="AV230" s="28" t="str">
        <f t="shared" si="1992"/>
        <v/>
      </c>
      <c r="AW230" s="56">
        <f t="shared" si="28"/>
        <v>3</v>
      </c>
      <c r="AX230" s="28">
        <f t="shared" si="29"/>
        <v>12</v>
      </c>
      <c r="AY230" s="28" t="str">
        <f t="shared" ref="AY230:BB230" si="1993">IFNA(IFS(AY$3=$AP230,"",$AX230=U230,AY$3),"")</f>
        <v/>
      </c>
      <c r="AZ230" s="28" t="str">
        <f t="shared" si="1993"/>
        <v/>
      </c>
      <c r="BA230" s="28" t="str">
        <f t="shared" si="1993"/>
        <v/>
      </c>
      <c r="BB230" s="28" t="str">
        <f t="shared" si="1993"/>
        <v/>
      </c>
      <c r="BC230" s="58">
        <f>OFFSET('00_Regnskab_01'!$A$1,MATCH(A230,'00_Regnskab_01'!$A$1:$A$25)-1,2)</f>
        <v>44106</v>
      </c>
      <c r="BE230" s="80">
        <f t="shared" ref="BE230:BH230" si="1994">if(U230&gt;0,1+BE229,0)</f>
        <v>0</v>
      </c>
      <c r="BF230" s="28">
        <f t="shared" si="1994"/>
        <v>0</v>
      </c>
      <c r="BG230" s="28">
        <f t="shared" si="1994"/>
        <v>0</v>
      </c>
      <c r="BH230" s="28">
        <f t="shared" si="1994"/>
        <v>2</v>
      </c>
      <c r="BJ230" s="28">
        <f t="shared" ref="BJ230:BM230" si="1995">if(U230&lt;0,1+BJ229,0)</f>
        <v>2</v>
      </c>
      <c r="BK230" s="28">
        <f t="shared" si="1995"/>
        <v>2</v>
      </c>
      <c r="BL230" s="28">
        <f t="shared" si="1995"/>
        <v>1</v>
      </c>
      <c r="BM230" s="28">
        <f t="shared" si="1995"/>
        <v>0</v>
      </c>
      <c r="BO230" s="74">
        <f t="shared" ref="BO230:BR230" si="1996">if(U230&gt;0,U230+BO229,0)</f>
        <v>0</v>
      </c>
      <c r="BP230" s="74">
        <f t="shared" si="1996"/>
        <v>0</v>
      </c>
      <c r="BQ230" s="74">
        <f t="shared" si="1996"/>
        <v>0</v>
      </c>
      <c r="BR230" s="74">
        <f t="shared" si="1996"/>
        <v>44</v>
      </c>
      <c r="BT230" s="28">
        <f t="shared" ref="BT230:BW230" si="1997">if(U230&lt;0,U230+BT229,0)</f>
        <v>-36</v>
      </c>
      <c r="BU230" s="28">
        <f t="shared" si="1997"/>
        <v>-36</v>
      </c>
      <c r="BV230" s="28">
        <f t="shared" si="1997"/>
        <v>-4</v>
      </c>
      <c r="BW230" s="28">
        <f t="shared" si="1997"/>
        <v>0</v>
      </c>
    </row>
    <row r="231">
      <c r="A231" s="53">
        <v>14.0</v>
      </c>
      <c r="B231" s="28">
        <f>'14_02-10-2020'!A8</f>
        <v>6</v>
      </c>
      <c r="C231" s="75">
        <f>'14_02-10-2020'!B8</f>
        <v>-172</v>
      </c>
      <c r="D231" s="28">
        <f>'14_02-10-2020'!D8</f>
        <v>116</v>
      </c>
      <c r="E231" s="28">
        <f>'14_02-10-2020'!C8</f>
        <v>148</v>
      </c>
      <c r="F231" s="28">
        <f>'14_02-10-2020'!E8</f>
        <v>-92</v>
      </c>
      <c r="G231" s="28">
        <f>'14_02-10-2020'!F8</f>
        <v>0</v>
      </c>
      <c r="H231" s="28" t="str">
        <f>'14_02-10-2020'!H8</f>
        <v>Thomas</v>
      </c>
      <c r="J231" s="76" t="str">
        <f>'14_02-10-2020'!I8</f>
        <v>Peter</v>
      </c>
      <c r="K231" s="28" t="str">
        <f>'14_02-10-2020'!G8</f>
        <v>10. Vip i 2.</v>
      </c>
      <c r="L231" s="56"/>
      <c r="M231" s="25">
        <v>10.0</v>
      </c>
      <c r="N231" s="25" t="s">
        <v>86</v>
      </c>
      <c r="O231" s="25">
        <v>2.0</v>
      </c>
      <c r="T231" s="56"/>
      <c r="U231" s="77">
        <f t="shared" ref="U231:X231" si="1998">C231-C230</f>
        <v>-32</v>
      </c>
      <c r="V231" s="28">
        <f t="shared" si="1998"/>
        <v>32</v>
      </c>
      <c r="W231" s="28">
        <f t="shared" si="1998"/>
        <v>32</v>
      </c>
      <c r="X231" s="28">
        <f t="shared" si="1998"/>
        <v>-32</v>
      </c>
      <c r="AB231" s="28">
        <f t="shared" ref="AB231:AE231" si="1999">IF(AB$3=$H231,U231,"")</f>
        <v>-32</v>
      </c>
      <c r="AC231" s="28" t="str">
        <f t="shared" si="1999"/>
        <v/>
      </c>
      <c r="AD231" s="28" t="str">
        <f t="shared" si="1999"/>
        <v/>
      </c>
      <c r="AE231" s="28" t="str">
        <f t="shared" si="1999"/>
        <v/>
      </c>
      <c r="AH231" s="28">
        <f t="shared" si="22"/>
        <v>0</v>
      </c>
      <c r="AI231" s="28">
        <f t="shared" si="23"/>
        <v>-32</v>
      </c>
      <c r="AK231" s="78" t="str">
        <f t="shared" ref="AK231:AN231" si="2000">IF(U231&gt;0,AK$3,"")</f>
        <v/>
      </c>
      <c r="AL231" s="78" t="str">
        <f t="shared" si="2000"/>
        <v>Peter</v>
      </c>
      <c r="AM231" s="78" t="str">
        <f t="shared" si="2000"/>
        <v>Janus</v>
      </c>
      <c r="AN231" s="78" t="str">
        <f t="shared" si="2000"/>
        <v/>
      </c>
      <c r="AO231" s="56">
        <f t="shared" si="25"/>
        <v>2</v>
      </c>
      <c r="AP231" s="8" t="str">
        <f t="shared" si="26"/>
        <v>Thomas</v>
      </c>
      <c r="AQ231" s="73" t="str">
        <f>IFERROR(__xludf.DUMMYFUNCTION("IFNA(QUERY(transpose(AY231:BB231),""Select Col1 where Col1 is not null limit 1"",0))"),"Christian")</f>
        <v>Christian</v>
      </c>
      <c r="AR231" s="56"/>
      <c r="AS231" s="28" t="str">
        <f t="shared" ref="AS231:AV231" si="2001">IF(AK231=AS$3,"",AS$3)</f>
        <v>Thomas</v>
      </c>
      <c r="AT231" s="28" t="str">
        <f t="shared" si="2001"/>
        <v/>
      </c>
      <c r="AU231" s="28" t="str">
        <f t="shared" si="2001"/>
        <v/>
      </c>
      <c r="AV231" s="28" t="str">
        <f t="shared" si="2001"/>
        <v>Christian</v>
      </c>
      <c r="AW231" s="56">
        <f t="shared" si="28"/>
        <v>2</v>
      </c>
      <c r="AX231" s="28">
        <f t="shared" si="29"/>
        <v>-32</v>
      </c>
      <c r="AY231" s="28" t="str">
        <f t="shared" ref="AY231:BB231" si="2002">IFNA(IFS(AY$3=$AP231,"",$AX231=U231,AY$3),"")</f>
        <v/>
      </c>
      <c r="AZ231" s="28" t="str">
        <f t="shared" si="2002"/>
        <v/>
      </c>
      <c r="BA231" s="28" t="str">
        <f t="shared" si="2002"/>
        <v/>
      </c>
      <c r="BB231" s="28" t="str">
        <f t="shared" si="2002"/>
        <v>Christian</v>
      </c>
      <c r="BC231" s="58">
        <f>OFFSET('00_Regnskab_01'!$A$1,MATCH(A231,'00_Regnskab_01'!$A$1:$A$25)-1,2)</f>
        <v>44106</v>
      </c>
      <c r="BE231" s="80">
        <f t="shared" ref="BE231:BH231" si="2003">if(U231&gt;0,1+BE230,0)</f>
        <v>0</v>
      </c>
      <c r="BF231" s="28">
        <f t="shared" si="2003"/>
        <v>1</v>
      </c>
      <c r="BG231" s="28">
        <f t="shared" si="2003"/>
        <v>1</v>
      </c>
      <c r="BH231" s="28">
        <f t="shared" si="2003"/>
        <v>0</v>
      </c>
      <c r="BJ231" s="28">
        <f t="shared" ref="BJ231:BM231" si="2004">if(U231&lt;0,1+BJ230,0)</f>
        <v>3</v>
      </c>
      <c r="BK231" s="28">
        <f t="shared" si="2004"/>
        <v>0</v>
      </c>
      <c r="BL231" s="28">
        <f t="shared" si="2004"/>
        <v>0</v>
      </c>
      <c r="BM231" s="28">
        <f t="shared" si="2004"/>
        <v>1</v>
      </c>
      <c r="BO231" s="74">
        <f t="shared" ref="BO231:BR231" si="2005">if(U231&gt;0,U231+BO230,0)</f>
        <v>0</v>
      </c>
      <c r="BP231" s="74">
        <f t="shared" si="2005"/>
        <v>32</v>
      </c>
      <c r="BQ231" s="74">
        <f t="shared" si="2005"/>
        <v>32</v>
      </c>
      <c r="BR231" s="74">
        <f t="shared" si="2005"/>
        <v>0</v>
      </c>
      <c r="BT231" s="28">
        <f t="shared" ref="BT231:BW231" si="2006">if(U231&lt;0,U231+BT230,0)</f>
        <v>-68</v>
      </c>
      <c r="BU231" s="28">
        <f t="shared" si="2006"/>
        <v>0</v>
      </c>
      <c r="BV231" s="28">
        <f t="shared" si="2006"/>
        <v>0</v>
      </c>
      <c r="BW231" s="28">
        <f t="shared" si="2006"/>
        <v>-32</v>
      </c>
    </row>
    <row r="232">
      <c r="A232" s="53">
        <v>14.0</v>
      </c>
      <c r="B232" s="28">
        <f>'14_02-10-2020'!A9</f>
        <v>7</v>
      </c>
      <c r="C232" s="75">
        <f>'14_02-10-2020'!B9</f>
        <v>-176</v>
      </c>
      <c r="D232" s="28">
        <f>'14_02-10-2020'!D9</f>
        <v>112</v>
      </c>
      <c r="E232" s="28">
        <f>'14_02-10-2020'!C9</f>
        <v>160</v>
      </c>
      <c r="F232" s="28">
        <f>'14_02-10-2020'!E9</f>
        <v>-96</v>
      </c>
      <c r="G232" s="28">
        <f>'14_02-10-2020'!F9</f>
        <v>0</v>
      </c>
      <c r="H232" s="28" t="str">
        <f>'14_02-10-2020'!H9</f>
        <v>Janus</v>
      </c>
      <c r="J232" s="76" t="str">
        <f>'14_02-10-2020'!I9</f>
        <v>Christian</v>
      </c>
      <c r="K232" s="28" t="str">
        <f>'14_02-10-2020'!G9</f>
        <v>sol</v>
      </c>
      <c r="L232" s="56"/>
      <c r="N232" s="25" t="s">
        <v>99</v>
      </c>
      <c r="T232" s="56"/>
      <c r="U232" s="77">
        <f t="shared" ref="U232:X232" si="2007">C232-C231</f>
        <v>-4</v>
      </c>
      <c r="V232" s="28">
        <f t="shared" si="2007"/>
        <v>-4</v>
      </c>
      <c r="W232" s="28">
        <f t="shared" si="2007"/>
        <v>12</v>
      </c>
      <c r="X232" s="28">
        <f t="shared" si="2007"/>
        <v>-4</v>
      </c>
      <c r="AB232" s="28" t="str">
        <f t="shared" ref="AB232:AE232" si="2008">IF(AB$3=$H232,U232,"")</f>
        <v/>
      </c>
      <c r="AC232" s="28" t="str">
        <f t="shared" si="2008"/>
        <v/>
      </c>
      <c r="AD232" s="28">
        <f t="shared" si="2008"/>
        <v>12</v>
      </c>
      <c r="AE232" s="28" t="str">
        <f t="shared" si="2008"/>
        <v/>
      </c>
      <c r="AH232" s="28">
        <f t="shared" si="22"/>
        <v>12</v>
      </c>
      <c r="AI232" s="28">
        <f t="shared" si="23"/>
        <v>0</v>
      </c>
      <c r="AK232" s="78" t="str">
        <f t="shared" ref="AK232:AN232" si="2009">IF(U232&gt;0,AK$3,"")</f>
        <v/>
      </c>
      <c r="AL232" s="78" t="str">
        <f t="shared" si="2009"/>
        <v/>
      </c>
      <c r="AM232" s="78" t="str">
        <f t="shared" si="2009"/>
        <v>Janus</v>
      </c>
      <c r="AN232" s="78" t="str">
        <f t="shared" si="2009"/>
        <v/>
      </c>
      <c r="AO232" s="56">
        <f t="shared" si="25"/>
        <v>1</v>
      </c>
      <c r="AP232" s="8" t="str">
        <f t="shared" si="26"/>
        <v>Janus</v>
      </c>
      <c r="AQ232" s="73" t="str">
        <f>IFERROR(__xludf.DUMMYFUNCTION("IFNA(QUERY(transpose(AY232:BB232),""Select Col1 where Col1 is not null limit 1"",0))"),"")</f>
        <v/>
      </c>
      <c r="AR232" s="56"/>
      <c r="AS232" s="28" t="str">
        <f t="shared" ref="AS232:AV232" si="2010">IF(AK232=AS$3,"",AS$3)</f>
        <v>Thomas</v>
      </c>
      <c r="AT232" s="28" t="str">
        <f t="shared" si="2010"/>
        <v>Peter</v>
      </c>
      <c r="AU232" s="28" t="str">
        <f t="shared" si="2010"/>
        <v/>
      </c>
      <c r="AV232" s="28" t="str">
        <f t="shared" si="2010"/>
        <v>Christian</v>
      </c>
      <c r="AW232" s="56">
        <f t="shared" si="28"/>
        <v>3</v>
      </c>
      <c r="AX232" s="28">
        <f t="shared" si="29"/>
        <v>12</v>
      </c>
      <c r="AY232" s="28" t="str">
        <f t="shared" ref="AY232:BB232" si="2011">IFNA(IFS(AY$3=$AP232,"",$AX232=U232,AY$3),"")</f>
        <v/>
      </c>
      <c r="AZ232" s="28" t="str">
        <f t="shared" si="2011"/>
        <v/>
      </c>
      <c r="BA232" s="28" t="str">
        <f t="shared" si="2011"/>
        <v/>
      </c>
      <c r="BB232" s="28" t="str">
        <f t="shared" si="2011"/>
        <v/>
      </c>
      <c r="BC232" s="58">
        <f>OFFSET('00_Regnskab_01'!$A$1,MATCH(A232,'00_Regnskab_01'!$A$1:$A$25)-1,2)</f>
        <v>44106</v>
      </c>
      <c r="BE232" s="80">
        <f t="shared" ref="BE232:BH232" si="2012">if(U232&gt;0,1+BE231,0)</f>
        <v>0</v>
      </c>
      <c r="BF232" s="28">
        <f t="shared" si="2012"/>
        <v>0</v>
      </c>
      <c r="BG232" s="28">
        <f t="shared" si="2012"/>
        <v>2</v>
      </c>
      <c r="BH232" s="28">
        <f t="shared" si="2012"/>
        <v>0</v>
      </c>
      <c r="BJ232" s="28">
        <f t="shared" ref="BJ232:BM232" si="2013">if(U232&lt;0,1+BJ231,0)</f>
        <v>4</v>
      </c>
      <c r="BK232" s="28">
        <f t="shared" si="2013"/>
        <v>1</v>
      </c>
      <c r="BL232" s="28">
        <f t="shared" si="2013"/>
        <v>0</v>
      </c>
      <c r="BM232" s="28">
        <f t="shared" si="2013"/>
        <v>2</v>
      </c>
      <c r="BO232" s="74">
        <f t="shared" ref="BO232:BR232" si="2014">if(U232&gt;0,U232+BO231,0)</f>
        <v>0</v>
      </c>
      <c r="BP232" s="74">
        <f t="shared" si="2014"/>
        <v>0</v>
      </c>
      <c r="BQ232" s="74">
        <f t="shared" si="2014"/>
        <v>44</v>
      </c>
      <c r="BR232" s="74">
        <f t="shared" si="2014"/>
        <v>0</v>
      </c>
      <c r="BT232" s="28">
        <f t="shared" ref="BT232:BW232" si="2015">if(U232&lt;0,U232+BT231,0)</f>
        <v>-72</v>
      </c>
      <c r="BU232" s="28">
        <f t="shared" si="2015"/>
        <v>-4</v>
      </c>
      <c r="BV232" s="28">
        <f t="shared" si="2015"/>
        <v>0</v>
      </c>
      <c r="BW232" s="28">
        <f t="shared" si="2015"/>
        <v>-36</v>
      </c>
    </row>
    <row r="233">
      <c r="A233" s="53">
        <v>14.0</v>
      </c>
      <c r="B233" s="28">
        <f>'14_02-10-2020'!A10</f>
        <v>8</v>
      </c>
      <c r="C233" s="75">
        <f>'14_02-10-2020'!B10</f>
        <v>-168</v>
      </c>
      <c r="D233" s="28">
        <f>'14_02-10-2020'!D10</f>
        <v>88</v>
      </c>
      <c r="E233" s="28">
        <f>'14_02-10-2020'!C10</f>
        <v>168</v>
      </c>
      <c r="F233" s="28">
        <f>'14_02-10-2020'!E10</f>
        <v>-88</v>
      </c>
      <c r="G233" s="28">
        <f>'14_02-10-2020'!F10</f>
        <v>0</v>
      </c>
      <c r="H233" s="28" t="str">
        <f>'14_02-10-2020'!H10</f>
        <v>Peter</v>
      </c>
      <c r="J233" s="76" t="str">
        <f>'14_02-10-2020'!I10</f>
        <v>Thomas</v>
      </c>
      <c r="K233" s="28" t="str">
        <f>'14_02-10-2020'!G10</f>
        <v>ren sol</v>
      </c>
      <c r="L233" s="56"/>
      <c r="N233" s="25" t="s">
        <v>97</v>
      </c>
      <c r="T233" s="56"/>
      <c r="U233" s="77">
        <f t="shared" ref="U233:X233" si="2016">C233-C232</f>
        <v>8</v>
      </c>
      <c r="V233" s="28">
        <f t="shared" si="2016"/>
        <v>-24</v>
      </c>
      <c r="W233" s="28">
        <f t="shared" si="2016"/>
        <v>8</v>
      </c>
      <c r="X233" s="28">
        <f t="shared" si="2016"/>
        <v>8</v>
      </c>
      <c r="AB233" s="28" t="str">
        <f t="shared" ref="AB233:AE233" si="2017">IF(AB$3=$H233,U233,"")</f>
        <v/>
      </c>
      <c r="AC233" s="28">
        <f t="shared" si="2017"/>
        <v>-24</v>
      </c>
      <c r="AD233" s="28" t="str">
        <f t="shared" si="2017"/>
        <v/>
      </c>
      <c r="AE233" s="28" t="str">
        <f t="shared" si="2017"/>
        <v/>
      </c>
      <c r="AH233" s="28">
        <f t="shared" si="22"/>
        <v>0</v>
      </c>
      <c r="AI233" s="28">
        <f t="shared" si="23"/>
        <v>-24</v>
      </c>
      <c r="AK233" s="78" t="str">
        <f t="shared" ref="AK233:AN233" si="2018">IF(U233&gt;0,AK$3,"")</f>
        <v>Thomas</v>
      </c>
      <c r="AL233" s="78" t="str">
        <f t="shared" si="2018"/>
        <v/>
      </c>
      <c r="AM233" s="78" t="str">
        <f t="shared" si="2018"/>
        <v>Janus</v>
      </c>
      <c r="AN233" s="78" t="str">
        <f t="shared" si="2018"/>
        <v>Christian</v>
      </c>
      <c r="AO233" s="56">
        <f t="shared" si="25"/>
        <v>3</v>
      </c>
      <c r="AP233" s="8" t="str">
        <f t="shared" si="26"/>
        <v>Peter</v>
      </c>
      <c r="AQ233" s="73" t="str">
        <f>IFERROR(__xludf.DUMMYFUNCTION("IFNA(QUERY(transpose(AY233:BB233),""Select Col1 where Col1 is not null limit 1"",0))"),"")</f>
        <v/>
      </c>
      <c r="AR233" s="56"/>
      <c r="AS233" s="28" t="str">
        <f t="shared" ref="AS233:AV233" si="2019">IF(AK233=AS$3,"",AS$3)</f>
        <v/>
      </c>
      <c r="AT233" s="28" t="str">
        <f t="shared" si="2019"/>
        <v>Peter</v>
      </c>
      <c r="AU233" s="28" t="str">
        <f t="shared" si="2019"/>
        <v/>
      </c>
      <c r="AV233" s="28" t="str">
        <f t="shared" si="2019"/>
        <v/>
      </c>
      <c r="AW233" s="56">
        <f t="shared" si="28"/>
        <v>1</v>
      </c>
      <c r="AX233" s="28">
        <f t="shared" si="29"/>
        <v>-24</v>
      </c>
      <c r="AY233" s="28" t="str">
        <f t="shared" ref="AY233:BB233" si="2020">IFNA(IFS(AY$3=$AP233,"",$AX233=U233,AY$3),"")</f>
        <v/>
      </c>
      <c r="AZ233" s="28" t="str">
        <f t="shared" si="2020"/>
        <v/>
      </c>
      <c r="BA233" s="28" t="str">
        <f t="shared" si="2020"/>
        <v/>
      </c>
      <c r="BB233" s="28" t="str">
        <f t="shared" si="2020"/>
        <v/>
      </c>
      <c r="BC233" s="58">
        <f>OFFSET('00_Regnskab_01'!$A$1,MATCH(A233,'00_Regnskab_01'!$A$1:$A$25)-1,2)</f>
        <v>44106</v>
      </c>
      <c r="BE233" s="80">
        <f t="shared" ref="BE233:BH233" si="2021">if(U233&gt;0,1+BE232,0)</f>
        <v>1</v>
      </c>
      <c r="BF233" s="28">
        <f t="shared" si="2021"/>
        <v>0</v>
      </c>
      <c r="BG233" s="28">
        <f t="shared" si="2021"/>
        <v>3</v>
      </c>
      <c r="BH233" s="28">
        <f t="shared" si="2021"/>
        <v>1</v>
      </c>
      <c r="BJ233" s="28">
        <f t="shared" ref="BJ233:BM233" si="2022">if(U233&lt;0,1+BJ232,0)</f>
        <v>0</v>
      </c>
      <c r="BK233" s="28">
        <f t="shared" si="2022"/>
        <v>2</v>
      </c>
      <c r="BL233" s="28">
        <f t="shared" si="2022"/>
        <v>0</v>
      </c>
      <c r="BM233" s="28">
        <f t="shared" si="2022"/>
        <v>0</v>
      </c>
      <c r="BO233" s="74">
        <f t="shared" ref="BO233:BR233" si="2023">if(U233&gt;0,U233+BO232,0)</f>
        <v>8</v>
      </c>
      <c r="BP233" s="74">
        <f t="shared" si="2023"/>
        <v>0</v>
      </c>
      <c r="BQ233" s="74">
        <f t="shared" si="2023"/>
        <v>52</v>
      </c>
      <c r="BR233" s="74">
        <f t="shared" si="2023"/>
        <v>8</v>
      </c>
      <c r="BT233" s="28">
        <f t="shared" ref="BT233:BW233" si="2024">if(U233&lt;0,U233+BT232,0)</f>
        <v>0</v>
      </c>
      <c r="BU233" s="28">
        <f t="shared" si="2024"/>
        <v>-28</v>
      </c>
      <c r="BV233" s="28">
        <f t="shared" si="2024"/>
        <v>0</v>
      </c>
      <c r="BW233" s="28">
        <f t="shared" si="2024"/>
        <v>0</v>
      </c>
    </row>
    <row r="234">
      <c r="A234" s="53">
        <v>14.0</v>
      </c>
      <c r="B234" s="28">
        <f>'14_02-10-2020'!A11</f>
        <v>9</v>
      </c>
      <c r="C234" s="75">
        <f>'14_02-10-2020'!B11</f>
        <v>-136</v>
      </c>
      <c r="D234" s="28">
        <f>'14_02-10-2020'!D11</f>
        <v>56</v>
      </c>
      <c r="E234" s="28">
        <f>'14_02-10-2020'!C11</f>
        <v>136</v>
      </c>
      <c r="F234" s="28">
        <f>'14_02-10-2020'!E11</f>
        <v>-56</v>
      </c>
      <c r="G234" s="28">
        <f>'14_02-10-2020'!F11</f>
        <v>0</v>
      </c>
      <c r="H234" s="28" t="str">
        <f>'14_02-10-2020'!H11</f>
        <v>Thomas</v>
      </c>
      <c r="J234" s="76" t="str">
        <f>'14_02-10-2020'!I11</f>
        <v>Janus</v>
      </c>
      <c r="K234" s="28" t="str">
        <f>'14_02-10-2020'!G11</f>
        <v>9 vip i 3</v>
      </c>
      <c r="L234" s="56"/>
      <c r="M234" s="25">
        <v>9.0</v>
      </c>
      <c r="N234" s="25" t="s">
        <v>86</v>
      </c>
      <c r="O234" s="25">
        <v>3.0</v>
      </c>
      <c r="T234" s="56"/>
      <c r="U234" s="77">
        <f t="shared" ref="U234:X234" si="2025">C234-C233</f>
        <v>32</v>
      </c>
      <c r="V234" s="28">
        <f t="shared" si="2025"/>
        <v>-32</v>
      </c>
      <c r="W234" s="28">
        <f t="shared" si="2025"/>
        <v>-32</v>
      </c>
      <c r="X234" s="28">
        <f t="shared" si="2025"/>
        <v>32</v>
      </c>
      <c r="AB234" s="28">
        <f t="shared" ref="AB234:AE234" si="2026">IF(AB$3=$H234,U234,"")</f>
        <v>32</v>
      </c>
      <c r="AC234" s="28" t="str">
        <f t="shared" si="2026"/>
        <v/>
      </c>
      <c r="AD234" s="28" t="str">
        <f t="shared" si="2026"/>
        <v/>
      </c>
      <c r="AE234" s="28" t="str">
        <f t="shared" si="2026"/>
        <v/>
      </c>
      <c r="AH234" s="28">
        <f t="shared" si="22"/>
        <v>32</v>
      </c>
      <c r="AI234" s="28">
        <f t="shared" si="23"/>
        <v>0</v>
      </c>
      <c r="AK234" s="78" t="str">
        <f t="shared" ref="AK234:AN234" si="2027">IF(U234&gt;0,AK$3,"")</f>
        <v>Thomas</v>
      </c>
      <c r="AL234" s="78" t="str">
        <f t="shared" si="2027"/>
        <v/>
      </c>
      <c r="AM234" s="78" t="str">
        <f t="shared" si="2027"/>
        <v/>
      </c>
      <c r="AN234" s="78" t="str">
        <f t="shared" si="2027"/>
        <v>Christian</v>
      </c>
      <c r="AO234" s="56">
        <f t="shared" si="25"/>
        <v>2</v>
      </c>
      <c r="AP234" s="8" t="str">
        <f t="shared" si="26"/>
        <v>Thomas</v>
      </c>
      <c r="AQ234" s="73" t="str">
        <f>IFERROR(__xludf.DUMMYFUNCTION("IFNA(QUERY(transpose(AY234:BB234),""Select Col1 where Col1 is not null limit 1"",0))"),"Christian")</f>
        <v>Christian</v>
      </c>
      <c r="AR234" s="56"/>
      <c r="AS234" s="28" t="str">
        <f t="shared" ref="AS234:AV234" si="2028">IF(AK234=AS$3,"",AS$3)</f>
        <v/>
      </c>
      <c r="AT234" s="28" t="str">
        <f t="shared" si="2028"/>
        <v>Peter</v>
      </c>
      <c r="AU234" s="28" t="str">
        <f t="shared" si="2028"/>
        <v>Janus</v>
      </c>
      <c r="AV234" s="28" t="str">
        <f t="shared" si="2028"/>
        <v/>
      </c>
      <c r="AW234" s="56">
        <f t="shared" si="28"/>
        <v>2</v>
      </c>
      <c r="AX234" s="28">
        <f t="shared" si="29"/>
        <v>32</v>
      </c>
      <c r="AY234" s="28" t="str">
        <f t="shared" ref="AY234:BB234" si="2029">IFNA(IFS(AY$3=$AP234,"",$AX234=U234,AY$3),"")</f>
        <v/>
      </c>
      <c r="AZ234" s="28" t="str">
        <f t="shared" si="2029"/>
        <v/>
      </c>
      <c r="BA234" s="28" t="str">
        <f t="shared" si="2029"/>
        <v/>
      </c>
      <c r="BB234" s="28" t="str">
        <f t="shared" si="2029"/>
        <v>Christian</v>
      </c>
      <c r="BC234" s="58">
        <f>OFFSET('00_Regnskab_01'!$A$1,MATCH(A234,'00_Regnskab_01'!$A$1:$A$25)-1,2)</f>
        <v>44106</v>
      </c>
      <c r="BE234" s="80">
        <f t="shared" ref="BE234:BH234" si="2030">if(U234&gt;0,1+BE233,0)</f>
        <v>2</v>
      </c>
      <c r="BF234" s="28">
        <f t="shared" si="2030"/>
        <v>0</v>
      </c>
      <c r="BG234" s="28">
        <f t="shared" si="2030"/>
        <v>0</v>
      </c>
      <c r="BH234" s="28">
        <f t="shared" si="2030"/>
        <v>2</v>
      </c>
      <c r="BJ234" s="28">
        <f t="shared" ref="BJ234:BM234" si="2031">if(U234&lt;0,1+BJ233,0)</f>
        <v>0</v>
      </c>
      <c r="BK234" s="28">
        <f t="shared" si="2031"/>
        <v>3</v>
      </c>
      <c r="BL234" s="28">
        <f t="shared" si="2031"/>
        <v>1</v>
      </c>
      <c r="BM234" s="28">
        <f t="shared" si="2031"/>
        <v>0</v>
      </c>
      <c r="BO234" s="74">
        <f t="shared" ref="BO234:BR234" si="2032">if(U234&gt;0,U234+BO233,0)</f>
        <v>40</v>
      </c>
      <c r="BP234" s="74">
        <f t="shared" si="2032"/>
        <v>0</v>
      </c>
      <c r="BQ234" s="74">
        <f t="shared" si="2032"/>
        <v>0</v>
      </c>
      <c r="BR234" s="74">
        <f t="shared" si="2032"/>
        <v>40</v>
      </c>
      <c r="BT234" s="28">
        <f t="shared" ref="BT234:BW234" si="2033">if(U234&lt;0,U234+BT233,0)</f>
        <v>0</v>
      </c>
      <c r="BU234" s="28">
        <f t="shared" si="2033"/>
        <v>-60</v>
      </c>
      <c r="BV234" s="28">
        <f t="shared" si="2033"/>
        <v>-32</v>
      </c>
      <c r="BW234" s="28">
        <f t="shared" si="2033"/>
        <v>0</v>
      </c>
    </row>
    <row r="235">
      <c r="A235" s="53">
        <v>14.0</v>
      </c>
      <c r="B235" s="28">
        <f>'14_02-10-2020'!A12</f>
        <v>10</v>
      </c>
      <c r="C235" s="75">
        <f>'14_02-10-2020'!B12</f>
        <v>-116</v>
      </c>
      <c r="D235" s="28">
        <f>'14_02-10-2020'!D12</f>
        <v>36</v>
      </c>
      <c r="E235" s="28">
        <f>'14_02-10-2020'!C12</f>
        <v>156</v>
      </c>
      <c r="F235" s="28">
        <f>'14_02-10-2020'!E12</f>
        <v>-76</v>
      </c>
      <c r="G235" s="28">
        <f>'14_02-10-2020'!F12</f>
        <v>0</v>
      </c>
      <c r="H235" s="28" t="str">
        <f>'14_02-10-2020'!H12</f>
        <v>Christian</v>
      </c>
      <c r="J235" s="76" t="str">
        <f>'14_02-10-2020'!I12</f>
        <v>Peter</v>
      </c>
      <c r="K235" s="28" t="str">
        <f>'14_02-10-2020'!G12</f>
        <v>9 halve</v>
      </c>
      <c r="L235" s="56"/>
      <c r="M235" s="25">
        <v>9.0</v>
      </c>
      <c r="N235" s="25" t="s">
        <v>94</v>
      </c>
      <c r="T235" s="56"/>
      <c r="U235" s="77">
        <f t="shared" ref="U235:X235" si="2034">C235-C234</f>
        <v>20</v>
      </c>
      <c r="V235" s="28">
        <f t="shared" si="2034"/>
        <v>-20</v>
      </c>
      <c r="W235" s="28">
        <f t="shared" si="2034"/>
        <v>20</v>
      </c>
      <c r="X235" s="28">
        <f t="shared" si="2034"/>
        <v>-20</v>
      </c>
      <c r="AB235" s="28" t="str">
        <f t="shared" ref="AB235:AE235" si="2035">IF(AB$3=$H235,U235,"")</f>
        <v/>
      </c>
      <c r="AC235" s="28" t="str">
        <f t="shared" si="2035"/>
        <v/>
      </c>
      <c r="AD235" s="28" t="str">
        <f t="shared" si="2035"/>
        <v/>
      </c>
      <c r="AE235" s="28">
        <f t="shared" si="2035"/>
        <v>-20</v>
      </c>
      <c r="AH235" s="28">
        <f t="shared" si="22"/>
        <v>0</v>
      </c>
      <c r="AI235" s="28">
        <f t="shared" si="23"/>
        <v>-20</v>
      </c>
      <c r="AK235" s="78" t="str">
        <f t="shared" ref="AK235:AN235" si="2036">IF(U235&gt;0,AK$3,"")</f>
        <v>Thomas</v>
      </c>
      <c r="AL235" s="78" t="str">
        <f t="shared" si="2036"/>
        <v/>
      </c>
      <c r="AM235" s="78" t="str">
        <f t="shared" si="2036"/>
        <v>Janus</v>
      </c>
      <c r="AN235" s="78" t="str">
        <f t="shared" si="2036"/>
        <v/>
      </c>
      <c r="AO235" s="56">
        <f t="shared" si="25"/>
        <v>2</v>
      </c>
      <c r="AP235" s="8" t="str">
        <f t="shared" si="26"/>
        <v>Christian</v>
      </c>
      <c r="AQ235" s="73" t="str">
        <f>IFERROR(__xludf.DUMMYFUNCTION("IFNA(QUERY(transpose(AY235:BB235),""Select Col1 where Col1 is not null limit 1"",0))"),"Peter")</f>
        <v>Peter</v>
      </c>
      <c r="AR235" s="56"/>
      <c r="AS235" s="28" t="str">
        <f t="shared" ref="AS235:AV235" si="2037">IF(AK235=AS$3,"",AS$3)</f>
        <v/>
      </c>
      <c r="AT235" s="28" t="str">
        <f t="shared" si="2037"/>
        <v>Peter</v>
      </c>
      <c r="AU235" s="28" t="str">
        <f t="shared" si="2037"/>
        <v/>
      </c>
      <c r="AV235" s="28" t="str">
        <f t="shared" si="2037"/>
        <v>Christian</v>
      </c>
      <c r="AW235" s="56">
        <f t="shared" si="28"/>
        <v>2</v>
      </c>
      <c r="AX235" s="28">
        <f t="shared" si="29"/>
        <v>-20</v>
      </c>
      <c r="AY235" s="28" t="str">
        <f t="shared" ref="AY235:BB235" si="2038">IFNA(IFS(AY$3=$AP235,"",$AX235=U235,AY$3),"")</f>
        <v/>
      </c>
      <c r="AZ235" s="28" t="str">
        <f t="shared" si="2038"/>
        <v>Peter</v>
      </c>
      <c r="BA235" s="28" t="str">
        <f t="shared" si="2038"/>
        <v/>
      </c>
      <c r="BB235" s="28" t="str">
        <f t="shared" si="2038"/>
        <v/>
      </c>
      <c r="BC235" s="58">
        <f>OFFSET('00_Regnskab_01'!$A$1,MATCH(A235,'00_Regnskab_01'!$A$1:$A$25)-1,2)</f>
        <v>44106</v>
      </c>
      <c r="BE235" s="80">
        <f t="shared" ref="BE235:BH235" si="2039">if(U235&gt;0,1+BE234,0)</f>
        <v>3</v>
      </c>
      <c r="BF235" s="28">
        <f t="shared" si="2039"/>
        <v>0</v>
      </c>
      <c r="BG235" s="28">
        <f t="shared" si="2039"/>
        <v>1</v>
      </c>
      <c r="BH235" s="28">
        <f t="shared" si="2039"/>
        <v>0</v>
      </c>
      <c r="BJ235" s="28">
        <f t="shared" ref="BJ235:BM235" si="2040">if(U235&lt;0,1+BJ234,0)</f>
        <v>0</v>
      </c>
      <c r="BK235" s="28">
        <f t="shared" si="2040"/>
        <v>4</v>
      </c>
      <c r="BL235" s="28">
        <f t="shared" si="2040"/>
        <v>0</v>
      </c>
      <c r="BM235" s="28">
        <f t="shared" si="2040"/>
        <v>1</v>
      </c>
      <c r="BO235" s="74">
        <f t="shared" ref="BO235:BR235" si="2041">if(U235&gt;0,U235+BO234,0)</f>
        <v>60</v>
      </c>
      <c r="BP235" s="74">
        <f t="shared" si="2041"/>
        <v>0</v>
      </c>
      <c r="BQ235" s="74">
        <f t="shared" si="2041"/>
        <v>20</v>
      </c>
      <c r="BR235" s="74">
        <f t="shared" si="2041"/>
        <v>0</v>
      </c>
      <c r="BT235" s="28">
        <f t="shared" ref="BT235:BW235" si="2042">if(U235&lt;0,U235+BT234,0)</f>
        <v>0</v>
      </c>
      <c r="BU235" s="28">
        <f t="shared" si="2042"/>
        <v>-80</v>
      </c>
      <c r="BV235" s="28">
        <f t="shared" si="2042"/>
        <v>0</v>
      </c>
      <c r="BW235" s="28">
        <f t="shared" si="2042"/>
        <v>-20</v>
      </c>
    </row>
    <row r="236">
      <c r="A236" s="53">
        <v>14.0</v>
      </c>
      <c r="B236" s="28">
        <f>'14_02-10-2020'!A13</f>
        <v>11</v>
      </c>
      <c r="C236" s="75">
        <f>'14_02-10-2020'!B13</f>
        <v>-132</v>
      </c>
      <c r="D236" s="28">
        <f>'14_02-10-2020'!D13</f>
        <v>52</v>
      </c>
      <c r="E236" s="28">
        <f>'14_02-10-2020'!C13</f>
        <v>172</v>
      </c>
      <c r="F236" s="28">
        <f>'14_02-10-2020'!E13</f>
        <v>-92</v>
      </c>
      <c r="G236" s="28">
        <f>'14_02-10-2020'!F13</f>
        <v>0</v>
      </c>
      <c r="H236" s="28" t="str">
        <f>'14_02-10-2020'!H13</f>
        <v>Janus</v>
      </c>
      <c r="J236" s="76" t="str">
        <f>'14_02-10-2020'!I13</f>
        <v>Christian</v>
      </c>
      <c r="K236" s="28" t="str">
        <f>'14_02-10-2020'!G13</f>
        <v>10 halve</v>
      </c>
      <c r="L236" s="56"/>
      <c r="M236" s="25">
        <v>10.0</v>
      </c>
      <c r="N236" s="25" t="s">
        <v>94</v>
      </c>
      <c r="T236" s="56"/>
      <c r="U236" s="77">
        <f t="shared" ref="U236:X236" si="2043">C236-C235</f>
        <v>-16</v>
      </c>
      <c r="V236" s="28">
        <f t="shared" si="2043"/>
        <v>16</v>
      </c>
      <c r="W236" s="28">
        <f t="shared" si="2043"/>
        <v>16</v>
      </c>
      <c r="X236" s="28">
        <f t="shared" si="2043"/>
        <v>-16</v>
      </c>
      <c r="AB236" s="28" t="str">
        <f t="shared" ref="AB236:AE236" si="2044">IF(AB$3=$H236,U236,"")</f>
        <v/>
      </c>
      <c r="AC236" s="28" t="str">
        <f t="shared" si="2044"/>
        <v/>
      </c>
      <c r="AD236" s="28">
        <f t="shared" si="2044"/>
        <v>16</v>
      </c>
      <c r="AE236" s="28" t="str">
        <f t="shared" si="2044"/>
        <v/>
      </c>
      <c r="AH236" s="28">
        <f t="shared" si="22"/>
        <v>16</v>
      </c>
      <c r="AI236" s="28">
        <f t="shared" si="23"/>
        <v>0</v>
      </c>
      <c r="AK236" s="78" t="str">
        <f t="shared" ref="AK236:AN236" si="2045">IF(U236&gt;0,AK$3,"")</f>
        <v/>
      </c>
      <c r="AL236" s="78" t="str">
        <f t="shared" si="2045"/>
        <v>Peter</v>
      </c>
      <c r="AM236" s="78" t="str">
        <f t="shared" si="2045"/>
        <v>Janus</v>
      </c>
      <c r="AN236" s="78" t="str">
        <f t="shared" si="2045"/>
        <v/>
      </c>
      <c r="AO236" s="56">
        <f t="shared" si="25"/>
        <v>2</v>
      </c>
      <c r="AP236" s="8" t="str">
        <f t="shared" si="26"/>
        <v>Janus</v>
      </c>
      <c r="AQ236" s="73" t="str">
        <f>IFERROR(__xludf.DUMMYFUNCTION("IFNA(QUERY(transpose(AY236:BB236),""Select Col1 where Col1 is not null limit 1"",0))"),"Peter")</f>
        <v>Peter</v>
      </c>
      <c r="AR236" s="56"/>
      <c r="AS236" s="28" t="str">
        <f t="shared" ref="AS236:AV236" si="2046">IF(AK236=AS$3,"",AS$3)</f>
        <v>Thomas</v>
      </c>
      <c r="AT236" s="28" t="str">
        <f t="shared" si="2046"/>
        <v/>
      </c>
      <c r="AU236" s="28" t="str">
        <f t="shared" si="2046"/>
        <v/>
      </c>
      <c r="AV236" s="28" t="str">
        <f t="shared" si="2046"/>
        <v>Christian</v>
      </c>
      <c r="AW236" s="56">
        <f t="shared" si="28"/>
        <v>2</v>
      </c>
      <c r="AX236" s="28">
        <f t="shared" si="29"/>
        <v>16</v>
      </c>
      <c r="AY236" s="28" t="str">
        <f t="shared" ref="AY236:BB236" si="2047">IFNA(IFS(AY$3=$AP236,"",$AX236=U236,AY$3),"")</f>
        <v/>
      </c>
      <c r="AZ236" s="28" t="str">
        <f t="shared" si="2047"/>
        <v>Peter</v>
      </c>
      <c r="BA236" s="28" t="str">
        <f t="shared" si="2047"/>
        <v/>
      </c>
      <c r="BB236" s="28" t="str">
        <f t="shared" si="2047"/>
        <v/>
      </c>
      <c r="BC236" s="58">
        <f>OFFSET('00_Regnskab_01'!$A$1,MATCH(A236,'00_Regnskab_01'!$A$1:$A$25)-1,2)</f>
        <v>44106</v>
      </c>
      <c r="BE236" s="80">
        <f t="shared" ref="BE236:BH236" si="2048">if(U236&gt;0,1+BE235,0)</f>
        <v>0</v>
      </c>
      <c r="BF236" s="28">
        <f t="shared" si="2048"/>
        <v>1</v>
      </c>
      <c r="BG236" s="28">
        <f t="shared" si="2048"/>
        <v>2</v>
      </c>
      <c r="BH236" s="28">
        <f t="shared" si="2048"/>
        <v>0</v>
      </c>
      <c r="BJ236" s="28">
        <f t="shared" ref="BJ236:BM236" si="2049">if(U236&lt;0,1+BJ235,0)</f>
        <v>1</v>
      </c>
      <c r="BK236" s="28">
        <f t="shared" si="2049"/>
        <v>0</v>
      </c>
      <c r="BL236" s="28">
        <f t="shared" si="2049"/>
        <v>0</v>
      </c>
      <c r="BM236" s="28">
        <f t="shared" si="2049"/>
        <v>2</v>
      </c>
      <c r="BO236" s="74">
        <f t="shared" ref="BO236:BR236" si="2050">if(U236&gt;0,U236+BO235,0)</f>
        <v>0</v>
      </c>
      <c r="BP236" s="74">
        <f t="shared" si="2050"/>
        <v>16</v>
      </c>
      <c r="BQ236" s="74">
        <f t="shared" si="2050"/>
        <v>36</v>
      </c>
      <c r="BR236" s="74">
        <f t="shared" si="2050"/>
        <v>0</v>
      </c>
      <c r="BT236" s="28">
        <f t="shared" ref="BT236:BW236" si="2051">if(U236&lt;0,U236+BT235,0)</f>
        <v>-16</v>
      </c>
      <c r="BU236" s="28">
        <f t="shared" si="2051"/>
        <v>0</v>
      </c>
      <c r="BV236" s="28">
        <f t="shared" si="2051"/>
        <v>0</v>
      </c>
      <c r="BW236" s="28">
        <f t="shared" si="2051"/>
        <v>-36</v>
      </c>
    </row>
    <row r="237">
      <c r="A237" s="53">
        <v>14.0</v>
      </c>
      <c r="B237" s="28">
        <f>'14_02-10-2020'!A14</f>
        <v>12</v>
      </c>
      <c r="C237" s="75">
        <f>'14_02-10-2020'!B14</f>
        <v>-116</v>
      </c>
      <c r="D237" s="28">
        <f>'14_02-10-2020'!D14</f>
        <v>68</v>
      </c>
      <c r="E237" s="28">
        <f>'14_02-10-2020'!C14</f>
        <v>188</v>
      </c>
      <c r="F237" s="28">
        <f>'14_02-10-2020'!E14</f>
        <v>-140</v>
      </c>
      <c r="G237" s="28">
        <f>'14_02-10-2020'!F14</f>
        <v>0</v>
      </c>
      <c r="H237" s="28" t="str">
        <f>'14_02-10-2020'!H14</f>
        <v>Christian</v>
      </c>
      <c r="J237" s="76" t="str">
        <f>'14_02-10-2020'!I14</f>
        <v>Thomas</v>
      </c>
      <c r="K237" s="28" t="str">
        <f>'14_02-10-2020'!G14</f>
        <v>Halv bordlægning</v>
      </c>
      <c r="L237" s="56"/>
      <c r="N237" s="25" t="s">
        <v>101</v>
      </c>
      <c r="T237" s="56"/>
      <c r="U237" s="77">
        <f t="shared" ref="U237:X237" si="2052">C237-C236</f>
        <v>16</v>
      </c>
      <c r="V237" s="28">
        <f t="shared" si="2052"/>
        <v>16</v>
      </c>
      <c r="W237" s="28">
        <f t="shared" si="2052"/>
        <v>16</v>
      </c>
      <c r="X237" s="28">
        <f t="shared" si="2052"/>
        <v>-48</v>
      </c>
      <c r="AB237" s="28" t="str">
        <f t="shared" ref="AB237:AE237" si="2053">IF(AB$3=$H237,U237,"")</f>
        <v/>
      </c>
      <c r="AC237" s="28" t="str">
        <f t="shared" si="2053"/>
        <v/>
      </c>
      <c r="AD237" s="28" t="str">
        <f t="shared" si="2053"/>
        <v/>
      </c>
      <c r="AE237" s="28">
        <f t="shared" si="2053"/>
        <v>-48</v>
      </c>
      <c r="AH237" s="28">
        <f t="shared" si="22"/>
        <v>0</v>
      </c>
      <c r="AI237" s="28">
        <f t="shared" si="23"/>
        <v>-48</v>
      </c>
      <c r="AK237" s="78" t="str">
        <f t="shared" ref="AK237:AN237" si="2054">IF(U237&gt;0,AK$3,"")</f>
        <v>Thomas</v>
      </c>
      <c r="AL237" s="78" t="str">
        <f t="shared" si="2054"/>
        <v>Peter</v>
      </c>
      <c r="AM237" s="78" t="str">
        <f t="shared" si="2054"/>
        <v>Janus</v>
      </c>
      <c r="AN237" s="78" t="str">
        <f t="shared" si="2054"/>
        <v/>
      </c>
      <c r="AO237" s="56">
        <f t="shared" si="25"/>
        <v>3</v>
      </c>
      <c r="AP237" s="8" t="str">
        <f t="shared" si="26"/>
        <v>Christian</v>
      </c>
      <c r="AQ237" s="73" t="str">
        <f>IFERROR(__xludf.DUMMYFUNCTION("IFNA(QUERY(transpose(AY237:BB237),""Select Col1 where Col1 is not null limit 1"",0))"),"")</f>
        <v/>
      </c>
      <c r="AR237" s="56"/>
      <c r="AS237" s="28" t="str">
        <f t="shared" ref="AS237:AV237" si="2055">IF(AK237=AS$3,"",AS$3)</f>
        <v/>
      </c>
      <c r="AT237" s="28" t="str">
        <f t="shared" si="2055"/>
        <v/>
      </c>
      <c r="AU237" s="28" t="str">
        <f t="shared" si="2055"/>
        <v/>
      </c>
      <c r="AV237" s="28" t="str">
        <f t="shared" si="2055"/>
        <v>Christian</v>
      </c>
      <c r="AW237" s="56">
        <f t="shared" si="28"/>
        <v>1</v>
      </c>
      <c r="AX237" s="28">
        <f t="shared" si="29"/>
        <v>-48</v>
      </c>
      <c r="AY237" s="28" t="str">
        <f t="shared" ref="AY237:BB237" si="2056">IFNA(IFS(AY$3=$AP237,"",$AX237=U237,AY$3),"")</f>
        <v/>
      </c>
      <c r="AZ237" s="28" t="str">
        <f t="shared" si="2056"/>
        <v/>
      </c>
      <c r="BA237" s="28" t="str">
        <f t="shared" si="2056"/>
        <v/>
      </c>
      <c r="BB237" s="28" t="str">
        <f t="shared" si="2056"/>
        <v/>
      </c>
      <c r="BC237" s="58">
        <f>OFFSET('00_Regnskab_01'!$A$1,MATCH(A237,'00_Regnskab_01'!$A$1:$A$25)-1,2)</f>
        <v>44106</v>
      </c>
      <c r="BE237" s="80">
        <f t="shared" ref="BE237:BH237" si="2057">if(U237&gt;0,1+BE236,0)</f>
        <v>1</v>
      </c>
      <c r="BF237" s="28">
        <f t="shared" si="2057"/>
        <v>2</v>
      </c>
      <c r="BG237" s="28">
        <f t="shared" si="2057"/>
        <v>3</v>
      </c>
      <c r="BH237" s="28">
        <f t="shared" si="2057"/>
        <v>0</v>
      </c>
      <c r="BJ237" s="28">
        <f t="shared" ref="BJ237:BM237" si="2058">if(U237&lt;0,1+BJ236,0)</f>
        <v>0</v>
      </c>
      <c r="BK237" s="28">
        <f t="shared" si="2058"/>
        <v>0</v>
      </c>
      <c r="BL237" s="28">
        <f t="shared" si="2058"/>
        <v>0</v>
      </c>
      <c r="BM237" s="28">
        <f t="shared" si="2058"/>
        <v>3</v>
      </c>
      <c r="BO237" s="74">
        <f t="shared" ref="BO237:BR237" si="2059">if(U237&gt;0,U237+BO236,0)</f>
        <v>16</v>
      </c>
      <c r="BP237" s="74">
        <f t="shared" si="2059"/>
        <v>32</v>
      </c>
      <c r="BQ237" s="74">
        <f t="shared" si="2059"/>
        <v>52</v>
      </c>
      <c r="BR237" s="74">
        <f t="shared" si="2059"/>
        <v>0</v>
      </c>
      <c r="BT237" s="28">
        <f t="shared" ref="BT237:BW237" si="2060">if(U237&lt;0,U237+BT236,0)</f>
        <v>0</v>
      </c>
      <c r="BU237" s="28">
        <f t="shared" si="2060"/>
        <v>0</v>
      </c>
      <c r="BV237" s="28">
        <f t="shared" si="2060"/>
        <v>0</v>
      </c>
      <c r="BW237" s="28">
        <f t="shared" si="2060"/>
        <v>-84</v>
      </c>
    </row>
    <row r="238">
      <c r="A238" s="53">
        <v>14.0</v>
      </c>
      <c r="B238" s="28">
        <f>'14_02-10-2020'!A15</f>
        <v>13</v>
      </c>
      <c r="C238" s="75">
        <f>'14_02-10-2020'!B15</f>
        <v>-140</v>
      </c>
      <c r="D238" s="28">
        <f>'14_02-10-2020'!D15</f>
        <v>76</v>
      </c>
      <c r="E238" s="28">
        <f>'14_02-10-2020'!C15</f>
        <v>196</v>
      </c>
      <c r="F238" s="28">
        <f>'14_02-10-2020'!E15</f>
        <v>-132</v>
      </c>
      <c r="G238" s="28">
        <f>'14_02-10-2020'!F15</f>
        <v>0</v>
      </c>
      <c r="H238" s="28" t="str">
        <f>'14_02-10-2020'!H15</f>
        <v>Thomas</v>
      </c>
      <c r="J238" s="76" t="str">
        <f>'14_02-10-2020'!I15</f>
        <v>Janus</v>
      </c>
      <c r="K238" s="28" t="str">
        <f>'14_02-10-2020'!G15</f>
        <v>ren sol</v>
      </c>
      <c r="L238" s="56"/>
      <c r="N238" s="25" t="s">
        <v>97</v>
      </c>
      <c r="T238" s="56"/>
      <c r="U238" s="77">
        <f t="shared" ref="U238:X238" si="2061">C238-C237</f>
        <v>-24</v>
      </c>
      <c r="V238" s="28">
        <f t="shared" si="2061"/>
        <v>8</v>
      </c>
      <c r="W238" s="28">
        <f t="shared" si="2061"/>
        <v>8</v>
      </c>
      <c r="X238" s="28">
        <f t="shared" si="2061"/>
        <v>8</v>
      </c>
      <c r="AB238" s="28">
        <f t="shared" ref="AB238:AE238" si="2062">IF(AB$3=$H238,U238,"")</f>
        <v>-24</v>
      </c>
      <c r="AC238" s="28" t="str">
        <f t="shared" si="2062"/>
        <v/>
      </c>
      <c r="AD238" s="28" t="str">
        <f t="shared" si="2062"/>
        <v/>
      </c>
      <c r="AE238" s="28" t="str">
        <f t="shared" si="2062"/>
        <v/>
      </c>
      <c r="AH238" s="28">
        <f t="shared" si="22"/>
        <v>0</v>
      </c>
      <c r="AI238" s="28">
        <f t="shared" si="23"/>
        <v>-24</v>
      </c>
      <c r="AK238" s="78" t="str">
        <f t="shared" ref="AK238:AN238" si="2063">IF(U238&gt;0,AK$3,"")</f>
        <v/>
      </c>
      <c r="AL238" s="78" t="str">
        <f t="shared" si="2063"/>
        <v>Peter</v>
      </c>
      <c r="AM238" s="78" t="str">
        <f t="shared" si="2063"/>
        <v>Janus</v>
      </c>
      <c r="AN238" s="78" t="str">
        <f t="shared" si="2063"/>
        <v>Christian</v>
      </c>
      <c r="AO238" s="56">
        <f t="shared" si="25"/>
        <v>3</v>
      </c>
      <c r="AP238" s="8" t="str">
        <f t="shared" si="26"/>
        <v>Thomas</v>
      </c>
      <c r="AQ238" s="73" t="str">
        <f>IFERROR(__xludf.DUMMYFUNCTION("IFNA(QUERY(transpose(AY238:BB238),""Select Col1 where Col1 is not null limit 1"",0))"),"")</f>
        <v/>
      </c>
      <c r="AR238" s="56"/>
      <c r="AS238" s="28" t="str">
        <f t="shared" ref="AS238:AV238" si="2064">IF(AK238=AS$3,"",AS$3)</f>
        <v>Thomas</v>
      </c>
      <c r="AT238" s="28" t="str">
        <f t="shared" si="2064"/>
        <v/>
      </c>
      <c r="AU238" s="28" t="str">
        <f t="shared" si="2064"/>
        <v/>
      </c>
      <c r="AV238" s="28" t="str">
        <f t="shared" si="2064"/>
        <v/>
      </c>
      <c r="AW238" s="56">
        <f t="shared" si="28"/>
        <v>1</v>
      </c>
      <c r="AX238" s="28">
        <f t="shared" si="29"/>
        <v>-24</v>
      </c>
      <c r="AY238" s="28" t="str">
        <f t="shared" ref="AY238:BB238" si="2065">IFNA(IFS(AY$3=$AP238,"",$AX238=U238,AY$3),"")</f>
        <v/>
      </c>
      <c r="AZ238" s="28" t="str">
        <f t="shared" si="2065"/>
        <v/>
      </c>
      <c r="BA238" s="28" t="str">
        <f t="shared" si="2065"/>
        <v/>
      </c>
      <c r="BB238" s="28" t="str">
        <f t="shared" si="2065"/>
        <v/>
      </c>
      <c r="BC238" s="58">
        <f>OFFSET('00_Regnskab_01'!$A$1,MATCH(A238,'00_Regnskab_01'!$A$1:$A$25)-1,2)</f>
        <v>44106</v>
      </c>
      <c r="BE238" s="80">
        <f t="shared" ref="BE238:BH238" si="2066">if(U238&gt;0,1+BE237,0)</f>
        <v>0</v>
      </c>
      <c r="BF238" s="28">
        <f t="shared" si="2066"/>
        <v>3</v>
      </c>
      <c r="BG238" s="28">
        <f t="shared" si="2066"/>
        <v>4</v>
      </c>
      <c r="BH238" s="28">
        <f t="shared" si="2066"/>
        <v>1</v>
      </c>
      <c r="BJ238" s="28">
        <f t="shared" ref="BJ238:BM238" si="2067">if(U238&lt;0,1+BJ237,0)</f>
        <v>1</v>
      </c>
      <c r="BK238" s="28">
        <f t="shared" si="2067"/>
        <v>0</v>
      </c>
      <c r="BL238" s="28">
        <f t="shared" si="2067"/>
        <v>0</v>
      </c>
      <c r="BM238" s="28">
        <f t="shared" si="2067"/>
        <v>0</v>
      </c>
      <c r="BO238" s="74">
        <f t="shared" ref="BO238:BR238" si="2068">if(U238&gt;0,U238+BO237,0)</f>
        <v>0</v>
      </c>
      <c r="BP238" s="74">
        <f t="shared" si="2068"/>
        <v>40</v>
      </c>
      <c r="BQ238" s="74">
        <f t="shared" si="2068"/>
        <v>60</v>
      </c>
      <c r="BR238" s="74">
        <f t="shared" si="2068"/>
        <v>8</v>
      </c>
      <c r="BT238" s="28">
        <f t="shared" ref="BT238:BW238" si="2069">if(U238&lt;0,U238+BT237,0)</f>
        <v>-24</v>
      </c>
      <c r="BU238" s="28">
        <f t="shared" si="2069"/>
        <v>0</v>
      </c>
      <c r="BV238" s="28">
        <f t="shared" si="2069"/>
        <v>0</v>
      </c>
      <c r="BW238" s="28">
        <f t="shared" si="2069"/>
        <v>0</v>
      </c>
    </row>
    <row r="239">
      <c r="A239" s="53">
        <v>14.0</v>
      </c>
      <c r="B239" s="28">
        <f>'14_02-10-2020'!A16</f>
        <v>14</v>
      </c>
      <c r="C239" s="75">
        <f>'14_02-10-2020'!B16</f>
        <v>-132</v>
      </c>
      <c r="D239" s="28">
        <f>'14_02-10-2020'!D16</f>
        <v>68</v>
      </c>
      <c r="E239" s="28">
        <f>'14_02-10-2020'!C16</f>
        <v>204</v>
      </c>
      <c r="F239" s="28">
        <f>'14_02-10-2020'!E16</f>
        <v>-140</v>
      </c>
      <c r="G239" s="28">
        <f>'14_02-10-2020'!F16</f>
        <v>0</v>
      </c>
      <c r="H239" s="28" t="str">
        <f>'14_02-10-2020'!H16</f>
        <v>Thomas</v>
      </c>
      <c r="J239" s="76" t="str">
        <f>'14_02-10-2020'!I16</f>
        <v>Peter</v>
      </c>
      <c r="K239" s="28" t="str">
        <f>'14_02-10-2020'!G16</f>
        <v>9 gode</v>
      </c>
      <c r="L239" s="56"/>
      <c r="M239" s="25">
        <v>9.0</v>
      </c>
      <c r="N239" s="25" t="s">
        <v>95</v>
      </c>
      <c r="T239" s="56"/>
      <c r="U239" s="77">
        <f t="shared" ref="U239:X239" si="2070">C239-C238</f>
        <v>8</v>
      </c>
      <c r="V239" s="28">
        <f t="shared" si="2070"/>
        <v>-8</v>
      </c>
      <c r="W239" s="28">
        <f t="shared" si="2070"/>
        <v>8</v>
      </c>
      <c r="X239" s="28">
        <f t="shared" si="2070"/>
        <v>-8</v>
      </c>
      <c r="AB239" s="28">
        <f t="shared" ref="AB239:AE239" si="2071">IF(AB$3=$H239,U239,"")</f>
        <v>8</v>
      </c>
      <c r="AC239" s="28" t="str">
        <f t="shared" si="2071"/>
        <v/>
      </c>
      <c r="AD239" s="28" t="str">
        <f t="shared" si="2071"/>
        <v/>
      </c>
      <c r="AE239" s="28" t="str">
        <f t="shared" si="2071"/>
        <v/>
      </c>
      <c r="AH239" s="28">
        <f t="shared" si="22"/>
        <v>8</v>
      </c>
      <c r="AI239" s="28">
        <f t="shared" si="23"/>
        <v>0</v>
      </c>
      <c r="AK239" s="78" t="str">
        <f t="shared" ref="AK239:AN239" si="2072">IF(U239&gt;0,AK$3,"")</f>
        <v>Thomas</v>
      </c>
      <c r="AL239" s="78" t="str">
        <f t="shared" si="2072"/>
        <v/>
      </c>
      <c r="AM239" s="78" t="str">
        <f t="shared" si="2072"/>
        <v>Janus</v>
      </c>
      <c r="AN239" s="78" t="str">
        <f t="shared" si="2072"/>
        <v/>
      </c>
      <c r="AO239" s="56">
        <f t="shared" si="25"/>
        <v>2</v>
      </c>
      <c r="AP239" s="8" t="str">
        <f t="shared" si="26"/>
        <v>Thomas</v>
      </c>
      <c r="AQ239" s="73" t="str">
        <f>IFERROR(__xludf.DUMMYFUNCTION("IFNA(QUERY(transpose(AY239:BB239),""Select Col1 where Col1 is not null limit 1"",0))"),"Janus")</f>
        <v>Janus</v>
      </c>
      <c r="AR239" s="56"/>
      <c r="AS239" s="28" t="str">
        <f t="shared" ref="AS239:AV239" si="2073">IF(AK239=AS$3,"",AS$3)</f>
        <v/>
      </c>
      <c r="AT239" s="28" t="str">
        <f t="shared" si="2073"/>
        <v>Peter</v>
      </c>
      <c r="AU239" s="28" t="str">
        <f t="shared" si="2073"/>
        <v/>
      </c>
      <c r="AV239" s="28" t="str">
        <f t="shared" si="2073"/>
        <v>Christian</v>
      </c>
      <c r="AW239" s="56">
        <f t="shared" si="28"/>
        <v>2</v>
      </c>
      <c r="AX239" s="28">
        <f t="shared" si="29"/>
        <v>8</v>
      </c>
      <c r="AY239" s="28" t="str">
        <f t="shared" ref="AY239:BB239" si="2074">IFNA(IFS(AY$3=$AP239,"",$AX239=U239,AY$3),"")</f>
        <v/>
      </c>
      <c r="AZ239" s="28" t="str">
        <f t="shared" si="2074"/>
        <v/>
      </c>
      <c r="BA239" s="28" t="str">
        <f t="shared" si="2074"/>
        <v>Janus</v>
      </c>
      <c r="BB239" s="28" t="str">
        <f t="shared" si="2074"/>
        <v/>
      </c>
      <c r="BC239" s="58">
        <f>OFFSET('00_Regnskab_01'!$A$1,MATCH(A239,'00_Regnskab_01'!$A$1:$A$25)-1,2)</f>
        <v>44106</v>
      </c>
      <c r="BE239" s="80">
        <f t="shared" ref="BE239:BH239" si="2075">if(U239&gt;0,1+BE238,0)</f>
        <v>1</v>
      </c>
      <c r="BF239" s="28">
        <f t="shared" si="2075"/>
        <v>0</v>
      </c>
      <c r="BG239" s="28">
        <f t="shared" si="2075"/>
        <v>5</v>
      </c>
      <c r="BH239" s="28">
        <f t="shared" si="2075"/>
        <v>0</v>
      </c>
      <c r="BJ239" s="28">
        <f t="shared" ref="BJ239:BM239" si="2076">if(U239&lt;0,1+BJ238,0)</f>
        <v>0</v>
      </c>
      <c r="BK239" s="28">
        <f t="shared" si="2076"/>
        <v>1</v>
      </c>
      <c r="BL239" s="28">
        <f t="shared" si="2076"/>
        <v>0</v>
      </c>
      <c r="BM239" s="28">
        <f t="shared" si="2076"/>
        <v>1</v>
      </c>
      <c r="BO239" s="74">
        <f t="shared" ref="BO239:BR239" si="2077">if(U239&gt;0,U239+BO238,0)</f>
        <v>8</v>
      </c>
      <c r="BP239" s="74">
        <f t="shared" si="2077"/>
        <v>0</v>
      </c>
      <c r="BQ239" s="74">
        <f t="shared" si="2077"/>
        <v>68</v>
      </c>
      <c r="BR239" s="74">
        <f t="shared" si="2077"/>
        <v>0</v>
      </c>
      <c r="BT239" s="28">
        <f t="shared" ref="BT239:BW239" si="2078">if(U239&lt;0,U239+BT238,0)</f>
        <v>0</v>
      </c>
      <c r="BU239" s="28">
        <f t="shared" si="2078"/>
        <v>-8</v>
      </c>
      <c r="BV239" s="28">
        <f t="shared" si="2078"/>
        <v>0</v>
      </c>
      <c r="BW239" s="28">
        <f t="shared" si="2078"/>
        <v>-8</v>
      </c>
    </row>
    <row r="240">
      <c r="A240" s="53">
        <v>14.0</v>
      </c>
      <c r="B240" s="28">
        <f>'14_02-10-2020'!A17</f>
        <v>15</v>
      </c>
      <c r="C240" s="75">
        <f>'14_02-10-2020'!B17</f>
        <v>-124</v>
      </c>
      <c r="D240" s="28">
        <f>'14_02-10-2020'!D17</f>
        <v>60</v>
      </c>
      <c r="E240" s="28">
        <f>'14_02-10-2020'!C17</f>
        <v>196</v>
      </c>
      <c r="F240" s="28">
        <f>'14_02-10-2020'!E17</f>
        <v>-132</v>
      </c>
      <c r="G240" s="28">
        <f>'14_02-10-2020'!F17</f>
        <v>0</v>
      </c>
      <c r="H240" s="28" t="str">
        <f>'14_02-10-2020'!H17</f>
        <v>Thomas</v>
      </c>
      <c r="J240" s="76" t="str">
        <f>'14_02-10-2020'!I17</f>
        <v>Christian</v>
      </c>
      <c r="K240" s="28" t="str">
        <f>'14_02-10-2020'!G17</f>
        <v>9 halve</v>
      </c>
      <c r="L240" s="56"/>
      <c r="M240" s="25">
        <v>9.0</v>
      </c>
      <c r="N240" s="25" t="s">
        <v>94</v>
      </c>
      <c r="T240" s="56"/>
      <c r="U240" s="77">
        <f t="shared" ref="U240:X240" si="2079">C240-C239</f>
        <v>8</v>
      </c>
      <c r="V240" s="28">
        <f t="shared" si="2079"/>
        <v>-8</v>
      </c>
      <c r="W240" s="28">
        <f t="shared" si="2079"/>
        <v>-8</v>
      </c>
      <c r="X240" s="28">
        <f t="shared" si="2079"/>
        <v>8</v>
      </c>
      <c r="AB240" s="28">
        <f t="shared" ref="AB240:AE240" si="2080">IF(AB$3=$H240,U240,"")</f>
        <v>8</v>
      </c>
      <c r="AC240" s="28" t="str">
        <f t="shared" si="2080"/>
        <v/>
      </c>
      <c r="AD240" s="28" t="str">
        <f t="shared" si="2080"/>
        <v/>
      </c>
      <c r="AE240" s="28" t="str">
        <f t="shared" si="2080"/>
        <v/>
      </c>
      <c r="AH240" s="28">
        <f t="shared" si="22"/>
        <v>8</v>
      </c>
      <c r="AI240" s="28">
        <f t="shared" si="23"/>
        <v>0</v>
      </c>
      <c r="AK240" s="78" t="str">
        <f t="shared" ref="AK240:AN240" si="2081">IF(U240&gt;0,AK$3,"")</f>
        <v>Thomas</v>
      </c>
      <c r="AL240" s="78" t="str">
        <f t="shared" si="2081"/>
        <v/>
      </c>
      <c r="AM240" s="78" t="str">
        <f t="shared" si="2081"/>
        <v/>
      </c>
      <c r="AN240" s="78" t="str">
        <f t="shared" si="2081"/>
        <v>Christian</v>
      </c>
      <c r="AO240" s="56">
        <f t="shared" si="25"/>
        <v>2</v>
      </c>
      <c r="AP240" s="8" t="str">
        <f t="shared" si="26"/>
        <v>Thomas</v>
      </c>
      <c r="AQ240" s="73" t="str">
        <f>IFERROR(__xludf.DUMMYFUNCTION("IFNA(QUERY(transpose(AY240:BB240),""Select Col1 where Col1 is not null limit 1"",0))"),"Christian")</f>
        <v>Christian</v>
      </c>
      <c r="AR240" s="56"/>
      <c r="AS240" s="28" t="str">
        <f t="shared" ref="AS240:AV240" si="2082">IF(AK240=AS$3,"",AS$3)</f>
        <v/>
      </c>
      <c r="AT240" s="28" t="str">
        <f t="shared" si="2082"/>
        <v>Peter</v>
      </c>
      <c r="AU240" s="28" t="str">
        <f t="shared" si="2082"/>
        <v>Janus</v>
      </c>
      <c r="AV240" s="28" t="str">
        <f t="shared" si="2082"/>
        <v/>
      </c>
      <c r="AW240" s="56">
        <f t="shared" si="28"/>
        <v>2</v>
      </c>
      <c r="AX240" s="28">
        <f t="shared" si="29"/>
        <v>8</v>
      </c>
      <c r="AY240" s="28" t="str">
        <f t="shared" ref="AY240:BB240" si="2083">IFNA(IFS(AY$3=$AP240,"",$AX240=U240,AY$3),"")</f>
        <v/>
      </c>
      <c r="AZ240" s="28" t="str">
        <f t="shared" si="2083"/>
        <v/>
      </c>
      <c r="BA240" s="28" t="str">
        <f t="shared" si="2083"/>
        <v/>
      </c>
      <c r="BB240" s="28" t="str">
        <f t="shared" si="2083"/>
        <v>Christian</v>
      </c>
      <c r="BC240" s="58">
        <f>OFFSET('00_Regnskab_01'!$A$1,MATCH(A240,'00_Regnskab_01'!$A$1:$A$25)-1,2)</f>
        <v>44106</v>
      </c>
      <c r="BE240" s="80">
        <f t="shared" ref="BE240:BH240" si="2084">if(U240&gt;0,1+BE239,0)</f>
        <v>2</v>
      </c>
      <c r="BF240" s="28">
        <f t="shared" si="2084"/>
        <v>0</v>
      </c>
      <c r="BG240" s="28">
        <f t="shared" si="2084"/>
        <v>0</v>
      </c>
      <c r="BH240" s="28">
        <f t="shared" si="2084"/>
        <v>1</v>
      </c>
      <c r="BJ240" s="28">
        <f t="shared" ref="BJ240:BM240" si="2085">if(U240&lt;0,1+BJ239,0)</f>
        <v>0</v>
      </c>
      <c r="BK240" s="28">
        <f t="shared" si="2085"/>
        <v>2</v>
      </c>
      <c r="BL240" s="28">
        <f t="shared" si="2085"/>
        <v>1</v>
      </c>
      <c r="BM240" s="28">
        <f t="shared" si="2085"/>
        <v>0</v>
      </c>
      <c r="BO240" s="74">
        <f t="shared" ref="BO240:BR240" si="2086">if(U240&gt;0,U240+BO239,0)</f>
        <v>16</v>
      </c>
      <c r="BP240" s="74">
        <f t="shared" si="2086"/>
        <v>0</v>
      </c>
      <c r="BQ240" s="74">
        <f t="shared" si="2086"/>
        <v>0</v>
      </c>
      <c r="BR240" s="74">
        <f t="shared" si="2086"/>
        <v>8</v>
      </c>
      <c r="BT240" s="28">
        <f t="shared" ref="BT240:BW240" si="2087">if(U240&lt;0,U240+BT239,0)</f>
        <v>0</v>
      </c>
      <c r="BU240" s="28">
        <f t="shared" si="2087"/>
        <v>-16</v>
      </c>
      <c r="BV240" s="28">
        <f t="shared" si="2087"/>
        <v>-8</v>
      </c>
      <c r="BW240" s="28">
        <f t="shared" si="2087"/>
        <v>0</v>
      </c>
    </row>
    <row r="241">
      <c r="A241" s="53">
        <v>14.0</v>
      </c>
      <c r="B241" s="28">
        <f>'14_02-10-2020'!A18</f>
        <v>16</v>
      </c>
      <c r="C241" s="75">
        <f>'14_02-10-2020'!B18</f>
        <v>-132</v>
      </c>
      <c r="D241" s="28">
        <f>'14_02-10-2020'!D18</f>
        <v>52</v>
      </c>
      <c r="E241" s="28">
        <f>'14_02-10-2020'!C18</f>
        <v>204</v>
      </c>
      <c r="F241" s="28">
        <f>'14_02-10-2020'!E18</f>
        <v>-124</v>
      </c>
      <c r="G241" s="28">
        <f>'14_02-10-2020'!F18</f>
        <v>0</v>
      </c>
      <c r="H241" s="28" t="str">
        <f>'14_02-10-2020'!H18</f>
        <v>Christian</v>
      </c>
      <c r="J241" s="76" t="str">
        <f>'14_02-10-2020'!I18</f>
        <v>Thomas</v>
      </c>
      <c r="K241" s="28" t="str">
        <f>'14_02-10-2020'!G18</f>
        <v>9 halve</v>
      </c>
      <c r="L241" s="56"/>
      <c r="M241" s="25">
        <v>9.0</v>
      </c>
      <c r="N241" s="25" t="s">
        <v>94</v>
      </c>
      <c r="T241" s="56"/>
      <c r="U241" s="77">
        <f t="shared" ref="U241:X241" si="2088">C241-C240</f>
        <v>-8</v>
      </c>
      <c r="V241" s="28">
        <f t="shared" si="2088"/>
        <v>-8</v>
      </c>
      <c r="W241" s="28">
        <f t="shared" si="2088"/>
        <v>8</v>
      </c>
      <c r="X241" s="28">
        <f t="shared" si="2088"/>
        <v>8</v>
      </c>
      <c r="AB241" s="28" t="str">
        <f t="shared" ref="AB241:AE241" si="2089">IF(AB$3=$H241,U241,"")</f>
        <v/>
      </c>
      <c r="AC241" s="28" t="str">
        <f t="shared" si="2089"/>
        <v/>
      </c>
      <c r="AD241" s="28" t="str">
        <f t="shared" si="2089"/>
        <v/>
      </c>
      <c r="AE241" s="28">
        <f t="shared" si="2089"/>
        <v>8</v>
      </c>
      <c r="AH241" s="28">
        <f t="shared" si="22"/>
        <v>8</v>
      </c>
      <c r="AI241" s="28">
        <f t="shared" si="23"/>
        <v>0</v>
      </c>
      <c r="AK241" s="78" t="str">
        <f t="shared" ref="AK241:AN241" si="2090">IF(U241&gt;0,AK$3,"")</f>
        <v/>
      </c>
      <c r="AL241" s="78" t="str">
        <f t="shared" si="2090"/>
        <v/>
      </c>
      <c r="AM241" s="78" t="str">
        <f t="shared" si="2090"/>
        <v>Janus</v>
      </c>
      <c r="AN241" s="78" t="str">
        <f t="shared" si="2090"/>
        <v>Christian</v>
      </c>
      <c r="AO241" s="56">
        <f t="shared" si="25"/>
        <v>2</v>
      </c>
      <c r="AP241" s="8" t="str">
        <f t="shared" si="26"/>
        <v>Christian</v>
      </c>
      <c r="AQ241" s="73" t="str">
        <f>IFERROR(__xludf.DUMMYFUNCTION("IFNA(QUERY(transpose(AY241:BB241),""Select Col1 where Col1 is not null limit 1"",0))"),"Janus")</f>
        <v>Janus</v>
      </c>
      <c r="AR241" s="56"/>
      <c r="AS241" s="28" t="str">
        <f t="shared" ref="AS241:AV241" si="2091">IF(AK241=AS$3,"",AS$3)</f>
        <v>Thomas</v>
      </c>
      <c r="AT241" s="28" t="str">
        <f t="shared" si="2091"/>
        <v>Peter</v>
      </c>
      <c r="AU241" s="28" t="str">
        <f t="shared" si="2091"/>
        <v/>
      </c>
      <c r="AV241" s="28" t="str">
        <f t="shared" si="2091"/>
        <v/>
      </c>
      <c r="AW241" s="56">
        <f t="shared" si="28"/>
        <v>2</v>
      </c>
      <c r="AX241" s="28">
        <f t="shared" si="29"/>
        <v>8</v>
      </c>
      <c r="AY241" s="28" t="str">
        <f t="shared" ref="AY241:BB241" si="2092">IFNA(IFS(AY$3=$AP241,"",$AX241=U241,AY$3),"")</f>
        <v/>
      </c>
      <c r="AZ241" s="28" t="str">
        <f t="shared" si="2092"/>
        <v/>
      </c>
      <c r="BA241" s="28" t="str">
        <f t="shared" si="2092"/>
        <v>Janus</v>
      </c>
      <c r="BB241" s="28" t="str">
        <f t="shared" si="2092"/>
        <v/>
      </c>
      <c r="BC241" s="58">
        <f>OFFSET('00_Regnskab_01'!$A$1,MATCH(A241,'00_Regnskab_01'!$A$1:$A$25)-1,2)</f>
        <v>44106</v>
      </c>
      <c r="BE241" s="80">
        <f t="shared" ref="BE241:BH241" si="2093">if(U241&gt;0,1+BE240,0)</f>
        <v>0</v>
      </c>
      <c r="BF241" s="28">
        <f t="shared" si="2093"/>
        <v>0</v>
      </c>
      <c r="BG241" s="28">
        <f t="shared" si="2093"/>
        <v>1</v>
      </c>
      <c r="BH241" s="28">
        <f t="shared" si="2093"/>
        <v>2</v>
      </c>
      <c r="BJ241" s="28">
        <f t="shared" ref="BJ241:BM241" si="2094">if(U241&lt;0,1+BJ240,0)</f>
        <v>1</v>
      </c>
      <c r="BK241" s="28">
        <f t="shared" si="2094"/>
        <v>3</v>
      </c>
      <c r="BL241" s="28">
        <f t="shared" si="2094"/>
        <v>0</v>
      </c>
      <c r="BM241" s="28">
        <f t="shared" si="2094"/>
        <v>0</v>
      </c>
      <c r="BO241" s="74">
        <f t="shared" ref="BO241:BR241" si="2095">if(U241&gt;0,U241+BO240,0)</f>
        <v>0</v>
      </c>
      <c r="BP241" s="74">
        <f t="shared" si="2095"/>
        <v>0</v>
      </c>
      <c r="BQ241" s="74">
        <f t="shared" si="2095"/>
        <v>8</v>
      </c>
      <c r="BR241" s="74">
        <f t="shared" si="2095"/>
        <v>16</v>
      </c>
      <c r="BT241" s="28">
        <f t="shared" ref="BT241:BW241" si="2096">if(U241&lt;0,U241+BT240,0)</f>
        <v>-8</v>
      </c>
      <c r="BU241" s="28">
        <f t="shared" si="2096"/>
        <v>-24</v>
      </c>
      <c r="BV241" s="28">
        <f t="shared" si="2096"/>
        <v>0</v>
      </c>
      <c r="BW241" s="28">
        <f t="shared" si="2096"/>
        <v>0</v>
      </c>
    </row>
    <row r="242">
      <c r="A242" s="53">
        <v>14.0</v>
      </c>
      <c r="B242" s="28">
        <f>'14_02-10-2020'!A19</f>
        <v>17</v>
      </c>
      <c r="C242" s="75">
        <f>'14_02-10-2020'!B19</f>
        <v>-124</v>
      </c>
      <c r="D242" s="28">
        <f>'14_02-10-2020'!D19</f>
        <v>28</v>
      </c>
      <c r="E242" s="28">
        <f>'14_02-10-2020'!C19</f>
        <v>212</v>
      </c>
      <c r="F242" s="28">
        <f>'14_02-10-2020'!E19</f>
        <v>-116</v>
      </c>
      <c r="G242" s="28">
        <f>'14_02-10-2020'!F19</f>
        <v>0</v>
      </c>
      <c r="H242" s="28" t="str">
        <f>'14_02-10-2020'!H19</f>
        <v>Peter</v>
      </c>
      <c r="J242" s="76" t="str">
        <f>'14_02-10-2020'!I19</f>
        <v>Janus</v>
      </c>
      <c r="K242" s="28" t="str">
        <f>'14_02-10-2020'!G19</f>
        <v>Sol</v>
      </c>
      <c r="L242" s="56"/>
      <c r="N242" s="25" t="s">
        <v>99</v>
      </c>
      <c r="T242" s="56"/>
      <c r="U242" s="77">
        <f t="shared" ref="U242:X242" si="2097">C242-C241</f>
        <v>8</v>
      </c>
      <c r="V242" s="28">
        <f t="shared" si="2097"/>
        <v>-24</v>
      </c>
      <c r="W242" s="28">
        <f t="shared" si="2097"/>
        <v>8</v>
      </c>
      <c r="X242" s="28">
        <f t="shared" si="2097"/>
        <v>8</v>
      </c>
      <c r="AB242" s="28" t="str">
        <f t="shared" ref="AB242:AE242" si="2098">IF(AB$3=$H242,U242,"")</f>
        <v/>
      </c>
      <c r="AC242" s="28">
        <f t="shared" si="2098"/>
        <v>-24</v>
      </c>
      <c r="AD242" s="28" t="str">
        <f t="shared" si="2098"/>
        <v/>
      </c>
      <c r="AE242" s="28" t="str">
        <f t="shared" si="2098"/>
        <v/>
      </c>
      <c r="AH242" s="28">
        <f t="shared" si="22"/>
        <v>0</v>
      </c>
      <c r="AI242" s="28">
        <f t="shared" si="23"/>
        <v>-24</v>
      </c>
      <c r="AK242" s="78" t="str">
        <f t="shared" ref="AK242:AN242" si="2099">IF(U242&gt;0,AK$3,"")</f>
        <v>Thomas</v>
      </c>
      <c r="AL242" s="78" t="str">
        <f t="shared" si="2099"/>
        <v/>
      </c>
      <c r="AM242" s="78" t="str">
        <f t="shared" si="2099"/>
        <v>Janus</v>
      </c>
      <c r="AN242" s="78" t="str">
        <f t="shared" si="2099"/>
        <v>Christian</v>
      </c>
      <c r="AO242" s="56">
        <f t="shared" si="25"/>
        <v>3</v>
      </c>
      <c r="AP242" s="8" t="str">
        <f t="shared" si="26"/>
        <v>Peter</v>
      </c>
      <c r="AQ242" s="73" t="str">
        <f>IFERROR(__xludf.DUMMYFUNCTION("IFNA(QUERY(transpose(AY242:BB242),""Select Col1 where Col1 is not null limit 1"",0))"),"")</f>
        <v/>
      </c>
      <c r="AR242" s="56"/>
      <c r="AS242" s="28" t="str">
        <f t="shared" ref="AS242:AV242" si="2100">IF(AK242=AS$3,"",AS$3)</f>
        <v/>
      </c>
      <c r="AT242" s="28" t="str">
        <f t="shared" si="2100"/>
        <v>Peter</v>
      </c>
      <c r="AU242" s="28" t="str">
        <f t="shared" si="2100"/>
        <v/>
      </c>
      <c r="AV242" s="28" t="str">
        <f t="shared" si="2100"/>
        <v/>
      </c>
      <c r="AW242" s="56">
        <f t="shared" si="28"/>
        <v>1</v>
      </c>
      <c r="AX242" s="28">
        <f t="shared" si="29"/>
        <v>-24</v>
      </c>
      <c r="AY242" s="28" t="str">
        <f t="shared" ref="AY242:BB242" si="2101">IFNA(IFS(AY$3=$AP242,"",$AX242=U242,AY$3),"")</f>
        <v/>
      </c>
      <c r="AZ242" s="28" t="str">
        <f t="shared" si="2101"/>
        <v/>
      </c>
      <c r="BA242" s="28" t="str">
        <f t="shared" si="2101"/>
        <v/>
      </c>
      <c r="BB242" s="28" t="str">
        <f t="shared" si="2101"/>
        <v/>
      </c>
      <c r="BC242" s="58">
        <f>OFFSET('00_Regnskab_01'!$A$1,MATCH(A242,'00_Regnskab_01'!$A$1:$A$25)-1,2)</f>
        <v>44106</v>
      </c>
      <c r="BE242" s="80">
        <f t="shared" ref="BE242:BH242" si="2102">if(U242&gt;0,1+BE241,0)</f>
        <v>1</v>
      </c>
      <c r="BF242" s="28">
        <f t="shared" si="2102"/>
        <v>0</v>
      </c>
      <c r="BG242" s="28">
        <f t="shared" si="2102"/>
        <v>2</v>
      </c>
      <c r="BH242" s="28">
        <f t="shared" si="2102"/>
        <v>3</v>
      </c>
      <c r="BJ242" s="28">
        <f t="shared" ref="BJ242:BM242" si="2103">if(U242&lt;0,1+BJ241,0)</f>
        <v>0</v>
      </c>
      <c r="BK242" s="28">
        <f t="shared" si="2103"/>
        <v>4</v>
      </c>
      <c r="BL242" s="28">
        <f t="shared" si="2103"/>
        <v>0</v>
      </c>
      <c r="BM242" s="28">
        <f t="shared" si="2103"/>
        <v>0</v>
      </c>
      <c r="BO242" s="74">
        <f t="shared" ref="BO242:BR242" si="2104">if(U242&gt;0,U242+BO241,0)</f>
        <v>8</v>
      </c>
      <c r="BP242" s="74">
        <f t="shared" si="2104"/>
        <v>0</v>
      </c>
      <c r="BQ242" s="74">
        <f t="shared" si="2104"/>
        <v>16</v>
      </c>
      <c r="BR242" s="74">
        <f t="shared" si="2104"/>
        <v>24</v>
      </c>
      <c r="BT242" s="28">
        <f t="shared" ref="BT242:BW242" si="2105">if(U242&lt;0,U242+BT241,0)</f>
        <v>0</v>
      </c>
      <c r="BU242" s="28">
        <f t="shared" si="2105"/>
        <v>-48</v>
      </c>
      <c r="BV242" s="28">
        <f t="shared" si="2105"/>
        <v>0</v>
      </c>
      <c r="BW242" s="28">
        <f t="shared" si="2105"/>
        <v>0</v>
      </c>
    </row>
    <row r="243">
      <c r="A243" s="53">
        <v>14.0</v>
      </c>
      <c r="B243" s="28">
        <f>'14_02-10-2020'!A20</f>
        <v>18</v>
      </c>
      <c r="C243" s="75">
        <f>'14_02-10-2020'!B20</f>
        <v>-92</v>
      </c>
      <c r="D243" s="28">
        <f>'14_02-10-2020'!D20</f>
        <v>-4</v>
      </c>
      <c r="E243" s="28">
        <f>'14_02-10-2020'!C20</f>
        <v>244</v>
      </c>
      <c r="F243" s="28">
        <f>'14_02-10-2020'!E20</f>
        <v>-148</v>
      </c>
      <c r="G243" s="28">
        <f>'14_02-10-2020'!F20</f>
        <v>0</v>
      </c>
      <c r="H243" s="28" t="str">
        <f>'14_02-10-2020'!H20</f>
        <v>Thomas</v>
      </c>
      <c r="J243" s="76" t="str">
        <f>'14_02-10-2020'!I20</f>
        <v>Peter</v>
      </c>
      <c r="K243" s="28" t="str">
        <f>'14_02-10-2020'!G20</f>
        <v>9. vip i 3,</v>
      </c>
      <c r="L243" s="56"/>
      <c r="M243" s="25">
        <v>9.0</v>
      </c>
      <c r="N243" s="25" t="s">
        <v>86</v>
      </c>
      <c r="O243" s="25">
        <v>3.0</v>
      </c>
      <c r="T243" s="56"/>
      <c r="U243" s="77">
        <f t="shared" ref="U243:X243" si="2106">C243-C242</f>
        <v>32</v>
      </c>
      <c r="V243" s="28">
        <f t="shared" si="2106"/>
        <v>-32</v>
      </c>
      <c r="W243" s="28">
        <f t="shared" si="2106"/>
        <v>32</v>
      </c>
      <c r="X243" s="28">
        <f t="shared" si="2106"/>
        <v>-32</v>
      </c>
      <c r="AB243" s="28">
        <f t="shared" ref="AB243:AE243" si="2107">IF(AB$3=$H243,U243,"")</f>
        <v>32</v>
      </c>
      <c r="AC243" s="28" t="str">
        <f t="shared" si="2107"/>
        <v/>
      </c>
      <c r="AD243" s="28" t="str">
        <f t="shared" si="2107"/>
        <v/>
      </c>
      <c r="AE243" s="28" t="str">
        <f t="shared" si="2107"/>
        <v/>
      </c>
      <c r="AH243" s="28">
        <f t="shared" si="22"/>
        <v>32</v>
      </c>
      <c r="AI243" s="28">
        <f t="shared" si="23"/>
        <v>0</v>
      </c>
      <c r="AK243" s="78" t="str">
        <f t="shared" ref="AK243:AN243" si="2108">IF(U243&gt;0,AK$3,"")</f>
        <v>Thomas</v>
      </c>
      <c r="AL243" s="78" t="str">
        <f t="shared" si="2108"/>
        <v/>
      </c>
      <c r="AM243" s="78" t="str">
        <f t="shared" si="2108"/>
        <v>Janus</v>
      </c>
      <c r="AN243" s="78" t="str">
        <f t="shared" si="2108"/>
        <v/>
      </c>
      <c r="AO243" s="56">
        <f t="shared" si="25"/>
        <v>2</v>
      </c>
      <c r="AP243" s="8" t="str">
        <f t="shared" si="26"/>
        <v>Thomas</v>
      </c>
      <c r="AQ243" s="73" t="str">
        <f>IFERROR(__xludf.DUMMYFUNCTION("IFNA(QUERY(transpose(AY243:BB243),""Select Col1 where Col1 is not null limit 1"",0))"),"Janus")</f>
        <v>Janus</v>
      </c>
      <c r="AR243" s="56"/>
      <c r="AS243" s="28" t="str">
        <f t="shared" ref="AS243:AV243" si="2109">IF(AK243=AS$3,"",AS$3)</f>
        <v/>
      </c>
      <c r="AT243" s="28" t="str">
        <f t="shared" si="2109"/>
        <v>Peter</v>
      </c>
      <c r="AU243" s="28" t="str">
        <f t="shared" si="2109"/>
        <v/>
      </c>
      <c r="AV243" s="28" t="str">
        <f t="shared" si="2109"/>
        <v>Christian</v>
      </c>
      <c r="AW243" s="56">
        <f t="shared" si="28"/>
        <v>2</v>
      </c>
      <c r="AX243" s="28">
        <f t="shared" si="29"/>
        <v>32</v>
      </c>
      <c r="AY243" s="28" t="str">
        <f t="shared" ref="AY243:BB243" si="2110">IFNA(IFS(AY$3=$AP243,"",$AX243=U243,AY$3),"")</f>
        <v/>
      </c>
      <c r="AZ243" s="28" t="str">
        <f t="shared" si="2110"/>
        <v/>
      </c>
      <c r="BA243" s="28" t="str">
        <f t="shared" si="2110"/>
        <v>Janus</v>
      </c>
      <c r="BB243" s="28" t="str">
        <f t="shared" si="2110"/>
        <v/>
      </c>
      <c r="BC243" s="58">
        <f>OFFSET('00_Regnskab_01'!$A$1,MATCH(A243,'00_Regnskab_01'!$A$1:$A$25)-1,2)</f>
        <v>44106</v>
      </c>
      <c r="BE243" s="80">
        <f t="shared" ref="BE243:BH243" si="2111">if(U243&gt;0,1+BE242,0)</f>
        <v>2</v>
      </c>
      <c r="BF243" s="28">
        <f t="shared" si="2111"/>
        <v>0</v>
      </c>
      <c r="BG243" s="28">
        <f t="shared" si="2111"/>
        <v>3</v>
      </c>
      <c r="BH243" s="28">
        <f t="shared" si="2111"/>
        <v>0</v>
      </c>
      <c r="BJ243" s="28">
        <f t="shared" ref="BJ243:BM243" si="2112">if(U243&lt;0,1+BJ242,0)</f>
        <v>0</v>
      </c>
      <c r="BK243" s="28">
        <f t="shared" si="2112"/>
        <v>5</v>
      </c>
      <c r="BL243" s="28">
        <f t="shared" si="2112"/>
        <v>0</v>
      </c>
      <c r="BM243" s="28">
        <f t="shared" si="2112"/>
        <v>1</v>
      </c>
      <c r="BO243" s="74">
        <f t="shared" ref="BO243:BR243" si="2113">if(U243&gt;0,U243+BO242,0)</f>
        <v>40</v>
      </c>
      <c r="BP243" s="74">
        <f t="shared" si="2113"/>
        <v>0</v>
      </c>
      <c r="BQ243" s="74">
        <f t="shared" si="2113"/>
        <v>48</v>
      </c>
      <c r="BR243" s="74">
        <f t="shared" si="2113"/>
        <v>0</v>
      </c>
      <c r="BT243" s="28">
        <f t="shared" ref="BT243:BW243" si="2114">if(U243&lt;0,U243+BT242,0)</f>
        <v>0</v>
      </c>
      <c r="BU243" s="28">
        <f t="shared" si="2114"/>
        <v>-80</v>
      </c>
      <c r="BV243" s="28">
        <f t="shared" si="2114"/>
        <v>0</v>
      </c>
      <c r="BW243" s="28">
        <f t="shared" si="2114"/>
        <v>-32</v>
      </c>
    </row>
    <row r="244">
      <c r="A244" s="53">
        <v>14.0</v>
      </c>
      <c r="B244" s="28">
        <f>'14_02-10-2020'!A21</f>
        <v>19</v>
      </c>
      <c r="C244" s="75">
        <f>'14_02-10-2020'!B21</f>
        <v>-80</v>
      </c>
      <c r="D244" s="28">
        <f>'14_02-10-2020'!D21</f>
        <v>-16</v>
      </c>
      <c r="E244" s="28">
        <f>'14_02-10-2020'!C21</f>
        <v>232</v>
      </c>
      <c r="F244" s="28">
        <f>'14_02-10-2020'!E21</f>
        <v>-136</v>
      </c>
      <c r="G244" s="28">
        <f>'14_02-10-2020'!F21</f>
        <v>0</v>
      </c>
      <c r="H244" s="28" t="str">
        <f>'14_02-10-2020'!H21</f>
        <v>Thomas</v>
      </c>
      <c r="J244" s="76" t="str">
        <f>'14_02-10-2020'!I21</f>
        <v>Christian</v>
      </c>
      <c r="K244" s="28" t="str">
        <f>'14_02-10-2020'!G21</f>
        <v>10 alm</v>
      </c>
      <c r="L244" s="56"/>
      <c r="M244" s="25">
        <v>10.0</v>
      </c>
      <c r="N244" s="25" t="s">
        <v>100</v>
      </c>
      <c r="T244" s="56"/>
      <c r="U244" s="77">
        <f t="shared" ref="U244:X244" si="2115">C244-C243</f>
        <v>12</v>
      </c>
      <c r="V244" s="28">
        <f t="shared" si="2115"/>
        <v>-12</v>
      </c>
      <c r="W244" s="28">
        <f t="shared" si="2115"/>
        <v>-12</v>
      </c>
      <c r="X244" s="28">
        <f t="shared" si="2115"/>
        <v>12</v>
      </c>
      <c r="AB244" s="28">
        <f t="shared" ref="AB244:AE244" si="2116">IF(AB$3=$H244,U244,"")</f>
        <v>12</v>
      </c>
      <c r="AC244" s="28" t="str">
        <f t="shared" si="2116"/>
        <v/>
      </c>
      <c r="AD244" s="28" t="str">
        <f t="shared" si="2116"/>
        <v/>
      </c>
      <c r="AE244" s="28" t="str">
        <f t="shared" si="2116"/>
        <v/>
      </c>
      <c r="AH244" s="28">
        <f t="shared" si="22"/>
        <v>12</v>
      </c>
      <c r="AI244" s="28">
        <f t="shared" si="23"/>
        <v>0</v>
      </c>
      <c r="AK244" s="78" t="str">
        <f t="shared" ref="AK244:AN244" si="2117">IF(U244&gt;0,AK$3,"")</f>
        <v>Thomas</v>
      </c>
      <c r="AL244" s="78" t="str">
        <f t="shared" si="2117"/>
        <v/>
      </c>
      <c r="AM244" s="78" t="str">
        <f t="shared" si="2117"/>
        <v/>
      </c>
      <c r="AN244" s="78" t="str">
        <f t="shared" si="2117"/>
        <v>Christian</v>
      </c>
      <c r="AO244" s="56">
        <f t="shared" si="25"/>
        <v>2</v>
      </c>
      <c r="AP244" s="8" t="str">
        <f t="shared" si="26"/>
        <v>Thomas</v>
      </c>
      <c r="AQ244" s="73" t="str">
        <f>IFERROR(__xludf.DUMMYFUNCTION("IFNA(QUERY(transpose(AY244:BB244),""Select Col1 where Col1 is not null limit 1"",0))"),"Christian")</f>
        <v>Christian</v>
      </c>
      <c r="AR244" s="56"/>
      <c r="AS244" s="28" t="str">
        <f t="shared" ref="AS244:AV244" si="2118">IF(AK244=AS$3,"",AS$3)</f>
        <v/>
      </c>
      <c r="AT244" s="28" t="str">
        <f t="shared" si="2118"/>
        <v>Peter</v>
      </c>
      <c r="AU244" s="28" t="str">
        <f t="shared" si="2118"/>
        <v>Janus</v>
      </c>
      <c r="AV244" s="28" t="str">
        <f t="shared" si="2118"/>
        <v/>
      </c>
      <c r="AW244" s="56">
        <f t="shared" si="28"/>
        <v>2</v>
      </c>
      <c r="AX244" s="28">
        <f t="shared" si="29"/>
        <v>12</v>
      </c>
      <c r="AY244" s="28" t="str">
        <f t="shared" ref="AY244:BB244" si="2119">IFNA(IFS(AY$3=$AP244,"",$AX244=U244,AY$3),"")</f>
        <v/>
      </c>
      <c r="AZ244" s="28" t="str">
        <f t="shared" si="2119"/>
        <v/>
      </c>
      <c r="BA244" s="28" t="str">
        <f t="shared" si="2119"/>
        <v/>
      </c>
      <c r="BB244" s="28" t="str">
        <f t="shared" si="2119"/>
        <v>Christian</v>
      </c>
      <c r="BC244" s="58">
        <f>OFFSET('00_Regnskab_01'!$A$1,MATCH(A244,'00_Regnskab_01'!$A$1:$A$25)-1,2)</f>
        <v>44106</v>
      </c>
      <c r="BE244" s="80">
        <f t="shared" ref="BE244:BH244" si="2120">if(U244&gt;0,1+BE243,0)</f>
        <v>3</v>
      </c>
      <c r="BF244" s="28">
        <f t="shared" si="2120"/>
        <v>0</v>
      </c>
      <c r="BG244" s="28">
        <f t="shared" si="2120"/>
        <v>0</v>
      </c>
      <c r="BH244" s="28">
        <f t="shared" si="2120"/>
        <v>1</v>
      </c>
      <c r="BJ244" s="28">
        <f t="shared" ref="BJ244:BM244" si="2121">if(U244&lt;0,1+BJ243,0)</f>
        <v>0</v>
      </c>
      <c r="BK244" s="28">
        <f t="shared" si="2121"/>
        <v>6</v>
      </c>
      <c r="BL244" s="28">
        <f t="shared" si="2121"/>
        <v>1</v>
      </c>
      <c r="BM244" s="28">
        <f t="shared" si="2121"/>
        <v>0</v>
      </c>
      <c r="BO244" s="74">
        <f t="shared" ref="BO244:BR244" si="2122">if(U244&gt;0,U244+BO243,0)</f>
        <v>52</v>
      </c>
      <c r="BP244" s="74">
        <f t="shared" si="2122"/>
        <v>0</v>
      </c>
      <c r="BQ244" s="74">
        <f t="shared" si="2122"/>
        <v>0</v>
      </c>
      <c r="BR244" s="74">
        <f t="shared" si="2122"/>
        <v>12</v>
      </c>
      <c r="BT244" s="28">
        <f t="shared" ref="BT244:BW244" si="2123">if(U244&lt;0,U244+BT243,0)</f>
        <v>0</v>
      </c>
      <c r="BU244" s="28">
        <f t="shared" si="2123"/>
        <v>-92</v>
      </c>
      <c r="BV244" s="28">
        <f t="shared" si="2123"/>
        <v>-12</v>
      </c>
      <c r="BW244" s="28">
        <f t="shared" si="2123"/>
        <v>0</v>
      </c>
    </row>
    <row r="245">
      <c r="A245" s="53">
        <v>14.0</v>
      </c>
      <c r="B245" s="28">
        <f>'14_02-10-2020'!A22</f>
        <v>20</v>
      </c>
      <c r="C245" s="75">
        <f>'14_02-10-2020'!B22</f>
        <v>-56</v>
      </c>
      <c r="D245" s="28">
        <f>'14_02-10-2020'!D22</f>
        <v>-24</v>
      </c>
      <c r="E245" s="28">
        <f>'14_02-10-2020'!C22</f>
        <v>224</v>
      </c>
      <c r="F245" s="28">
        <f>'14_02-10-2020'!E22</f>
        <v>-144</v>
      </c>
      <c r="G245" s="28">
        <f>'14_02-10-2020'!F22</f>
        <v>0</v>
      </c>
      <c r="H245" s="28" t="str">
        <f>'14_02-10-2020'!H22</f>
        <v>Thomas</v>
      </c>
      <c r="J245" s="76" t="str">
        <f>'14_02-10-2020'!I22</f>
        <v>Thomas</v>
      </c>
      <c r="K245" s="28" t="str">
        <f>'14_02-10-2020'!G22</f>
        <v>ren sol</v>
      </c>
      <c r="L245" s="56"/>
      <c r="N245" s="25" t="s">
        <v>97</v>
      </c>
      <c r="T245" s="56"/>
      <c r="U245" s="77">
        <f t="shared" ref="U245:X245" si="2124">C245-C244</f>
        <v>24</v>
      </c>
      <c r="V245" s="28">
        <f t="shared" si="2124"/>
        <v>-8</v>
      </c>
      <c r="W245" s="28">
        <f t="shared" si="2124"/>
        <v>-8</v>
      </c>
      <c r="X245" s="28">
        <f t="shared" si="2124"/>
        <v>-8</v>
      </c>
      <c r="AB245" s="28">
        <f t="shared" ref="AB245:AE245" si="2125">IF(AB$3=$H245,U245,"")</f>
        <v>24</v>
      </c>
      <c r="AC245" s="28" t="str">
        <f t="shared" si="2125"/>
        <v/>
      </c>
      <c r="AD245" s="28" t="str">
        <f t="shared" si="2125"/>
        <v/>
      </c>
      <c r="AE245" s="28" t="str">
        <f t="shared" si="2125"/>
        <v/>
      </c>
      <c r="AH245" s="28">
        <f t="shared" si="22"/>
        <v>24</v>
      </c>
      <c r="AI245" s="28">
        <f t="shared" si="23"/>
        <v>0</v>
      </c>
      <c r="AK245" s="78" t="str">
        <f t="shared" ref="AK245:AN245" si="2126">IF(U245&gt;0,AK$3,"")</f>
        <v>Thomas</v>
      </c>
      <c r="AL245" s="78" t="str">
        <f t="shared" si="2126"/>
        <v/>
      </c>
      <c r="AM245" s="78" t="str">
        <f t="shared" si="2126"/>
        <v/>
      </c>
      <c r="AN245" s="78" t="str">
        <f t="shared" si="2126"/>
        <v/>
      </c>
      <c r="AO245" s="56">
        <f t="shared" si="25"/>
        <v>1</v>
      </c>
      <c r="AP245" s="8" t="str">
        <f t="shared" si="26"/>
        <v>Thomas</v>
      </c>
      <c r="AQ245" s="73" t="str">
        <f>IFERROR(__xludf.DUMMYFUNCTION("IFNA(QUERY(transpose(AY245:BB245),""Select Col1 where Col1 is not null limit 1"",0))"),"")</f>
        <v/>
      </c>
      <c r="AR245" s="56"/>
      <c r="AS245" s="28" t="str">
        <f t="shared" ref="AS245:AV245" si="2127">IF(AK245=AS$3,"",AS$3)</f>
        <v/>
      </c>
      <c r="AT245" s="28" t="str">
        <f t="shared" si="2127"/>
        <v>Peter</v>
      </c>
      <c r="AU245" s="28" t="str">
        <f t="shared" si="2127"/>
        <v>Janus</v>
      </c>
      <c r="AV245" s="28" t="str">
        <f t="shared" si="2127"/>
        <v>Christian</v>
      </c>
      <c r="AW245" s="56">
        <f t="shared" si="28"/>
        <v>3</v>
      </c>
      <c r="AX245" s="28">
        <f t="shared" si="29"/>
        <v>24</v>
      </c>
      <c r="AY245" s="28" t="str">
        <f t="shared" ref="AY245:BB245" si="2128">IFNA(IFS(AY$3=$AP245,"",$AX245=U245,AY$3),"")</f>
        <v/>
      </c>
      <c r="AZ245" s="28" t="str">
        <f t="shared" si="2128"/>
        <v/>
      </c>
      <c r="BA245" s="28" t="str">
        <f t="shared" si="2128"/>
        <v/>
      </c>
      <c r="BB245" s="28" t="str">
        <f t="shared" si="2128"/>
        <v/>
      </c>
      <c r="BC245" s="58">
        <f>OFFSET('00_Regnskab_01'!$A$1,MATCH(A245,'00_Regnskab_01'!$A$1:$A$25)-1,2)</f>
        <v>44106</v>
      </c>
      <c r="BE245" s="80">
        <f t="shared" ref="BE245:BH245" si="2129">if(U245&gt;0,1+BE244,0)</f>
        <v>4</v>
      </c>
      <c r="BF245" s="28">
        <f t="shared" si="2129"/>
        <v>0</v>
      </c>
      <c r="BG245" s="28">
        <f t="shared" si="2129"/>
        <v>0</v>
      </c>
      <c r="BH245" s="28">
        <f t="shared" si="2129"/>
        <v>0</v>
      </c>
      <c r="BJ245" s="28">
        <f t="shared" ref="BJ245:BM245" si="2130">if(U245&lt;0,1+BJ244,0)</f>
        <v>0</v>
      </c>
      <c r="BK245" s="28">
        <f t="shared" si="2130"/>
        <v>7</v>
      </c>
      <c r="BL245" s="28">
        <f t="shared" si="2130"/>
        <v>2</v>
      </c>
      <c r="BM245" s="28">
        <f t="shared" si="2130"/>
        <v>1</v>
      </c>
      <c r="BO245" s="74">
        <f t="shared" ref="BO245:BR245" si="2131">if(U245&gt;0,U245+BO244,0)</f>
        <v>76</v>
      </c>
      <c r="BP245" s="74">
        <f t="shared" si="2131"/>
        <v>0</v>
      </c>
      <c r="BQ245" s="74">
        <f t="shared" si="2131"/>
        <v>0</v>
      </c>
      <c r="BR245" s="74">
        <f t="shared" si="2131"/>
        <v>0</v>
      </c>
      <c r="BT245" s="28">
        <f t="shared" ref="BT245:BW245" si="2132">if(U245&lt;0,U245+BT244,0)</f>
        <v>0</v>
      </c>
      <c r="BU245" s="28">
        <f t="shared" si="2132"/>
        <v>-100</v>
      </c>
      <c r="BV245" s="28">
        <f t="shared" si="2132"/>
        <v>-20</v>
      </c>
      <c r="BW245" s="28">
        <f t="shared" si="2132"/>
        <v>-8</v>
      </c>
    </row>
    <row r="246">
      <c r="A246" s="53">
        <v>14.0</v>
      </c>
      <c r="B246" s="28">
        <f>'14_02-10-2020'!A23</f>
        <v>21</v>
      </c>
      <c r="C246" s="75">
        <f>'14_02-10-2020'!B23</f>
        <v>-60</v>
      </c>
      <c r="D246" s="28">
        <f>'14_02-10-2020'!D23</f>
        <v>-28</v>
      </c>
      <c r="E246" s="28">
        <f>'14_02-10-2020'!C23</f>
        <v>236</v>
      </c>
      <c r="F246" s="28">
        <f>'14_02-10-2020'!E23</f>
        <v>-148</v>
      </c>
      <c r="G246" s="28">
        <f>'14_02-10-2020'!F23</f>
        <v>0</v>
      </c>
      <c r="H246" s="28" t="str">
        <f>'14_02-10-2020'!H23</f>
        <v>Christian</v>
      </c>
      <c r="J246" s="76" t="str">
        <f>'14_02-10-2020'!I23</f>
        <v>janus</v>
      </c>
      <c r="K246" s="28" t="str">
        <f>'14_02-10-2020'!G23</f>
        <v>Sol</v>
      </c>
      <c r="L246" s="56"/>
      <c r="N246" s="25" t="s">
        <v>99</v>
      </c>
      <c r="T246" s="56"/>
      <c r="U246" s="77">
        <f t="shared" ref="U246:X246" si="2133">C246-C245</f>
        <v>-4</v>
      </c>
      <c r="V246" s="28">
        <f t="shared" si="2133"/>
        <v>-4</v>
      </c>
      <c r="W246" s="28">
        <f t="shared" si="2133"/>
        <v>12</v>
      </c>
      <c r="X246" s="28">
        <f t="shared" si="2133"/>
        <v>-4</v>
      </c>
      <c r="AB246" s="28" t="str">
        <f t="shared" ref="AB246:AE246" si="2134">IF(AB$3=$H246,U246,"")</f>
        <v/>
      </c>
      <c r="AC246" s="28" t="str">
        <f t="shared" si="2134"/>
        <v/>
      </c>
      <c r="AD246" s="28" t="str">
        <f t="shared" si="2134"/>
        <v/>
      </c>
      <c r="AE246" s="28">
        <f t="shared" si="2134"/>
        <v>-4</v>
      </c>
      <c r="AH246" s="28">
        <f t="shared" si="22"/>
        <v>0</v>
      </c>
      <c r="AI246" s="28">
        <f t="shared" si="23"/>
        <v>-4</v>
      </c>
      <c r="AK246" s="78" t="str">
        <f t="shared" ref="AK246:AN246" si="2135">IF(U246&gt;0,AK$3,"")</f>
        <v/>
      </c>
      <c r="AL246" s="78" t="str">
        <f t="shared" si="2135"/>
        <v/>
      </c>
      <c r="AM246" s="78" t="str">
        <f t="shared" si="2135"/>
        <v>Janus</v>
      </c>
      <c r="AN246" s="78" t="str">
        <f t="shared" si="2135"/>
        <v/>
      </c>
      <c r="AO246" s="56">
        <f t="shared" si="25"/>
        <v>1</v>
      </c>
      <c r="AP246" s="8" t="str">
        <f t="shared" si="26"/>
        <v>Christian</v>
      </c>
      <c r="AQ246" s="73" t="str">
        <f>IFERROR(__xludf.DUMMYFUNCTION("IFNA(QUERY(transpose(AY246:BB246),""Select Col1 where Col1 is not null limit 1"",0))"),"Thomas")</f>
        <v>Thomas</v>
      </c>
      <c r="AR246" s="56"/>
      <c r="AS246" s="28" t="str">
        <f t="shared" ref="AS246:AV246" si="2136">IF(AK246=AS$3,"",AS$3)</f>
        <v>Thomas</v>
      </c>
      <c r="AT246" s="28" t="str">
        <f t="shared" si="2136"/>
        <v>Peter</v>
      </c>
      <c r="AU246" s="28" t="str">
        <f t="shared" si="2136"/>
        <v/>
      </c>
      <c r="AV246" s="28" t="str">
        <f t="shared" si="2136"/>
        <v>Christian</v>
      </c>
      <c r="AW246" s="56">
        <f t="shared" si="28"/>
        <v>3</v>
      </c>
      <c r="AX246" s="28">
        <f t="shared" si="29"/>
        <v>-4</v>
      </c>
      <c r="AY246" s="28" t="str">
        <f t="shared" ref="AY246:BB246" si="2137">IFNA(IFS(AY$3=$AP246,"",$AX246=U246,AY$3),"")</f>
        <v>Thomas</v>
      </c>
      <c r="AZ246" s="28" t="str">
        <f t="shared" si="2137"/>
        <v>Peter</v>
      </c>
      <c r="BA246" s="28" t="str">
        <f t="shared" si="2137"/>
        <v/>
      </c>
      <c r="BB246" s="28" t="str">
        <f t="shared" si="2137"/>
        <v/>
      </c>
      <c r="BC246" s="58">
        <f>OFFSET('00_Regnskab_01'!$A$1,MATCH(A246,'00_Regnskab_01'!$A$1:$A$25)-1,2)</f>
        <v>44106</v>
      </c>
      <c r="BE246" s="80">
        <f t="shared" ref="BE246:BH246" si="2138">if(U246&gt;0,1+BE245,0)</f>
        <v>0</v>
      </c>
      <c r="BF246" s="28">
        <f t="shared" si="2138"/>
        <v>0</v>
      </c>
      <c r="BG246" s="28">
        <f t="shared" si="2138"/>
        <v>1</v>
      </c>
      <c r="BH246" s="28">
        <f t="shared" si="2138"/>
        <v>0</v>
      </c>
      <c r="BJ246" s="28">
        <f t="shared" ref="BJ246:BM246" si="2139">if(U246&lt;0,1+BJ245,0)</f>
        <v>1</v>
      </c>
      <c r="BK246" s="28">
        <f t="shared" si="2139"/>
        <v>8</v>
      </c>
      <c r="BL246" s="28">
        <f t="shared" si="2139"/>
        <v>0</v>
      </c>
      <c r="BM246" s="28">
        <f t="shared" si="2139"/>
        <v>2</v>
      </c>
      <c r="BO246" s="74">
        <f t="shared" ref="BO246:BR246" si="2140">if(U246&gt;0,U246+BO245,0)</f>
        <v>0</v>
      </c>
      <c r="BP246" s="74">
        <f t="shared" si="2140"/>
        <v>0</v>
      </c>
      <c r="BQ246" s="74">
        <f t="shared" si="2140"/>
        <v>12</v>
      </c>
      <c r="BR246" s="74">
        <f t="shared" si="2140"/>
        <v>0</v>
      </c>
      <c r="BT246" s="28">
        <f t="shared" ref="BT246:BW246" si="2141">if(U246&lt;0,U246+BT245,0)</f>
        <v>-4</v>
      </c>
      <c r="BU246" s="28">
        <f t="shared" si="2141"/>
        <v>-104</v>
      </c>
      <c r="BV246" s="28">
        <f t="shared" si="2141"/>
        <v>0</v>
      </c>
      <c r="BW246" s="28">
        <f t="shared" si="2141"/>
        <v>-12</v>
      </c>
    </row>
    <row r="247">
      <c r="A247" s="53">
        <v>14.0</v>
      </c>
      <c r="B247" s="28">
        <f>'14_02-10-2020'!A24</f>
        <v>22</v>
      </c>
      <c r="C247" s="75">
        <f>'14_02-10-2020'!B24</f>
        <v>-64</v>
      </c>
      <c r="D247" s="28">
        <f>'14_02-10-2020'!D24</f>
        <v>-32</v>
      </c>
      <c r="E247" s="28">
        <f>'14_02-10-2020'!C24</f>
        <v>232</v>
      </c>
      <c r="F247" s="28">
        <f>'14_02-10-2020'!E24</f>
        <v>-136</v>
      </c>
      <c r="G247" s="28">
        <f>'14_02-10-2020'!F24</f>
        <v>0</v>
      </c>
      <c r="H247" s="28" t="str">
        <f>'14_02-10-2020'!H24</f>
        <v>Christian</v>
      </c>
      <c r="J247" s="76" t="str">
        <f>'14_02-10-2020'!I24</f>
        <v>Peter</v>
      </c>
      <c r="K247" s="28" t="str">
        <f>'14_02-10-2020'!G24</f>
        <v>Sol</v>
      </c>
      <c r="L247" s="56"/>
      <c r="N247" s="25" t="s">
        <v>99</v>
      </c>
      <c r="T247" s="56"/>
      <c r="U247" s="77">
        <f t="shared" ref="U247:X247" si="2142">C247-C246</f>
        <v>-4</v>
      </c>
      <c r="V247" s="28">
        <f t="shared" si="2142"/>
        <v>-4</v>
      </c>
      <c r="W247" s="28">
        <f t="shared" si="2142"/>
        <v>-4</v>
      </c>
      <c r="X247" s="28">
        <f t="shared" si="2142"/>
        <v>12</v>
      </c>
      <c r="AB247" s="28" t="str">
        <f t="shared" ref="AB247:AE247" si="2143">IF(AB$3=$H247,U247,"")</f>
        <v/>
      </c>
      <c r="AC247" s="28" t="str">
        <f t="shared" si="2143"/>
        <v/>
      </c>
      <c r="AD247" s="28" t="str">
        <f t="shared" si="2143"/>
        <v/>
      </c>
      <c r="AE247" s="28">
        <f t="shared" si="2143"/>
        <v>12</v>
      </c>
      <c r="AH247" s="28">
        <f t="shared" si="22"/>
        <v>12</v>
      </c>
      <c r="AI247" s="28">
        <f t="shared" si="23"/>
        <v>0</v>
      </c>
      <c r="AK247" s="78" t="str">
        <f t="shared" ref="AK247:AN247" si="2144">IF(U247&gt;0,AK$3,"")</f>
        <v/>
      </c>
      <c r="AL247" s="78" t="str">
        <f t="shared" si="2144"/>
        <v/>
      </c>
      <c r="AM247" s="78" t="str">
        <f t="shared" si="2144"/>
        <v/>
      </c>
      <c r="AN247" s="78" t="str">
        <f t="shared" si="2144"/>
        <v>Christian</v>
      </c>
      <c r="AO247" s="56">
        <f t="shared" si="25"/>
        <v>1</v>
      </c>
      <c r="AP247" s="8" t="str">
        <f t="shared" si="26"/>
        <v>Christian</v>
      </c>
      <c r="AQ247" s="73" t="str">
        <f>IFERROR(__xludf.DUMMYFUNCTION("IFNA(QUERY(transpose(AY247:BB247),""Select Col1 where Col1 is not null limit 1"",0))"),"")</f>
        <v/>
      </c>
      <c r="AR247" s="56"/>
      <c r="AS247" s="28" t="str">
        <f t="shared" ref="AS247:AV247" si="2145">IF(AK247=AS$3,"",AS$3)</f>
        <v>Thomas</v>
      </c>
      <c r="AT247" s="28" t="str">
        <f t="shared" si="2145"/>
        <v>Peter</v>
      </c>
      <c r="AU247" s="28" t="str">
        <f t="shared" si="2145"/>
        <v>Janus</v>
      </c>
      <c r="AV247" s="28" t="str">
        <f t="shared" si="2145"/>
        <v/>
      </c>
      <c r="AW247" s="56">
        <f t="shared" si="28"/>
        <v>3</v>
      </c>
      <c r="AX247" s="28">
        <f t="shared" si="29"/>
        <v>12</v>
      </c>
      <c r="AY247" s="28" t="str">
        <f t="shared" ref="AY247:BB247" si="2146">IFNA(IFS(AY$3=$AP247,"",$AX247=U247,AY$3),"")</f>
        <v/>
      </c>
      <c r="AZ247" s="28" t="str">
        <f t="shared" si="2146"/>
        <v/>
      </c>
      <c r="BA247" s="28" t="str">
        <f t="shared" si="2146"/>
        <v/>
      </c>
      <c r="BB247" s="28" t="str">
        <f t="shared" si="2146"/>
        <v/>
      </c>
      <c r="BC247" s="58">
        <f>OFFSET('00_Regnskab_01'!$A$1,MATCH(A247,'00_Regnskab_01'!$A$1:$A$25)-1,2)</f>
        <v>44106</v>
      </c>
      <c r="BE247" s="80">
        <f t="shared" ref="BE247:BH247" si="2147">if(U247&gt;0,1+BE246,0)</f>
        <v>0</v>
      </c>
      <c r="BF247" s="28">
        <f t="shared" si="2147"/>
        <v>0</v>
      </c>
      <c r="BG247" s="28">
        <f t="shared" si="2147"/>
        <v>0</v>
      </c>
      <c r="BH247" s="28">
        <f t="shared" si="2147"/>
        <v>1</v>
      </c>
      <c r="BJ247" s="28">
        <f t="shared" ref="BJ247:BM247" si="2148">if(U247&lt;0,1+BJ246,0)</f>
        <v>2</v>
      </c>
      <c r="BK247" s="28">
        <f t="shared" si="2148"/>
        <v>9</v>
      </c>
      <c r="BL247" s="28">
        <f t="shared" si="2148"/>
        <v>1</v>
      </c>
      <c r="BM247" s="28">
        <f t="shared" si="2148"/>
        <v>0</v>
      </c>
      <c r="BO247" s="74">
        <f t="shared" ref="BO247:BR247" si="2149">if(U247&gt;0,U247+BO246,0)</f>
        <v>0</v>
      </c>
      <c r="BP247" s="74">
        <f t="shared" si="2149"/>
        <v>0</v>
      </c>
      <c r="BQ247" s="74">
        <f t="shared" si="2149"/>
        <v>0</v>
      </c>
      <c r="BR247" s="74">
        <f t="shared" si="2149"/>
        <v>12</v>
      </c>
      <c r="BT247" s="28">
        <f t="shared" ref="BT247:BW247" si="2150">if(U247&lt;0,U247+BT246,0)</f>
        <v>-8</v>
      </c>
      <c r="BU247" s="28">
        <f t="shared" si="2150"/>
        <v>-108</v>
      </c>
      <c r="BV247" s="28">
        <f t="shared" si="2150"/>
        <v>-4</v>
      </c>
      <c r="BW247" s="28">
        <f t="shared" si="2150"/>
        <v>0</v>
      </c>
    </row>
    <row r="248">
      <c r="A248" s="53">
        <v>14.0</v>
      </c>
      <c r="B248" s="28">
        <f>'14_02-10-2020'!A25</f>
        <v>23</v>
      </c>
      <c r="C248" s="75">
        <f>'14_02-10-2020'!B25</f>
        <v>-72</v>
      </c>
      <c r="D248" s="28">
        <f>'14_02-10-2020'!D25</f>
        <v>-40</v>
      </c>
      <c r="E248" s="28">
        <f>'14_02-10-2020'!C25</f>
        <v>240</v>
      </c>
      <c r="F248" s="28">
        <f>'14_02-10-2020'!E25</f>
        <v>-128</v>
      </c>
      <c r="G248" s="28">
        <f>'14_02-10-2020'!F25</f>
        <v>0</v>
      </c>
      <c r="H248" s="28" t="str">
        <f>'14_02-10-2020'!H25</f>
        <v>Christian</v>
      </c>
      <c r="J248" s="76" t="str">
        <f>'14_02-10-2020'!I25</f>
        <v>Christian</v>
      </c>
      <c r="K248" s="28" t="str">
        <f>'14_02-10-2020'!G25</f>
        <v>8. halve</v>
      </c>
      <c r="L248" s="56"/>
      <c r="M248" s="25">
        <v>8.0</v>
      </c>
      <c r="N248" s="25" t="s">
        <v>94</v>
      </c>
      <c r="T248" s="56"/>
      <c r="U248" s="77">
        <f t="shared" ref="U248:X248" si="2151">C248-C247</f>
        <v>-8</v>
      </c>
      <c r="V248" s="28">
        <f t="shared" si="2151"/>
        <v>-8</v>
      </c>
      <c r="W248" s="28">
        <f t="shared" si="2151"/>
        <v>8</v>
      </c>
      <c r="X248" s="28">
        <f t="shared" si="2151"/>
        <v>8</v>
      </c>
      <c r="AB248" s="28" t="str">
        <f t="shared" ref="AB248:AE248" si="2152">IF(AB$3=$H248,U248,"")</f>
        <v/>
      </c>
      <c r="AC248" s="28" t="str">
        <f t="shared" si="2152"/>
        <v/>
      </c>
      <c r="AD248" s="28" t="str">
        <f t="shared" si="2152"/>
        <v/>
      </c>
      <c r="AE248" s="28">
        <f t="shared" si="2152"/>
        <v>8</v>
      </c>
      <c r="AH248" s="28">
        <f t="shared" si="22"/>
        <v>8</v>
      </c>
      <c r="AI248" s="28">
        <f t="shared" si="23"/>
        <v>0</v>
      </c>
      <c r="AK248" s="78" t="str">
        <f t="shared" ref="AK248:AN248" si="2153">IF(U248&gt;0,AK$3,"")</f>
        <v/>
      </c>
      <c r="AL248" s="78" t="str">
        <f t="shared" si="2153"/>
        <v/>
      </c>
      <c r="AM248" s="78" t="str">
        <f t="shared" si="2153"/>
        <v>Janus</v>
      </c>
      <c r="AN248" s="78" t="str">
        <f t="shared" si="2153"/>
        <v>Christian</v>
      </c>
      <c r="AO248" s="56">
        <f t="shared" si="25"/>
        <v>2</v>
      </c>
      <c r="AP248" s="8" t="str">
        <f t="shared" si="26"/>
        <v>Christian</v>
      </c>
      <c r="AQ248" s="73" t="str">
        <f>IFERROR(__xludf.DUMMYFUNCTION("IFNA(QUERY(transpose(AY248:BB248),""Select Col1 where Col1 is not null limit 1"",0))"),"Janus")</f>
        <v>Janus</v>
      </c>
      <c r="AR248" s="56"/>
      <c r="AS248" s="28" t="str">
        <f t="shared" ref="AS248:AV248" si="2154">IF(AK248=AS$3,"",AS$3)</f>
        <v>Thomas</v>
      </c>
      <c r="AT248" s="28" t="str">
        <f t="shared" si="2154"/>
        <v>Peter</v>
      </c>
      <c r="AU248" s="28" t="str">
        <f t="shared" si="2154"/>
        <v/>
      </c>
      <c r="AV248" s="28" t="str">
        <f t="shared" si="2154"/>
        <v/>
      </c>
      <c r="AW248" s="56">
        <f t="shared" si="28"/>
        <v>2</v>
      </c>
      <c r="AX248" s="28">
        <f t="shared" si="29"/>
        <v>8</v>
      </c>
      <c r="AY248" s="28" t="str">
        <f t="shared" ref="AY248:BB248" si="2155">IFNA(IFS(AY$3=$AP248,"",$AX248=U248,AY$3),"")</f>
        <v/>
      </c>
      <c r="AZ248" s="28" t="str">
        <f t="shared" si="2155"/>
        <v/>
      </c>
      <c r="BA248" s="28" t="str">
        <f t="shared" si="2155"/>
        <v>Janus</v>
      </c>
      <c r="BB248" s="28" t="str">
        <f t="shared" si="2155"/>
        <v/>
      </c>
      <c r="BC248" s="58">
        <f>OFFSET('00_Regnskab_01'!$A$1,MATCH(A248,'00_Regnskab_01'!$A$1:$A$25)-1,2)</f>
        <v>44106</v>
      </c>
      <c r="BE248" s="80">
        <f t="shared" ref="BE248:BH248" si="2156">if(U248&gt;0,1+BE247,0)</f>
        <v>0</v>
      </c>
      <c r="BF248" s="28">
        <f t="shared" si="2156"/>
        <v>0</v>
      </c>
      <c r="BG248" s="28">
        <f t="shared" si="2156"/>
        <v>1</v>
      </c>
      <c r="BH248" s="28">
        <f t="shared" si="2156"/>
        <v>2</v>
      </c>
      <c r="BJ248" s="28">
        <f t="shared" ref="BJ248:BM248" si="2157">if(U248&lt;0,1+BJ247,0)</f>
        <v>3</v>
      </c>
      <c r="BK248" s="28">
        <f t="shared" si="2157"/>
        <v>10</v>
      </c>
      <c r="BL248" s="28">
        <f t="shared" si="2157"/>
        <v>0</v>
      </c>
      <c r="BM248" s="28">
        <f t="shared" si="2157"/>
        <v>0</v>
      </c>
      <c r="BO248" s="74">
        <f t="shared" ref="BO248:BR248" si="2158">if(U248&gt;0,U248+BO247,0)</f>
        <v>0</v>
      </c>
      <c r="BP248" s="74">
        <f t="shared" si="2158"/>
        <v>0</v>
      </c>
      <c r="BQ248" s="74">
        <f t="shared" si="2158"/>
        <v>8</v>
      </c>
      <c r="BR248" s="74">
        <f t="shared" si="2158"/>
        <v>20</v>
      </c>
      <c r="BT248" s="28">
        <f t="shared" ref="BT248:BW248" si="2159">if(U248&lt;0,U248+BT247,0)</f>
        <v>-16</v>
      </c>
      <c r="BU248" s="28">
        <f t="shared" si="2159"/>
        <v>-116</v>
      </c>
      <c r="BV248" s="28">
        <f t="shared" si="2159"/>
        <v>0</v>
      </c>
      <c r="BW248" s="28">
        <f t="shared" si="2159"/>
        <v>0</v>
      </c>
    </row>
    <row r="249">
      <c r="A249" s="53">
        <v>14.0</v>
      </c>
      <c r="B249" s="28">
        <f>'14_02-10-2020'!A26</f>
        <v>24</v>
      </c>
      <c r="C249" s="75">
        <f>'14_02-10-2020'!B26</f>
        <v>-60</v>
      </c>
      <c r="D249" s="28">
        <f>'14_02-10-2020'!D26</f>
        <v>-52</v>
      </c>
      <c r="E249" s="28">
        <f>'14_02-10-2020'!C26</f>
        <v>228</v>
      </c>
      <c r="F249" s="28">
        <f>'14_02-10-2020'!E26</f>
        <v>-116</v>
      </c>
      <c r="G249" s="28">
        <f>'14_02-10-2020'!F26</f>
        <v>0</v>
      </c>
      <c r="H249" s="28" t="str">
        <f>'14_02-10-2020'!H26</f>
        <v>Christian</v>
      </c>
      <c r="J249" s="76" t="str">
        <f>'14_02-10-2020'!I26</f>
        <v>Thomas</v>
      </c>
      <c r="K249" s="28" t="str">
        <f>'14_02-10-2020'!G26</f>
        <v>9. halve</v>
      </c>
      <c r="L249" s="56"/>
      <c r="M249" s="25">
        <v>9.0</v>
      </c>
      <c r="N249" s="25" t="s">
        <v>94</v>
      </c>
      <c r="T249" s="56"/>
      <c r="U249" s="77">
        <f t="shared" ref="U249:X249" si="2160">C249-C248</f>
        <v>12</v>
      </c>
      <c r="V249" s="28">
        <f t="shared" si="2160"/>
        <v>-12</v>
      </c>
      <c r="W249" s="28">
        <f t="shared" si="2160"/>
        <v>-12</v>
      </c>
      <c r="X249" s="28">
        <f t="shared" si="2160"/>
        <v>12</v>
      </c>
      <c r="AB249" s="28" t="str">
        <f t="shared" ref="AB249:AE249" si="2161">IF(AB$3=$H249,U249,"")</f>
        <v/>
      </c>
      <c r="AC249" s="28" t="str">
        <f t="shared" si="2161"/>
        <v/>
      </c>
      <c r="AD249" s="28" t="str">
        <f t="shared" si="2161"/>
        <v/>
      </c>
      <c r="AE249" s="28">
        <f t="shared" si="2161"/>
        <v>12</v>
      </c>
      <c r="AH249" s="28">
        <f t="shared" si="22"/>
        <v>12</v>
      </c>
      <c r="AI249" s="28">
        <f t="shared" si="23"/>
        <v>0</v>
      </c>
      <c r="AK249" s="78" t="str">
        <f t="shared" ref="AK249:AN249" si="2162">IF(U249&gt;0,AK$3,"")</f>
        <v>Thomas</v>
      </c>
      <c r="AL249" s="78" t="str">
        <f t="shared" si="2162"/>
        <v/>
      </c>
      <c r="AM249" s="78" t="str">
        <f t="shared" si="2162"/>
        <v/>
      </c>
      <c r="AN249" s="78" t="str">
        <f t="shared" si="2162"/>
        <v>Christian</v>
      </c>
      <c r="AO249" s="56">
        <f t="shared" si="25"/>
        <v>2</v>
      </c>
      <c r="AP249" s="8" t="str">
        <f t="shared" si="26"/>
        <v>Christian</v>
      </c>
      <c r="AQ249" s="73" t="str">
        <f>IFERROR(__xludf.DUMMYFUNCTION("IFNA(QUERY(transpose(AY249:BB249),""Select Col1 where Col1 is not null limit 1"",0))"),"Thomas")</f>
        <v>Thomas</v>
      </c>
      <c r="AR249" s="56"/>
      <c r="AS249" s="28" t="str">
        <f t="shared" ref="AS249:AV249" si="2163">IF(AK249=AS$3,"",AS$3)</f>
        <v/>
      </c>
      <c r="AT249" s="28" t="str">
        <f t="shared" si="2163"/>
        <v>Peter</v>
      </c>
      <c r="AU249" s="28" t="str">
        <f t="shared" si="2163"/>
        <v>Janus</v>
      </c>
      <c r="AV249" s="28" t="str">
        <f t="shared" si="2163"/>
        <v/>
      </c>
      <c r="AW249" s="56">
        <f t="shared" si="28"/>
        <v>2</v>
      </c>
      <c r="AX249" s="28">
        <f t="shared" si="29"/>
        <v>12</v>
      </c>
      <c r="AY249" s="28" t="str">
        <f t="shared" ref="AY249:BB249" si="2164">IFNA(IFS(AY$3=$AP249,"",$AX249=U249,AY$3),"")</f>
        <v>Thomas</v>
      </c>
      <c r="AZ249" s="28" t="str">
        <f t="shared" si="2164"/>
        <v/>
      </c>
      <c r="BA249" s="28" t="str">
        <f t="shared" si="2164"/>
        <v/>
      </c>
      <c r="BB249" s="28" t="str">
        <f t="shared" si="2164"/>
        <v/>
      </c>
      <c r="BC249" s="58">
        <f>OFFSET('00_Regnskab_01'!$A$1,MATCH(A249,'00_Regnskab_01'!$A$1:$A$25)-1,2)</f>
        <v>44106</v>
      </c>
      <c r="BE249" s="80">
        <f t="shared" ref="BE249:BH249" si="2165">if(U249&gt;0,1+BE248,0)</f>
        <v>1</v>
      </c>
      <c r="BF249" s="28">
        <f t="shared" si="2165"/>
        <v>0</v>
      </c>
      <c r="BG249" s="28">
        <f t="shared" si="2165"/>
        <v>0</v>
      </c>
      <c r="BH249" s="28">
        <f t="shared" si="2165"/>
        <v>3</v>
      </c>
      <c r="BJ249" s="28">
        <f t="shared" ref="BJ249:BM249" si="2166">if(U249&lt;0,1+BJ248,0)</f>
        <v>0</v>
      </c>
      <c r="BK249" s="28">
        <f t="shared" si="2166"/>
        <v>11</v>
      </c>
      <c r="BL249" s="28">
        <f t="shared" si="2166"/>
        <v>1</v>
      </c>
      <c r="BM249" s="28">
        <f t="shared" si="2166"/>
        <v>0</v>
      </c>
      <c r="BO249" s="74">
        <f t="shared" ref="BO249:BR249" si="2167">if(U249&gt;0,U249+BO248,0)</f>
        <v>12</v>
      </c>
      <c r="BP249" s="74">
        <f t="shared" si="2167"/>
        <v>0</v>
      </c>
      <c r="BQ249" s="74">
        <f t="shared" si="2167"/>
        <v>0</v>
      </c>
      <c r="BR249" s="74">
        <f t="shared" si="2167"/>
        <v>32</v>
      </c>
      <c r="BT249" s="28">
        <f t="shared" ref="BT249:BW249" si="2168">if(U249&lt;0,U249+BT248,0)</f>
        <v>0</v>
      </c>
      <c r="BU249" s="28">
        <f t="shared" si="2168"/>
        <v>-128</v>
      </c>
      <c r="BV249" s="28">
        <f t="shared" si="2168"/>
        <v>-12</v>
      </c>
      <c r="BW249" s="28">
        <f t="shared" si="2168"/>
        <v>0</v>
      </c>
    </row>
    <row r="250">
      <c r="A250" s="53">
        <v>14.0</v>
      </c>
      <c r="B250" s="28">
        <f>'14_02-10-2020'!A27</f>
        <v>25</v>
      </c>
      <c r="C250" s="75">
        <f>'14_02-10-2020'!B27</f>
        <v>-68</v>
      </c>
      <c r="D250" s="28">
        <f>'14_02-10-2020'!D27</f>
        <v>-60</v>
      </c>
      <c r="E250" s="28">
        <f>'14_02-10-2020'!C27</f>
        <v>220</v>
      </c>
      <c r="F250" s="28">
        <f>'14_02-10-2020'!E27</f>
        <v>-92</v>
      </c>
      <c r="G250" s="28">
        <f>'14_02-10-2020'!F27</f>
        <v>0</v>
      </c>
      <c r="H250" s="28" t="str">
        <f>'14_02-10-2020'!H27</f>
        <v>Christian</v>
      </c>
      <c r="J250" s="76" t="str">
        <f>'14_02-10-2020'!I27</f>
        <v>janus</v>
      </c>
      <c r="K250" s="28" t="str">
        <f>'14_02-10-2020'!G27</f>
        <v>ren sol</v>
      </c>
      <c r="L250" s="56"/>
      <c r="N250" s="25" t="s">
        <v>97</v>
      </c>
      <c r="T250" s="56"/>
      <c r="U250" s="77">
        <f t="shared" ref="U250:X250" si="2169">C250-C249</f>
        <v>-8</v>
      </c>
      <c r="V250" s="28">
        <f t="shared" si="2169"/>
        <v>-8</v>
      </c>
      <c r="W250" s="28">
        <f t="shared" si="2169"/>
        <v>-8</v>
      </c>
      <c r="X250" s="28">
        <f t="shared" si="2169"/>
        <v>24</v>
      </c>
      <c r="AB250" s="28" t="str">
        <f t="shared" ref="AB250:AE250" si="2170">IF(AB$3=$H250,U250,"")</f>
        <v/>
      </c>
      <c r="AC250" s="28" t="str">
        <f t="shared" si="2170"/>
        <v/>
      </c>
      <c r="AD250" s="28" t="str">
        <f t="shared" si="2170"/>
        <v/>
      </c>
      <c r="AE250" s="28">
        <f t="shared" si="2170"/>
        <v>24</v>
      </c>
      <c r="AH250" s="28">
        <f t="shared" si="22"/>
        <v>24</v>
      </c>
      <c r="AI250" s="28">
        <f t="shared" si="23"/>
        <v>0</v>
      </c>
      <c r="AK250" s="78" t="str">
        <f t="shared" ref="AK250:AN250" si="2171">IF(U250&gt;0,AK$3,"")</f>
        <v/>
      </c>
      <c r="AL250" s="78" t="str">
        <f t="shared" si="2171"/>
        <v/>
      </c>
      <c r="AM250" s="78" t="str">
        <f t="shared" si="2171"/>
        <v/>
      </c>
      <c r="AN250" s="78" t="str">
        <f t="shared" si="2171"/>
        <v>Christian</v>
      </c>
      <c r="AO250" s="56">
        <f t="shared" si="25"/>
        <v>1</v>
      </c>
      <c r="AP250" s="8" t="str">
        <f t="shared" si="26"/>
        <v>Christian</v>
      </c>
      <c r="AQ250" s="73" t="str">
        <f>IFERROR(__xludf.DUMMYFUNCTION("IFNA(QUERY(transpose(AY250:BB250),""Select Col1 where Col1 is not null limit 1"",0))"),"")</f>
        <v/>
      </c>
      <c r="AR250" s="56"/>
      <c r="AS250" s="28" t="str">
        <f t="shared" ref="AS250:AV250" si="2172">IF(AK250=AS$3,"",AS$3)</f>
        <v>Thomas</v>
      </c>
      <c r="AT250" s="28" t="str">
        <f t="shared" si="2172"/>
        <v>Peter</v>
      </c>
      <c r="AU250" s="28" t="str">
        <f t="shared" si="2172"/>
        <v>Janus</v>
      </c>
      <c r="AV250" s="28" t="str">
        <f t="shared" si="2172"/>
        <v/>
      </c>
      <c r="AW250" s="56">
        <f t="shared" si="28"/>
        <v>3</v>
      </c>
      <c r="AX250" s="28">
        <f t="shared" si="29"/>
        <v>24</v>
      </c>
      <c r="AY250" s="28" t="str">
        <f t="shared" ref="AY250:BB250" si="2173">IFNA(IFS(AY$3=$AP250,"",$AX250=U250,AY$3),"")</f>
        <v/>
      </c>
      <c r="AZ250" s="28" t="str">
        <f t="shared" si="2173"/>
        <v/>
      </c>
      <c r="BA250" s="28" t="str">
        <f t="shared" si="2173"/>
        <v/>
      </c>
      <c r="BB250" s="28" t="str">
        <f t="shared" si="2173"/>
        <v/>
      </c>
      <c r="BC250" s="58">
        <f>OFFSET('00_Regnskab_01'!$A$1,MATCH(A250,'00_Regnskab_01'!$A$1:$A$25)-1,2)</f>
        <v>44106</v>
      </c>
      <c r="BE250" s="80">
        <f t="shared" ref="BE250:BH250" si="2174">if(U250&gt;0,1+BE249,0)</f>
        <v>0</v>
      </c>
      <c r="BF250" s="28">
        <f t="shared" si="2174"/>
        <v>0</v>
      </c>
      <c r="BG250" s="28">
        <f t="shared" si="2174"/>
        <v>0</v>
      </c>
      <c r="BH250" s="28">
        <f t="shared" si="2174"/>
        <v>4</v>
      </c>
      <c r="BJ250" s="28">
        <f t="shared" ref="BJ250:BM250" si="2175">if(U250&lt;0,1+BJ249,0)</f>
        <v>1</v>
      </c>
      <c r="BK250" s="28">
        <f t="shared" si="2175"/>
        <v>12</v>
      </c>
      <c r="BL250" s="28">
        <f t="shared" si="2175"/>
        <v>2</v>
      </c>
      <c r="BM250" s="28">
        <f t="shared" si="2175"/>
        <v>0</v>
      </c>
      <c r="BO250" s="74">
        <f t="shared" ref="BO250:BR250" si="2176">if(U250&gt;0,U250+BO249,0)</f>
        <v>0</v>
      </c>
      <c r="BP250" s="74">
        <f t="shared" si="2176"/>
        <v>0</v>
      </c>
      <c r="BQ250" s="74">
        <f t="shared" si="2176"/>
        <v>0</v>
      </c>
      <c r="BR250" s="74">
        <f t="shared" si="2176"/>
        <v>56</v>
      </c>
      <c r="BT250" s="28">
        <f t="shared" ref="BT250:BW250" si="2177">if(U250&lt;0,U250+BT249,0)</f>
        <v>-8</v>
      </c>
      <c r="BU250" s="28">
        <f t="shared" si="2177"/>
        <v>-136</v>
      </c>
      <c r="BV250" s="28">
        <f t="shared" si="2177"/>
        <v>-20</v>
      </c>
      <c r="BW250" s="28">
        <f t="shared" si="2177"/>
        <v>0</v>
      </c>
    </row>
    <row r="251">
      <c r="A251" s="53">
        <v>14.0</v>
      </c>
      <c r="B251" s="28">
        <f>'14_02-10-2020'!A28</f>
        <v>26</v>
      </c>
      <c r="C251" s="75">
        <f>'14_02-10-2020'!B28</f>
        <v>-80</v>
      </c>
      <c r="D251" s="28">
        <f>'14_02-10-2020'!D28</f>
        <v>-48</v>
      </c>
      <c r="E251" s="28">
        <f>'14_02-10-2020'!C28</f>
        <v>232</v>
      </c>
      <c r="F251" s="28">
        <f>'14_02-10-2020'!E28</f>
        <v>-104</v>
      </c>
      <c r="G251" s="28">
        <f>'14_02-10-2020'!F28</f>
        <v>0</v>
      </c>
      <c r="H251" s="28" t="str">
        <f>'14_02-10-2020'!H28</f>
        <v/>
      </c>
      <c r="J251" s="76" t="str">
        <f>'14_02-10-2020'!I28</f>
        <v>Peter</v>
      </c>
      <c r="K251" s="28" t="str">
        <f>'14_02-10-2020'!G28</f>
        <v/>
      </c>
      <c r="L251" s="56"/>
      <c r="T251" s="56"/>
      <c r="U251" s="77">
        <f t="shared" ref="U251:X251" si="2178">C251-C250</f>
        <v>-12</v>
      </c>
      <c r="V251" s="28">
        <f t="shared" si="2178"/>
        <v>12</v>
      </c>
      <c r="W251" s="28">
        <f t="shared" si="2178"/>
        <v>12</v>
      </c>
      <c r="X251" s="28">
        <f t="shared" si="2178"/>
        <v>-12</v>
      </c>
      <c r="AB251" s="28" t="str">
        <f t="shared" ref="AB251:AE251" si="2179">IF(AB$3=$H251,U251,"")</f>
        <v/>
      </c>
      <c r="AC251" s="28" t="str">
        <f t="shared" si="2179"/>
        <v/>
      </c>
      <c r="AD251" s="28" t="str">
        <f t="shared" si="2179"/>
        <v/>
      </c>
      <c r="AE251" s="28" t="str">
        <f t="shared" si="2179"/>
        <v/>
      </c>
      <c r="AH251" s="28">
        <f t="shared" si="22"/>
        <v>0</v>
      </c>
      <c r="AI251" s="28">
        <f t="shared" si="23"/>
        <v>0</v>
      </c>
      <c r="AK251" s="78" t="str">
        <f t="shared" ref="AK251:AN251" si="2180">IF(U251&gt;0,AK$3,"")</f>
        <v/>
      </c>
      <c r="AL251" s="78" t="str">
        <f t="shared" si="2180"/>
        <v>Peter</v>
      </c>
      <c r="AM251" s="78" t="str">
        <f t="shared" si="2180"/>
        <v>Janus</v>
      </c>
      <c r="AN251" s="78" t="str">
        <f t="shared" si="2180"/>
        <v/>
      </c>
      <c r="AO251" s="56">
        <f t="shared" si="25"/>
        <v>2</v>
      </c>
      <c r="AP251" s="8" t="str">
        <f t="shared" si="26"/>
        <v/>
      </c>
      <c r="AQ251" s="73" t="str">
        <f>IFERROR(__xludf.DUMMYFUNCTION("IFNA(QUERY(transpose(AY251:BB251),""Select Col1 where Col1 is not null limit 1"",0))"),"")</f>
        <v/>
      </c>
      <c r="AR251" s="56"/>
      <c r="AS251" s="28" t="str">
        <f t="shared" ref="AS251:AV251" si="2181">IF(AK251=AS$3,"",AS$3)</f>
        <v>Thomas</v>
      </c>
      <c r="AT251" s="28" t="str">
        <f t="shared" si="2181"/>
        <v/>
      </c>
      <c r="AU251" s="28" t="str">
        <f t="shared" si="2181"/>
        <v/>
      </c>
      <c r="AV251" s="28" t="str">
        <f t="shared" si="2181"/>
        <v>Christian</v>
      </c>
      <c r="AW251" s="56">
        <f t="shared" si="28"/>
        <v>2</v>
      </c>
      <c r="AX251" s="28">
        <f t="shared" si="29"/>
        <v>0</v>
      </c>
      <c r="AY251" s="28" t="str">
        <f t="shared" ref="AY251:BB251" si="2182">IFNA(IFS(AY$3=$AP251,"",$AX251=U251,AY$3),"")</f>
        <v/>
      </c>
      <c r="AZ251" s="28" t="str">
        <f t="shared" si="2182"/>
        <v/>
      </c>
      <c r="BA251" s="28" t="str">
        <f t="shared" si="2182"/>
        <v/>
      </c>
      <c r="BB251" s="28" t="str">
        <f t="shared" si="2182"/>
        <v/>
      </c>
      <c r="BC251" s="58">
        <f>OFFSET('00_Regnskab_01'!$A$1,MATCH(A251,'00_Regnskab_01'!$A$1:$A$25)-1,2)</f>
        <v>44106</v>
      </c>
      <c r="BE251" s="80">
        <f t="shared" ref="BE251:BH251" si="2183">if(U251&gt;0,1+BE250,0)</f>
        <v>0</v>
      </c>
      <c r="BF251" s="28">
        <f t="shared" si="2183"/>
        <v>1</v>
      </c>
      <c r="BG251" s="28">
        <f t="shared" si="2183"/>
        <v>1</v>
      </c>
      <c r="BH251" s="28">
        <f t="shared" si="2183"/>
        <v>0</v>
      </c>
      <c r="BJ251" s="28">
        <f t="shared" ref="BJ251:BM251" si="2184">if(U251&lt;0,1+BJ250,0)</f>
        <v>2</v>
      </c>
      <c r="BK251" s="28">
        <f t="shared" si="2184"/>
        <v>0</v>
      </c>
      <c r="BL251" s="28">
        <f t="shared" si="2184"/>
        <v>0</v>
      </c>
      <c r="BM251" s="28">
        <f t="shared" si="2184"/>
        <v>1</v>
      </c>
      <c r="BO251" s="74">
        <f t="shared" ref="BO251:BR251" si="2185">if(U251&gt;0,U251+BO250,0)</f>
        <v>0</v>
      </c>
      <c r="BP251" s="74">
        <f t="shared" si="2185"/>
        <v>12</v>
      </c>
      <c r="BQ251" s="74">
        <f t="shared" si="2185"/>
        <v>12</v>
      </c>
      <c r="BR251" s="74">
        <f t="shared" si="2185"/>
        <v>0</v>
      </c>
      <c r="BT251" s="28">
        <f t="shared" ref="BT251:BW251" si="2186">if(U251&lt;0,U251+BT250,0)</f>
        <v>-20</v>
      </c>
      <c r="BU251" s="28">
        <f t="shared" si="2186"/>
        <v>0</v>
      </c>
      <c r="BV251" s="28">
        <f t="shared" si="2186"/>
        <v>0</v>
      </c>
      <c r="BW251" s="28">
        <f t="shared" si="2186"/>
        <v>-12</v>
      </c>
    </row>
    <row r="252">
      <c r="A252" s="83">
        <v>14.0</v>
      </c>
      <c r="B252" s="84">
        <f>'14_02-10-2020'!A29</f>
        <v>27</v>
      </c>
      <c r="C252" s="85">
        <f>'14_02-10-2020'!B29</f>
        <v>-72</v>
      </c>
      <c r="D252" s="84">
        <f>'14_02-10-2020'!D29</f>
        <v>-40</v>
      </c>
      <c r="E252" s="84">
        <f>'14_02-10-2020'!C29</f>
        <v>224</v>
      </c>
      <c r="F252" s="84">
        <f>'14_02-10-2020'!E29</f>
        <v>-112</v>
      </c>
      <c r="G252" s="84">
        <f>'14_02-10-2020'!F29</f>
        <v>0</v>
      </c>
      <c r="H252" s="84" t="str">
        <f>'14_02-10-2020'!H29</f>
        <v>Thomas</v>
      </c>
      <c r="I252" s="84"/>
      <c r="J252" s="86" t="str">
        <f>'14_02-10-2020'!I29</f>
        <v>Christian</v>
      </c>
      <c r="K252" s="84" t="str">
        <f>'14_02-10-2020'!G29</f>
        <v>9 vip 1. første</v>
      </c>
      <c r="L252" s="84"/>
      <c r="M252" s="87">
        <v>9.0</v>
      </c>
      <c r="N252" s="87" t="s">
        <v>86</v>
      </c>
      <c r="O252" s="87">
        <v>1.0</v>
      </c>
      <c r="P252" s="84"/>
      <c r="Q252" s="84"/>
      <c r="R252" s="84"/>
      <c r="S252" s="84"/>
      <c r="T252" s="84"/>
      <c r="U252" s="88">
        <f t="shared" ref="U252:X252" si="2187">C252-C251</f>
        <v>8</v>
      </c>
      <c r="V252" s="84">
        <f t="shared" si="2187"/>
        <v>8</v>
      </c>
      <c r="W252" s="84">
        <f t="shared" si="2187"/>
        <v>-8</v>
      </c>
      <c r="X252" s="84">
        <f t="shared" si="2187"/>
        <v>-8</v>
      </c>
      <c r="Y252" s="84"/>
      <c r="Z252" s="84"/>
      <c r="AA252" s="84"/>
      <c r="AB252" s="84">
        <f t="shared" ref="AB252:AE252" si="2188">IF(AB$3=$H252,U252,"")</f>
        <v>8</v>
      </c>
      <c r="AC252" s="84" t="str">
        <f t="shared" si="2188"/>
        <v/>
      </c>
      <c r="AD252" s="84" t="str">
        <f t="shared" si="2188"/>
        <v/>
      </c>
      <c r="AE252" s="84" t="str">
        <f t="shared" si="2188"/>
        <v/>
      </c>
      <c r="AF252" s="84"/>
      <c r="AG252" s="84"/>
      <c r="AH252" s="84">
        <f t="shared" si="22"/>
        <v>8</v>
      </c>
      <c r="AI252" s="84">
        <f t="shared" si="23"/>
        <v>0</v>
      </c>
      <c r="AJ252" s="84"/>
      <c r="AK252" s="93" t="str">
        <f t="shared" ref="AK252:AN252" si="2189">IF(U252&gt;0,AK$3,"")</f>
        <v>Thomas</v>
      </c>
      <c r="AL252" s="93" t="str">
        <f t="shared" si="2189"/>
        <v>Peter</v>
      </c>
      <c r="AM252" s="93" t="str">
        <f t="shared" si="2189"/>
        <v/>
      </c>
      <c r="AN252" s="93" t="str">
        <f t="shared" si="2189"/>
        <v/>
      </c>
      <c r="AO252" s="84">
        <f t="shared" si="25"/>
        <v>2</v>
      </c>
      <c r="AP252" s="94" t="str">
        <f t="shared" si="26"/>
        <v>Thomas</v>
      </c>
      <c r="AQ252" s="95" t="str">
        <f>IFERROR(__xludf.DUMMYFUNCTION("IFNA(QUERY(transpose(AY252:BB252),""Select Col1 where Col1 is not null limit 1"",0))"),"Peter")</f>
        <v>Peter</v>
      </c>
      <c r="AR252" s="84"/>
      <c r="AS252" s="84" t="str">
        <f t="shared" ref="AS252:AV252" si="2190">IF(AK252=AS$3,"",AS$3)</f>
        <v/>
      </c>
      <c r="AT252" s="84" t="str">
        <f t="shared" si="2190"/>
        <v/>
      </c>
      <c r="AU252" s="84" t="str">
        <f t="shared" si="2190"/>
        <v>Janus</v>
      </c>
      <c r="AV252" s="84" t="str">
        <f t="shared" si="2190"/>
        <v>Christian</v>
      </c>
      <c r="AW252" s="84">
        <f t="shared" si="28"/>
        <v>2</v>
      </c>
      <c r="AX252" s="84">
        <f t="shared" si="29"/>
        <v>8</v>
      </c>
      <c r="AY252" s="84" t="str">
        <f t="shared" ref="AY252:BB252" si="2191">IFNA(IFS(AY$3=$AP252,"",$AX252=U252,AY$3),"")</f>
        <v/>
      </c>
      <c r="AZ252" s="84" t="str">
        <f t="shared" si="2191"/>
        <v>Peter</v>
      </c>
      <c r="BA252" s="84" t="str">
        <f t="shared" si="2191"/>
        <v/>
      </c>
      <c r="BB252" s="84" t="str">
        <f t="shared" si="2191"/>
        <v/>
      </c>
      <c r="BC252" s="96">
        <f>OFFSET('00_Regnskab_01'!$A$1,MATCH(A252,'00_Regnskab_01'!$A$1:$A$25)-1,2)</f>
        <v>44106</v>
      </c>
      <c r="BD252" s="84"/>
      <c r="BE252" s="97">
        <f t="shared" ref="BE252:BH252" si="2192">if(U252&gt;0,1+BE251,0)</f>
        <v>1</v>
      </c>
      <c r="BF252" s="84">
        <f t="shared" si="2192"/>
        <v>2</v>
      </c>
      <c r="BG252" s="84">
        <f t="shared" si="2192"/>
        <v>0</v>
      </c>
      <c r="BH252" s="84">
        <f t="shared" si="2192"/>
        <v>0</v>
      </c>
      <c r="BI252" s="84"/>
      <c r="BJ252" s="28">
        <f t="shared" ref="BJ252:BM252" si="2193">if(U252&lt;0,1+BJ251,0)</f>
        <v>0</v>
      </c>
      <c r="BK252" s="28">
        <f t="shared" si="2193"/>
        <v>0</v>
      </c>
      <c r="BL252" s="28">
        <f t="shared" si="2193"/>
        <v>1</v>
      </c>
      <c r="BM252" s="28">
        <f t="shared" si="2193"/>
        <v>2</v>
      </c>
      <c r="BN252" s="84"/>
      <c r="BO252" s="98">
        <f t="shared" ref="BO252:BR252" si="2194">if(U252&gt;0,U252+BO251,0)</f>
        <v>8</v>
      </c>
      <c r="BP252" s="98">
        <f t="shared" si="2194"/>
        <v>20</v>
      </c>
      <c r="BQ252" s="98">
        <f t="shared" si="2194"/>
        <v>0</v>
      </c>
      <c r="BR252" s="98">
        <f t="shared" si="2194"/>
        <v>0</v>
      </c>
      <c r="BS252" s="84"/>
      <c r="BT252" s="84">
        <f t="shared" ref="BT252:BW252" si="2195">if(U252&lt;0,U252+BT251,0)</f>
        <v>0</v>
      </c>
      <c r="BU252" s="84">
        <f t="shared" si="2195"/>
        <v>0</v>
      </c>
      <c r="BV252" s="84">
        <f t="shared" si="2195"/>
        <v>-8</v>
      </c>
      <c r="BW252" s="84">
        <f t="shared" si="2195"/>
        <v>-20</v>
      </c>
      <c r="BX252" s="84"/>
      <c r="BY252" s="84"/>
    </row>
    <row r="253">
      <c r="A253" s="51">
        <v>15.0</v>
      </c>
      <c r="B253" s="32">
        <f>'15_18-06-2021'!A3</f>
        <v>1</v>
      </c>
      <c r="C253" s="32">
        <f>'15_18-06-2021'!B3</f>
        <v>-8</v>
      </c>
      <c r="D253" s="32">
        <f>'15_18-06-2021'!D3</f>
        <v>24</v>
      </c>
      <c r="E253" s="32">
        <f>'15_18-06-2021'!E3</f>
        <v>-8</v>
      </c>
      <c r="F253" s="32">
        <f>'15_18-06-2021'!C3</f>
        <v>-8</v>
      </c>
      <c r="G253" s="32">
        <f>'15_18-06-2021'!F3</f>
        <v>0</v>
      </c>
      <c r="H253" s="32" t="str">
        <f>'15_18-06-2021'!H3</f>
        <v>Peter</v>
      </c>
      <c r="I253" s="32"/>
      <c r="J253" s="70" t="str">
        <f>'15_18-06-2021'!I3</f>
        <v>Christian </v>
      </c>
      <c r="K253" s="32" t="str">
        <f>'15_18-06-2021'!G3</f>
        <v>ren sol</v>
      </c>
      <c r="L253" s="32"/>
      <c r="M253" s="32"/>
      <c r="N253" s="25" t="s">
        <v>97</v>
      </c>
      <c r="O253" s="32"/>
      <c r="P253" s="32"/>
      <c r="Q253" s="32"/>
      <c r="R253" s="32"/>
      <c r="S253" s="32"/>
      <c r="T253" s="32"/>
      <c r="U253" s="71">
        <f t="shared" ref="U253:X253" si="2196">C253</f>
        <v>-8</v>
      </c>
      <c r="V253" s="32">
        <f t="shared" si="2196"/>
        <v>24</v>
      </c>
      <c r="W253" s="32">
        <f t="shared" si="2196"/>
        <v>-8</v>
      </c>
      <c r="X253" s="32">
        <f t="shared" si="2196"/>
        <v>-8</v>
      </c>
      <c r="Y253" s="32"/>
      <c r="Z253" s="32"/>
      <c r="AA253" s="32"/>
      <c r="AB253" s="28" t="str">
        <f t="shared" ref="AB253:AE253" si="2197">IF(AB$3=$H253,U253,"")</f>
        <v/>
      </c>
      <c r="AC253" s="28">
        <f t="shared" si="2197"/>
        <v>24</v>
      </c>
      <c r="AD253" s="28" t="str">
        <f t="shared" si="2197"/>
        <v/>
      </c>
      <c r="AE253" s="28" t="str">
        <f t="shared" si="2197"/>
        <v/>
      </c>
      <c r="AH253" s="28">
        <f t="shared" si="22"/>
        <v>24</v>
      </c>
      <c r="AI253" s="28">
        <f t="shared" si="23"/>
        <v>0</v>
      </c>
      <c r="AJ253" s="32"/>
      <c r="AK253" s="78" t="str">
        <f t="shared" ref="AK253:AN253" si="2198">IF(U253&gt;0,AK$3,"")</f>
        <v/>
      </c>
      <c r="AL253" s="78" t="str">
        <f t="shared" si="2198"/>
        <v>Peter</v>
      </c>
      <c r="AM253" s="78" t="str">
        <f t="shared" si="2198"/>
        <v/>
      </c>
      <c r="AN253" s="78" t="str">
        <f t="shared" si="2198"/>
        <v/>
      </c>
      <c r="AO253" s="56">
        <f t="shared" si="25"/>
        <v>1</v>
      </c>
      <c r="AP253" s="8" t="str">
        <f t="shared" si="26"/>
        <v>Peter</v>
      </c>
      <c r="AQ253" s="73" t="str">
        <f>IFERROR(__xludf.DUMMYFUNCTION("IFNA(QUERY(transpose(AY253:BB253),""Select Col1 where Col1 is not null limit 1"",0))"),"")</f>
        <v/>
      </c>
      <c r="AR253" s="56"/>
      <c r="AS253" s="28" t="str">
        <f t="shared" ref="AS253:AV253" si="2199">IF(AK253=AS$3,"",AS$3)</f>
        <v>Thomas</v>
      </c>
      <c r="AT253" s="28" t="str">
        <f t="shared" si="2199"/>
        <v/>
      </c>
      <c r="AU253" s="28" t="str">
        <f t="shared" si="2199"/>
        <v>Janus</v>
      </c>
      <c r="AV253" s="28" t="str">
        <f t="shared" si="2199"/>
        <v>Christian</v>
      </c>
      <c r="AW253" s="56">
        <f t="shared" si="28"/>
        <v>3</v>
      </c>
      <c r="AX253" s="28">
        <f t="shared" si="29"/>
        <v>24</v>
      </c>
      <c r="AY253" s="28" t="str">
        <f t="shared" ref="AY253:BB253" si="2200">IFNA(IFS(AY$3=$AP253,"",$AX253=U253,AY$3),"")</f>
        <v/>
      </c>
      <c r="AZ253" s="28" t="str">
        <f t="shared" si="2200"/>
        <v/>
      </c>
      <c r="BA253" s="28" t="str">
        <f t="shared" si="2200"/>
        <v/>
      </c>
      <c r="BB253" s="28" t="str">
        <f t="shared" si="2200"/>
        <v/>
      </c>
      <c r="BC253" s="58">
        <f>OFFSET('00_Regnskab_01'!$A$1,MATCH(A253,'00_Regnskab_01'!$A$1:$A$25)-1,2)</f>
        <v>44365</v>
      </c>
      <c r="BD253" s="32"/>
      <c r="BE253" s="80">
        <f t="shared" ref="BE253:BH253" si="2201">if(U253&gt;0,1+BE252,0)</f>
        <v>0</v>
      </c>
      <c r="BF253" s="28">
        <f t="shared" si="2201"/>
        <v>3</v>
      </c>
      <c r="BG253" s="28">
        <f t="shared" si="2201"/>
        <v>0</v>
      </c>
      <c r="BH253" s="28">
        <f t="shared" si="2201"/>
        <v>0</v>
      </c>
      <c r="BI253" s="32"/>
      <c r="BJ253" s="28">
        <f t="shared" ref="BJ253:BM253" si="2202">if(U253&lt;0,1+BJ252,0)</f>
        <v>1</v>
      </c>
      <c r="BK253" s="28">
        <f t="shared" si="2202"/>
        <v>0</v>
      </c>
      <c r="BL253" s="28">
        <f t="shared" si="2202"/>
        <v>2</v>
      </c>
      <c r="BM253" s="28">
        <f t="shared" si="2202"/>
        <v>3</v>
      </c>
      <c r="BO253" s="74">
        <f t="shared" ref="BO253:BR253" si="2203">if(U253&gt;0,U253+BO252,0)</f>
        <v>0</v>
      </c>
      <c r="BP253" s="74">
        <f t="shared" si="2203"/>
        <v>44</v>
      </c>
      <c r="BQ253" s="74">
        <f t="shared" si="2203"/>
        <v>0</v>
      </c>
      <c r="BR253" s="74">
        <f t="shared" si="2203"/>
        <v>0</v>
      </c>
      <c r="BT253" s="28">
        <f t="shared" ref="BT253:BW253" si="2204">if(U253&lt;0,U253+BT252,0)</f>
        <v>-8</v>
      </c>
      <c r="BU253" s="28">
        <f t="shared" si="2204"/>
        <v>0</v>
      </c>
      <c r="BV253" s="28">
        <f t="shared" si="2204"/>
        <v>-16</v>
      </c>
      <c r="BW253" s="28">
        <f t="shared" si="2204"/>
        <v>-28</v>
      </c>
      <c r="BX253" s="32"/>
      <c r="BY253" s="32"/>
    </row>
    <row r="254">
      <c r="A254" s="53">
        <v>15.0</v>
      </c>
      <c r="B254" s="28">
        <f>'15_18-06-2021'!A4</f>
        <v>2</v>
      </c>
      <c r="C254" s="28">
        <f>'15_18-06-2021'!B4</f>
        <v>-12</v>
      </c>
      <c r="D254" s="28">
        <f>'15_18-06-2021'!D4</f>
        <v>36</v>
      </c>
      <c r="E254" s="28">
        <f>'15_18-06-2021'!E4</f>
        <v>-12</v>
      </c>
      <c r="F254" s="28">
        <f>'15_18-06-2021'!C4</f>
        <v>-12</v>
      </c>
      <c r="G254" s="28">
        <f>'15_18-06-2021'!F4</f>
        <v>0</v>
      </c>
      <c r="H254" s="28" t="str">
        <f>'15_18-06-2021'!H4</f>
        <v>Peter</v>
      </c>
      <c r="J254" s="76" t="str">
        <f>'15_18-06-2021'!I4</f>
        <v>Peter</v>
      </c>
      <c r="K254" s="28" t="str">
        <f>'15_18-06-2021'!G4</f>
        <v>sol</v>
      </c>
      <c r="L254" s="56"/>
      <c r="N254" s="25" t="s">
        <v>99</v>
      </c>
      <c r="T254" s="56"/>
      <c r="U254" s="77">
        <f t="shared" ref="U254:X254" si="2205">C254-C253</f>
        <v>-4</v>
      </c>
      <c r="V254" s="28">
        <f t="shared" si="2205"/>
        <v>12</v>
      </c>
      <c r="W254" s="28">
        <f t="shared" si="2205"/>
        <v>-4</v>
      </c>
      <c r="X254" s="28">
        <f t="shared" si="2205"/>
        <v>-4</v>
      </c>
      <c r="AB254" s="28" t="str">
        <f t="shared" ref="AB254:AE254" si="2206">IF(AB$3=$H254,U254,"")</f>
        <v/>
      </c>
      <c r="AC254" s="28">
        <f t="shared" si="2206"/>
        <v>12</v>
      </c>
      <c r="AD254" s="28" t="str">
        <f t="shared" si="2206"/>
        <v/>
      </c>
      <c r="AE254" s="28" t="str">
        <f t="shared" si="2206"/>
        <v/>
      </c>
      <c r="AH254" s="28">
        <f t="shared" si="22"/>
        <v>12</v>
      </c>
      <c r="AI254" s="28">
        <f t="shared" si="23"/>
        <v>0</v>
      </c>
      <c r="AK254" s="78" t="str">
        <f t="shared" ref="AK254:AN254" si="2207">IF(U254&gt;0,AK$3,"")</f>
        <v/>
      </c>
      <c r="AL254" s="78" t="str">
        <f t="shared" si="2207"/>
        <v>Peter</v>
      </c>
      <c r="AM254" s="78" t="str">
        <f t="shared" si="2207"/>
        <v/>
      </c>
      <c r="AN254" s="78" t="str">
        <f t="shared" si="2207"/>
        <v/>
      </c>
      <c r="AO254" s="56">
        <f t="shared" si="25"/>
        <v>1</v>
      </c>
      <c r="AP254" s="8" t="str">
        <f t="shared" si="26"/>
        <v>Peter</v>
      </c>
      <c r="AQ254" s="73" t="str">
        <f>IFERROR(__xludf.DUMMYFUNCTION("IFNA(QUERY(transpose(AY254:BB254),""Select Col1 where Col1 is not null limit 1"",0))"),"")</f>
        <v/>
      </c>
      <c r="AR254" s="56"/>
      <c r="AS254" s="28" t="str">
        <f t="shared" ref="AS254:AV254" si="2208">IF(AK254=AS$3,"",AS$3)</f>
        <v>Thomas</v>
      </c>
      <c r="AT254" s="28" t="str">
        <f t="shared" si="2208"/>
        <v/>
      </c>
      <c r="AU254" s="28" t="str">
        <f t="shared" si="2208"/>
        <v>Janus</v>
      </c>
      <c r="AV254" s="28" t="str">
        <f t="shared" si="2208"/>
        <v>Christian</v>
      </c>
      <c r="AW254" s="56">
        <f t="shared" si="28"/>
        <v>3</v>
      </c>
      <c r="AX254" s="28">
        <f t="shared" si="29"/>
        <v>12</v>
      </c>
      <c r="AY254" s="28" t="str">
        <f t="shared" ref="AY254:BB254" si="2209">IFNA(IFS(AY$3=$AP254,"",$AX254=U254,AY$3),"")</f>
        <v/>
      </c>
      <c r="AZ254" s="28" t="str">
        <f t="shared" si="2209"/>
        <v/>
      </c>
      <c r="BA254" s="28" t="str">
        <f t="shared" si="2209"/>
        <v/>
      </c>
      <c r="BB254" s="28" t="str">
        <f t="shared" si="2209"/>
        <v/>
      </c>
      <c r="BC254" s="58">
        <f>OFFSET('00_Regnskab_01'!$A$1,MATCH(A254,'00_Regnskab_01'!$A$1:$A$25)-1,2)</f>
        <v>44365</v>
      </c>
      <c r="BE254" s="80">
        <f t="shared" ref="BE254:BH254" si="2210">if(U254&gt;0,1+BE253,0)</f>
        <v>0</v>
      </c>
      <c r="BF254" s="28">
        <f t="shared" si="2210"/>
        <v>4</v>
      </c>
      <c r="BG254" s="28">
        <f t="shared" si="2210"/>
        <v>0</v>
      </c>
      <c r="BH254" s="28">
        <f t="shared" si="2210"/>
        <v>0</v>
      </c>
      <c r="BJ254" s="28">
        <f t="shared" ref="BJ254:BM254" si="2211">if(U254&lt;0,1+BJ253,0)</f>
        <v>2</v>
      </c>
      <c r="BK254" s="28">
        <f t="shared" si="2211"/>
        <v>0</v>
      </c>
      <c r="BL254" s="28">
        <f t="shared" si="2211"/>
        <v>3</v>
      </c>
      <c r="BM254" s="28">
        <f t="shared" si="2211"/>
        <v>4</v>
      </c>
      <c r="BO254" s="74">
        <f t="shared" ref="BO254:BR254" si="2212">if(U254&gt;0,U254+BO253,0)</f>
        <v>0</v>
      </c>
      <c r="BP254" s="74">
        <f t="shared" si="2212"/>
        <v>56</v>
      </c>
      <c r="BQ254" s="74">
        <f t="shared" si="2212"/>
        <v>0</v>
      </c>
      <c r="BR254" s="74">
        <f t="shared" si="2212"/>
        <v>0</v>
      </c>
      <c r="BT254" s="28">
        <f t="shared" ref="BT254:BW254" si="2213">if(U254&lt;0,U254+BT253,0)</f>
        <v>-12</v>
      </c>
      <c r="BU254" s="28">
        <f t="shared" si="2213"/>
        <v>0</v>
      </c>
      <c r="BV254" s="28">
        <f t="shared" si="2213"/>
        <v>-20</v>
      </c>
      <c r="BW254" s="28">
        <f t="shared" si="2213"/>
        <v>-32</v>
      </c>
    </row>
    <row r="255">
      <c r="A255" s="53">
        <v>15.0</v>
      </c>
      <c r="B255" s="28">
        <f>'15_18-06-2021'!A5</f>
        <v>3</v>
      </c>
      <c r="C255" s="28">
        <f>'15_18-06-2021'!B5</f>
        <v>20</v>
      </c>
      <c r="D255" s="28">
        <f>'15_18-06-2021'!D5</f>
        <v>68</v>
      </c>
      <c r="E255" s="28">
        <f>'15_18-06-2021'!E5</f>
        <v>-44</v>
      </c>
      <c r="F255" s="28">
        <f>'15_18-06-2021'!C5</f>
        <v>-44</v>
      </c>
      <c r="G255" s="28">
        <f>'15_18-06-2021'!F5</f>
        <v>0</v>
      </c>
      <c r="H255" s="28" t="str">
        <f>'15_18-06-2021'!H5</f>
        <v>Thomas</v>
      </c>
      <c r="J255" s="76" t="str">
        <f>'15_18-06-2021'!I5</f>
        <v>Janus</v>
      </c>
      <c r="K255" s="28" t="str">
        <f>'15_18-06-2021'!G5</f>
        <v>10 halve</v>
      </c>
      <c r="L255" s="56"/>
      <c r="M255" s="25">
        <v>10.0</v>
      </c>
      <c r="N255" s="25" t="s">
        <v>94</v>
      </c>
      <c r="T255" s="56"/>
      <c r="U255" s="77">
        <f t="shared" ref="U255:X255" si="2214">C255-C254</f>
        <v>32</v>
      </c>
      <c r="V255" s="28">
        <f t="shared" si="2214"/>
        <v>32</v>
      </c>
      <c r="W255" s="28">
        <f t="shared" si="2214"/>
        <v>-32</v>
      </c>
      <c r="X255" s="28">
        <f t="shared" si="2214"/>
        <v>-32</v>
      </c>
      <c r="AB255" s="28">
        <f t="shared" ref="AB255:AE255" si="2215">IF(AB$3=$H255,U255,"")</f>
        <v>32</v>
      </c>
      <c r="AC255" s="28" t="str">
        <f t="shared" si="2215"/>
        <v/>
      </c>
      <c r="AD255" s="28" t="str">
        <f t="shared" si="2215"/>
        <v/>
      </c>
      <c r="AE255" s="28" t="str">
        <f t="shared" si="2215"/>
        <v/>
      </c>
      <c r="AH255" s="28">
        <f t="shared" si="22"/>
        <v>32</v>
      </c>
      <c r="AI255" s="28">
        <f t="shared" si="23"/>
        <v>0</v>
      </c>
      <c r="AK255" s="78" t="str">
        <f t="shared" ref="AK255:AN255" si="2216">IF(U255&gt;0,AK$3,"")</f>
        <v>Thomas</v>
      </c>
      <c r="AL255" s="78" t="str">
        <f t="shared" si="2216"/>
        <v>Peter</v>
      </c>
      <c r="AM255" s="78" t="str">
        <f t="shared" si="2216"/>
        <v/>
      </c>
      <c r="AN255" s="78" t="str">
        <f t="shared" si="2216"/>
        <v/>
      </c>
      <c r="AO255" s="56">
        <f t="shared" si="25"/>
        <v>2</v>
      </c>
      <c r="AP255" s="8" t="str">
        <f t="shared" si="26"/>
        <v>Thomas</v>
      </c>
      <c r="AQ255" s="73" t="str">
        <f>IFERROR(__xludf.DUMMYFUNCTION("IFNA(QUERY(transpose(AY255:BB255),""Select Col1 where Col1 is not null limit 1"",0))"),"Peter")</f>
        <v>Peter</v>
      </c>
      <c r="AR255" s="56"/>
      <c r="AS255" s="28" t="str">
        <f t="shared" ref="AS255:AV255" si="2217">IF(AK255=AS$3,"",AS$3)</f>
        <v/>
      </c>
      <c r="AT255" s="28" t="str">
        <f t="shared" si="2217"/>
        <v/>
      </c>
      <c r="AU255" s="28" t="str">
        <f t="shared" si="2217"/>
        <v>Janus</v>
      </c>
      <c r="AV255" s="28" t="str">
        <f t="shared" si="2217"/>
        <v>Christian</v>
      </c>
      <c r="AW255" s="56">
        <f t="shared" si="28"/>
        <v>2</v>
      </c>
      <c r="AX255" s="28">
        <f t="shared" si="29"/>
        <v>32</v>
      </c>
      <c r="AY255" s="28" t="str">
        <f t="shared" ref="AY255:BB255" si="2218">IFNA(IFS(AY$3=$AP255,"",$AX255=U255,AY$3),"")</f>
        <v/>
      </c>
      <c r="AZ255" s="28" t="str">
        <f t="shared" si="2218"/>
        <v>Peter</v>
      </c>
      <c r="BA255" s="28" t="str">
        <f t="shared" si="2218"/>
        <v/>
      </c>
      <c r="BB255" s="28" t="str">
        <f t="shared" si="2218"/>
        <v/>
      </c>
      <c r="BC255" s="58">
        <f>OFFSET('00_Regnskab_01'!$A$1,MATCH(A255,'00_Regnskab_01'!$A$1:$A$25)-1,2)</f>
        <v>44365</v>
      </c>
      <c r="BE255" s="80">
        <f t="shared" ref="BE255:BH255" si="2219">if(U255&gt;0,1+BE254,0)</f>
        <v>1</v>
      </c>
      <c r="BF255" s="28">
        <f t="shared" si="2219"/>
        <v>5</v>
      </c>
      <c r="BG255" s="28">
        <f t="shared" si="2219"/>
        <v>0</v>
      </c>
      <c r="BH255" s="28">
        <f t="shared" si="2219"/>
        <v>0</v>
      </c>
      <c r="BJ255" s="28">
        <f t="shared" ref="BJ255:BM255" si="2220">if(U255&lt;0,1+BJ254,0)</f>
        <v>0</v>
      </c>
      <c r="BK255" s="28">
        <f t="shared" si="2220"/>
        <v>0</v>
      </c>
      <c r="BL255" s="28">
        <f t="shared" si="2220"/>
        <v>4</v>
      </c>
      <c r="BM255" s="28">
        <f t="shared" si="2220"/>
        <v>5</v>
      </c>
      <c r="BO255" s="74">
        <f t="shared" ref="BO255:BR255" si="2221">if(U255&gt;0,U255+BO254,0)</f>
        <v>32</v>
      </c>
      <c r="BP255" s="74">
        <f t="shared" si="2221"/>
        <v>88</v>
      </c>
      <c r="BQ255" s="74">
        <f t="shared" si="2221"/>
        <v>0</v>
      </c>
      <c r="BR255" s="74">
        <f t="shared" si="2221"/>
        <v>0</v>
      </c>
      <c r="BT255" s="28">
        <f t="shared" ref="BT255:BW255" si="2222">if(U255&lt;0,U255+BT254,0)</f>
        <v>0</v>
      </c>
      <c r="BU255" s="28">
        <f t="shared" si="2222"/>
        <v>0</v>
      </c>
      <c r="BV255" s="28">
        <f t="shared" si="2222"/>
        <v>-52</v>
      </c>
      <c r="BW255" s="28">
        <f t="shared" si="2222"/>
        <v>-64</v>
      </c>
    </row>
    <row r="256">
      <c r="A256" s="53">
        <v>15.0</v>
      </c>
      <c r="B256" s="28">
        <f>'15_18-06-2021'!A6</f>
        <v>4</v>
      </c>
      <c r="C256" s="28">
        <f>'15_18-06-2021'!B6</f>
        <v>32</v>
      </c>
      <c r="D256" s="28">
        <f>'15_18-06-2021'!D6</f>
        <v>56</v>
      </c>
      <c r="E256" s="28">
        <f>'15_18-06-2021'!E6</f>
        <v>-32</v>
      </c>
      <c r="F256" s="28">
        <f>'15_18-06-2021'!C6</f>
        <v>-56</v>
      </c>
      <c r="G256" s="28">
        <f>'15_18-06-2021'!F6</f>
        <v>0</v>
      </c>
      <c r="H256" s="28" t="str">
        <f>'15_18-06-2021'!H6</f>
        <v>Christian </v>
      </c>
      <c r="J256" s="76" t="str">
        <f>'15_18-06-2021'!I6</f>
        <v>Thomas </v>
      </c>
      <c r="K256" s="28" t="str">
        <f>'15_18-06-2021'!G6</f>
        <v>9 halve</v>
      </c>
      <c r="L256" s="56"/>
      <c r="M256" s="25">
        <v>9.0</v>
      </c>
      <c r="N256" s="25" t="s">
        <v>94</v>
      </c>
      <c r="T256" s="56"/>
      <c r="U256" s="77">
        <f t="shared" ref="U256:X256" si="2223">C256-C255</f>
        <v>12</v>
      </c>
      <c r="V256" s="28">
        <f t="shared" si="2223"/>
        <v>-12</v>
      </c>
      <c r="W256" s="28">
        <f t="shared" si="2223"/>
        <v>12</v>
      </c>
      <c r="X256" s="28">
        <f t="shared" si="2223"/>
        <v>-12</v>
      </c>
      <c r="AB256" s="28" t="str">
        <f t="shared" ref="AB256:AE256" si="2224">IF(AB$3=$H256,U256,"")</f>
        <v/>
      </c>
      <c r="AC256" s="28" t="str">
        <f t="shared" si="2224"/>
        <v/>
      </c>
      <c r="AD256" s="28" t="str">
        <f t="shared" si="2224"/>
        <v/>
      </c>
      <c r="AE256" s="28" t="str">
        <f t="shared" si="2224"/>
        <v/>
      </c>
      <c r="AH256" s="28">
        <f t="shared" si="22"/>
        <v>0</v>
      </c>
      <c r="AI256" s="28">
        <f t="shared" si="23"/>
        <v>0</v>
      </c>
      <c r="AK256" s="78" t="str">
        <f t="shared" ref="AK256:AN256" si="2225">IF(U256&gt;0,AK$3,"")</f>
        <v>Thomas</v>
      </c>
      <c r="AL256" s="78" t="str">
        <f t="shared" si="2225"/>
        <v/>
      </c>
      <c r="AM256" s="78" t="str">
        <f t="shared" si="2225"/>
        <v>Janus</v>
      </c>
      <c r="AN256" s="78" t="str">
        <f t="shared" si="2225"/>
        <v/>
      </c>
      <c r="AO256" s="56">
        <f t="shared" si="25"/>
        <v>2</v>
      </c>
      <c r="AP256" s="8" t="str">
        <f t="shared" si="26"/>
        <v>Christian </v>
      </c>
      <c r="AQ256" s="73" t="str">
        <f>IFERROR(__xludf.DUMMYFUNCTION("IFNA(QUERY(transpose(AY256:BB256),""Select Col1 where Col1 is not null limit 1"",0))"),"")</f>
        <v/>
      </c>
      <c r="AR256" s="56"/>
      <c r="AS256" s="28" t="str">
        <f t="shared" ref="AS256:AV256" si="2226">IF(AK256=AS$3,"",AS$3)</f>
        <v/>
      </c>
      <c r="AT256" s="28" t="str">
        <f t="shared" si="2226"/>
        <v>Peter</v>
      </c>
      <c r="AU256" s="28" t="str">
        <f t="shared" si="2226"/>
        <v/>
      </c>
      <c r="AV256" s="28" t="str">
        <f t="shared" si="2226"/>
        <v>Christian</v>
      </c>
      <c r="AW256" s="56">
        <f t="shared" si="28"/>
        <v>2</v>
      </c>
      <c r="AX256" s="28">
        <f t="shared" si="29"/>
        <v>0</v>
      </c>
      <c r="AY256" s="28" t="str">
        <f t="shared" ref="AY256:BB256" si="2227">IFNA(IFS(AY$3=$AP256,"",$AX256=U256,AY$3),"")</f>
        <v/>
      </c>
      <c r="AZ256" s="28" t="str">
        <f t="shared" si="2227"/>
        <v/>
      </c>
      <c r="BA256" s="28" t="str">
        <f t="shared" si="2227"/>
        <v/>
      </c>
      <c r="BB256" s="28" t="str">
        <f t="shared" si="2227"/>
        <v/>
      </c>
      <c r="BC256" s="58">
        <f>OFFSET('00_Regnskab_01'!$A$1,MATCH(A256,'00_Regnskab_01'!$A$1:$A$25)-1,2)</f>
        <v>44365</v>
      </c>
      <c r="BE256" s="80">
        <f t="shared" ref="BE256:BH256" si="2228">if(U256&gt;0,1+BE255,0)</f>
        <v>2</v>
      </c>
      <c r="BF256" s="28">
        <f t="shared" si="2228"/>
        <v>0</v>
      </c>
      <c r="BG256" s="28">
        <f t="shared" si="2228"/>
        <v>1</v>
      </c>
      <c r="BH256" s="28">
        <f t="shared" si="2228"/>
        <v>0</v>
      </c>
      <c r="BJ256" s="28">
        <f t="shared" ref="BJ256:BM256" si="2229">if(U256&lt;0,1+BJ255,0)</f>
        <v>0</v>
      </c>
      <c r="BK256" s="28">
        <f t="shared" si="2229"/>
        <v>1</v>
      </c>
      <c r="BL256" s="28">
        <f t="shared" si="2229"/>
        <v>0</v>
      </c>
      <c r="BM256" s="28">
        <f t="shared" si="2229"/>
        <v>6</v>
      </c>
      <c r="BO256" s="74">
        <f t="shared" ref="BO256:BR256" si="2230">if(U256&gt;0,U256+BO255,0)</f>
        <v>44</v>
      </c>
      <c r="BP256" s="74">
        <f t="shared" si="2230"/>
        <v>0</v>
      </c>
      <c r="BQ256" s="74">
        <f t="shared" si="2230"/>
        <v>12</v>
      </c>
      <c r="BR256" s="74">
        <f t="shared" si="2230"/>
        <v>0</v>
      </c>
      <c r="BT256" s="28">
        <f t="shared" ref="BT256:BW256" si="2231">if(U256&lt;0,U256+BT255,0)</f>
        <v>0</v>
      </c>
      <c r="BU256" s="28">
        <f t="shared" si="2231"/>
        <v>-12</v>
      </c>
      <c r="BV256" s="28">
        <f t="shared" si="2231"/>
        <v>0</v>
      </c>
      <c r="BW256" s="28">
        <f t="shared" si="2231"/>
        <v>-76</v>
      </c>
    </row>
    <row r="257">
      <c r="A257" s="53">
        <v>15.0</v>
      </c>
      <c r="B257" s="28">
        <f>'15_18-06-2021'!A7</f>
        <v>5</v>
      </c>
      <c r="C257" s="28">
        <f>'15_18-06-2021'!B7</f>
        <v>24</v>
      </c>
      <c r="D257" s="28">
        <f>'15_18-06-2021'!D7</f>
        <v>80</v>
      </c>
      <c r="E257" s="28">
        <f>'15_18-06-2021'!E7</f>
        <v>-40</v>
      </c>
      <c r="F257" s="28">
        <f>'15_18-06-2021'!C7</f>
        <v>-64</v>
      </c>
      <c r="G257" s="28">
        <f>'15_18-06-2021'!F7</f>
        <v>0</v>
      </c>
      <c r="H257" s="28" t="str">
        <f>'15_18-06-2021'!H7</f>
        <v>Peter</v>
      </c>
      <c r="J257" s="76" t="str">
        <f>'15_18-06-2021'!I7</f>
        <v>Christian </v>
      </c>
      <c r="K257" s="28" t="str">
        <f>'15_18-06-2021'!G7</f>
        <v>ren sol</v>
      </c>
      <c r="L257" s="56"/>
      <c r="N257" s="25" t="s">
        <v>97</v>
      </c>
      <c r="T257" s="56"/>
      <c r="U257" s="77">
        <f t="shared" ref="U257:X257" si="2232">C257-C256</f>
        <v>-8</v>
      </c>
      <c r="V257" s="28">
        <f t="shared" si="2232"/>
        <v>24</v>
      </c>
      <c r="W257" s="28">
        <f t="shared" si="2232"/>
        <v>-8</v>
      </c>
      <c r="X257" s="28">
        <f t="shared" si="2232"/>
        <v>-8</v>
      </c>
      <c r="AB257" s="28" t="str">
        <f t="shared" ref="AB257:AE257" si="2233">IF(AB$3=$H257,U257,"")</f>
        <v/>
      </c>
      <c r="AC257" s="28">
        <f t="shared" si="2233"/>
        <v>24</v>
      </c>
      <c r="AD257" s="28" t="str">
        <f t="shared" si="2233"/>
        <v/>
      </c>
      <c r="AE257" s="28" t="str">
        <f t="shared" si="2233"/>
        <v/>
      </c>
      <c r="AH257" s="28">
        <f t="shared" si="22"/>
        <v>24</v>
      </c>
      <c r="AI257" s="28">
        <f t="shared" si="23"/>
        <v>0</v>
      </c>
      <c r="AK257" s="78" t="str">
        <f t="shared" ref="AK257:AN257" si="2234">IF(U257&gt;0,AK$3,"")</f>
        <v/>
      </c>
      <c r="AL257" s="78" t="str">
        <f t="shared" si="2234"/>
        <v>Peter</v>
      </c>
      <c r="AM257" s="78" t="str">
        <f t="shared" si="2234"/>
        <v/>
      </c>
      <c r="AN257" s="78" t="str">
        <f t="shared" si="2234"/>
        <v/>
      </c>
      <c r="AO257" s="56">
        <f t="shared" si="25"/>
        <v>1</v>
      </c>
      <c r="AP257" s="8" t="str">
        <f t="shared" si="26"/>
        <v>Peter</v>
      </c>
      <c r="AQ257" s="73" t="str">
        <f>IFERROR(__xludf.DUMMYFUNCTION("IFNA(QUERY(transpose(AY257:BB257),""Select Col1 where Col1 is not null limit 1"",0))"),"")</f>
        <v/>
      </c>
      <c r="AR257" s="56"/>
      <c r="AS257" s="28" t="str">
        <f t="shared" ref="AS257:AV257" si="2235">IF(AK257=AS$3,"",AS$3)</f>
        <v>Thomas</v>
      </c>
      <c r="AT257" s="28" t="str">
        <f t="shared" si="2235"/>
        <v/>
      </c>
      <c r="AU257" s="28" t="str">
        <f t="shared" si="2235"/>
        <v>Janus</v>
      </c>
      <c r="AV257" s="28" t="str">
        <f t="shared" si="2235"/>
        <v>Christian</v>
      </c>
      <c r="AW257" s="56">
        <f t="shared" si="28"/>
        <v>3</v>
      </c>
      <c r="AX257" s="28">
        <f t="shared" si="29"/>
        <v>24</v>
      </c>
      <c r="AY257" s="28" t="str">
        <f t="shared" ref="AY257:BB257" si="2236">IFNA(IFS(AY$3=$AP257,"",$AX257=U257,AY$3),"")</f>
        <v/>
      </c>
      <c r="AZ257" s="28" t="str">
        <f t="shared" si="2236"/>
        <v/>
      </c>
      <c r="BA257" s="28" t="str">
        <f t="shared" si="2236"/>
        <v/>
      </c>
      <c r="BB257" s="28" t="str">
        <f t="shared" si="2236"/>
        <v/>
      </c>
      <c r="BC257" s="58">
        <f>OFFSET('00_Regnskab_01'!$A$1,MATCH(A257,'00_Regnskab_01'!$A$1:$A$25)-1,2)</f>
        <v>44365</v>
      </c>
      <c r="BE257" s="80">
        <f t="shared" ref="BE257:BH257" si="2237">if(U257&gt;0,1+BE256,0)</f>
        <v>0</v>
      </c>
      <c r="BF257" s="28">
        <f t="shared" si="2237"/>
        <v>1</v>
      </c>
      <c r="BG257" s="28">
        <f t="shared" si="2237"/>
        <v>0</v>
      </c>
      <c r="BH257" s="28">
        <f t="shared" si="2237"/>
        <v>0</v>
      </c>
      <c r="BJ257" s="28">
        <f t="shared" ref="BJ257:BM257" si="2238">if(U257&lt;0,1+BJ256,0)</f>
        <v>1</v>
      </c>
      <c r="BK257" s="28">
        <f t="shared" si="2238"/>
        <v>0</v>
      </c>
      <c r="BL257" s="28">
        <f t="shared" si="2238"/>
        <v>1</v>
      </c>
      <c r="BM257" s="28">
        <f t="shared" si="2238"/>
        <v>7</v>
      </c>
      <c r="BO257" s="74">
        <f t="shared" ref="BO257:BR257" si="2239">if(U257&gt;0,U257+BO256,0)</f>
        <v>0</v>
      </c>
      <c r="BP257" s="74">
        <f t="shared" si="2239"/>
        <v>24</v>
      </c>
      <c r="BQ257" s="74">
        <f t="shared" si="2239"/>
        <v>0</v>
      </c>
      <c r="BR257" s="74">
        <f t="shared" si="2239"/>
        <v>0</v>
      </c>
      <c r="BT257" s="28">
        <f t="shared" ref="BT257:BW257" si="2240">if(U257&lt;0,U257+BT256,0)</f>
        <v>-8</v>
      </c>
      <c r="BU257" s="28">
        <f t="shared" si="2240"/>
        <v>0</v>
      </c>
      <c r="BV257" s="28">
        <f t="shared" si="2240"/>
        <v>-8</v>
      </c>
      <c r="BW257" s="28">
        <f t="shared" si="2240"/>
        <v>-84</v>
      </c>
    </row>
    <row r="258">
      <c r="A258" s="53">
        <v>15.0</v>
      </c>
      <c r="B258" s="28">
        <f>'15_18-06-2021'!A8</f>
        <v>6</v>
      </c>
      <c r="C258" s="28">
        <f>'15_18-06-2021'!B8</f>
        <v>36</v>
      </c>
      <c r="D258" s="28">
        <f>'15_18-06-2021'!D8</f>
        <v>68</v>
      </c>
      <c r="E258" s="28">
        <f>'15_18-06-2021'!E8</f>
        <v>-52</v>
      </c>
      <c r="F258" s="28">
        <f>'15_18-06-2021'!C8</f>
        <v>-52</v>
      </c>
      <c r="G258" s="28">
        <f>'15_18-06-2021'!F8</f>
        <v>0</v>
      </c>
      <c r="H258" s="28" t="str">
        <f>'15_18-06-2021'!H8</f>
        <v>Christian </v>
      </c>
      <c r="J258" s="76" t="str">
        <f>'15_18-06-2021'!I8</f>
        <v>Peter</v>
      </c>
      <c r="K258" s="28" t="str">
        <f>'15_18-06-2021'!G8</f>
        <v>9 gode</v>
      </c>
      <c r="L258" s="56"/>
      <c r="M258" s="25">
        <v>9.0</v>
      </c>
      <c r="N258" s="25" t="s">
        <v>95</v>
      </c>
      <c r="T258" s="56"/>
      <c r="U258" s="77">
        <f t="shared" ref="U258:X258" si="2241">C258-C257</f>
        <v>12</v>
      </c>
      <c r="V258" s="28">
        <f t="shared" si="2241"/>
        <v>-12</v>
      </c>
      <c r="W258" s="28">
        <f t="shared" si="2241"/>
        <v>-12</v>
      </c>
      <c r="X258" s="28">
        <f t="shared" si="2241"/>
        <v>12</v>
      </c>
      <c r="AB258" s="28" t="str">
        <f t="shared" ref="AB258:AE258" si="2242">IF(AB$3=$H258,U258,"")</f>
        <v/>
      </c>
      <c r="AC258" s="28" t="str">
        <f t="shared" si="2242"/>
        <v/>
      </c>
      <c r="AD258" s="28" t="str">
        <f t="shared" si="2242"/>
        <v/>
      </c>
      <c r="AE258" s="28" t="str">
        <f t="shared" si="2242"/>
        <v/>
      </c>
      <c r="AH258" s="28">
        <f t="shared" si="22"/>
        <v>0</v>
      </c>
      <c r="AI258" s="28">
        <f t="shared" si="23"/>
        <v>0</v>
      </c>
      <c r="AK258" s="78" t="str">
        <f t="shared" ref="AK258:AN258" si="2243">IF(U258&gt;0,AK$3,"")</f>
        <v>Thomas</v>
      </c>
      <c r="AL258" s="78" t="str">
        <f t="shared" si="2243"/>
        <v/>
      </c>
      <c r="AM258" s="78" t="str">
        <f t="shared" si="2243"/>
        <v/>
      </c>
      <c r="AN258" s="78" t="str">
        <f t="shared" si="2243"/>
        <v>Christian</v>
      </c>
      <c r="AO258" s="56">
        <f t="shared" si="25"/>
        <v>2</v>
      </c>
      <c r="AP258" s="8" t="str">
        <f t="shared" si="26"/>
        <v>Christian </v>
      </c>
      <c r="AQ258" s="73" t="str">
        <f>IFERROR(__xludf.DUMMYFUNCTION("IFNA(QUERY(transpose(AY258:BB258),""Select Col1 where Col1 is not null limit 1"",0))"),"")</f>
        <v/>
      </c>
      <c r="AR258" s="56"/>
      <c r="AS258" s="28" t="str">
        <f t="shared" ref="AS258:AV258" si="2244">IF(AK258=AS$3,"",AS$3)</f>
        <v/>
      </c>
      <c r="AT258" s="28" t="str">
        <f t="shared" si="2244"/>
        <v>Peter</v>
      </c>
      <c r="AU258" s="28" t="str">
        <f t="shared" si="2244"/>
        <v>Janus</v>
      </c>
      <c r="AV258" s="28" t="str">
        <f t="shared" si="2244"/>
        <v/>
      </c>
      <c r="AW258" s="56">
        <f t="shared" si="28"/>
        <v>2</v>
      </c>
      <c r="AX258" s="28">
        <f t="shared" si="29"/>
        <v>0</v>
      </c>
      <c r="AY258" s="28" t="str">
        <f t="shared" ref="AY258:BB258" si="2245">IFNA(IFS(AY$3=$AP258,"",$AX258=U258,AY$3),"")</f>
        <v/>
      </c>
      <c r="AZ258" s="28" t="str">
        <f t="shared" si="2245"/>
        <v/>
      </c>
      <c r="BA258" s="28" t="str">
        <f t="shared" si="2245"/>
        <v/>
      </c>
      <c r="BB258" s="28" t="str">
        <f t="shared" si="2245"/>
        <v/>
      </c>
      <c r="BC258" s="58">
        <f>OFFSET('00_Regnskab_01'!$A$1,MATCH(A258,'00_Regnskab_01'!$A$1:$A$25)-1,2)</f>
        <v>44365</v>
      </c>
      <c r="BE258" s="80">
        <f t="shared" ref="BE258:BH258" si="2246">if(U258&gt;0,1+BE257,0)</f>
        <v>1</v>
      </c>
      <c r="BF258" s="28">
        <f t="shared" si="2246"/>
        <v>0</v>
      </c>
      <c r="BG258" s="28">
        <f t="shared" si="2246"/>
        <v>0</v>
      </c>
      <c r="BH258" s="28">
        <f t="shared" si="2246"/>
        <v>1</v>
      </c>
      <c r="BJ258" s="28">
        <f t="shared" ref="BJ258:BM258" si="2247">if(U258&lt;0,1+BJ257,0)</f>
        <v>0</v>
      </c>
      <c r="BK258" s="28">
        <f t="shared" si="2247"/>
        <v>1</v>
      </c>
      <c r="BL258" s="28">
        <f t="shared" si="2247"/>
        <v>2</v>
      </c>
      <c r="BM258" s="28">
        <f t="shared" si="2247"/>
        <v>0</v>
      </c>
      <c r="BO258" s="74">
        <f t="shared" ref="BO258:BR258" si="2248">if(U258&gt;0,U258+BO257,0)</f>
        <v>12</v>
      </c>
      <c r="BP258" s="74">
        <f t="shared" si="2248"/>
        <v>0</v>
      </c>
      <c r="BQ258" s="74">
        <f t="shared" si="2248"/>
        <v>0</v>
      </c>
      <c r="BR258" s="74">
        <f t="shared" si="2248"/>
        <v>12</v>
      </c>
      <c r="BT258" s="28">
        <f t="shared" ref="BT258:BW258" si="2249">if(U258&lt;0,U258+BT257,0)</f>
        <v>0</v>
      </c>
      <c r="BU258" s="28">
        <f t="shared" si="2249"/>
        <v>-12</v>
      </c>
      <c r="BV258" s="28">
        <f t="shared" si="2249"/>
        <v>-20</v>
      </c>
      <c r="BW258" s="28">
        <f t="shared" si="2249"/>
        <v>0</v>
      </c>
    </row>
    <row r="259">
      <c r="A259" s="53">
        <v>15.0</v>
      </c>
      <c r="B259" s="28">
        <f>'15_18-06-2021'!A9</f>
        <v>7</v>
      </c>
      <c r="C259" s="28">
        <f>'15_18-06-2021'!B9</f>
        <v>52</v>
      </c>
      <c r="D259" s="28">
        <f>'15_18-06-2021'!D9</f>
        <v>84</v>
      </c>
      <c r="E259" s="28">
        <f>'15_18-06-2021'!E9</f>
        <v>-68</v>
      </c>
      <c r="F259" s="28">
        <f>'15_18-06-2021'!C9</f>
        <v>-68</v>
      </c>
      <c r="G259" s="28">
        <f>'15_18-06-2021'!F9</f>
        <v>0</v>
      </c>
      <c r="H259" s="28" t="str">
        <f>'15_18-06-2021'!H9</f>
        <v>Janus</v>
      </c>
      <c r="J259" s="76" t="str">
        <f>'15_18-06-2021'!I9</f>
        <v>Janus</v>
      </c>
      <c r="K259" s="28" t="str">
        <f>'15_18-06-2021'!G9</f>
        <v>10 gode</v>
      </c>
      <c r="L259" s="56"/>
      <c r="M259" s="25">
        <v>10.0</v>
      </c>
      <c r="N259" s="25" t="s">
        <v>95</v>
      </c>
      <c r="T259" s="56"/>
      <c r="U259" s="77">
        <f t="shared" ref="U259:X259" si="2250">C259-C258</f>
        <v>16</v>
      </c>
      <c r="V259" s="28">
        <f t="shared" si="2250"/>
        <v>16</v>
      </c>
      <c r="W259" s="28">
        <f t="shared" si="2250"/>
        <v>-16</v>
      </c>
      <c r="X259" s="28">
        <f t="shared" si="2250"/>
        <v>-16</v>
      </c>
      <c r="AB259" s="28" t="str">
        <f t="shared" ref="AB259:AE259" si="2251">IF(AB$3=$H259,U259,"")</f>
        <v/>
      </c>
      <c r="AC259" s="28" t="str">
        <f t="shared" si="2251"/>
        <v/>
      </c>
      <c r="AD259" s="28">
        <f t="shared" si="2251"/>
        <v>-16</v>
      </c>
      <c r="AE259" s="28" t="str">
        <f t="shared" si="2251"/>
        <v/>
      </c>
      <c r="AH259" s="28">
        <f t="shared" si="22"/>
        <v>0</v>
      </c>
      <c r="AI259" s="28">
        <f t="shared" si="23"/>
        <v>-16</v>
      </c>
      <c r="AK259" s="78" t="str">
        <f t="shared" ref="AK259:AN259" si="2252">IF(U259&gt;0,AK$3,"")</f>
        <v>Thomas</v>
      </c>
      <c r="AL259" s="78" t="str">
        <f t="shared" si="2252"/>
        <v>Peter</v>
      </c>
      <c r="AM259" s="78" t="str">
        <f t="shared" si="2252"/>
        <v/>
      </c>
      <c r="AN259" s="78" t="str">
        <f t="shared" si="2252"/>
        <v/>
      </c>
      <c r="AO259" s="56">
        <f t="shared" si="25"/>
        <v>2</v>
      </c>
      <c r="AP259" s="8" t="str">
        <f t="shared" si="26"/>
        <v>Janus</v>
      </c>
      <c r="AQ259" s="73" t="str">
        <f>IFERROR(__xludf.DUMMYFUNCTION("IFNA(QUERY(transpose(AY259:BB259),""Select Col1 where Col1 is not null limit 1"",0))"),"Christian")</f>
        <v>Christian</v>
      </c>
      <c r="AR259" s="56"/>
      <c r="AS259" s="28" t="str">
        <f t="shared" ref="AS259:AV259" si="2253">IF(AK259=AS$3,"",AS$3)</f>
        <v/>
      </c>
      <c r="AT259" s="28" t="str">
        <f t="shared" si="2253"/>
        <v/>
      </c>
      <c r="AU259" s="28" t="str">
        <f t="shared" si="2253"/>
        <v>Janus</v>
      </c>
      <c r="AV259" s="28" t="str">
        <f t="shared" si="2253"/>
        <v>Christian</v>
      </c>
      <c r="AW259" s="56">
        <f t="shared" si="28"/>
        <v>2</v>
      </c>
      <c r="AX259" s="28">
        <f t="shared" si="29"/>
        <v>-16</v>
      </c>
      <c r="AY259" s="28" t="str">
        <f t="shared" ref="AY259:BB259" si="2254">IFNA(IFS(AY$3=$AP259,"",$AX259=U259,AY$3),"")</f>
        <v/>
      </c>
      <c r="AZ259" s="28" t="str">
        <f t="shared" si="2254"/>
        <v/>
      </c>
      <c r="BA259" s="28" t="str">
        <f t="shared" si="2254"/>
        <v/>
      </c>
      <c r="BB259" s="28" t="str">
        <f t="shared" si="2254"/>
        <v>Christian</v>
      </c>
      <c r="BC259" s="58">
        <f>OFFSET('00_Regnskab_01'!$A$1,MATCH(A259,'00_Regnskab_01'!$A$1:$A$25)-1,2)</f>
        <v>44365</v>
      </c>
      <c r="BE259" s="80">
        <f t="shared" ref="BE259:BH259" si="2255">if(U259&gt;0,1+BE258,0)</f>
        <v>2</v>
      </c>
      <c r="BF259" s="28">
        <f t="shared" si="2255"/>
        <v>1</v>
      </c>
      <c r="BG259" s="28">
        <f t="shared" si="2255"/>
        <v>0</v>
      </c>
      <c r="BH259" s="28">
        <f t="shared" si="2255"/>
        <v>0</v>
      </c>
      <c r="BJ259" s="28">
        <f t="shared" ref="BJ259:BM259" si="2256">if(U259&lt;0,1+BJ258,0)</f>
        <v>0</v>
      </c>
      <c r="BK259" s="28">
        <f t="shared" si="2256"/>
        <v>0</v>
      </c>
      <c r="BL259" s="28">
        <f t="shared" si="2256"/>
        <v>3</v>
      </c>
      <c r="BM259" s="28">
        <f t="shared" si="2256"/>
        <v>1</v>
      </c>
      <c r="BO259" s="74">
        <f t="shared" ref="BO259:BR259" si="2257">if(U259&gt;0,U259+BO258,0)</f>
        <v>28</v>
      </c>
      <c r="BP259" s="74">
        <f t="shared" si="2257"/>
        <v>16</v>
      </c>
      <c r="BQ259" s="74">
        <f t="shared" si="2257"/>
        <v>0</v>
      </c>
      <c r="BR259" s="74">
        <f t="shared" si="2257"/>
        <v>0</v>
      </c>
      <c r="BT259" s="28">
        <f t="shared" ref="BT259:BW259" si="2258">if(U259&lt;0,U259+BT258,0)</f>
        <v>0</v>
      </c>
      <c r="BU259" s="28">
        <f t="shared" si="2258"/>
        <v>0</v>
      </c>
      <c r="BV259" s="28">
        <f t="shared" si="2258"/>
        <v>-36</v>
      </c>
      <c r="BW259" s="28">
        <f t="shared" si="2258"/>
        <v>-16</v>
      </c>
    </row>
    <row r="260">
      <c r="A260" s="53">
        <v>15.0</v>
      </c>
      <c r="B260" s="28">
        <f>'15_18-06-2021'!A10</f>
        <v>8</v>
      </c>
      <c r="C260" s="28">
        <f>'15_18-06-2021'!B10</f>
        <v>40</v>
      </c>
      <c r="D260" s="28">
        <f>'15_18-06-2021'!D10</f>
        <v>96</v>
      </c>
      <c r="E260" s="28">
        <f>'15_18-06-2021'!E10</f>
        <v>-80</v>
      </c>
      <c r="F260" s="28">
        <f>'15_18-06-2021'!C10</f>
        <v>-56</v>
      </c>
      <c r="G260" s="28">
        <f>'15_18-06-2021'!F10</f>
        <v>0</v>
      </c>
      <c r="H260" s="28" t="str">
        <f>'15_18-06-2021'!H10</f>
        <v>Christian </v>
      </c>
      <c r="J260" s="76" t="str">
        <f>'15_18-06-2021'!I10</f>
        <v>Thomas </v>
      </c>
      <c r="K260" s="28" t="str">
        <f>'15_18-06-2021'!G10</f>
        <v>9 halve</v>
      </c>
      <c r="L260" s="56"/>
      <c r="M260" s="25">
        <v>9.0</v>
      </c>
      <c r="N260" s="25" t="s">
        <v>94</v>
      </c>
      <c r="T260" s="56"/>
      <c r="U260" s="77">
        <f t="shared" ref="U260:X260" si="2259">C260-C259</f>
        <v>-12</v>
      </c>
      <c r="V260" s="28">
        <f t="shared" si="2259"/>
        <v>12</v>
      </c>
      <c r="W260" s="28">
        <f t="shared" si="2259"/>
        <v>-12</v>
      </c>
      <c r="X260" s="28">
        <f t="shared" si="2259"/>
        <v>12</v>
      </c>
      <c r="AB260" s="28" t="str">
        <f t="shared" ref="AB260:AE260" si="2260">IF(AB$3=$H260,U260,"")</f>
        <v/>
      </c>
      <c r="AC260" s="28" t="str">
        <f t="shared" si="2260"/>
        <v/>
      </c>
      <c r="AD260" s="28" t="str">
        <f t="shared" si="2260"/>
        <v/>
      </c>
      <c r="AE260" s="28" t="str">
        <f t="shared" si="2260"/>
        <v/>
      </c>
      <c r="AH260" s="28">
        <f t="shared" si="22"/>
        <v>0</v>
      </c>
      <c r="AI260" s="28">
        <f t="shared" si="23"/>
        <v>0</v>
      </c>
      <c r="AK260" s="78" t="str">
        <f t="shared" ref="AK260:AN260" si="2261">IF(U260&gt;0,AK$3,"")</f>
        <v/>
      </c>
      <c r="AL260" s="78" t="str">
        <f t="shared" si="2261"/>
        <v>Peter</v>
      </c>
      <c r="AM260" s="78" t="str">
        <f t="shared" si="2261"/>
        <v/>
      </c>
      <c r="AN260" s="78" t="str">
        <f t="shared" si="2261"/>
        <v>Christian</v>
      </c>
      <c r="AO260" s="56">
        <f t="shared" si="25"/>
        <v>2</v>
      </c>
      <c r="AP260" s="8" t="str">
        <f t="shared" si="26"/>
        <v>Christian </v>
      </c>
      <c r="AQ260" s="73" t="str">
        <f>IFERROR(__xludf.DUMMYFUNCTION("IFNA(QUERY(transpose(AY260:BB260),""Select Col1 where Col1 is not null limit 1"",0))"),"")</f>
        <v/>
      </c>
      <c r="AR260" s="56"/>
      <c r="AS260" s="28" t="str">
        <f t="shared" ref="AS260:AV260" si="2262">IF(AK260=AS$3,"",AS$3)</f>
        <v>Thomas</v>
      </c>
      <c r="AT260" s="28" t="str">
        <f t="shared" si="2262"/>
        <v/>
      </c>
      <c r="AU260" s="28" t="str">
        <f t="shared" si="2262"/>
        <v>Janus</v>
      </c>
      <c r="AV260" s="28" t="str">
        <f t="shared" si="2262"/>
        <v/>
      </c>
      <c r="AW260" s="56">
        <f t="shared" si="28"/>
        <v>2</v>
      </c>
      <c r="AX260" s="28">
        <f t="shared" si="29"/>
        <v>0</v>
      </c>
      <c r="AY260" s="28" t="str">
        <f t="shared" ref="AY260:BB260" si="2263">IFNA(IFS(AY$3=$AP260,"",$AX260=U260,AY$3),"")</f>
        <v/>
      </c>
      <c r="AZ260" s="28" t="str">
        <f t="shared" si="2263"/>
        <v/>
      </c>
      <c r="BA260" s="28" t="str">
        <f t="shared" si="2263"/>
        <v/>
      </c>
      <c r="BB260" s="28" t="str">
        <f t="shared" si="2263"/>
        <v/>
      </c>
      <c r="BC260" s="58">
        <f>OFFSET('00_Regnskab_01'!$A$1,MATCH(A260,'00_Regnskab_01'!$A$1:$A$25)-1,2)</f>
        <v>44365</v>
      </c>
      <c r="BE260" s="80">
        <f t="shared" ref="BE260:BH260" si="2264">if(U260&gt;0,1+BE259,0)</f>
        <v>0</v>
      </c>
      <c r="BF260" s="28">
        <f t="shared" si="2264"/>
        <v>2</v>
      </c>
      <c r="BG260" s="28">
        <f t="shared" si="2264"/>
        <v>0</v>
      </c>
      <c r="BH260" s="28">
        <f t="shared" si="2264"/>
        <v>1</v>
      </c>
      <c r="BJ260" s="28">
        <f t="shared" ref="BJ260:BM260" si="2265">if(U260&lt;0,1+BJ259,0)</f>
        <v>1</v>
      </c>
      <c r="BK260" s="28">
        <f t="shared" si="2265"/>
        <v>0</v>
      </c>
      <c r="BL260" s="28">
        <f t="shared" si="2265"/>
        <v>4</v>
      </c>
      <c r="BM260" s="28">
        <f t="shared" si="2265"/>
        <v>0</v>
      </c>
      <c r="BO260" s="74">
        <f t="shared" ref="BO260:BR260" si="2266">if(U260&gt;0,U260+BO259,0)</f>
        <v>0</v>
      </c>
      <c r="BP260" s="74">
        <f t="shared" si="2266"/>
        <v>28</v>
      </c>
      <c r="BQ260" s="74">
        <f t="shared" si="2266"/>
        <v>0</v>
      </c>
      <c r="BR260" s="74">
        <f t="shared" si="2266"/>
        <v>12</v>
      </c>
      <c r="BT260" s="28">
        <f t="shared" ref="BT260:BW260" si="2267">if(U260&lt;0,U260+BT259,0)</f>
        <v>-12</v>
      </c>
      <c r="BU260" s="28">
        <f t="shared" si="2267"/>
        <v>0</v>
      </c>
      <c r="BV260" s="28">
        <f t="shared" si="2267"/>
        <v>-48</v>
      </c>
      <c r="BW260" s="28">
        <f t="shared" si="2267"/>
        <v>0</v>
      </c>
    </row>
    <row r="261">
      <c r="A261" s="53">
        <v>15.0</v>
      </c>
      <c r="B261" s="28">
        <f>'15_18-06-2021'!A11</f>
        <v>9</v>
      </c>
      <c r="C261" s="28">
        <f>'15_18-06-2021'!B11</f>
        <v>-8</v>
      </c>
      <c r="D261" s="28">
        <f>'15_18-06-2021'!D11</f>
        <v>144</v>
      </c>
      <c r="E261" s="28">
        <f>'15_18-06-2021'!E11</f>
        <v>-128</v>
      </c>
      <c r="F261" s="28">
        <f>'15_18-06-2021'!C11</f>
        <v>-8</v>
      </c>
      <c r="G261" s="28">
        <f>'15_18-06-2021'!F11</f>
        <v>0</v>
      </c>
      <c r="H261" s="28" t="str">
        <f>'15_18-06-2021'!H11</f>
        <v>thomas</v>
      </c>
      <c r="J261" s="76" t="str">
        <f>'15_18-06-2021'!I11</f>
        <v>Christian </v>
      </c>
      <c r="K261" s="28" t="str">
        <f>'15_18-06-2021'!G11</f>
        <v>9 vip i 3.</v>
      </c>
      <c r="L261" s="56"/>
      <c r="M261" s="25">
        <v>9.0</v>
      </c>
      <c r="N261" s="25" t="s">
        <v>86</v>
      </c>
      <c r="O261" s="25">
        <v>3.0</v>
      </c>
      <c r="T261" s="56"/>
      <c r="U261" s="77">
        <f t="shared" ref="U261:X261" si="2268">C261-C260</f>
        <v>-48</v>
      </c>
      <c r="V261" s="28">
        <f t="shared" si="2268"/>
        <v>48</v>
      </c>
      <c r="W261" s="28">
        <f t="shared" si="2268"/>
        <v>-48</v>
      </c>
      <c r="X261" s="28">
        <f t="shared" si="2268"/>
        <v>48</v>
      </c>
      <c r="AB261" s="28">
        <f t="shared" ref="AB261:AE261" si="2269">IF(AB$3=$H261,U261,"")</f>
        <v>-48</v>
      </c>
      <c r="AC261" s="28" t="str">
        <f t="shared" si="2269"/>
        <v/>
      </c>
      <c r="AD261" s="28" t="str">
        <f t="shared" si="2269"/>
        <v/>
      </c>
      <c r="AE261" s="28" t="str">
        <f t="shared" si="2269"/>
        <v/>
      </c>
      <c r="AH261" s="28">
        <f t="shared" si="22"/>
        <v>0</v>
      </c>
      <c r="AI261" s="28">
        <f t="shared" si="23"/>
        <v>-48</v>
      </c>
      <c r="AK261" s="78" t="str">
        <f t="shared" ref="AK261:AN261" si="2270">IF(U261&gt;0,AK$3,"")</f>
        <v/>
      </c>
      <c r="AL261" s="78" t="str">
        <f t="shared" si="2270"/>
        <v>Peter</v>
      </c>
      <c r="AM261" s="78" t="str">
        <f t="shared" si="2270"/>
        <v/>
      </c>
      <c r="AN261" s="78" t="str">
        <f t="shared" si="2270"/>
        <v>Christian</v>
      </c>
      <c r="AO261" s="56">
        <f t="shared" si="25"/>
        <v>2</v>
      </c>
      <c r="AP261" s="8" t="str">
        <f t="shared" si="26"/>
        <v>thomas</v>
      </c>
      <c r="AQ261" s="73" t="str">
        <f>IFERROR(__xludf.DUMMYFUNCTION("IFNA(QUERY(transpose(AY261:BB261),""Select Col1 where Col1 is not null limit 1"",0))"),"Janus")</f>
        <v>Janus</v>
      </c>
      <c r="AR261" s="56"/>
      <c r="AS261" s="28" t="str">
        <f t="shared" ref="AS261:AV261" si="2271">IF(AK261=AS$3,"",AS$3)</f>
        <v>Thomas</v>
      </c>
      <c r="AT261" s="28" t="str">
        <f t="shared" si="2271"/>
        <v/>
      </c>
      <c r="AU261" s="28" t="str">
        <f t="shared" si="2271"/>
        <v>Janus</v>
      </c>
      <c r="AV261" s="28" t="str">
        <f t="shared" si="2271"/>
        <v/>
      </c>
      <c r="AW261" s="56">
        <f t="shared" si="28"/>
        <v>2</v>
      </c>
      <c r="AX261" s="28">
        <f t="shared" si="29"/>
        <v>-48</v>
      </c>
      <c r="AY261" s="28" t="str">
        <f t="shared" ref="AY261:BB261" si="2272">IFNA(IFS(AY$3=$AP261,"",$AX261=U261,AY$3),"")</f>
        <v/>
      </c>
      <c r="AZ261" s="28" t="str">
        <f t="shared" si="2272"/>
        <v/>
      </c>
      <c r="BA261" s="28" t="str">
        <f t="shared" si="2272"/>
        <v>Janus</v>
      </c>
      <c r="BB261" s="28" t="str">
        <f t="shared" si="2272"/>
        <v/>
      </c>
      <c r="BC261" s="58">
        <f>OFFSET('00_Regnskab_01'!$A$1,MATCH(A261,'00_Regnskab_01'!$A$1:$A$25)-1,2)</f>
        <v>44365</v>
      </c>
      <c r="BE261" s="80">
        <f t="shared" ref="BE261:BH261" si="2273">if(U261&gt;0,1+BE260,0)</f>
        <v>0</v>
      </c>
      <c r="BF261" s="28">
        <f t="shared" si="2273"/>
        <v>3</v>
      </c>
      <c r="BG261" s="28">
        <f t="shared" si="2273"/>
        <v>0</v>
      </c>
      <c r="BH261" s="28">
        <f t="shared" si="2273"/>
        <v>2</v>
      </c>
      <c r="BJ261" s="28">
        <f t="shared" ref="BJ261:BM261" si="2274">if(U261&lt;0,1+BJ260,0)</f>
        <v>2</v>
      </c>
      <c r="BK261" s="28">
        <f t="shared" si="2274"/>
        <v>0</v>
      </c>
      <c r="BL261" s="28">
        <f t="shared" si="2274"/>
        <v>5</v>
      </c>
      <c r="BM261" s="28">
        <f t="shared" si="2274"/>
        <v>0</v>
      </c>
      <c r="BO261" s="74">
        <f t="shared" ref="BO261:BR261" si="2275">if(U261&gt;0,U261+BO260,0)</f>
        <v>0</v>
      </c>
      <c r="BP261" s="74">
        <f t="shared" si="2275"/>
        <v>76</v>
      </c>
      <c r="BQ261" s="74">
        <f t="shared" si="2275"/>
        <v>0</v>
      </c>
      <c r="BR261" s="74">
        <f t="shared" si="2275"/>
        <v>60</v>
      </c>
      <c r="BT261" s="28">
        <f t="shared" ref="BT261:BW261" si="2276">if(U261&lt;0,U261+BT260,0)</f>
        <v>-60</v>
      </c>
      <c r="BU261" s="28">
        <f t="shared" si="2276"/>
        <v>0</v>
      </c>
      <c r="BV261" s="28">
        <f t="shared" si="2276"/>
        <v>-96</v>
      </c>
      <c r="BW261" s="28">
        <f t="shared" si="2276"/>
        <v>0</v>
      </c>
    </row>
    <row r="262">
      <c r="A262" s="53">
        <v>15.0</v>
      </c>
      <c r="B262" s="28">
        <f>'15_18-06-2021'!A12</f>
        <v>10</v>
      </c>
      <c r="C262" s="28">
        <f>'15_18-06-2021'!B12</f>
        <v>-16</v>
      </c>
      <c r="D262" s="28">
        <f>'15_18-06-2021'!D12</f>
        <v>136</v>
      </c>
      <c r="E262" s="28">
        <f>'15_18-06-2021'!E12</f>
        <v>-120</v>
      </c>
      <c r="F262" s="28">
        <f>'15_18-06-2021'!C12</f>
        <v>0</v>
      </c>
      <c r="G262" s="28">
        <f>'15_18-06-2021'!F12</f>
        <v>0</v>
      </c>
      <c r="H262" s="28" t="str">
        <f>'15_18-06-2021'!H12</f>
        <v>Thomas</v>
      </c>
      <c r="J262" s="76" t="str">
        <f>'15_18-06-2021'!I12</f>
        <v>Peter</v>
      </c>
      <c r="K262" s="28" t="str">
        <f>'15_18-06-2021'!G12</f>
        <v>9 halve</v>
      </c>
      <c r="L262" s="56"/>
      <c r="M262" s="25">
        <v>9.0</v>
      </c>
      <c r="N262" s="25" t="s">
        <v>94</v>
      </c>
      <c r="T262" s="56"/>
      <c r="U262" s="77">
        <f t="shared" ref="U262:X262" si="2277">C262-C261</f>
        <v>-8</v>
      </c>
      <c r="V262" s="28">
        <f t="shared" si="2277"/>
        <v>-8</v>
      </c>
      <c r="W262" s="28">
        <f t="shared" si="2277"/>
        <v>8</v>
      </c>
      <c r="X262" s="28">
        <f t="shared" si="2277"/>
        <v>8</v>
      </c>
      <c r="AB262" s="28">
        <f t="shared" ref="AB262:AE262" si="2278">IF(AB$3=$H262,U262,"")</f>
        <v>-8</v>
      </c>
      <c r="AC262" s="28" t="str">
        <f t="shared" si="2278"/>
        <v/>
      </c>
      <c r="AD262" s="28" t="str">
        <f t="shared" si="2278"/>
        <v/>
      </c>
      <c r="AE262" s="28" t="str">
        <f t="shared" si="2278"/>
        <v/>
      </c>
      <c r="AH262" s="28">
        <f t="shared" si="22"/>
        <v>0</v>
      </c>
      <c r="AI262" s="28">
        <f t="shared" si="23"/>
        <v>-8</v>
      </c>
      <c r="AK262" s="78" t="str">
        <f t="shared" ref="AK262:AN262" si="2279">IF(U262&gt;0,AK$3,"")</f>
        <v/>
      </c>
      <c r="AL262" s="78" t="str">
        <f t="shared" si="2279"/>
        <v/>
      </c>
      <c r="AM262" s="78" t="str">
        <f t="shared" si="2279"/>
        <v>Janus</v>
      </c>
      <c r="AN262" s="78" t="str">
        <f t="shared" si="2279"/>
        <v>Christian</v>
      </c>
      <c r="AO262" s="56">
        <f t="shared" si="25"/>
        <v>2</v>
      </c>
      <c r="AP262" s="8" t="str">
        <f t="shared" si="26"/>
        <v>Thomas</v>
      </c>
      <c r="AQ262" s="73" t="str">
        <f>IFERROR(__xludf.DUMMYFUNCTION("IFNA(QUERY(transpose(AY262:BB262),""Select Col1 where Col1 is not null limit 1"",0))"),"Peter")</f>
        <v>Peter</v>
      </c>
      <c r="AR262" s="56"/>
      <c r="AS262" s="28" t="str">
        <f t="shared" ref="AS262:AV262" si="2280">IF(AK262=AS$3,"",AS$3)</f>
        <v>Thomas</v>
      </c>
      <c r="AT262" s="28" t="str">
        <f t="shared" si="2280"/>
        <v>Peter</v>
      </c>
      <c r="AU262" s="28" t="str">
        <f t="shared" si="2280"/>
        <v/>
      </c>
      <c r="AV262" s="28" t="str">
        <f t="shared" si="2280"/>
        <v/>
      </c>
      <c r="AW262" s="56">
        <f t="shared" si="28"/>
        <v>2</v>
      </c>
      <c r="AX262" s="28">
        <f t="shared" si="29"/>
        <v>-8</v>
      </c>
      <c r="AY262" s="28" t="str">
        <f t="shared" ref="AY262:BB262" si="2281">IFNA(IFS(AY$3=$AP262,"",$AX262=U262,AY$3),"")</f>
        <v/>
      </c>
      <c r="AZ262" s="28" t="str">
        <f t="shared" si="2281"/>
        <v>Peter</v>
      </c>
      <c r="BA262" s="28" t="str">
        <f t="shared" si="2281"/>
        <v/>
      </c>
      <c r="BB262" s="28" t="str">
        <f t="shared" si="2281"/>
        <v/>
      </c>
      <c r="BC262" s="58">
        <f>OFFSET('00_Regnskab_01'!$A$1,MATCH(A262,'00_Regnskab_01'!$A$1:$A$25)-1,2)</f>
        <v>44365</v>
      </c>
      <c r="BE262" s="80">
        <f t="shared" ref="BE262:BH262" si="2282">if(U262&gt;0,1+BE261,0)</f>
        <v>0</v>
      </c>
      <c r="BF262" s="28">
        <f t="shared" si="2282"/>
        <v>0</v>
      </c>
      <c r="BG262" s="28">
        <f t="shared" si="2282"/>
        <v>1</v>
      </c>
      <c r="BH262" s="28">
        <f t="shared" si="2282"/>
        <v>3</v>
      </c>
      <c r="BJ262" s="28">
        <f t="shared" ref="BJ262:BM262" si="2283">if(U262&lt;0,1+BJ261,0)</f>
        <v>3</v>
      </c>
      <c r="BK262" s="28">
        <f t="shared" si="2283"/>
        <v>1</v>
      </c>
      <c r="BL262" s="28">
        <f t="shared" si="2283"/>
        <v>0</v>
      </c>
      <c r="BM262" s="28">
        <f t="shared" si="2283"/>
        <v>0</v>
      </c>
      <c r="BO262" s="74">
        <f t="shared" ref="BO262:BR262" si="2284">if(U262&gt;0,U262+BO261,0)</f>
        <v>0</v>
      </c>
      <c r="BP262" s="74">
        <f t="shared" si="2284"/>
        <v>0</v>
      </c>
      <c r="BQ262" s="74">
        <f t="shared" si="2284"/>
        <v>8</v>
      </c>
      <c r="BR262" s="74">
        <f t="shared" si="2284"/>
        <v>68</v>
      </c>
      <c r="BT262" s="28">
        <f t="shared" ref="BT262:BW262" si="2285">if(U262&lt;0,U262+BT261,0)</f>
        <v>-68</v>
      </c>
      <c r="BU262" s="28">
        <f t="shared" si="2285"/>
        <v>-8</v>
      </c>
      <c r="BV262" s="28">
        <f t="shared" si="2285"/>
        <v>0</v>
      </c>
      <c r="BW262" s="28">
        <f t="shared" si="2285"/>
        <v>0</v>
      </c>
    </row>
    <row r="263">
      <c r="A263" s="53">
        <v>15.0</v>
      </c>
      <c r="B263" s="28">
        <f>'15_18-06-2021'!A13</f>
        <v>11</v>
      </c>
      <c r="C263" s="28">
        <f>'15_18-06-2021'!B13</f>
        <v>16</v>
      </c>
      <c r="D263" s="28">
        <f>'15_18-06-2021'!D13</f>
        <v>168</v>
      </c>
      <c r="E263" s="28">
        <f>'15_18-06-2021'!E13</f>
        <v>-152</v>
      </c>
      <c r="F263" s="28">
        <f>'15_18-06-2021'!C13</f>
        <v>-32</v>
      </c>
      <c r="G263" s="28">
        <f>'15_18-06-2021'!F13</f>
        <v>0</v>
      </c>
      <c r="H263" s="28" t="str">
        <f>'15_18-06-2021'!H13</f>
        <v>Thomas</v>
      </c>
      <c r="J263" s="76" t="str">
        <f>'15_18-06-2021'!I13</f>
        <v>Janus</v>
      </c>
      <c r="K263" s="28" t="str">
        <f>'15_18-06-2021'!G13</f>
        <v>9. vip i 3</v>
      </c>
      <c r="L263" s="56"/>
      <c r="M263" s="25">
        <v>9.0</v>
      </c>
      <c r="N263" s="25" t="s">
        <v>86</v>
      </c>
      <c r="O263" s="25">
        <v>3.0</v>
      </c>
      <c r="T263" s="56"/>
      <c r="U263" s="77">
        <f t="shared" ref="U263:X263" si="2286">C263-C262</f>
        <v>32</v>
      </c>
      <c r="V263" s="28">
        <f t="shared" si="2286"/>
        <v>32</v>
      </c>
      <c r="W263" s="28">
        <f t="shared" si="2286"/>
        <v>-32</v>
      </c>
      <c r="X263" s="28">
        <f t="shared" si="2286"/>
        <v>-32</v>
      </c>
      <c r="AB263" s="28">
        <f t="shared" ref="AB263:AE263" si="2287">IF(AB$3=$H263,U263,"")</f>
        <v>32</v>
      </c>
      <c r="AC263" s="28" t="str">
        <f t="shared" si="2287"/>
        <v/>
      </c>
      <c r="AD263" s="28" t="str">
        <f t="shared" si="2287"/>
        <v/>
      </c>
      <c r="AE263" s="28" t="str">
        <f t="shared" si="2287"/>
        <v/>
      </c>
      <c r="AH263" s="28">
        <f t="shared" si="22"/>
        <v>32</v>
      </c>
      <c r="AI263" s="28">
        <f t="shared" si="23"/>
        <v>0</v>
      </c>
      <c r="AK263" s="78" t="str">
        <f t="shared" ref="AK263:AN263" si="2288">IF(U263&gt;0,AK$3,"")</f>
        <v>Thomas</v>
      </c>
      <c r="AL263" s="78" t="str">
        <f t="shared" si="2288"/>
        <v>Peter</v>
      </c>
      <c r="AM263" s="78" t="str">
        <f t="shared" si="2288"/>
        <v/>
      </c>
      <c r="AN263" s="78" t="str">
        <f t="shared" si="2288"/>
        <v/>
      </c>
      <c r="AO263" s="56">
        <f t="shared" si="25"/>
        <v>2</v>
      </c>
      <c r="AP263" s="8" t="str">
        <f t="shared" si="26"/>
        <v>Thomas</v>
      </c>
      <c r="AQ263" s="73" t="str">
        <f>IFERROR(__xludf.DUMMYFUNCTION("IFNA(QUERY(transpose(AY263:BB263),""Select Col1 where Col1 is not null limit 1"",0))"),"Peter")</f>
        <v>Peter</v>
      </c>
      <c r="AR263" s="56"/>
      <c r="AS263" s="28" t="str">
        <f t="shared" ref="AS263:AV263" si="2289">IF(AK263=AS$3,"",AS$3)</f>
        <v/>
      </c>
      <c r="AT263" s="28" t="str">
        <f t="shared" si="2289"/>
        <v/>
      </c>
      <c r="AU263" s="28" t="str">
        <f t="shared" si="2289"/>
        <v>Janus</v>
      </c>
      <c r="AV263" s="28" t="str">
        <f t="shared" si="2289"/>
        <v>Christian</v>
      </c>
      <c r="AW263" s="56">
        <f t="shared" si="28"/>
        <v>2</v>
      </c>
      <c r="AX263" s="28">
        <f t="shared" si="29"/>
        <v>32</v>
      </c>
      <c r="AY263" s="28" t="str">
        <f t="shared" ref="AY263:BB263" si="2290">IFNA(IFS(AY$3=$AP263,"",$AX263=U263,AY$3),"")</f>
        <v/>
      </c>
      <c r="AZ263" s="28" t="str">
        <f t="shared" si="2290"/>
        <v>Peter</v>
      </c>
      <c r="BA263" s="28" t="str">
        <f t="shared" si="2290"/>
        <v/>
      </c>
      <c r="BB263" s="28" t="str">
        <f t="shared" si="2290"/>
        <v/>
      </c>
      <c r="BC263" s="58">
        <f>OFFSET('00_Regnskab_01'!$A$1,MATCH(A263,'00_Regnskab_01'!$A$1:$A$25)-1,2)</f>
        <v>44365</v>
      </c>
      <c r="BE263" s="80">
        <f t="shared" ref="BE263:BH263" si="2291">if(U263&gt;0,1+BE262,0)</f>
        <v>1</v>
      </c>
      <c r="BF263" s="28">
        <f t="shared" si="2291"/>
        <v>1</v>
      </c>
      <c r="BG263" s="28">
        <f t="shared" si="2291"/>
        <v>0</v>
      </c>
      <c r="BH263" s="28">
        <f t="shared" si="2291"/>
        <v>0</v>
      </c>
      <c r="BJ263" s="28">
        <f t="shared" ref="BJ263:BM263" si="2292">if(U263&lt;0,1+BJ262,0)</f>
        <v>0</v>
      </c>
      <c r="BK263" s="28">
        <f t="shared" si="2292"/>
        <v>0</v>
      </c>
      <c r="BL263" s="28">
        <f t="shared" si="2292"/>
        <v>1</v>
      </c>
      <c r="BM263" s="28">
        <f t="shared" si="2292"/>
        <v>1</v>
      </c>
      <c r="BO263" s="74">
        <f t="shared" ref="BO263:BR263" si="2293">if(U263&gt;0,U263+BO262,0)</f>
        <v>32</v>
      </c>
      <c r="BP263" s="74">
        <f t="shared" si="2293"/>
        <v>32</v>
      </c>
      <c r="BQ263" s="74">
        <f t="shared" si="2293"/>
        <v>0</v>
      </c>
      <c r="BR263" s="74">
        <f t="shared" si="2293"/>
        <v>0</v>
      </c>
      <c r="BT263" s="28">
        <f t="shared" ref="BT263:BW263" si="2294">if(U263&lt;0,U263+BT262,0)</f>
        <v>0</v>
      </c>
      <c r="BU263" s="28">
        <f t="shared" si="2294"/>
        <v>0</v>
      </c>
      <c r="BV263" s="28">
        <f t="shared" si="2294"/>
        <v>-32</v>
      </c>
      <c r="BW263" s="28">
        <f t="shared" si="2294"/>
        <v>-32</v>
      </c>
    </row>
    <row r="264">
      <c r="A264" s="53">
        <v>15.0</v>
      </c>
      <c r="B264" s="28">
        <f>'15_18-06-2021'!A14</f>
        <v>12</v>
      </c>
      <c r="C264" s="28">
        <f>'15_18-06-2021'!B14</f>
        <v>48</v>
      </c>
      <c r="D264" s="28">
        <f>'15_18-06-2021'!D14</f>
        <v>136</v>
      </c>
      <c r="E264" s="28">
        <f>'15_18-06-2021'!E14</f>
        <v>-184</v>
      </c>
      <c r="F264" s="28">
        <f>'15_18-06-2021'!C14</f>
        <v>0</v>
      </c>
      <c r="G264" s="28">
        <f>'15_18-06-2021'!F14</f>
        <v>0</v>
      </c>
      <c r="H264" s="28" t="str">
        <f>'15_18-06-2021'!H14</f>
        <v>Peter</v>
      </c>
      <c r="J264" s="76" t="str">
        <f>'15_18-06-2021'!I14</f>
        <v>Thomas </v>
      </c>
      <c r="K264" s="28" t="str">
        <f>'15_18-06-2021'!G14</f>
        <v>10 halve</v>
      </c>
      <c r="L264" s="56"/>
      <c r="M264" s="25">
        <v>10.0</v>
      </c>
      <c r="N264" s="25" t="s">
        <v>94</v>
      </c>
      <c r="T264" s="56"/>
      <c r="U264" s="77">
        <f t="shared" ref="U264:X264" si="2295">C264-C263</f>
        <v>32</v>
      </c>
      <c r="V264" s="28">
        <f t="shared" si="2295"/>
        <v>-32</v>
      </c>
      <c r="W264" s="28">
        <f t="shared" si="2295"/>
        <v>-32</v>
      </c>
      <c r="X264" s="28">
        <f t="shared" si="2295"/>
        <v>32</v>
      </c>
      <c r="AB264" s="28" t="str">
        <f t="shared" ref="AB264:AE264" si="2296">IF(AB$3=$H264,U264,"")</f>
        <v/>
      </c>
      <c r="AC264" s="28">
        <f t="shared" si="2296"/>
        <v>-32</v>
      </c>
      <c r="AD264" s="28" t="str">
        <f t="shared" si="2296"/>
        <v/>
      </c>
      <c r="AE264" s="28" t="str">
        <f t="shared" si="2296"/>
        <v/>
      </c>
      <c r="AH264" s="28">
        <f t="shared" si="22"/>
        <v>0</v>
      </c>
      <c r="AI264" s="28">
        <f t="shared" si="23"/>
        <v>-32</v>
      </c>
      <c r="AK264" s="78" t="str">
        <f t="shared" ref="AK264:AN264" si="2297">IF(U264&gt;0,AK$3,"")</f>
        <v>Thomas</v>
      </c>
      <c r="AL264" s="78" t="str">
        <f t="shared" si="2297"/>
        <v/>
      </c>
      <c r="AM264" s="78" t="str">
        <f t="shared" si="2297"/>
        <v/>
      </c>
      <c r="AN264" s="78" t="str">
        <f t="shared" si="2297"/>
        <v>Christian</v>
      </c>
      <c r="AO264" s="56">
        <f t="shared" si="25"/>
        <v>2</v>
      </c>
      <c r="AP264" s="8" t="str">
        <f t="shared" si="26"/>
        <v>Peter</v>
      </c>
      <c r="AQ264" s="73" t="str">
        <f>IFERROR(__xludf.DUMMYFUNCTION("IFNA(QUERY(transpose(AY264:BB264),""Select Col1 where Col1 is not null limit 1"",0))"),"Janus")</f>
        <v>Janus</v>
      </c>
      <c r="AR264" s="56"/>
      <c r="AS264" s="28" t="str">
        <f t="shared" ref="AS264:AV264" si="2298">IF(AK264=AS$3,"",AS$3)</f>
        <v/>
      </c>
      <c r="AT264" s="28" t="str">
        <f t="shared" si="2298"/>
        <v>Peter</v>
      </c>
      <c r="AU264" s="28" t="str">
        <f t="shared" si="2298"/>
        <v>Janus</v>
      </c>
      <c r="AV264" s="28" t="str">
        <f t="shared" si="2298"/>
        <v/>
      </c>
      <c r="AW264" s="56">
        <f t="shared" si="28"/>
        <v>2</v>
      </c>
      <c r="AX264" s="28">
        <f t="shared" si="29"/>
        <v>-32</v>
      </c>
      <c r="AY264" s="28" t="str">
        <f t="shared" ref="AY264:BB264" si="2299">IFNA(IFS(AY$3=$AP264,"",$AX264=U264,AY$3),"")</f>
        <v/>
      </c>
      <c r="AZ264" s="28" t="str">
        <f t="shared" si="2299"/>
        <v/>
      </c>
      <c r="BA264" s="28" t="str">
        <f t="shared" si="2299"/>
        <v>Janus</v>
      </c>
      <c r="BB264" s="28" t="str">
        <f t="shared" si="2299"/>
        <v/>
      </c>
      <c r="BC264" s="58">
        <f>OFFSET('00_Regnskab_01'!$A$1,MATCH(A264,'00_Regnskab_01'!$A$1:$A$25)-1,2)</f>
        <v>44365</v>
      </c>
      <c r="BE264" s="80">
        <f t="shared" ref="BE264:BH264" si="2300">if(U264&gt;0,1+BE263,0)</f>
        <v>2</v>
      </c>
      <c r="BF264" s="28">
        <f t="shared" si="2300"/>
        <v>0</v>
      </c>
      <c r="BG264" s="28">
        <f t="shared" si="2300"/>
        <v>0</v>
      </c>
      <c r="BH264" s="28">
        <f t="shared" si="2300"/>
        <v>1</v>
      </c>
      <c r="BJ264" s="28">
        <f t="shared" ref="BJ264:BM264" si="2301">if(U264&lt;0,1+BJ263,0)</f>
        <v>0</v>
      </c>
      <c r="BK264" s="28">
        <f t="shared" si="2301"/>
        <v>1</v>
      </c>
      <c r="BL264" s="28">
        <f t="shared" si="2301"/>
        <v>2</v>
      </c>
      <c r="BM264" s="28">
        <f t="shared" si="2301"/>
        <v>0</v>
      </c>
      <c r="BO264" s="74">
        <f t="shared" ref="BO264:BR264" si="2302">if(U264&gt;0,U264+BO263,0)</f>
        <v>64</v>
      </c>
      <c r="BP264" s="74">
        <f t="shared" si="2302"/>
        <v>0</v>
      </c>
      <c r="BQ264" s="74">
        <f t="shared" si="2302"/>
        <v>0</v>
      </c>
      <c r="BR264" s="74">
        <f t="shared" si="2302"/>
        <v>32</v>
      </c>
      <c r="BT264" s="28">
        <f t="shared" ref="BT264:BW264" si="2303">if(U264&lt;0,U264+BT263,0)</f>
        <v>0</v>
      </c>
      <c r="BU264" s="28">
        <f t="shared" si="2303"/>
        <v>-32</v>
      </c>
      <c r="BV264" s="28">
        <f t="shared" si="2303"/>
        <v>-64</v>
      </c>
      <c r="BW264" s="28">
        <f t="shared" si="2303"/>
        <v>0</v>
      </c>
    </row>
    <row r="265">
      <c r="A265" s="53">
        <v>15.0</v>
      </c>
      <c r="B265" s="28">
        <f>'15_18-06-2021'!A15</f>
        <v>13</v>
      </c>
      <c r="C265" s="28">
        <f>'15_18-06-2021'!B15</f>
        <v>24</v>
      </c>
      <c r="D265" s="28">
        <f>'15_18-06-2021'!D15</f>
        <v>160</v>
      </c>
      <c r="E265" s="28">
        <f>'15_18-06-2021'!E15</f>
        <v>-208</v>
      </c>
      <c r="F265" s="28">
        <f>'15_18-06-2021'!C15</f>
        <v>24</v>
      </c>
      <c r="G265" s="28">
        <f>'15_18-06-2021'!F15</f>
        <v>0</v>
      </c>
      <c r="H265" s="28" t="str">
        <f>'15_18-06-2021'!H15</f>
        <v>Christian </v>
      </c>
      <c r="J265" s="76" t="str">
        <f>'15_18-06-2021'!I15</f>
        <v>Christian </v>
      </c>
      <c r="K265" s="28" t="str">
        <f>'15_18-06-2021'!G15</f>
        <v>10- gode</v>
      </c>
      <c r="L265" s="56"/>
      <c r="M265" s="25">
        <v>10.0</v>
      </c>
      <c r="N265" s="25" t="s">
        <v>95</v>
      </c>
      <c r="T265" s="56"/>
      <c r="U265" s="77">
        <f t="shared" ref="U265:X265" si="2304">C265-C264</f>
        <v>-24</v>
      </c>
      <c r="V265" s="28">
        <f t="shared" si="2304"/>
        <v>24</v>
      </c>
      <c r="W265" s="28">
        <f t="shared" si="2304"/>
        <v>-24</v>
      </c>
      <c r="X265" s="28">
        <f t="shared" si="2304"/>
        <v>24</v>
      </c>
      <c r="AB265" s="28" t="str">
        <f t="shared" ref="AB265:AE265" si="2305">IF(AB$3=$H265,U265,"")</f>
        <v/>
      </c>
      <c r="AC265" s="28" t="str">
        <f t="shared" si="2305"/>
        <v/>
      </c>
      <c r="AD265" s="28" t="str">
        <f t="shared" si="2305"/>
        <v/>
      </c>
      <c r="AE265" s="28" t="str">
        <f t="shared" si="2305"/>
        <v/>
      </c>
      <c r="AH265" s="28">
        <f t="shared" si="22"/>
        <v>0</v>
      </c>
      <c r="AI265" s="28">
        <f t="shared" si="23"/>
        <v>0</v>
      </c>
      <c r="AK265" s="78" t="str">
        <f t="shared" ref="AK265:AN265" si="2306">IF(U265&gt;0,AK$3,"")</f>
        <v/>
      </c>
      <c r="AL265" s="78" t="str">
        <f t="shared" si="2306"/>
        <v>Peter</v>
      </c>
      <c r="AM265" s="78" t="str">
        <f t="shared" si="2306"/>
        <v/>
      </c>
      <c r="AN265" s="78" t="str">
        <f t="shared" si="2306"/>
        <v>Christian</v>
      </c>
      <c r="AO265" s="56">
        <f t="shared" si="25"/>
        <v>2</v>
      </c>
      <c r="AP265" s="8" t="str">
        <f t="shared" si="26"/>
        <v>Christian </v>
      </c>
      <c r="AQ265" s="73" t="str">
        <f>IFERROR(__xludf.DUMMYFUNCTION("IFNA(QUERY(transpose(AY265:BB265),""Select Col1 where Col1 is not null limit 1"",0))"),"")</f>
        <v/>
      </c>
      <c r="AR265" s="56"/>
      <c r="AS265" s="28" t="str">
        <f t="shared" ref="AS265:AV265" si="2307">IF(AK265=AS$3,"",AS$3)</f>
        <v>Thomas</v>
      </c>
      <c r="AT265" s="28" t="str">
        <f t="shared" si="2307"/>
        <v/>
      </c>
      <c r="AU265" s="28" t="str">
        <f t="shared" si="2307"/>
        <v>Janus</v>
      </c>
      <c r="AV265" s="28" t="str">
        <f t="shared" si="2307"/>
        <v/>
      </c>
      <c r="AW265" s="56">
        <f t="shared" si="28"/>
        <v>2</v>
      </c>
      <c r="AX265" s="28">
        <f t="shared" si="29"/>
        <v>0</v>
      </c>
      <c r="AY265" s="28" t="str">
        <f t="shared" ref="AY265:BB265" si="2308">IFNA(IFS(AY$3=$AP265,"",$AX265=U265,AY$3),"")</f>
        <v/>
      </c>
      <c r="AZ265" s="28" t="str">
        <f t="shared" si="2308"/>
        <v/>
      </c>
      <c r="BA265" s="28" t="str">
        <f t="shared" si="2308"/>
        <v/>
      </c>
      <c r="BB265" s="28" t="str">
        <f t="shared" si="2308"/>
        <v/>
      </c>
      <c r="BC265" s="58">
        <f>OFFSET('00_Regnskab_01'!$A$1,MATCH(A265,'00_Regnskab_01'!$A$1:$A$25)-1,2)</f>
        <v>44365</v>
      </c>
      <c r="BE265" s="80">
        <f t="shared" ref="BE265:BH265" si="2309">if(U265&gt;0,1+BE264,0)</f>
        <v>0</v>
      </c>
      <c r="BF265" s="28">
        <f t="shared" si="2309"/>
        <v>1</v>
      </c>
      <c r="BG265" s="28">
        <f t="shared" si="2309"/>
        <v>0</v>
      </c>
      <c r="BH265" s="28">
        <f t="shared" si="2309"/>
        <v>2</v>
      </c>
      <c r="BJ265" s="28">
        <f t="shared" ref="BJ265:BM265" si="2310">if(U265&lt;0,1+BJ264,0)</f>
        <v>1</v>
      </c>
      <c r="BK265" s="28">
        <f t="shared" si="2310"/>
        <v>0</v>
      </c>
      <c r="BL265" s="28">
        <f t="shared" si="2310"/>
        <v>3</v>
      </c>
      <c r="BM265" s="28">
        <f t="shared" si="2310"/>
        <v>0</v>
      </c>
      <c r="BO265" s="74">
        <f t="shared" ref="BO265:BR265" si="2311">if(U265&gt;0,U265+BO264,0)</f>
        <v>0</v>
      </c>
      <c r="BP265" s="74">
        <f t="shared" si="2311"/>
        <v>24</v>
      </c>
      <c r="BQ265" s="74">
        <f t="shared" si="2311"/>
        <v>0</v>
      </c>
      <c r="BR265" s="74">
        <f t="shared" si="2311"/>
        <v>56</v>
      </c>
      <c r="BT265" s="28">
        <f t="shared" ref="BT265:BW265" si="2312">if(U265&lt;0,U265+BT264,0)</f>
        <v>-24</v>
      </c>
      <c r="BU265" s="28">
        <f t="shared" si="2312"/>
        <v>0</v>
      </c>
      <c r="BV265" s="28">
        <f t="shared" si="2312"/>
        <v>-88</v>
      </c>
      <c r="BW265" s="28">
        <f t="shared" si="2312"/>
        <v>0</v>
      </c>
    </row>
    <row r="266">
      <c r="A266" s="53">
        <v>15.0</v>
      </c>
      <c r="B266" s="28">
        <f>'15_18-06-2021'!A16</f>
        <v>14</v>
      </c>
      <c r="C266" s="28">
        <f>'15_18-06-2021'!B16</f>
        <v>20</v>
      </c>
      <c r="D266" s="28">
        <f>'15_18-06-2021'!D16</f>
        <v>156</v>
      </c>
      <c r="E266" s="28">
        <f>'15_18-06-2021'!E16</f>
        <v>-196</v>
      </c>
      <c r="F266" s="28">
        <f>'15_18-06-2021'!C16</f>
        <v>20</v>
      </c>
      <c r="G266" s="28">
        <f>'15_18-06-2021'!F16</f>
        <v>0</v>
      </c>
      <c r="H266" s="28" t="str">
        <f>'15_18-06-2021'!H16</f>
        <v>Janus</v>
      </c>
      <c r="J266" s="76" t="str">
        <f>'15_18-06-2021'!I16</f>
        <v>Peter</v>
      </c>
      <c r="K266" s="28" t="str">
        <f>'15_18-06-2021'!G16</f>
        <v>sol</v>
      </c>
      <c r="L266" s="56"/>
      <c r="N266" s="25" t="s">
        <v>99</v>
      </c>
      <c r="T266" s="56"/>
      <c r="U266" s="77">
        <f t="shared" ref="U266:X266" si="2313">C266-C265</f>
        <v>-4</v>
      </c>
      <c r="V266" s="28">
        <f t="shared" si="2313"/>
        <v>-4</v>
      </c>
      <c r="W266" s="28">
        <f t="shared" si="2313"/>
        <v>12</v>
      </c>
      <c r="X266" s="28">
        <f t="shared" si="2313"/>
        <v>-4</v>
      </c>
      <c r="AB266" s="28" t="str">
        <f t="shared" ref="AB266:AE266" si="2314">IF(AB$3=$H266,U266,"")</f>
        <v/>
      </c>
      <c r="AC266" s="28" t="str">
        <f t="shared" si="2314"/>
        <v/>
      </c>
      <c r="AD266" s="28">
        <f t="shared" si="2314"/>
        <v>12</v>
      </c>
      <c r="AE266" s="28" t="str">
        <f t="shared" si="2314"/>
        <v/>
      </c>
      <c r="AH266" s="28">
        <f t="shared" si="22"/>
        <v>12</v>
      </c>
      <c r="AI266" s="28">
        <f t="shared" si="23"/>
        <v>0</v>
      </c>
      <c r="AK266" s="78" t="str">
        <f t="shared" ref="AK266:AN266" si="2315">IF(U266&gt;0,AK$3,"")</f>
        <v/>
      </c>
      <c r="AL266" s="78" t="str">
        <f t="shared" si="2315"/>
        <v/>
      </c>
      <c r="AM266" s="78" t="str">
        <f t="shared" si="2315"/>
        <v>Janus</v>
      </c>
      <c r="AN266" s="78" t="str">
        <f t="shared" si="2315"/>
        <v/>
      </c>
      <c r="AO266" s="56">
        <f t="shared" si="25"/>
        <v>1</v>
      </c>
      <c r="AP266" s="8" t="str">
        <f t="shared" si="26"/>
        <v>Janus</v>
      </c>
      <c r="AQ266" s="73" t="str">
        <f>IFERROR(__xludf.DUMMYFUNCTION("IFNA(QUERY(transpose(AY266:BB266),""Select Col1 where Col1 is not null limit 1"",0))"),"")</f>
        <v/>
      </c>
      <c r="AR266" s="56"/>
      <c r="AS266" s="28" t="str">
        <f t="shared" ref="AS266:AV266" si="2316">IF(AK266=AS$3,"",AS$3)</f>
        <v>Thomas</v>
      </c>
      <c r="AT266" s="28" t="str">
        <f t="shared" si="2316"/>
        <v>Peter</v>
      </c>
      <c r="AU266" s="28" t="str">
        <f t="shared" si="2316"/>
        <v/>
      </c>
      <c r="AV266" s="28" t="str">
        <f t="shared" si="2316"/>
        <v>Christian</v>
      </c>
      <c r="AW266" s="56">
        <f t="shared" si="28"/>
        <v>3</v>
      </c>
      <c r="AX266" s="28">
        <f t="shared" si="29"/>
        <v>12</v>
      </c>
      <c r="AY266" s="28" t="str">
        <f t="shared" ref="AY266:BB266" si="2317">IFNA(IFS(AY$3=$AP266,"",$AX266=U266,AY$3),"")</f>
        <v/>
      </c>
      <c r="AZ266" s="28" t="str">
        <f t="shared" si="2317"/>
        <v/>
      </c>
      <c r="BA266" s="28" t="str">
        <f t="shared" si="2317"/>
        <v/>
      </c>
      <c r="BB266" s="28" t="str">
        <f t="shared" si="2317"/>
        <v/>
      </c>
      <c r="BC266" s="58">
        <f>OFFSET('00_Regnskab_01'!$A$1,MATCH(A266,'00_Regnskab_01'!$A$1:$A$25)-1,2)</f>
        <v>44365</v>
      </c>
      <c r="BE266" s="80">
        <f t="shared" ref="BE266:BH266" si="2318">if(U266&gt;0,1+BE265,0)</f>
        <v>0</v>
      </c>
      <c r="BF266" s="28">
        <f t="shared" si="2318"/>
        <v>0</v>
      </c>
      <c r="BG266" s="28">
        <f t="shared" si="2318"/>
        <v>1</v>
      </c>
      <c r="BH266" s="28">
        <f t="shared" si="2318"/>
        <v>0</v>
      </c>
      <c r="BJ266" s="28">
        <f t="shared" ref="BJ266:BM266" si="2319">if(U266&lt;0,1+BJ265,0)</f>
        <v>2</v>
      </c>
      <c r="BK266" s="28">
        <f t="shared" si="2319"/>
        <v>1</v>
      </c>
      <c r="BL266" s="28">
        <f t="shared" si="2319"/>
        <v>0</v>
      </c>
      <c r="BM266" s="28">
        <f t="shared" si="2319"/>
        <v>1</v>
      </c>
      <c r="BO266" s="74">
        <f t="shared" ref="BO266:BR266" si="2320">if(U266&gt;0,U266+BO265,0)</f>
        <v>0</v>
      </c>
      <c r="BP266" s="74">
        <f t="shared" si="2320"/>
        <v>0</v>
      </c>
      <c r="BQ266" s="74">
        <f t="shared" si="2320"/>
        <v>12</v>
      </c>
      <c r="BR266" s="74">
        <f t="shared" si="2320"/>
        <v>0</v>
      </c>
      <c r="BT266" s="28">
        <f t="shared" ref="BT266:BW266" si="2321">if(U266&lt;0,U266+BT265,0)</f>
        <v>-28</v>
      </c>
      <c r="BU266" s="28">
        <f t="shared" si="2321"/>
        <v>-4</v>
      </c>
      <c r="BV266" s="28">
        <f t="shared" si="2321"/>
        <v>0</v>
      </c>
      <c r="BW266" s="28">
        <f t="shared" si="2321"/>
        <v>-4</v>
      </c>
    </row>
    <row r="267">
      <c r="A267" s="53">
        <v>15.0</v>
      </c>
      <c r="B267" s="28">
        <f>'15_18-06-2021'!A17</f>
        <v>15</v>
      </c>
      <c r="C267" s="28">
        <f>'15_18-06-2021'!B17</f>
        <v>16</v>
      </c>
      <c r="D267" s="28">
        <f>'15_18-06-2021'!D17</f>
        <v>152</v>
      </c>
      <c r="E267" s="28">
        <f>'15_18-06-2021'!E17</f>
        <v>-200</v>
      </c>
      <c r="F267" s="28">
        <f>'15_18-06-2021'!C17</f>
        <v>32</v>
      </c>
      <c r="G267" s="28">
        <f>'15_18-06-2021'!F17</f>
        <v>0</v>
      </c>
      <c r="H267" s="28" t="str">
        <f>'15_18-06-2021'!H17</f>
        <v>Christian </v>
      </c>
      <c r="J267" s="76" t="str">
        <f>'15_18-06-2021'!I17</f>
        <v>Thomas </v>
      </c>
      <c r="K267" s="28" t="str">
        <f>'15_18-06-2021'!G17</f>
        <v>Ren sol</v>
      </c>
      <c r="L267" s="56"/>
      <c r="N267" s="25" t="s">
        <v>97</v>
      </c>
      <c r="T267" s="56"/>
      <c r="U267" s="77">
        <f t="shared" ref="U267:X267" si="2322">C267-C266</f>
        <v>-4</v>
      </c>
      <c r="V267" s="28">
        <f t="shared" si="2322"/>
        <v>-4</v>
      </c>
      <c r="W267" s="28">
        <f t="shared" si="2322"/>
        <v>-4</v>
      </c>
      <c r="X267" s="28">
        <f t="shared" si="2322"/>
        <v>12</v>
      </c>
      <c r="AB267" s="28" t="str">
        <f t="shared" ref="AB267:AE267" si="2323">IF(AB$3=$H267,U267,"")</f>
        <v/>
      </c>
      <c r="AC267" s="28" t="str">
        <f t="shared" si="2323"/>
        <v/>
      </c>
      <c r="AD267" s="28" t="str">
        <f t="shared" si="2323"/>
        <v/>
      </c>
      <c r="AE267" s="28" t="str">
        <f t="shared" si="2323"/>
        <v/>
      </c>
      <c r="AH267" s="28">
        <f t="shared" si="22"/>
        <v>0</v>
      </c>
      <c r="AI267" s="28">
        <f t="shared" si="23"/>
        <v>0</v>
      </c>
      <c r="AK267" s="78" t="str">
        <f t="shared" ref="AK267:AN267" si="2324">IF(U267&gt;0,AK$3,"")</f>
        <v/>
      </c>
      <c r="AL267" s="78" t="str">
        <f t="shared" si="2324"/>
        <v/>
      </c>
      <c r="AM267" s="78" t="str">
        <f t="shared" si="2324"/>
        <v/>
      </c>
      <c r="AN267" s="78" t="str">
        <f t="shared" si="2324"/>
        <v>Christian</v>
      </c>
      <c r="AO267" s="56">
        <f t="shared" si="25"/>
        <v>1</v>
      </c>
      <c r="AP267" s="8" t="str">
        <f t="shared" si="26"/>
        <v>Christian </v>
      </c>
      <c r="AQ267" s="73" t="str">
        <f>IFERROR(__xludf.DUMMYFUNCTION("IFNA(QUERY(transpose(AY267:BB267),""Select Col1 where Col1 is not null limit 1"",0))"),"")</f>
        <v/>
      </c>
      <c r="AR267" s="56"/>
      <c r="AS267" s="28" t="str">
        <f t="shared" ref="AS267:AV267" si="2325">IF(AK267=AS$3,"",AS$3)</f>
        <v>Thomas</v>
      </c>
      <c r="AT267" s="28" t="str">
        <f t="shared" si="2325"/>
        <v>Peter</v>
      </c>
      <c r="AU267" s="28" t="str">
        <f t="shared" si="2325"/>
        <v>Janus</v>
      </c>
      <c r="AV267" s="28" t="str">
        <f t="shared" si="2325"/>
        <v/>
      </c>
      <c r="AW267" s="56">
        <f t="shared" si="28"/>
        <v>3</v>
      </c>
      <c r="AX267" s="28">
        <f t="shared" si="29"/>
        <v>0</v>
      </c>
      <c r="AY267" s="28" t="str">
        <f t="shared" ref="AY267:BB267" si="2326">IFNA(IFS(AY$3=$AP267,"",$AX267=U267,AY$3),"")</f>
        <v/>
      </c>
      <c r="AZ267" s="28" t="str">
        <f t="shared" si="2326"/>
        <v/>
      </c>
      <c r="BA267" s="28" t="str">
        <f t="shared" si="2326"/>
        <v/>
      </c>
      <c r="BB267" s="28" t="str">
        <f t="shared" si="2326"/>
        <v/>
      </c>
      <c r="BC267" s="58">
        <f>OFFSET('00_Regnskab_01'!$A$1,MATCH(A267,'00_Regnskab_01'!$A$1:$A$25)-1,2)</f>
        <v>44365</v>
      </c>
      <c r="BE267" s="80">
        <f t="shared" ref="BE267:BH267" si="2327">if(U267&gt;0,1+BE266,0)</f>
        <v>0</v>
      </c>
      <c r="BF267" s="28">
        <f t="shared" si="2327"/>
        <v>0</v>
      </c>
      <c r="BG267" s="28">
        <f t="shared" si="2327"/>
        <v>0</v>
      </c>
      <c r="BH267" s="28">
        <f t="shared" si="2327"/>
        <v>1</v>
      </c>
      <c r="BJ267" s="28">
        <f t="shared" ref="BJ267:BM267" si="2328">if(U267&lt;0,1+BJ266,0)</f>
        <v>3</v>
      </c>
      <c r="BK267" s="28">
        <f t="shared" si="2328"/>
        <v>2</v>
      </c>
      <c r="BL267" s="28">
        <f t="shared" si="2328"/>
        <v>1</v>
      </c>
      <c r="BM267" s="28">
        <f t="shared" si="2328"/>
        <v>0</v>
      </c>
      <c r="BO267" s="74">
        <f t="shared" ref="BO267:BR267" si="2329">if(U267&gt;0,U267+BO266,0)</f>
        <v>0</v>
      </c>
      <c r="BP267" s="74">
        <f t="shared" si="2329"/>
        <v>0</v>
      </c>
      <c r="BQ267" s="74">
        <f t="shared" si="2329"/>
        <v>0</v>
      </c>
      <c r="BR267" s="74">
        <f t="shared" si="2329"/>
        <v>12</v>
      </c>
      <c r="BT267" s="28">
        <f t="shared" ref="BT267:BW267" si="2330">if(U267&lt;0,U267+BT266,0)</f>
        <v>-32</v>
      </c>
      <c r="BU267" s="28">
        <f t="shared" si="2330"/>
        <v>-8</v>
      </c>
      <c r="BV267" s="28">
        <f t="shared" si="2330"/>
        <v>-4</v>
      </c>
      <c r="BW267" s="28">
        <f t="shared" si="2330"/>
        <v>0</v>
      </c>
    </row>
    <row r="268">
      <c r="A268" s="53">
        <v>15.0</v>
      </c>
      <c r="B268" s="28">
        <f>'15_18-06-2021'!A18</f>
        <v>16</v>
      </c>
      <c r="C268" s="28">
        <f>'15_18-06-2021'!B18</f>
        <v>24</v>
      </c>
      <c r="D268" s="28">
        <f>'15_18-06-2021'!D18</f>
        <v>144</v>
      </c>
      <c r="E268" s="28">
        <f>'15_18-06-2021'!E18</f>
        <v>-192</v>
      </c>
      <c r="F268" s="28">
        <f>'15_18-06-2021'!C18</f>
        <v>24</v>
      </c>
      <c r="G268" s="28">
        <f>'15_18-06-2021'!F18</f>
        <v>0</v>
      </c>
      <c r="H268" s="28" t="str">
        <f>'15_18-06-2021'!H18</f>
        <v>Janus</v>
      </c>
      <c r="J268" s="76" t="str">
        <f>'15_18-06-2021'!I18</f>
        <v>Christian </v>
      </c>
      <c r="K268" s="28" t="str">
        <f>'15_18-06-2021'!G18</f>
        <v>9. halve</v>
      </c>
      <c r="L268" s="56"/>
      <c r="M268" s="25">
        <v>9.0</v>
      </c>
      <c r="N268" s="25" t="s">
        <v>94</v>
      </c>
      <c r="T268" s="56"/>
      <c r="U268" s="77">
        <f t="shared" ref="U268:X268" si="2331">C268-C267</f>
        <v>8</v>
      </c>
      <c r="V268" s="28">
        <f t="shared" si="2331"/>
        <v>-8</v>
      </c>
      <c r="W268" s="28">
        <f t="shared" si="2331"/>
        <v>8</v>
      </c>
      <c r="X268" s="28">
        <f t="shared" si="2331"/>
        <v>-8</v>
      </c>
      <c r="AB268" s="28" t="str">
        <f t="shared" ref="AB268:AE268" si="2332">IF(AB$3=$H268,U268,"")</f>
        <v/>
      </c>
      <c r="AC268" s="28" t="str">
        <f t="shared" si="2332"/>
        <v/>
      </c>
      <c r="AD268" s="28">
        <f t="shared" si="2332"/>
        <v>8</v>
      </c>
      <c r="AE268" s="28" t="str">
        <f t="shared" si="2332"/>
        <v/>
      </c>
      <c r="AH268" s="28">
        <f t="shared" si="22"/>
        <v>8</v>
      </c>
      <c r="AI268" s="28">
        <f t="shared" si="23"/>
        <v>0</v>
      </c>
      <c r="AK268" s="78" t="str">
        <f t="shared" ref="AK268:AN268" si="2333">IF(U268&gt;0,AK$3,"")</f>
        <v>Thomas</v>
      </c>
      <c r="AL268" s="78" t="str">
        <f t="shared" si="2333"/>
        <v/>
      </c>
      <c r="AM268" s="78" t="str">
        <f t="shared" si="2333"/>
        <v>Janus</v>
      </c>
      <c r="AN268" s="78" t="str">
        <f t="shared" si="2333"/>
        <v/>
      </c>
      <c r="AO268" s="56">
        <f t="shared" si="25"/>
        <v>2</v>
      </c>
      <c r="AP268" s="8" t="str">
        <f t="shared" si="26"/>
        <v>Janus</v>
      </c>
      <c r="AQ268" s="73" t="str">
        <f>IFERROR(__xludf.DUMMYFUNCTION("IFNA(QUERY(transpose(AY268:BB268),""Select Col1 where Col1 is not null limit 1"",0))"),"Thomas")</f>
        <v>Thomas</v>
      </c>
      <c r="AR268" s="56"/>
      <c r="AS268" s="28" t="str">
        <f t="shared" ref="AS268:AV268" si="2334">IF(AK268=AS$3,"",AS$3)</f>
        <v/>
      </c>
      <c r="AT268" s="28" t="str">
        <f t="shared" si="2334"/>
        <v>Peter</v>
      </c>
      <c r="AU268" s="28" t="str">
        <f t="shared" si="2334"/>
        <v/>
      </c>
      <c r="AV268" s="28" t="str">
        <f t="shared" si="2334"/>
        <v>Christian</v>
      </c>
      <c r="AW268" s="56">
        <f t="shared" si="28"/>
        <v>2</v>
      </c>
      <c r="AX268" s="28">
        <f t="shared" si="29"/>
        <v>8</v>
      </c>
      <c r="AY268" s="28" t="str">
        <f t="shared" ref="AY268:BB268" si="2335">IFNA(IFS(AY$3=$AP268,"",$AX268=U268,AY$3),"")</f>
        <v>Thomas</v>
      </c>
      <c r="AZ268" s="28" t="str">
        <f t="shared" si="2335"/>
        <v/>
      </c>
      <c r="BA268" s="28" t="str">
        <f t="shared" si="2335"/>
        <v/>
      </c>
      <c r="BB268" s="28" t="str">
        <f t="shared" si="2335"/>
        <v/>
      </c>
      <c r="BC268" s="58">
        <f>OFFSET('00_Regnskab_01'!$A$1,MATCH(A268,'00_Regnskab_01'!$A$1:$A$25)-1,2)</f>
        <v>44365</v>
      </c>
      <c r="BE268" s="80">
        <f t="shared" ref="BE268:BH268" si="2336">if(U268&gt;0,1+BE267,0)</f>
        <v>1</v>
      </c>
      <c r="BF268" s="28">
        <f t="shared" si="2336"/>
        <v>0</v>
      </c>
      <c r="BG268" s="28">
        <f t="shared" si="2336"/>
        <v>1</v>
      </c>
      <c r="BH268" s="28">
        <f t="shared" si="2336"/>
        <v>0</v>
      </c>
      <c r="BJ268" s="28">
        <f t="shared" ref="BJ268:BM268" si="2337">if(U268&lt;0,1+BJ267,0)</f>
        <v>0</v>
      </c>
      <c r="BK268" s="28">
        <f t="shared" si="2337"/>
        <v>3</v>
      </c>
      <c r="BL268" s="28">
        <f t="shared" si="2337"/>
        <v>0</v>
      </c>
      <c r="BM268" s="28">
        <f t="shared" si="2337"/>
        <v>1</v>
      </c>
      <c r="BO268" s="74">
        <f t="shared" ref="BO268:BR268" si="2338">if(U268&gt;0,U268+BO267,0)</f>
        <v>8</v>
      </c>
      <c r="BP268" s="74">
        <f t="shared" si="2338"/>
        <v>0</v>
      </c>
      <c r="BQ268" s="74">
        <f t="shared" si="2338"/>
        <v>8</v>
      </c>
      <c r="BR268" s="74">
        <f t="shared" si="2338"/>
        <v>0</v>
      </c>
      <c r="BT268" s="28">
        <f t="shared" ref="BT268:BW268" si="2339">if(U268&lt;0,U268+BT267,0)</f>
        <v>0</v>
      </c>
      <c r="BU268" s="28">
        <f t="shared" si="2339"/>
        <v>-16</v>
      </c>
      <c r="BV268" s="28">
        <f t="shared" si="2339"/>
        <v>0</v>
      </c>
      <c r="BW268" s="28">
        <f t="shared" si="2339"/>
        <v>-8</v>
      </c>
    </row>
    <row r="269">
      <c r="A269" s="53">
        <v>15.0</v>
      </c>
      <c r="B269" s="28">
        <f>'15_18-06-2021'!A19</f>
        <v>17</v>
      </c>
      <c r="C269" s="28">
        <f>'15_18-06-2021'!B19</f>
        <v>8</v>
      </c>
      <c r="D269" s="28">
        <f>'15_18-06-2021'!D19</f>
        <v>128</v>
      </c>
      <c r="E269" s="28">
        <f>'15_18-06-2021'!E19</f>
        <v>-176</v>
      </c>
      <c r="F269" s="28">
        <f>'15_18-06-2021'!C19</f>
        <v>40</v>
      </c>
      <c r="G269" s="28">
        <f>'15_18-06-2021'!F19</f>
        <v>0</v>
      </c>
      <c r="H269" s="28" t="str">
        <f>'15_18-06-2021'!H19</f>
        <v>Janus</v>
      </c>
      <c r="J269" s="76" t="str">
        <f>'15_18-06-2021'!I19</f>
        <v>Peter</v>
      </c>
      <c r="K269" s="28" t="str">
        <f>'15_18-06-2021'!G19</f>
        <v>9. halve</v>
      </c>
      <c r="L269" s="56"/>
      <c r="M269" s="25">
        <v>9.0</v>
      </c>
      <c r="N269" s="25" t="s">
        <v>94</v>
      </c>
      <c r="T269" s="56"/>
      <c r="U269" s="77">
        <f t="shared" ref="U269:X269" si="2340">C269-C268</f>
        <v>-16</v>
      </c>
      <c r="V269" s="28">
        <f t="shared" si="2340"/>
        <v>-16</v>
      </c>
      <c r="W269" s="28">
        <f t="shared" si="2340"/>
        <v>16</v>
      </c>
      <c r="X269" s="28">
        <f t="shared" si="2340"/>
        <v>16</v>
      </c>
      <c r="AB269" s="28" t="str">
        <f t="shared" ref="AB269:AE269" si="2341">IF(AB$3=$H269,U269,"")</f>
        <v/>
      </c>
      <c r="AC269" s="28" t="str">
        <f t="shared" si="2341"/>
        <v/>
      </c>
      <c r="AD269" s="28">
        <f t="shared" si="2341"/>
        <v>16</v>
      </c>
      <c r="AE269" s="28" t="str">
        <f t="shared" si="2341"/>
        <v/>
      </c>
      <c r="AH269" s="28">
        <f t="shared" si="22"/>
        <v>16</v>
      </c>
      <c r="AI269" s="28">
        <f t="shared" si="23"/>
        <v>0</v>
      </c>
      <c r="AK269" s="78" t="str">
        <f t="shared" ref="AK269:AN269" si="2342">IF(U269&gt;0,AK$3,"")</f>
        <v/>
      </c>
      <c r="AL269" s="78" t="str">
        <f t="shared" si="2342"/>
        <v/>
      </c>
      <c r="AM269" s="78" t="str">
        <f t="shared" si="2342"/>
        <v>Janus</v>
      </c>
      <c r="AN269" s="78" t="str">
        <f t="shared" si="2342"/>
        <v>Christian</v>
      </c>
      <c r="AO269" s="56">
        <f t="shared" si="25"/>
        <v>2</v>
      </c>
      <c r="AP269" s="8" t="str">
        <f t="shared" si="26"/>
        <v>Janus</v>
      </c>
      <c r="AQ269" s="73" t="str">
        <f>IFERROR(__xludf.DUMMYFUNCTION("IFNA(QUERY(transpose(AY269:BB269),""Select Col1 where Col1 is not null limit 1"",0))"),"Christian")</f>
        <v>Christian</v>
      </c>
      <c r="AR269" s="56"/>
      <c r="AS269" s="28" t="str">
        <f t="shared" ref="AS269:AV269" si="2343">IF(AK269=AS$3,"",AS$3)</f>
        <v>Thomas</v>
      </c>
      <c r="AT269" s="28" t="str">
        <f t="shared" si="2343"/>
        <v>Peter</v>
      </c>
      <c r="AU269" s="28" t="str">
        <f t="shared" si="2343"/>
        <v/>
      </c>
      <c r="AV269" s="28" t="str">
        <f t="shared" si="2343"/>
        <v/>
      </c>
      <c r="AW269" s="56">
        <f t="shared" si="28"/>
        <v>2</v>
      </c>
      <c r="AX269" s="28">
        <f t="shared" si="29"/>
        <v>16</v>
      </c>
      <c r="AY269" s="28" t="str">
        <f t="shared" ref="AY269:BB269" si="2344">IFNA(IFS(AY$3=$AP269,"",$AX269=U269,AY$3),"")</f>
        <v/>
      </c>
      <c r="AZ269" s="28" t="str">
        <f t="shared" si="2344"/>
        <v/>
      </c>
      <c r="BA269" s="28" t="str">
        <f t="shared" si="2344"/>
        <v/>
      </c>
      <c r="BB269" s="28" t="str">
        <f t="shared" si="2344"/>
        <v>Christian</v>
      </c>
      <c r="BC269" s="58">
        <f>OFFSET('00_Regnskab_01'!$A$1,MATCH(A269,'00_Regnskab_01'!$A$1:$A$25)-1,2)</f>
        <v>44365</v>
      </c>
      <c r="BE269" s="80">
        <f t="shared" ref="BE269:BH269" si="2345">if(U269&gt;0,1+BE268,0)</f>
        <v>0</v>
      </c>
      <c r="BF269" s="28">
        <f t="shared" si="2345"/>
        <v>0</v>
      </c>
      <c r="BG269" s="28">
        <f t="shared" si="2345"/>
        <v>2</v>
      </c>
      <c r="BH269" s="28">
        <f t="shared" si="2345"/>
        <v>1</v>
      </c>
      <c r="BJ269" s="28">
        <f t="shared" ref="BJ269:BM269" si="2346">if(U269&lt;0,1+BJ268,0)</f>
        <v>1</v>
      </c>
      <c r="BK269" s="28">
        <f t="shared" si="2346"/>
        <v>4</v>
      </c>
      <c r="BL269" s="28">
        <f t="shared" si="2346"/>
        <v>0</v>
      </c>
      <c r="BM269" s="28">
        <f t="shared" si="2346"/>
        <v>0</v>
      </c>
      <c r="BO269" s="74">
        <f t="shared" ref="BO269:BR269" si="2347">if(U269&gt;0,U269+BO268,0)</f>
        <v>0</v>
      </c>
      <c r="BP269" s="74">
        <f t="shared" si="2347"/>
        <v>0</v>
      </c>
      <c r="BQ269" s="74">
        <f t="shared" si="2347"/>
        <v>24</v>
      </c>
      <c r="BR269" s="74">
        <f t="shared" si="2347"/>
        <v>16</v>
      </c>
      <c r="BT269" s="28">
        <f t="shared" ref="BT269:BW269" si="2348">if(U269&lt;0,U269+BT268,0)</f>
        <v>-16</v>
      </c>
      <c r="BU269" s="28">
        <f t="shared" si="2348"/>
        <v>-32</v>
      </c>
      <c r="BV269" s="28">
        <f t="shared" si="2348"/>
        <v>0</v>
      </c>
      <c r="BW269" s="28">
        <f t="shared" si="2348"/>
        <v>0</v>
      </c>
    </row>
    <row r="270">
      <c r="A270" s="83">
        <v>15.0</v>
      </c>
      <c r="B270" s="84">
        <f>'15_18-06-2021'!A20</f>
        <v>18</v>
      </c>
      <c r="C270" s="84">
        <f>'15_18-06-2021'!B20</f>
        <v>8</v>
      </c>
      <c r="D270" s="84">
        <f>'15_18-06-2021'!D20</f>
        <v>128</v>
      </c>
      <c r="E270" s="84">
        <f>'15_18-06-2021'!E20</f>
        <v>-176</v>
      </c>
      <c r="F270" s="84">
        <f>'15_18-06-2021'!C20</f>
        <v>40</v>
      </c>
      <c r="G270" s="84">
        <f>'15_18-06-2021'!F20</f>
        <v>0</v>
      </c>
      <c r="H270" s="84" t="str">
        <f>'15_18-06-2021'!H20</f>
        <v>Thomas</v>
      </c>
      <c r="I270" s="84"/>
      <c r="J270" s="86" t="str">
        <f>'15_18-06-2021'!I20</f>
        <v>Janus</v>
      </c>
      <c r="K270" s="84" t="str">
        <f>'15_18-06-2021'!G20</f>
        <v>10. halve</v>
      </c>
      <c r="L270" s="84"/>
      <c r="M270" s="87">
        <v>10.0</v>
      </c>
      <c r="N270" s="87" t="s">
        <v>94</v>
      </c>
      <c r="O270" s="84"/>
      <c r="P270" s="84"/>
      <c r="Q270" s="84"/>
      <c r="R270" s="84"/>
      <c r="S270" s="84"/>
      <c r="T270" s="84"/>
      <c r="U270" s="88">
        <f t="shared" ref="U270:X270" si="2349">C270-C269</f>
        <v>0</v>
      </c>
      <c r="V270" s="84">
        <f t="shared" si="2349"/>
        <v>0</v>
      </c>
      <c r="W270" s="84">
        <f t="shared" si="2349"/>
        <v>0</v>
      </c>
      <c r="X270" s="84">
        <f t="shared" si="2349"/>
        <v>0</v>
      </c>
      <c r="Y270" s="84"/>
      <c r="Z270" s="84"/>
      <c r="AA270" s="84"/>
      <c r="AB270" s="84">
        <f t="shared" ref="AB270:AE270" si="2350">IF(AB$3=$H270,U270,"")</f>
        <v>0</v>
      </c>
      <c r="AC270" s="84" t="str">
        <f t="shared" si="2350"/>
        <v/>
      </c>
      <c r="AD270" s="84" t="str">
        <f t="shared" si="2350"/>
        <v/>
      </c>
      <c r="AE270" s="84" t="str">
        <f t="shared" si="2350"/>
        <v/>
      </c>
      <c r="AF270" s="84"/>
      <c r="AG270" s="84"/>
      <c r="AH270" s="84">
        <f t="shared" si="22"/>
        <v>0</v>
      </c>
      <c r="AI270" s="84">
        <f t="shared" si="23"/>
        <v>0</v>
      </c>
      <c r="AJ270" s="84"/>
      <c r="AK270" s="93" t="str">
        <f t="shared" ref="AK270:AN270" si="2351">IF(U270&gt;0,AK$3,"")</f>
        <v/>
      </c>
      <c r="AL270" s="93" t="str">
        <f t="shared" si="2351"/>
        <v/>
      </c>
      <c r="AM270" s="93" t="str">
        <f t="shared" si="2351"/>
        <v/>
      </c>
      <c r="AN270" s="93" t="str">
        <f t="shared" si="2351"/>
        <v/>
      </c>
      <c r="AO270" s="84">
        <f t="shared" si="25"/>
        <v>0</v>
      </c>
      <c r="AP270" s="94" t="str">
        <f t="shared" si="26"/>
        <v>Thomas</v>
      </c>
      <c r="AQ270" s="95" t="str">
        <f>IFERROR(__xludf.DUMMYFUNCTION("IFNA(QUERY(transpose(AY270:BB270),""Select Col1 where Col1 is not null limit 1"",0))"),"Peter")</f>
        <v>Peter</v>
      </c>
      <c r="AR270" s="84"/>
      <c r="AS270" s="84" t="str">
        <f t="shared" ref="AS270:AV270" si="2352">IF(AK270=AS$3,"",AS$3)</f>
        <v>Thomas</v>
      </c>
      <c r="AT270" s="84" t="str">
        <f t="shared" si="2352"/>
        <v>Peter</v>
      </c>
      <c r="AU270" s="84" t="str">
        <f t="shared" si="2352"/>
        <v>Janus</v>
      </c>
      <c r="AV270" s="84" t="str">
        <f t="shared" si="2352"/>
        <v>Christian</v>
      </c>
      <c r="AW270" s="84">
        <f t="shared" si="28"/>
        <v>4</v>
      </c>
      <c r="AX270" s="84">
        <f t="shared" si="29"/>
        <v>0</v>
      </c>
      <c r="AY270" s="84" t="str">
        <f t="shared" ref="AY270:BB270" si="2353">IFNA(IFS(AY$3=$AP270,"",$AX270=U270,AY$3),"")</f>
        <v/>
      </c>
      <c r="AZ270" s="84" t="str">
        <f t="shared" si="2353"/>
        <v>Peter</v>
      </c>
      <c r="BA270" s="84" t="str">
        <f t="shared" si="2353"/>
        <v>Janus</v>
      </c>
      <c r="BB270" s="84" t="str">
        <f t="shared" si="2353"/>
        <v>Christian</v>
      </c>
      <c r="BC270" s="96">
        <f>OFFSET('00_Regnskab_01'!$A$1,MATCH(A270,'00_Regnskab_01'!$A$1:$A$25)-1,2)</f>
        <v>44365</v>
      </c>
      <c r="BD270" s="84"/>
      <c r="BE270" s="97">
        <f t="shared" ref="BE270:BH270" si="2354">if(U270&gt;0,1+BE269,0)</f>
        <v>0</v>
      </c>
      <c r="BF270" s="84">
        <f t="shared" si="2354"/>
        <v>0</v>
      </c>
      <c r="BG270" s="84">
        <f t="shared" si="2354"/>
        <v>0</v>
      </c>
      <c r="BH270" s="84">
        <f t="shared" si="2354"/>
        <v>0</v>
      </c>
      <c r="BI270" s="84"/>
      <c r="BJ270" s="28">
        <f t="shared" ref="BJ270:BM270" si="2355">if(U270&lt;0,1+BJ269,0)</f>
        <v>0</v>
      </c>
      <c r="BK270" s="28">
        <f t="shared" si="2355"/>
        <v>0</v>
      </c>
      <c r="BL270" s="28">
        <f t="shared" si="2355"/>
        <v>0</v>
      </c>
      <c r="BM270" s="28">
        <f t="shared" si="2355"/>
        <v>0</v>
      </c>
      <c r="BN270" s="84"/>
      <c r="BO270" s="98">
        <f t="shared" ref="BO270:BR270" si="2356">if(U270&gt;0,U270+BO269,0)</f>
        <v>0</v>
      </c>
      <c r="BP270" s="98">
        <f t="shared" si="2356"/>
        <v>0</v>
      </c>
      <c r="BQ270" s="98">
        <f t="shared" si="2356"/>
        <v>0</v>
      </c>
      <c r="BR270" s="98">
        <f t="shared" si="2356"/>
        <v>0</v>
      </c>
      <c r="BS270" s="84"/>
      <c r="BT270" s="84">
        <f t="shared" ref="BT270:BW270" si="2357">if(U270&lt;0,U270+BT269,0)</f>
        <v>0</v>
      </c>
      <c r="BU270" s="84">
        <f t="shared" si="2357"/>
        <v>0</v>
      </c>
      <c r="BV270" s="84">
        <f t="shared" si="2357"/>
        <v>0</v>
      </c>
      <c r="BW270" s="84">
        <f t="shared" si="2357"/>
        <v>0</v>
      </c>
      <c r="BX270" s="84"/>
      <c r="BY270" s="84"/>
    </row>
    <row r="271">
      <c r="A271" s="51">
        <v>16.0</v>
      </c>
      <c r="B271" s="32">
        <f>'16_18-11-2021'!A3</f>
        <v>1</v>
      </c>
      <c r="C271" s="32">
        <f>'16_18-11-2021'!C3</f>
        <v>-8</v>
      </c>
      <c r="D271" s="32">
        <f>'16_18-11-2021'!E3</f>
        <v>8</v>
      </c>
      <c r="E271" s="32">
        <f>'16_18-11-2021'!D3</f>
        <v>8</v>
      </c>
      <c r="F271" s="32">
        <f>'16_18-11-2021'!B3</f>
        <v>-8</v>
      </c>
      <c r="G271" s="32">
        <f>'16_18-11-2021'!F3</f>
        <v>0</v>
      </c>
      <c r="H271" s="28" t="str">
        <f>'16_18-11-2021'!H3</f>
        <v>Thomas</v>
      </c>
      <c r="J271" s="76" t="str">
        <f>'16_18-11-2021'!I3</f>
        <v>Christian </v>
      </c>
      <c r="K271" s="28" t="str">
        <f>'16_18-11-2021'!G3</f>
        <v>9 gode</v>
      </c>
      <c r="L271" s="32"/>
      <c r="M271" s="48">
        <v>9.0</v>
      </c>
      <c r="N271" s="25" t="s">
        <v>95</v>
      </c>
      <c r="O271" s="32"/>
      <c r="P271" s="32"/>
      <c r="Q271" s="32"/>
      <c r="R271" s="32"/>
      <c r="S271" s="32"/>
      <c r="T271" s="32"/>
      <c r="U271" s="71">
        <f t="shared" ref="U271:X271" si="2358">C271</f>
        <v>-8</v>
      </c>
      <c r="V271" s="32">
        <f t="shared" si="2358"/>
        <v>8</v>
      </c>
      <c r="W271" s="32">
        <f t="shared" si="2358"/>
        <v>8</v>
      </c>
      <c r="X271" s="32">
        <f t="shared" si="2358"/>
        <v>-8</v>
      </c>
      <c r="Y271" s="32"/>
      <c r="Z271" s="32"/>
      <c r="AA271" s="32"/>
      <c r="AB271" s="28">
        <f t="shared" ref="AB271:AE271" si="2359">IF(AB$3=$H271,U271,"")</f>
        <v>-8</v>
      </c>
      <c r="AC271" s="28" t="str">
        <f t="shared" si="2359"/>
        <v/>
      </c>
      <c r="AD271" s="28" t="str">
        <f t="shared" si="2359"/>
        <v/>
      </c>
      <c r="AE271" s="28" t="str">
        <f t="shared" si="2359"/>
        <v/>
      </c>
      <c r="AH271" s="28">
        <f t="shared" si="22"/>
        <v>0</v>
      </c>
      <c r="AI271" s="28">
        <f t="shared" si="23"/>
        <v>-8</v>
      </c>
      <c r="AJ271" s="32"/>
      <c r="AK271" s="78" t="str">
        <f t="shared" ref="AK271:AN271" si="2360">IF(U271&gt;0,AK$3,"")</f>
        <v/>
      </c>
      <c r="AL271" s="78" t="str">
        <f t="shared" si="2360"/>
        <v>Peter</v>
      </c>
      <c r="AM271" s="78" t="str">
        <f t="shared" si="2360"/>
        <v>Janus</v>
      </c>
      <c r="AN271" s="78" t="str">
        <f t="shared" si="2360"/>
        <v/>
      </c>
      <c r="AO271" s="56">
        <f t="shared" si="25"/>
        <v>2</v>
      </c>
      <c r="AP271" s="8" t="str">
        <f t="shared" si="26"/>
        <v>Thomas</v>
      </c>
      <c r="AQ271" s="73" t="str">
        <f>IFERROR(__xludf.DUMMYFUNCTION("IFNA(QUERY(transpose(AY271:BB271),""Select Col1 where Col1 is not null limit 1"",0))"),"Christian")</f>
        <v>Christian</v>
      </c>
      <c r="AR271" s="56"/>
      <c r="AS271" s="28" t="str">
        <f t="shared" ref="AS271:AV271" si="2361">IF(AK271=AS$3,"",AS$3)</f>
        <v>Thomas</v>
      </c>
      <c r="AT271" s="28" t="str">
        <f t="shared" si="2361"/>
        <v/>
      </c>
      <c r="AU271" s="28" t="str">
        <f t="shared" si="2361"/>
        <v/>
      </c>
      <c r="AV271" s="28" t="str">
        <f t="shared" si="2361"/>
        <v>Christian</v>
      </c>
      <c r="AW271" s="56">
        <f t="shared" si="28"/>
        <v>2</v>
      </c>
      <c r="AX271" s="28">
        <f t="shared" si="29"/>
        <v>-8</v>
      </c>
      <c r="AY271" s="28" t="str">
        <f t="shared" ref="AY271:BB271" si="2362">IFNA(IFS(AY$3=$AP271,"",$AX271=U271,AY$3),"")</f>
        <v/>
      </c>
      <c r="AZ271" s="28" t="str">
        <f t="shared" si="2362"/>
        <v/>
      </c>
      <c r="BA271" s="28" t="str">
        <f t="shared" si="2362"/>
        <v/>
      </c>
      <c r="BB271" s="28" t="str">
        <f t="shared" si="2362"/>
        <v>Christian</v>
      </c>
      <c r="BC271" s="58">
        <f>OFFSET('00_Regnskab_01'!$A$1,MATCH(A271,'00_Regnskab_01'!$A$1:$A$25)-1,2)</f>
        <v>44518</v>
      </c>
      <c r="BD271" s="32"/>
      <c r="BE271" s="80">
        <f t="shared" ref="BE271:BH271" si="2363">if(U271&gt;0,1+BE270,0)</f>
        <v>0</v>
      </c>
      <c r="BF271" s="28">
        <f t="shared" si="2363"/>
        <v>1</v>
      </c>
      <c r="BG271" s="28">
        <f t="shared" si="2363"/>
        <v>1</v>
      </c>
      <c r="BH271" s="28">
        <f t="shared" si="2363"/>
        <v>0</v>
      </c>
      <c r="BI271" s="32"/>
      <c r="BJ271" s="28">
        <f t="shared" ref="BJ271:BM271" si="2364">if(U271&lt;0,1+BJ270,0)</f>
        <v>1</v>
      </c>
      <c r="BK271" s="28">
        <f t="shared" si="2364"/>
        <v>0</v>
      </c>
      <c r="BL271" s="28">
        <f t="shared" si="2364"/>
        <v>0</v>
      </c>
      <c r="BM271" s="28">
        <f t="shared" si="2364"/>
        <v>1</v>
      </c>
      <c r="BO271" s="74">
        <f t="shared" ref="BO271:BR271" si="2365">if(U271&gt;0,U271+BO270,0)</f>
        <v>0</v>
      </c>
      <c r="BP271" s="74">
        <f t="shared" si="2365"/>
        <v>8</v>
      </c>
      <c r="BQ271" s="74">
        <f t="shared" si="2365"/>
        <v>8</v>
      </c>
      <c r="BR271" s="74">
        <f t="shared" si="2365"/>
        <v>0</v>
      </c>
      <c r="BT271" s="28">
        <f t="shared" ref="BT271:BW271" si="2366">if(U271&lt;0,U271+BT270,0)</f>
        <v>-8</v>
      </c>
      <c r="BU271" s="28">
        <f t="shared" si="2366"/>
        <v>0</v>
      </c>
      <c r="BV271" s="28">
        <f t="shared" si="2366"/>
        <v>0</v>
      </c>
      <c r="BW271" s="28">
        <f t="shared" si="2366"/>
        <v>-8</v>
      </c>
      <c r="BX271" s="32"/>
      <c r="BY271" s="32"/>
    </row>
    <row r="272">
      <c r="A272" s="53">
        <v>16.0</v>
      </c>
      <c r="B272" s="28">
        <f>'16_18-11-2021'!A4</f>
        <v>2</v>
      </c>
      <c r="C272" s="28">
        <f>'16_18-11-2021'!C4</f>
        <v>-12</v>
      </c>
      <c r="D272" s="28">
        <f>'16_18-11-2021'!E4</f>
        <v>20</v>
      </c>
      <c r="E272" s="28">
        <f>'16_18-11-2021'!D4</f>
        <v>4</v>
      </c>
      <c r="F272" s="28">
        <f>'16_18-11-2021'!B4</f>
        <v>-12</v>
      </c>
      <c r="G272" s="28">
        <f>'16_18-11-2021'!F4</f>
        <v>0</v>
      </c>
      <c r="H272" s="28" t="str">
        <f>'16_18-11-2021'!H4</f>
        <v>Peter</v>
      </c>
      <c r="J272" s="76" t="str">
        <f>'16_18-11-2021'!I4</f>
        <v>Thomas</v>
      </c>
      <c r="K272" s="28" t="str">
        <f>'16_18-11-2021'!G4</f>
        <v>Sol</v>
      </c>
      <c r="L272" s="56"/>
      <c r="N272" s="25" t="s">
        <v>99</v>
      </c>
      <c r="T272" s="56"/>
      <c r="U272" s="77">
        <f t="shared" ref="U272:X272" si="2367">C272-C271</f>
        <v>-4</v>
      </c>
      <c r="V272" s="28">
        <f t="shared" si="2367"/>
        <v>12</v>
      </c>
      <c r="W272" s="28">
        <f t="shared" si="2367"/>
        <v>-4</v>
      </c>
      <c r="X272" s="28">
        <f t="shared" si="2367"/>
        <v>-4</v>
      </c>
      <c r="AB272" s="28" t="str">
        <f t="shared" ref="AB272:AE272" si="2368">IF(AB$3=$H272,U272,"")</f>
        <v/>
      </c>
      <c r="AC272" s="28">
        <f t="shared" si="2368"/>
        <v>12</v>
      </c>
      <c r="AD272" s="28" t="str">
        <f t="shared" si="2368"/>
        <v/>
      </c>
      <c r="AE272" s="28" t="str">
        <f t="shared" si="2368"/>
        <v/>
      </c>
      <c r="AH272" s="28">
        <f t="shared" si="22"/>
        <v>12</v>
      </c>
      <c r="AI272" s="28">
        <f t="shared" si="23"/>
        <v>0</v>
      </c>
      <c r="AK272" s="78" t="str">
        <f t="shared" ref="AK272:AN272" si="2369">IF(U272&gt;0,AK$3,"")</f>
        <v/>
      </c>
      <c r="AL272" s="78" t="str">
        <f t="shared" si="2369"/>
        <v>Peter</v>
      </c>
      <c r="AM272" s="78" t="str">
        <f t="shared" si="2369"/>
        <v/>
      </c>
      <c r="AN272" s="78" t="str">
        <f t="shared" si="2369"/>
        <v/>
      </c>
      <c r="AO272" s="56">
        <f t="shared" si="25"/>
        <v>1</v>
      </c>
      <c r="AP272" s="8" t="str">
        <f t="shared" si="26"/>
        <v>Peter</v>
      </c>
      <c r="AQ272" s="73" t="str">
        <f>IFERROR(__xludf.DUMMYFUNCTION("IFNA(QUERY(transpose(AY272:BB272),""Select Col1 where Col1 is not null limit 1"",0))"),"")</f>
        <v/>
      </c>
      <c r="AR272" s="56"/>
      <c r="AS272" s="28" t="str">
        <f t="shared" ref="AS272:AV272" si="2370">IF(AK272=AS$3,"",AS$3)</f>
        <v>Thomas</v>
      </c>
      <c r="AT272" s="28" t="str">
        <f t="shared" si="2370"/>
        <v/>
      </c>
      <c r="AU272" s="28" t="str">
        <f t="shared" si="2370"/>
        <v>Janus</v>
      </c>
      <c r="AV272" s="28" t="str">
        <f t="shared" si="2370"/>
        <v>Christian</v>
      </c>
      <c r="AW272" s="56">
        <f t="shared" si="28"/>
        <v>3</v>
      </c>
      <c r="AX272" s="28">
        <f t="shared" si="29"/>
        <v>12</v>
      </c>
      <c r="AY272" s="28" t="str">
        <f t="shared" ref="AY272:BB272" si="2371">IFNA(IFS(AY$3=$AP272,"",$AX272=U272,AY$3),"")</f>
        <v/>
      </c>
      <c r="AZ272" s="28" t="str">
        <f t="shared" si="2371"/>
        <v/>
      </c>
      <c r="BA272" s="28" t="str">
        <f t="shared" si="2371"/>
        <v/>
      </c>
      <c r="BB272" s="28" t="str">
        <f t="shared" si="2371"/>
        <v/>
      </c>
      <c r="BC272" s="58">
        <f>OFFSET('00_Regnskab_01'!$A$1,MATCH(A272,'00_Regnskab_01'!$A$1:$A$25)-1,2)</f>
        <v>44518</v>
      </c>
      <c r="BE272" s="80">
        <f t="shared" ref="BE272:BH272" si="2372">if(U272&gt;0,1+BE271,0)</f>
        <v>0</v>
      </c>
      <c r="BF272" s="28">
        <f t="shared" si="2372"/>
        <v>2</v>
      </c>
      <c r="BG272" s="28">
        <f t="shared" si="2372"/>
        <v>0</v>
      </c>
      <c r="BH272" s="28">
        <f t="shared" si="2372"/>
        <v>0</v>
      </c>
      <c r="BJ272" s="28">
        <f t="shared" ref="BJ272:BM272" si="2373">if(U272&lt;0,1+BJ271,0)</f>
        <v>2</v>
      </c>
      <c r="BK272" s="28">
        <f t="shared" si="2373"/>
        <v>0</v>
      </c>
      <c r="BL272" s="28">
        <f t="shared" si="2373"/>
        <v>1</v>
      </c>
      <c r="BM272" s="28">
        <f t="shared" si="2373"/>
        <v>2</v>
      </c>
      <c r="BO272" s="74">
        <f t="shared" ref="BO272:BR272" si="2374">if(U272&gt;0,U272+BO271,0)</f>
        <v>0</v>
      </c>
      <c r="BP272" s="74">
        <f t="shared" si="2374"/>
        <v>20</v>
      </c>
      <c r="BQ272" s="74">
        <f t="shared" si="2374"/>
        <v>0</v>
      </c>
      <c r="BR272" s="74">
        <f t="shared" si="2374"/>
        <v>0</v>
      </c>
      <c r="BT272" s="28">
        <f t="shared" ref="BT272:BW272" si="2375">if(U272&lt;0,U272+BT271,0)</f>
        <v>-12</v>
      </c>
      <c r="BU272" s="28">
        <f t="shared" si="2375"/>
        <v>0</v>
      </c>
      <c r="BV272" s="28">
        <f t="shared" si="2375"/>
        <v>-4</v>
      </c>
      <c r="BW272" s="28">
        <f t="shared" si="2375"/>
        <v>-12</v>
      </c>
    </row>
    <row r="273">
      <c r="A273" s="53">
        <v>16.0</v>
      </c>
      <c r="B273" s="28">
        <f>'16_18-11-2021'!A5</f>
        <v>3</v>
      </c>
      <c r="C273" s="28">
        <f>'16_18-11-2021'!C5</f>
        <v>-12</v>
      </c>
      <c r="D273" s="28">
        <f>'16_18-11-2021'!E5</f>
        <v>20</v>
      </c>
      <c r="E273" s="28">
        <f>'16_18-11-2021'!D5</f>
        <v>-28</v>
      </c>
      <c r="F273" s="28">
        <f>'16_18-11-2021'!B5</f>
        <v>20</v>
      </c>
      <c r="G273" s="28">
        <f>'16_18-11-2021'!F5</f>
        <v>0</v>
      </c>
      <c r="H273" s="28" t="str">
        <f>'16_18-11-2021'!H5</f>
        <v>Christian /Janus</v>
      </c>
      <c r="J273" s="76" t="str">
        <f>'16_18-11-2021'!I5</f>
        <v>Janus</v>
      </c>
      <c r="K273" s="28" t="str">
        <f>'16_18-11-2021'!G5</f>
        <v>Ren sol</v>
      </c>
      <c r="L273" s="56"/>
      <c r="N273" s="25" t="s">
        <v>97</v>
      </c>
      <c r="Q273" s="25" t="s">
        <v>15</v>
      </c>
      <c r="T273" s="56"/>
      <c r="U273" s="77">
        <f t="shared" ref="U273:X273" si="2376">C273-C272</f>
        <v>0</v>
      </c>
      <c r="V273" s="28">
        <f t="shared" si="2376"/>
        <v>0</v>
      </c>
      <c r="W273" s="28">
        <f t="shared" si="2376"/>
        <v>-32</v>
      </c>
      <c r="X273" s="28">
        <f t="shared" si="2376"/>
        <v>32</v>
      </c>
      <c r="AB273" s="28" t="str">
        <f t="shared" ref="AB273:AE273" si="2377">IF(AB$3=$H273,U273,"")</f>
        <v/>
      </c>
      <c r="AC273" s="28" t="str">
        <f t="shared" si="2377"/>
        <v/>
      </c>
      <c r="AD273" s="28" t="str">
        <f t="shared" si="2377"/>
        <v/>
      </c>
      <c r="AE273" s="28" t="str">
        <f t="shared" si="2377"/>
        <v/>
      </c>
      <c r="AH273" s="28">
        <f t="shared" si="22"/>
        <v>0</v>
      </c>
      <c r="AI273" s="28">
        <f t="shared" si="23"/>
        <v>0</v>
      </c>
      <c r="AK273" s="78" t="str">
        <f t="shared" ref="AK273:AN273" si="2378">IF(U273&gt;0,AK$3,"")</f>
        <v/>
      </c>
      <c r="AL273" s="78" t="str">
        <f t="shared" si="2378"/>
        <v/>
      </c>
      <c r="AM273" s="78" t="str">
        <f t="shared" si="2378"/>
        <v/>
      </c>
      <c r="AN273" s="78" t="str">
        <f t="shared" si="2378"/>
        <v>Christian</v>
      </c>
      <c r="AO273" s="56">
        <f t="shared" si="25"/>
        <v>1</v>
      </c>
      <c r="AP273" s="8" t="str">
        <f t="shared" si="26"/>
        <v>Christian /Janus</v>
      </c>
      <c r="AQ273" s="73" t="str">
        <f>IFERROR(__xludf.DUMMYFUNCTION("IFNA(QUERY(transpose(AY273:BB273),""Select Col1 where Col1 is not null limit 1"",0))"),"Thomas")</f>
        <v>Thomas</v>
      </c>
      <c r="AR273" s="56"/>
      <c r="AS273" s="28" t="str">
        <f t="shared" ref="AS273:AV273" si="2379">IF(AK273=AS$3,"",AS$3)</f>
        <v>Thomas</v>
      </c>
      <c r="AT273" s="28" t="str">
        <f t="shared" si="2379"/>
        <v>Peter</v>
      </c>
      <c r="AU273" s="28" t="str">
        <f t="shared" si="2379"/>
        <v>Janus</v>
      </c>
      <c r="AV273" s="28" t="str">
        <f t="shared" si="2379"/>
        <v/>
      </c>
      <c r="AW273" s="56">
        <f t="shared" si="28"/>
        <v>3</v>
      </c>
      <c r="AX273" s="28">
        <f t="shared" si="29"/>
        <v>0</v>
      </c>
      <c r="AY273" s="28" t="str">
        <f t="shared" ref="AY273:BB273" si="2380">IFNA(IFS(AY$3=$AP273,"",$AX273=U273,AY$3),"")</f>
        <v>Thomas</v>
      </c>
      <c r="AZ273" s="28" t="str">
        <f t="shared" si="2380"/>
        <v>Peter</v>
      </c>
      <c r="BA273" s="28" t="str">
        <f t="shared" si="2380"/>
        <v/>
      </c>
      <c r="BB273" s="28" t="str">
        <f t="shared" si="2380"/>
        <v/>
      </c>
      <c r="BC273" s="58">
        <f>OFFSET('00_Regnskab_01'!$A$1,MATCH(A273,'00_Regnskab_01'!$A$1:$A$25)-1,2)</f>
        <v>44518</v>
      </c>
      <c r="BE273" s="80">
        <f t="shared" ref="BE273:BH273" si="2381">if(U273&gt;0,1+BE272,0)</f>
        <v>0</v>
      </c>
      <c r="BF273" s="28">
        <f t="shared" si="2381"/>
        <v>0</v>
      </c>
      <c r="BG273" s="28">
        <f t="shared" si="2381"/>
        <v>0</v>
      </c>
      <c r="BH273" s="28">
        <f t="shared" si="2381"/>
        <v>1</v>
      </c>
      <c r="BJ273" s="28">
        <f t="shared" ref="BJ273:BM273" si="2382">if(U273&lt;0,1+BJ272,0)</f>
        <v>0</v>
      </c>
      <c r="BK273" s="28">
        <f t="shared" si="2382"/>
        <v>0</v>
      </c>
      <c r="BL273" s="28">
        <f t="shared" si="2382"/>
        <v>2</v>
      </c>
      <c r="BM273" s="28">
        <f t="shared" si="2382"/>
        <v>0</v>
      </c>
      <c r="BO273" s="74">
        <f t="shared" ref="BO273:BR273" si="2383">if(U273&gt;0,U273+BO272,0)</f>
        <v>0</v>
      </c>
      <c r="BP273" s="74">
        <f t="shared" si="2383"/>
        <v>0</v>
      </c>
      <c r="BQ273" s="74">
        <f t="shared" si="2383"/>
        <v>0</v>
      </c>
      <c r="BR273" s="74">
        <f t="shared" si="2383"/>
        <v>32</v>
      </c>
      <c r="BT273" s="28">
        <f t="shared" ref="BT273:BW273" si="2384">if(U273&lt;0,U273+BT272,0)</f>
        <v>0</v>
      </c>
      <c r="BU273" s="28">
        <f t="shared" si="2384"/>
        <v>0</v>
      </c>
      <c r="BV273" s="28">
        <f t="shared" si="2384"/>
        <v>-36</v>
      </c>
      <c r="BW273" s="28">
        <f t="shared" si="2384"/>
        <v>0</v>
      </c>
    </row>
    <row r="274">
      <c r="A274" s="53">
        <v>16.0</v>
      </c>
      <c r="B274" s="28">
        <f>'16_18-11-2021'!A6</f>
        <v>4</v>
      </c>
      <c r="C274" s="28">
        <f>'16_18-11-2021'!C6</f>
        <v>12</v>
      </c>
      <c r="D274" s="28">
        <f>'16_18-11-2021'!E6</f>
        <v>44</v>
      </c>
      <c r="E274" s="28">
        <f>'16_18-11-2021'!D6</f>
        <v>-4</v>
      </c>
      <c r="F274" s="28">
        <f>'16_18-11-2021'!B6</f>
        <v>-52</v>
      </c>
      <c r="G274" s="28">
        <f>'16_18-11-2021'!F6</f>
        <v>0</v>
      </c>
      <c r="H274" s="28" t="str">
        <f>'16_18-11-2021'!H6</f>
        <v>Christian</v>
      </c>
      <c r="J274" s="76" t="str">
        <f>'16_18-11-2021'!I6</f>
        <v>Peter</v>
      </c>
      <c r="K274" s="28" t="str">
        <f>'16_18-11-2021'!G6</f>
        <v>Sans</v>
      </c>
      <c r="L274" s="56"/>
      <c r="N274" s="25" t="s">
        <v>98</v>
      </c>
      <c r="T274" s="56"/>
      <c r="U274" s="77">
        <f t="shared" ref="U274:X274" si="2385">C274-C273</f>
        <v>24</v>
      </c>
      <c r="V274" s="28">
        <f t="shared" si="2385"/>
        <v>24</v>
      </c>
      <c r="W274" s="28">
        <f t="shared" si="2385"/>
        <v>24</v>
      </c>
      <c r="X274" s="28">
        <f t="shared" si="2385"/>
        <v>-72</v>
      </c>
      <c r="AB274" s="28" t="str">
        <f t="shared" ref="AB274:AE274" si="2386">IF(AB$3=$H274,U274,"")</f>
        <v/>
      </c>
      <c r="AC274" s="28" t="str">
        <f t="shared" si="2386"/>
        <v/>
      </c>
      <c r="AD274" s="28" t="str">
        <f t="shared" si="2386"/>
        <v/>
      </c>
      <c r="AE274" s="28">
        <f t="shared" si="2386"/>
        <v>-72</v>
      </c>
      <c r="AH274" s="28">
        <f t="shared" si="22"/>
        <v>0</v>
      </c>
      <c r="AI274" s="28">
        <f t="shared" si="23"/>
        <v>-72</v>
      </c>
      <c r="AK274" s="78" t="str">
        <f t="shared" ref="AK274:AN274" si="2387">IF(U274&gt;0,AK$3,"")</f>
        <v>Thomas</v>
      </c>
      <c r="AL274" s="78" t="str">
        <f t="shared" si="2387"/>
        <v>Peter</v>
      </c>
      <c r="AM274" s="78" t="str">
        <f t="shared" si="2387"/>
        <v>Janus</v>
      </c>
      <c r="AN274" s="78" t="str">
        <f t="shared" si="2387"/>
        <v/>
      </c>
      <c r="AO274" s="56">
        <f t="shared" si="25"/>
        <v>3</v>
      </c>
      <c r="AP274" s="8" t="str">
        <f t="shared" si="26"/>
        <v>Christian</v>
      </c>
      <c r="AQ274" s="73" t="str">
        <f>IFERROR(__xludf.DUMMYFUNCTION("IFNA(QUERY(transpose(AY274:BB274),""Select Col1 where Col1 is not null limit 1"",0))"),"")</f>
        <v/>
      </c>
      <c r="AR274" s="56"/>
      <c r="AS274" s="28" t="str">
        <f t="shared" ref="AS274:AV274" si="2388">IF(AK274=AS$3,"",AS$3)</f>
        <v/>
      </c>
      <c r="AT274" s="28" t="str">
        <f t="shared" si="2388"/>
        <v/>
      </c>
      <c r="AU274" s="28" t="str">
        <f t="shared" si="2388"/>
        <v/>
      </c>
      <c r="AV274" s="28" t="str">
        <f t="shared" si="2388"/>
        <v>Christian</v>
      </c>
      <c r="AW274" s="56">
        <f t="shared" si="28"/>
        <v>1</v>
      </c>
      <c r="AX274" s="28">
        <f t="shared" si="29"/>
        <v>-72</v>
      </c>
      <c r="AY274" s="28" t="str">
        <f t="shared" ref="AY274:BB274" si="2389">IFNA(IFS(AY$3=$AP274,"",$AX274=U274,AY$3),"")</f>
        <v/>
      </c>
      <c r="AZ274" s="28" t="str">
        <f t="shared" si="2389"/>
        <v/>
      </c>
      <c r="BA274" s="28" t="str">
        <f t="shared" si="2389"/>
        <v/>
      </c>
      <c r="BB274" s="28" t="str">
        <f t="shared" si="2389"/>
        <v/>
      </c>
      <c r="BC274" s="58">
        <f>OFFSET('00_Regnskab_01'!$A$1,MATCH(A274,'00_Regnskab_01'!$A$1:$A$25)-1,2)</f>
        <v>44518</v>
      </c>
      <c r="BE274" s="80">
        <f t="shared" ref="BE274:BH274" si="2390">if(U274&gt;0,1+BE273,0)</f>
        <v>1</v>
      </c>
      <c r="BF274" s="28">
        <f t="shared" si="2390"/>
        <v>1</v>
      </c>
      <c r="BG274" s="28">
        <f t="shared" si="2390"/>
        <v>1</v>
      </c>
      <c r="BH274" s="28">
        <f t="shared" si="2390"/>
        <v>0</v>
      </c>
      <c r="BJ274" s="28">
        <f t="shared" ref="BJ274:BM274" si="2391">if(U274&lt;0,1+BJ273,0)</f>
        <v>0</v>
      </c>
      <c r="BK274" s="28">
        <f t="shared" si="2391"/>
        <v>0</v>
      </c>
      <c r="BL274" s="28">
        <f t="shared" si="2391"/>
        <v>0</v>
      </c>
      <c r="BM274" s="28">
        <f t="shared" si="2391"/>
        <v>1</v>
      </c>
      <c r="BO274" s="74">
        <f t="shared" ref="BO274:BR274" si="2392">if(U274&gt;0,U274+BO273,0)</f>
        <v>24</v>
      </c>
      <c r="BP274" s="74">
        <f t="shared" si="2392"/>
        <v>24</v>
      </c>
      <c r="BQ274" s="74">
        <f t="shared" si="2392"/>
        <v>24</v>
      </c>
      <c r="BR274" s="74">
        <f t="shared" si="2392"/>
        <v>0</v>
      </c>
      <c r="BT274" s="28">
        <f t="shared" ref="BT274:BW274" si="2393">if(U274&lt;0,U274+BT273,0)</f>
        <v>0</v>
      </c>
      <c r="BU274" s="28">
        <f t="shared" si="2393"/>
        <v>0</v>
      </c>
      <c r="BV274" s="28">
        <f t="shared" si="2393"/>
        <v>0</v>
      </c>
      <c r="BW274" s="28">
        <f t="shared" si="2393"/>
        <v>-72</v>
      </c>
    </row>
    <row r="275">
      <c r="A275" s="53">
        <v>16.0</v>
      </c>
      <c r="B275" s="28">
        <f>'16_18-11-2021'!A7</f>
        <v>5</v>
      </c>
      <c r="C275" s="28">
        <f>'16_18-11-2021'!C7</f>
        <v>24</v>
      </c>
      <c r="D275" s="28">
        <f>'16_18-11-2021'!E7</f>
        <v>32</v>
      </c>
      <c r="E275" s="28">
        <f>'16_18-11-2021'!D7</f>
        <v>8</v>
      </c>
      <c r="F275" s="28">
        <f>'16_18-11-2021'!B7</f>
        <v>-64</v>
      </c>
      <c r="G275" s="28">
        <f>'16_18-11-2021'!F7</f>
        <v>0</v>
      </c>
      <c r="H275" s="28" t="str">
        <f>'16_18-11-2021'!H7</f>
        <v>Thomas</v>
      </c>
      <c r="J275" s="76" t="str">
        <f>'16_18-11-2021'!I7</f>
        <v>Christian </v>
      </c>
      <c r="K275" s="28" t="str">
        <f>'16_18-11-2021'!G7</f>
        <v>10 (Rene)</v>
      </c>
      <c r="L275" s="56"/>
      <c r="M275" s="25">
        <v>10.0</v>
      </c>
      <c r="T275" s="56"/>
      <c r="U275" s="77">
        <f t="shared" ref="U275:X275" si="2394">C275-C274</f>
        <v>12</v>
      </c>
      <c r="V275" s="28">
        <f t="shared" si="2394"/>
        <v>-12</v>
      </c>
      <c r="W275" s="28">
        <f t="shared" si="2394"/>
        <v>12</v>
      </c>
      <c r="X275" s="28">
        <f t="shared" si="2394"/>
        <v>-12</v>
      </c>
      <c r="AB275" s="28">
        <f t="shared" ref="AB275:AE275" si="2395">IF(AB$3=$H275,U275,"")</f>
        <v>12</v>
      </c>
      <c r="AC275" s="28" t="str">
        <f t="shared" si="2395"/>
        <v/>
      </c>
      <c r="AD275" s="28" t="str">
        <f t="shared" si="2395"/>
        <v/>
      </c>
      <c r="AE275" s="28" t="str">
        <f t="shared" si="2395"/>
        <v/>
      </c>
      <c r="AH275" s="28">
        <f t="shared" si="22"/>
        <v>12</v>
      </c>
      <c r="AI275" s="28">
        <f t="shared" si="23"/>
        <v>0</v>
      </c>
      <c r="AK275" s="78" t="str">
        <f t="shared" ref="AK275:AN275" si="2396">IF(U275&gt;0,AK$3,"")</f>
        <v>Thomas</v>
      </c>
      <c r="AL275" s="78" t="str">
        <f t="shared" si="2396"/>
        <v/>
      </c>
      <c r="AM275" s="78" t="str">
        <f t="shared" si="2396"/>
        <v>Janus</v>
      </c>
      <c r="AN275" s="78" t="str">
        <f t="shared" si="2396"/>
        <v/>
      </c>
      <c r="AO275" s="56">
        <f t="shared" si="25"/>
        <v>2</v>
      </c>
      <c r="AP275" s="8" t="str">
        <f t="shared" si="26"/>
        <v>Thomas</v>
      </c>
      <c r="AQ275" s="73" t="str">
        <f>IFERROR(__xludf.DUMMYFUNCTION("IFNA(QUERY(transpose(AY275:BB275),""Select Col1 where Col1 is not null limit 1"",0))"),"Janus")</f>
        <v>Janus</v>
      </c>
      <c r="AR275" s="56"/>
      <c r="AS275" s="28" t="str">
        <f t="shared" ref="AS275:AV275" si="2397">IF(AK275=AS$3,"",AS$3)</f>
        <v/>
      </c>
      <c r="AT275" s="28" t="str">
        <f t="shared" si="2397"/>
        <v>Peter</v>
      </c>
      <c r="AU275" s="28" t="str">
        <f t="shared" si="2397"/>
        <v/>
      </c>
      <c r="AV275" s="28" t="str">
        <f t="shared" si="2397"/>
        <v>Christian</v>
      </c>
      <c r="AW275" s="56">
        <f t="shared" si="28"/>
        <v>2</v>
      </c>
      <c r="AX275" s="28">
        <f t="shared" si="29"/>
        <v>12</v>
      </c>
      <c r="AY275" s="28" t="str">
        <f t="shared" ref="AY275:BB275" si="2398">IFNA(IFS(AY$3=$AP275,"",$AX275=U275,AY$3),"")</f>
        <v/>
      </c>
      <c r="AZ275" s="28" t="str">
        <f t="shared" si="2398"/>
        <v/>
      </c>
      <c r="BA275" s="28" t="str">
        <f t="shared" si="2398"/>
        <v>Janus</v>
      </c>
      <c r="BB275" s="28" t="str">
        <f t="shared" si="2398"/>
        <v/>
      </c>
      <c r="BC275" s="58">
        <f>OFFSET('00_Regnskab_01'!$A$1,MATCH(A275,'00_Regnskab_01'!$A$1:$A$25)-1,2)</f>
        <v>44518</v>
      </c>
      <c r="BE275" s="80">
        <f t="shared" ref="BE275:BH275" si="2399">if(U275&gt;0,1+BE274,0)</f>
        <v>2</v>
      </c>
      <c r="BF275" s="28">
        <f t="shared" si="2399"/>
        <v>0</v>
      </c>
      <c r="BG275" s="28">
        <f t="shared" si="2399"/>
        <v>2</v>
      </c>
      <c r="BH275" s="28">
        <f t="shared" si="2399"/>
        <v>0</v>
      </c>
      <c r="BJ275" s="28">
        <f t="shared" ref="BJ275:BM275" si="2400">if(U275&lt;0,1+BJ274,0)</f>
        <v>0</v>
      </c>
      <c r="BK275" s="28">
        <f t="shared" si="2400"/>
        <v>1</v>
      </c>
      <c r="BL275" s="28">
        <f t="shared" si="2400"/>
        <v>0</v>
      </c>
      <c r="BM275" s="28">
        <f t="shared" si="2400"/>
        <v>2</v>
      </c>
      <c r="BO275" s="74">
        <f t="shared" ref="BO275:BR275" si="2401">if(U275&gt;0,U275+BO274,0)</f>
        <v>36</v>
      </c>
      <c r="BP275" s="74">
        <f t="shared" si="2401"/>
        <v>0</v>
      </c>
      <c r="BQ275" s="74">
        <f t="shared" si="2401"/>
        <v>36</v>
      </c>
      <c r="BR275" s="74">
        <f t="shared" si="2401"/>
        <v>0</v>
      </c>
      <c r="BT275" s="28">
        <f t="shared" ref="BT275:BW275" si="2402">if(U275&lt;0,U275+BT274,0)</f>
        <v>0</v>
      </c>
      <c r="BU275" s="28">
        <f t="shared" si="2402"/>
        <v>-12</v>
      </c>
      <c r="BV275" s="28">
        <f t="shared" si="2402"/>
        <v>0</v>
      </c>
      <c r="BW275" s="28">
        <f t="shared" si="2402"/>
        <v>-84</v>
      </c>
    </row>
    <row r="276">
      <c r="A276" s="53">
        <v>16.0</v>
      </c>
      <c r="B276" s="28">
        <f>'16_18-11-2021'!A8</f>
        <v>6</v>
      </c>
      <c r="C276" s="28">
        <f>'16_18-11-2021'!C8</f>
        <v>0</v>
      </c>
      <c r="D276" s="28">
        <f>'16_18-11-2021'!E8</f>
        <v>40</v>
      </c>
      <c r="E276" s="28">
        <f>'16_18-11-2021'!D8</f>
        <v>16</v>
      </c>
      <c r="F276" s="28">
        <f>'16_18-11-2021'!B8</f>
        <v>-56</v>
      </c>
      <c r="G276" s="28">
        <f>'16_18-11-2021'!F8</f>
        <v>0</v>
      </c>
      <c r="H276" s="28" t="str">
        <f>'16_18-11-2021'!H8</f>
        <v>Thomas</v>
      </c>
      <c r="J276" s="76" t="str">
        <f>'16_18-11-2021'!I8</f>
        <v>Thomas</v>
      </c>
      <c r="K276" s="28" t="str">
        <f>'16_18-11-2021'!G8</f>
        <v>Ren sol</v>
      </c>
      <c r="L276" s="56"/>
      <c r="N276" s="25" t="s">
        <v>97</v>
      </c>
      <c r="T276" s="56"/>
      <c r="U276" s="77">
        <f t="shared" ref="U276:X276" si="2403">C276-C275</f>
        <v>-24</v>
      </c>
      <c r="V276" s="28">
        <f t="shared" si="2403"/>
        <v>8</v>
      </c>
      <c r="W276" s="28">
        <f t="shared" si="2403"/>
        <v>8</v>
      </c>
      <c r="X276" s="28">
        <f t="shared" si="2403"/>
        <v>8</v>
      </c>
      <c r="AB276" s="28">
        <f t="shared" ref="AB276:AE276" si="2404">IF(AB$3=$H276,U276,"")</f>
        <v>-24</v>
      </c>
      <c r="AC276" s="28" t="str">
        <f t="shared" si="2404"/>
        <v/>
      </c>
      <c r="AD276" s="28" t="str">
        <f t="shared" si="2404"/>
        <v/>
      </c>
      <c r="AE276" s="28" t="str">
        <f t="shared" si="2404"/>
        <v/>
      </c>
      <c r="AH276" s="28">
        <f t="shared" si="22"/>
        <v>0</v>
      </c>
      <c r="AI276" s="28">
        <f t="shared" si="23"/>
        <v>-24</v>
      </c>
      <c r="AK276" s="78" t="str">
        <f t="shared" ref="AK276:AN276" si="2405">IF(U276&gt;0,AK$3,"")</f>
        <v/>
      </c>
      <c r="AL276" s="78" t="str">
        <f t="shared" si="2405"/>
        <v>Peter</v>
      </c>
      <c r="AM276" s="78" t="str">
        <f t="shared" si="2405"/>
        <v>Janus</v>
      </c>
      <c r="AN276" s="78" t="str">
        <f t="shared" si="2405"/>
        <v>Christian</v>
      </c>
      <c r="AO276" s="56">
        <f t="shared" si="25"/>
        <v>3</v>
      </c>
      <c r="AP276" s="8" t="str">
        <f t="shared" si="26"/>
        <v>Thomas</v>
      </c>
      <c r="AQ276" s="73" t="str">
        <f>IFERROR(__xludf.DUMMYFUNCTION("IFNA(QUERY(transpose(AY276:BB276),""Select Col1 where Col1 is not null limit 1"",0))"),"")</f>
        <v/>
      </c>
      <c r="AR276" s="56"/>
      <c r="AS276" s="28" t="str">
        <f t="shared" ref="AS276:AV276" si="2406">IF(AK276=AS$3,"",AS$3)</f>
        <v>Thomas</v>
      </c>
      <c r="AT276" s="28" t="str">
        <f t="shared" si="2406"/>
        <v/>
      </c>
      <c r="AU276" s="28" t="str">
        <f t="shared" si="2406"/>
        <v/>
      </c>
      <c r="AV276" s="28" t="str">
        <f t="shared" si="2406"/>
        <v/>
      </c>
      <c r="AW276" s="56">
        <f t="shared" si="28"/>
        <v>1</v>
      </c>
      <c r="AX276" s="28">
        <f t="shared" si="29"/>
        <v>-24</v>
      </c>
      <c r="AY276" s="28" t="str">
        <f t="shared" ref="AY276:BB276" si="2407">IFNA(IFS(AY$3=$AP276,"",$AX276=U276,AY$3),"")</f>
        <v/>
      </c>
      <c r="AZ276" s="28" t="str">
        <f t="shared" si="2407"/>
        <v/>
      </c>
      <c r="BA276" s="28" t="str">
        <f t="shared" si="2407"/>
        <v/>
      </c>
      <c r="BB276" s="28" t="str">
        <f t="shared" si="2407"/>
        <v/>
      </c>
      <c r="BC276" s="58">
        <f>OFFSET('00_Regnskab_01'!$A$1,MATCH(A276,'00_Regnskab_01'!$A$1:$A$25)-1,2)</f>
        <v>44518</v>
      </c>
      <c r="BE276" s="80">
        <f t="shared" ref="BE276:BH276" si="2408">if(U276&gt;0,1+BE275,0)</f>
        <v>0</v>
      </c>
      <c r="BF276" s="28">
        <f t="shared" si="2408"/>
        <v>1</v>
      </c>
      <c r="BG276" s="28">
        <f t="shared" si="2408"/>
        <v>3</v>
      </c>
      <c r="BH276" s="28">
        <f t="shared" si="2408"/>
        <v>1</v>
      </c>
      <c r="BJ276" s="28">
        <f t="shared" ref="BJ276:BM276" si="2409">if(U276&lt;0,1+BJ275,0)</f>
        <v>1</v>
      </c>
      <c r="BK276" s="28">
        <f t="shared" si="2409"/>
        <v>0</v>
      </c>
      <c r="BL276" s="28">
        <f t="shared" si="2409"/>
        <v>0</v>
      </c>
      <c r="BM276" s="28">
        <f t="shared" si="2409"/>
        <v>0</v>
      </c>
      <c r="BO276" s="74">
        <f t="shared" ref="BO276:BR276" si="2410">if(U276&gt;0,U276+BO275,0)</f>
        <v>0</v>
      </c>
      <c r="BP276" s="74">
        <f t="shared" si="2410"/>
        <v>8</v>
      </c>
      <c r="BQ276" s="74">
        <f t="shared" si="2410"/>
        <v>44</v>
      </c>
      <c r="BR276" s="74">
        <f t="shared" si="2410"/>
        <v>8</v>
      </c>
      <c r="BT276" s="28">
        <f t="shared" ref="BT276:BW276" si="2411">if(U276&lt;0,U276+BT275,0)</f>
        <v>-24</v>
      </c>
      <c r="BU276" s="28">
        <f t="shared" si="2411"/>
        <v>0</v>
      </c>
      <c r="BV276" s="28">
        <f t="shared" si="2411"/>
        <v>0</v>
      </c>
      <c r="BW276" s="28">
        <f t="shared" si="2411"/>
        <v>0</v>
      </c>
    </row>
    <row r="277">
      <c r="A277" s="53">
        <v>16.0</v>
      </c>
      <c r="B277" s="28">
        <f>'16_18-11-2021'!A9</f>
        <v>7</v>
      </c>
      <c r="C277" s="28">
        <f>'16_18-11-2021'!C9</f>
        <v>24</v>
      </c>
      <c r="D277" s="28">
        <f>'16_18-11-2021'!E9</f>
        <v>32</v>
      </c>
      <c r="E277" s="28">
        <f>'16_18-11-2021'!D9</f>
        <v>8</v>
      </c>
      <c r="F277" s="28">
        <f>'16_18-11-2021'!B9</f>
        <v>-64</v>
      </c>
      <c r="G277" s="28">
        <f>'16_18-11-2021'!F9</f>
        <v>0</v>
      </c>
      <c r="H277" s="28" t="str">
        <f>'16_18-11-2021'!H9</f>
        <v>Thomas</v>
      </c>
      <c r="J277" s="76" t="str">
        <f>'16_18-11-2021'!I9</f>
        <v>Janus</v>
      </c>
      <c r="K277" s="28" t="str">
        <f>'16_18-11-2021'!G9</f>
        <v>Ren sol</v>
      </c>
      <c r="L277" s="56"/>
      <c r="N277" s="25" t="s">
        <v>97</v>
      </c>
      <c r="T277" s="56"/>
      <c r="U277" s="77">
        <f t="shared" ref="U277:X277" si="2412">C277-C276</f>
        <v>24</v>
      </c>
      <c r="V277" s="28">
        <f t="shared" si="2412"/>
        <v>-8</v>
      </c>
      <c r="W277" s="28">
        <f t="shared" si="2412"/>
        <v>-8</v>
      </c>
      <c r="X277" s="28">
        <f t="shared" si="2412"/>
        <v>-8</v>
      </c>
      <c r="AB277" s="28">
        <f t="shared" ref="AB277:AE277" si="2413">IF(AB$3=$H277,U277,"")</f>
        <v>24</v>
      </c>
      <c r="AC277" s="28" t="str">
        <f t="shared" si="2413"/>
        <v/>
      </c>
      <c r="AD277" s="28" t="str">
        <f t="shared" si="2413"/>
        <v/>
      </c>
      <c r="AE277" s="28" t="str">
        <f t="shared" si="2413"/>
        <v/>
      </c>
      <c r="AH277" s="28">
        <f t="shared" si="22"/>
        <v>24</v>
      </c>
      <c r="AI277" s="28">
        <f t="shared" si="23"/>
        <v>0</v>
      </c>
      <c r="AK277" s="78" t="str">
        <f t="shared" ref="AK277:AN277" si="2414">IF(U277&gt;0,AK$3,"")</f>
        <v>Thomas</v>
      </c>
      <c r="AL277" s="78" t="str">
        <f t="shared" si="2414"/>
        <v/>
      </c>
      <c r="AM277" s="78" t="str">
        <f t="shared" si="2414"/>
        <v/>
      </c>
      <c r="AN277" s="78" t="str">
        <f t="shared" si="2414"/>
        <v/>
      </c>
      <c r="AO277" s="56">
        <f t="shared" si="25"/>
        <v>1</v>
      </c>
      <c r="AP277" s="8" t="str">
        <f t="shared" si="26"/>
        <v>Thomas</v>
      </c>
      <c r="AQ277" s="73" t="str">
        <f>IFERROR(__xludf.DUMMYFUNCTION("IFNA(QUERY(transpose(AY277:BB277),""Select Col1 where Col1 is not null limit 1"",0))"),"")</f>
        <v/>
      </c>
      <c r="AR277" s="56"/>
      <c r="AS277" s="28" t="str">
        <f t="shared" ref="AS277:AV277" si="2415">IF(AK277=AS$3,"",AS$3)</f>
        <v/>
      </c>
      <c r="AT277" s="28" t="str">
        <f t="shared" si="2415"/>
        <v>Peter</v>
      </c>
      <c r="AU277" s="28" t="str">
        <f t="shared" si="2415"/>
        <v>Janus</v>
      </c>
      <c r="AV277" s="28" t="str">
        <f t="shared" si="2415"/>
        <v>Christian</v>
      </c>
      <c r="AW277" s="56">
        <f t="shared" si="28"/>
        <v>3</v>
      </c>
      <c r="AX277" s="28">
        <f t="shared" si="29"/>
        <v>24</v>
      </c>
      <c r="AY277" s="28" t="str">
        <f t="shared" ref="AY277:BB277" si="2416">IFNA(IFS(AY$3=$AP277,"",$AX277=U277,AY$3),"")</f>
        <v/>
      </c>
      <c r="AZ277" s="28" t="str">
        <f t="shared" si="2416"/>
        <v/>
      </c>
      <c r="BA277" s="28" t="str">
        <f t="shared" si="2416"/>
        <v/>
      </c>
      <c r="BB277" s="28" t="str">
        <f t="shared" si="2416"/>
        <v/>
      </c>
      <c r="BC277" s="58">
        <f>OFFSET('00_Regnskab_01'!$A$1,MATCH(A277,'00_Regnskab_01'!$A$1:$A$25)-1,2)</f>
        <v>44518</v>
      </c>
      <c r="BE277" s="80">
        <f t="shared" ref="BE277:BH277" si="2417">if(U277&gt;0,1+BE276,0)</f>
        <v>1</v>
      </c>
      <c r="BF277" s="28">
        <f t="shared" si="2417"/>
        <v>0</v>
      </c>
      <c r="BG277" s="28">
        <f t="shared" si="2417"/>
        <v>0</v>
      </c>
      <c r="BH277" s="28">
        <f t="shared" si="2417"/>
        <v>0</v>
      </c>
      <c r="BJ277" s="28">
        <f t="shared" ref="BJ277:BM277" si="2418">if(U277&lt;0,1+BJ276,0)</f>
        <v>0</v>
      </c>
      <c r="BK277" s="28">
        <f t="shared" si="2418"/>
        <v>1</v>
      </c>
      <c r="BL277" s="28">
        <f t="shared" si="2418"/>
        <v>1</v>
      </c>
      <c r="BM277" s="28">
        <f t="shared" si="2418"/>
        <v>1</v>
      </c>
      <c r="BO277" s="74">
        <f t="shared" ref="BO277:BR277" si="2419">if(U277&gt;0,U277+BO276,0)</f>
        <v>24</v>
      </c>
      <c r="BP277" s="74">
        <f t="shared" si="2419"/>
        <v>0</v>
      </c>
      <c r="BQ277" s="74">
        <f t="shared" si="2419"/>
        <v>0</v>
      </c>
      <c r="BR277" s="74">
        <f t="shared" si="2419"/>
        <v>0</v>
      </c>
      <c r="BT277" s="28">
        <f t="shared" ref="BT277:BW277" si="2420">if(U277&lt;0,U277+BT276,0)</f>
        <v>0</v>
      </c>
      <c r="BU277" s="28">
        <f t="shared" si="2420"/>
        <v>-8</v>
      </c>
      <c r="BV277" s="28">
        <f t="shared" si="2420"/>
        <v>-8</v>
      </c>
      <c r="BW277" s="28">
        <f t="shared" si="2420"/>
        <v>-8</v>
      </c>
    </row>
    <row r="278">
      <c r="A278" s="53">
        <v>16.0</v>
      </c>
      <c r="B278" s="28">
        <f>'16_18-11-2021'!A10</f>
        <v>8</v>
      </c>
      <c r="C278" s="28">
        <f>'16_18-11-2021'!C10</f>
        <v>8</v>
      </c>
      <c r="D278" s="28">
        <f>'16_18-11-2021'!E10</f>
        <v>80</v>
      </c>
      <c r="E278" s="28">
        <f>'16_18-11-2021'!D10</f>
        <v>-8</v>
      </c>
      <c r="F278" s="28">
        <f>'16_18-11-2021'!B10</f>
        <v>-80</v>
      </c>
      <c r="G278" s="28">
        <f>'16_18-11-2021'!F10</f>
        <v>0</v>
      </c>
      <c r="H278" s="28" t="str">
        <f>'16_18-11-2021'!H10</f>
        <v>Peter</v>
      </c>
      <c r="J278" s="76" t="str">
        <f>'16_18-11-2021'!I10</f>
        <v>Peter</v>
      </c>
      <c r="K278" s="28" t="str">
        <f>'16_18-11-2021'!G10</f>
        <v>Halv bordlægger</v>
      </c>
      <c r="L278" s="56"/>
      <c r="N278" s="25" t="s">
        <v>101</v>
      </c>
      <c r="T278" s="56"/>
      <c r="U278" s="77">
        <f t="shared" ref="U278:X278" si="2421">C278-C277</f>
        <v>-16</v>
      </c>
      <c r="V278" s="28">
        <f t="shared" si="2421"/>
        <v>48</v>
      </c>
      <c r="W278" s="28">
        <f t="shared" si="2421"/>
        <v>-16</v>
      </c>
      <c r="X278" s="28">
        <f t="shared" si="2421"/>
        <v>-16</v>
      </c>
      <c r="AB278" s="28" t="str">
        <f t="shared" ref="AB278:AE278" si="2422">IF(AB$3=$H278,U278,"")</f>
        <v/>
      </c>
      <c r="AC278" s="28">
        <f t="shared" si="2422"/>
        <v>48</v>
      </c>
      <c r="AD278" s="28" t="str">
        <f t="shared" si="2422"/>
        <v/>
      </c>
      <c r="AE278" s="28" t="str">
        <f t="shared" si="2422"/>
        <v/>
      </c>
      <c r="AH278" s="28">
        <f t="shared" si="22"/>
        <v>48</v>
      </c>
      <c r="AI278" s="28">
        <f t="shared" si="23"/>
        <v>0</v>
      </c>
      <c r="AK278" s="78" t="str">
        <f t="shared" ref="AK278:AN278" si="2423">IF(U278&gt;0,AK$3,"")</f>
        <v/>
      </c>
      <c r="AL278" s="78" t="str">
        <f t="shared" si="2423"/>
        <v>Peter</v>
      </c>
      <c r="AM278" s="78" t="str">
        <f t="shared" si="2423"/>
        <v/>
      </c>
      <c r="AN278" s="78" t="str">
        <f t="shared" si="2423"/>
        <v/>
      </c>
      <c r="AO278" s="56">
        <f t="shared" si="25"/>
        <v>1</v>
      </c>
      <c r="AP278" s="8" t="str">
        <f t="shared" si="26"/>
        <v>Peter</v>
      </c>
      <c r="AQ278" s="73" t="str">
        <f>IFERROR(__xludf.DUMMYFUNCTION("IFNA(QUERY(transpose(AY278:BB278),""Select Col1 where Col1 is not null limit 1"",0))"),"")</f>
        <v/>
      </c>
      <c r="AR278" s="56"/>
      <c r="AS278" s="28" t="str">
        <f t="shared" ref="AS278:AV278" si="2424">IF(AK278=AS$3,"",AS$3)</f>
        <v>Thomas</v>
      </c>
      <c r="AT278" s="28" t="str">
        <f t="shared" si="2424"/>
        <v/>
      </c>
      <c r="AU278" s="28" t="str">
        <f t="shared" si="2424"/>
        <v>Janus</v>
      </c>
      <c r="AV278" s="28" t="str">
        <f t="shared" si="2424"/>
        <v>Christian</v>
      </c>
      <c r="AW278" s="56">
        <f t="shared" si="28"/>
        <v>3</v>
      </c>
      <c r="AX278" s="28">
        <f t="shared" si="29"/>
        <v>48</v>
      </c>
      <c r="AY278" s="28" t="str">
        <f t="shared" ref="AY278:BB278" si="2425">IFNA(IFS(AY$3=$AP278,"",$AX278=U278,AY$3),"")</f>
        <v/>
      </c>
      <c r="AZ278" s="28" t="str">
        <f t="shared" si="2425"/>
        <v/>
      </c>
      <c r="BA278" s="28" t="str">
        <f t="shared" si="2425"/>
        <v/>
      </c>
      <c r="BB278" s="28" t="str">
        <f t="shared" si="2425"/>
        <v/>
      </c>
      <c r="BC278" s="58">
        <f>OFFSET('00_Regnskab_01'!$A$1,MATCH(A278,'00_Regnskab_01'!$A$1:$A$25)-1,2)</f>
        <v>44518</v>
      </c>
      <c r="BE278" s="80">
        <f t="shared" ref="BE278:BH278" si="2426">if(U278&gt;0,1+BE277,0)</f>
        <v>0</v>
      </c>
      <c r="BF278" s="28">
        <f t="shared" si="2426"/>
        <v>1</v>
      </c>
      <c r="BG278" s="28">
        <f t="shared" si="2426"/>
        <v>0</v>
      </c>
      <c r="BH278" s="28">
        <f t="shared" si="2426"/>
        <v>0</v>
      </c>
      <c r="BJ278" s="28">
        <f t="shared" ref="BJ278:BM278" si="2427">if(U278&lt;0,1+BJ277,0)</f>
        <v>1</v>
      </c>
      <c r="BK278" s="28">
        <f t="shared" si="2427"/>
        <v>0</v>
      </c>
      <c r="BL278" s="28">
        <f t="shared" si="2427"/>
        <v>2</v>
      </c>
      <c r="BM278" s="28">
        <f t="shared" si="2427"/>
        <v>2</v>
      </c>
      <c r="BO278" s="74">
        <f t="shared" ref="BO278:BR278" si="2428">if(U278&gt;0,U278+BO277,0)</f>
        <v>0</v>
      </c>
      <c r="BP278" s="74">
        <f t="shared" si="2428"/>
        <v>48</v>
      </c>
      <c r="BQ278" s="74">
        <f t="shared" si="2428"/>
        <v>0</v>
      </c>
      <c r="BR278" s="74">
        <f t="shared" si="2428"/>
        <v>0</v>
      </c>
      <c r="BT278" s="28">
        <f t="shared" ref="BT278:BW278" si="2429">if(U278&lt;0,U278+BT277,0)</f>
        <v>-16</v>
      </c>
      <c r="BU278" s="28">
        <f t="shared" si="2429"/>
        <v>0</v>
      </c>
      <c r="BV278" s="28">
        <f t="shared" si="2429"/>
        <v>-24</v>
      </c>
      <c r="BW278" s="28">
        <f t="shared" si="2429"/>
        <v>-24</v>
      </c>
    </row>
    <row r="279">
      <c r="A279" s="53">
        <v>16.0</v>
      </c>
      <c r="B279" s="28">
        <f>'16_18-11-2021'!A11</f>
        <v>9</v>
      </c>
      <c r="C279" s="28">
        <f>'16_18-11-2021'!C11</f>
        <v>24</v>
      </c>
      <c r="D279" s="28">
        <f>'16_18-11-2021'!E11</f>
        <v>96</v>
      </c>
      <c r="E279" s="28">
        <f>'16_18-11-2021'!D11</f>
        <v>-24</v>
      </c>
      <c r="F279" s="28">
        <f>'16_18-11-2021'!B11</f>
        <v>-96</v>
      </c>
      <c r="G279" s="28">
        <f>'16_18-11-2021'!F11</f>
        <v>0</v>
      </c>
      <c r="H279" s="28" t="str">
        <f>'16_18-11-2021'!H11</f>
        <v>Thomas</v>
      </c>
      <c r="J279" s="76" t="str">
        <f>'16_18-11-2021'!I11</f>
        <v>Christian </v>
      </c>
      <c r="K279" s="28" t="str">
        <f>'16_18-11-2021'!G11</f>
        <v>9 sans</v>
      </c>
      <c r="L279" s="56"/>
      <c r="M279" s="25">
        <v>9.0</v>
      </c>
      <c r="N279" s="25" t="s">
        <v>98</v>
      </c>
      <c r="T279" s="56"/>
      <c r="U279" s="77">
        <f t="shared" ref="U279:X279" si="2430">C279-C278</f>
        <v>16</v>
      </c>
      <c r="V279" s="28">
        <f t="shared" si="2430"/>
        <v>16</v>
      </c>
      <c r="W279" s="28">
        <f t="shared" si="2430"/>
        <v>-16</v>
      </c>
      <c r="X279" s="28">
        <f t="shared" si="2430"/>
        <v>-16</v>
      </c>
      <c r="AB279" s="28">
        <f t="shared" ref="AB279:AE279" si="2431">IF(AB$3=$H279,U279,"")</f>
        <v>16</v>
      </c>
      <c r="AC279" s="28" t="str">
        <f t="shared" si="2431"/>
        <v/>
      </c>
      <c r="AD279" s="28" t="str">
        <f t="shared" si="2431"/>
        <v/>
      </c>
      <c r="AE279" s="28" t="str">
        <f t="shared" si="2431"/>
        <v/>
      </c>
      <c r="AH279" s="28">
        <f t="shared" si="22"/>
        <v>16</v>
      </c>
      <c r="AI279" s="28">
        <f t="shared" si="23"/>
        <v>0</v>
      </c>
      <c r="AK279" s="78" t="str">
        <f t="shared" ref="AK279:AN279" si="2432">IF(U279&gt;0,AK$3,"")</f>
        <v>Thomas</v>
      </c>
      <c r="AL279" s="78" t="str">
        <f t="shared" si="2432"/>
        <v>Peter</v>
      </c>
      <c r="AM279" s="78" t="str">
        <f t="shared" si="2432"/>
        <v/>
      </c>
      <c r="AN279" s="78" t="str">
        <f t="shared" si="2432"/>
        <v/>
      </c>
      <c r="AO279" s="56">
        <f t="shared" si="25"/>
        <v>2</v>
      </c>
      <c r="AP279" s="8" t="str">
        <f t="shared" si="26"/>
        <v>Thomas</v>
      </c>
      <c r="AQ279" s="73" t="str">
        <f>IFERROR(__xludf.DUMMYFUNCTION("IFNA(QUERY(transpose(AY279:BB279),""Select Col1 where Col1 is not null limit 1"",0))"),"Peter")</f>
        <v>Peter</v>
      </c>
      <c r="AR279" s="56"/>
      <c r="AS279" s="28" t="str">
        <f t="shared" ref="AS279:AV279" si="2433">IF(AK279=AS$3,"",AS$3)</f>
        <v/>
      </c>
      <c r="AT279" s="28" t="str">
        <f t="shared" si="2433"/>
        <v/>
      </c>
      <c r="AU279" s="28" t="str">
        <f t="shared" si="2433"/>
        <v>Janus</v>
      </c>
      <c r="AV279" s="28" t="str">
        <f t="shared" si="2433"/>
        <v>Christian</v>
      </c>
      <c r="AW279" s="56">
        <f t="shared" si="28"/>
        <v>2</v>
      </c>
      <c r="AX279" s="28">
        <f t="shared" si="29"/>
        <v>16</v>
      </c>
      <c r="AY279" s="28" t="str">
        <f t="shared" ref="AY279:BB279" si="2434">IFNA(IFS(AY$3=$AP279,"",$AX279=U279,AY$3),"")</f>
        <v/>
      </c>
      <c r="AZ279" s="28" t="str">
        <f t="shared" si="2434"/>
        <v>Peter</v>
      </c>
      <c r="BA279" s="28" t="str">
        <f t="shared" si="2434"/>
        <v/>
      </c>
      <c r="BB279" s="28" t="str">
        <f t="shared" si="2434"/>
        <v/>
      </c>
      <c r="BC279" s="58">
        <f>OFFSET('00_Regnskab_01'!$A$1,MATCH(A279,'00_Regnskab_01'!$A$1:$A$25)-1,2)</f>
        <v>44518</v>
      </c>
      <c r="BE279" s="80">
        <f t="shared" ref="BE279:BH279" si="2435">if(U279&gt;0,1+BE278,0)</f>
        <v>1</v>
      </c>
      <c r="BF279" s="28">
        <f t="shared" si="2435"/>
        <v>2</v>
      </c>
      <c r="BG279" s="28">
        <f t="shared" si="2435"/>
        <v>0</v>
      </c>
      <c r="BH279" s="28">
        <f t="shared" si="2435"/>
        <v>0</v>
      </c>
      <c r="BJ279" s="28">
        <f t="shared" ref="BJ279:BM279" si="2436">if(U279&lt;0,1+BJ278,0)</f>
        <v>0</v>
      </c>
      <c r="BK279" s="28">
        <f t="shared" si="2436"/>
        <v>0</v>
      </c>
      <c r="BL279" s="28">
        <f t="shared" si="2436"/>
        <v>3</v>
      </c>
      <c r="BM279" s="28">
        <f t="shared" si="2436"/>
        <v>3</v>
      </c>
      <c r="BO279" s="74">
        <f t="shared" ref="BO279:BR279" si="2437">if(U279&gt;0,U279+BO278,0)</f>
        <v>16</v>
      </c>
      <c r="BP279" s="74">
        <f t="shared" si="2437"/>
        <v>64</v>
      </c>
      <c r="BQ279" s="74">
        <f t="shared" si="2437"/>
        <v>0</v>
      </c>
      <c r="BR279" s="74">
        <f t="shared" si="2437"/>
        <v>0</v>
      </c>
      <c r="BT279" s="28">
        <f t="shared" ref="BT279:BW279" si="2438">if(U279&lt;0,U279+BT278,0)</f>
        <v>0</v>
      </c>
      <c r="BU279" s="28">
        <f t="shared" si="2438"/>
        <v>0</v>
      </c>
      <c r="BV279" s="28">
        <f t="shared" si="2438"/>
        <v>-40</v>
      </c>
      <c r="BW279" s="28">
        <f t="shared" si="2438"/>
        <v>-40</v>
      </c>
    </row>
    <row r="280">
      <c r="A280" s="53">
        <v>16.0</v>
      </c>
      <c r="B280" s="28">
        <f>'16_18-11-2021'!A12</f>
        <v>10</v>
      </c>
      <c r="C280" s="28">
        <f>'16_18-11-2021'!C12</f>
        <v>72</v>
      </c>
      <c r="D280" s="28">
        <f>'16_18-11-2021'!E12</f>
        <v>48</v>
      </c>
      <c r="E280" s="28">
        <f>'16_18-11-2021'!D12</f>
        <v>-72</v>
      </c>
      <c r="F280" s="28">
        <f>'16_18-11-2021'!B12</f>
        <v>-48</v>
      </c>
      <c r="G280" s="28">
        <f>'16_18-11-2021'!F12</f>
        <v>0</v>
      </c>
      <c r="H280" s="28" t="str">
        <f>'16_18-11-2021'!H12</f>
        <v>Peter</v>
      </c>
      <c r="J280" s="76" t="str">
        <f>'16_18-11-2021'!I12</f>
        <v>Thomas</v>
      </c>
      <c r="K280" s="28" t="str">
        <f>'16_18-11-2021'!G12</f>
        <v>10 halve</v>
      </c>
      <c r="L280" s="56"/>
      <c r="M280" s="25">
        <v>10.0</v>
      </c>
      <c r="N280" s="25" t="s">
        <v>94</v>
      </c>
      <c r="T280" s="56"/>
      <c r="U280" s="77">
        <f t="shared" ref="U280:X280" si="2439">C280-C279</f>
        <v>48</v>
      </c>
      <c r="V280" s="28">
        <f t="shared" si="2439"/>
        <v>-48</v>
      </c>
      <c r="W280" s="28">
        <f t="shared" si="2439"/>
        <v>-48</v>
      </c>
      <c r="X280" s="28">
        <f t="shared" si="2439"/>
        <v>48</v>
      </c>
      <c r="AB280" s="28" t="str">
        <f t="shared" ref="AB280:AE280" si="2440">IF(AB$3=$H280,U280,"")</f>
        <v/>
      </c>
      <c r="AC280" s="28">
        <f t="shared" si="2440"/>
        <v>-48</v>
      </c>
      <c r="AD280" s="28" t="str">
        <f t="shared" si="2440"/>
        <v/>
      </c>
      <c r="AE280" s="28" t="str">
        <f t="shared" si="2440"/>
        <v/>
      </c>
      <c r="AH280" s="28">
        <f t="shared" si="22"/>
        <v>0</v>
      </c>
      <c r="AI280" s="28">
        <f t="shared" si="23"/>
        <v>-48</v>
      </c>
      <c r="AK280" s="78" t="str">
        <f t="shared" ref="AK280:AN280" si="2441">IF(U280&gt;0,AK$3,"")</f>
        <v>Thomas</v>
      </c>
      <c r="AL280" s="78" t="str">
        <f t="shared" si="2441"/>
        <v/>
      </c>
      <c r="AM280" s="78" t="str">
        <f t="shared" si="2441"/>
        <v/>
      </c>
      <c r="AN280" s="78" t="str">
        <f t="shared" si="2441"/>
        <v>Christian</v>
      </c>
      <c r="AO280" s="56">
        <f t="shared" si="25"/>
        <v>2</v>
      </c>
      <c r="AP280" s="8" t="str">
        <f t="shared" si="26"/>
        <v>Peter</v>
      </c>
      <c r="AQ280" s="73" t="str">
        <f>IFERROR(__xludf.DUMMYFUNCTION("IFNA(QUERY(transpose(AY280:BB280),""Select Col1 where Col1 is not null limit 1"",0))"),"Janus")</f>
        <v>Janus</v>
      </c>
      <c r="AR280" s="56"/>
      <c r="AS280" s="28" t="str">
        <f t="shared" ref="AS280:AV280" si="2442">IF(AK280=AS$3,"",AS$3)</f>
        <v/>
      </c>
      <c r="AT280" s="28" t="str">
        <f t="shared" si="2442"/>
        <v>Peter</v>
      </c>
      <c r="AU280" s="28" t="str">
        <f t="shared" si="2442"/>
        <v>Janus</v>
      </c>
      <c r="AV280" s="28" t="str">
        <f t="shared" si="2442"/>
        <v/>
      </c>
      <c r="AW280" s="56">
        <f t="shared" si="28"/>
        <v>2</v>
      </c>
      <c r="AX280" s="28">
        <f t="shared" si="29"/>
        <v>-48</v>
      </c>
      <c r="AY280" s="28" t="str">
        <f t="shared" ref="AY280:BB280" si="2443">IFNA(IFS(AY$3=$AP280,"",$AX280=U280,AY$3),"")</f>
        <v/>
      </c>
      <c r="AZ280" s="28" t="str">
        <f t="shared" si="2443"/>
        <v/>
      </c>
      <c r="BA280" s="28" t="str">
        <f t="shared" si="2443"/>
        <v>Janus</v>
      </c>
      <c r="BB280" s="28" t="str">
        <f t="shared" si="2443"/>
        <v/>
      </c>
      <c r="BC280" s="58">
        <f>OFFSET('00_Regnskab_01'!$A$1,MATCH(A280,'00_Regnskab_01'!$A$1:$A$25)-1,2)</f>
        <v>44518</v>
      </c>
      <c r="BE280" s="80">
        <f t="shared" ref="BE280:BH280" si="2444">if(U280&gt;0,1+BE279,0)</f>
        <v>2</v>
      </c>
      <c r="BF280" s="28">
        <f t="shared" si="2444"/>
        <v>0</v>
      </c>
      <c r="BG280" s="28">
        <f t="shared" si="2444"/>
        <v>0</v>
      </c>
      <c r="BH280" s="28">
        <f t="shared" si="2444"/>
        <v>1</v>
      </c>
      <c r="BJ280" s="28">
        <f t="shared" ref="BJ280:BM280" si="2445">if(U280&lt;0,1+BJ279,0)</f>
        <v>0</v>
      </c>
      <c r="BK280" s="28">
        <f t="shared" si="2445"/>
        <v>1</v>
      </c>
      <c r="BL280" s="28">
        <f t="shared" si="2445"/>
        <v>4</v>
      </c>
      <c r="BM280" s="28">
        <f t="shared" si="2445"/>
        <v>0</v>
      </c>
      <c r="BO280" s="74">
        <f t="shared" ref="BO280:BR280" si="2446">if(U280&gt;0,U280+BO279,0)</f>
        <v>64</v>
      </c>
      <c r="BP280" s="74">
        <f t="shared" si="2446"/>
        <v>0</v>
      </c>
      <c r="BQ280" s="74">
        <f t="shared" si="2446"/>
        <v>0</v>
      </c>
      <c r="BR280" s="74">
        <f t="shared" si="2446"/>
        <v>48</v>
      </c>
      <c r="BT280" s="28">
        <f t="shared" ref="BT280:BW280" si="2447">if(U280&lt;0,U280+BT279,0)</f>
        <v>0</v>
      </c>
      <c r="BU280" s="28">
        <f t="shared" si="2447"/>
        <v>-48</v>
      </c>
      <c r="BV280" s="28">
        <f t="shared" si="2447"/>
        <v>-88</v>
      </c>
      <c r="BW280" s="28">
        <f t="shared" si="2447"/>
        <v>0</v>
      </c>
    </row>
    <row r="281">
      <c r="A281" s="53">
        <v>16.0</v>
      </c>
      <c r="B281" s="28">
        <f>'16_18-11-2021'!A13</f>
        <v>11</v>
      </c>
      <c r="C281" s="28">
        <f>'16_18-11-2021'!C13</f>
        <v>-168</v>
      </c>
      <c r="D281" s="28">
        <f>'16_18-11-2021'!E13</f>
        <v>128</v>
      </c>
      <c r="E281" s="28">
        <f>'16_18-11-2021'!D13</f>
        <v>8</v>
      </c>
      <c r="F281" s="28">
        <f>'16_18-11-2021'!B13</f>
        <v>32</v>
      </c>
      <c r="G281" s="28">
        <f>'16_18-11-2021'!F13</f>
        <v>0</v>
      </c>
      <c r="H281" s="28" t="str">
        <f>'16_18-11-2021'!H13</f>
        <v>Thomas</v>
      </c>
      <c r="J281" s="76" t="str">
        <f>'16_18-11-2021'!I13</f>
        <v>Janus</v>
      </c>
      <c r="K281" s="28" t="str">
        <f>'16_18-11-2021'!G13</f>
        <v>9 vip i 2.</v>
      </c>
      <c r="L281" s="56"/>
      <c r="M281" s="25">
        <v>9.0</v>
      </c>
      <c r="N281" s="25" t="s">
        <v>86</v>
      </c>
      <c r="O281" s="25">
        <v>2.0</v>
      </c>
      <c r="R281" s="25" t="s">
        <v>15</v>
      </c>
      <c r="T281" s="56"/>
      <c r="U281" s="77">
        <f t="shared" ref="U281:X281" si="2448">C281-C280</f>
        <v>-240</v>
      </c>
      <c r="V281" s="28">
        <f t="shared" si="2448"/>
        <v>80</v>
      </c>
      <c r="W281" s="28">
        <f t="shared" si="2448"/>
        <v>80</v>
      </c>
      <c r="X281" s="28">
        <f t="shared" si="2448"/>
        <v>80</v>
      </c>
      <c r="AB281" s="28">
        <f t="shared" ref="AB281:AE281" si="2449">IF(AB$3=$H281,U281,"")</f>
        <v>-240</v>
      </c>
      <c r="AC281" s="28" t="str">
        <f t="shared" si="2449"/>
        <v/>
      </c>
      <c r="AD281" s="28" t="str">
        <f t="shared" si="2449"/>
        <v/>
      </c>
      <c r="AE281" s="28" t="str">
        <f t="shared" si="2449"/>
        <v/>
      </c>
      <c r="AH281" s="28">
        <f t="shared" si="22"/>
        <v>0</v>
      </c>
      <c r="AI281" s="28">
        <f t="shared" si="23"/>
        <v>-240</v>
      </c>
      <c r="AK281" s="78" t="str">
        <f t="shared" ref="AK281:AN281" si="2450">IF(U281&gt;0,AK$3,"")</f>
        <v/>
      </c>
      <c r="AL281" s="78" t="str">
        <f t="shared" si="2450"/>
        <v>Peter</v>
      </c>
      <c r="AM281" s="78" t="str">
        <f t="shared" si="2450"/>
        <v>Janus</v>
      </c>
      <c r="AN281" s="78" t="str">
        <f t="shared" si="2450"/>
        <v>Christian</v>
      </c>
      <c r="AO281" s="56">
        <f t="shared" si="25"/>
        <v>3</v>
      </c>
      <c r="AP281" s="8" t="str">
        <f t="shared" si="26"/>
        <v>Thomas</v>
      </c>
      <c r="AQ281" s="73" t="str">
        <f>IFERROR(__xludf.DUMMYFUNCTION("IFNA(QUERY(transpose(AY281:BB281),""Select Col1 where Col1 is not null limit 1"",0))"),"")</f>
        <v/>
      </c>
      <c r="AR281" s="56"/>
      <c r="AS281" s="28" t="str">
        <f t="shared" ref="AS281:AV281" si="2451">IF(AK281=AS$3,"",AS$3)</f>
        <v>Thomas</v>
      </c>
      <c r="AT281" s="28" t="str">
        <f t="shared" si="2451"/>
        <v/>
      </c>
      <c r="AU281" s="28" t="str">
        <f t="shared" si="2451"/>
        <v/>
      </c>
      <c r="AV281" s="28" t="str">
        <f t="shared" si="2451"/>
        <v/>
      </c>
      <c r="AW281" s="56">
        <f t="shared" si="28"/>
        <v>1</v>
      </c>
      <c r="AX281" s="28">
        <f t="shared" si="29"/>
        <v>-240</v>
      </c>
      <c r="AY281" s="28" t="str">
        <f t="shared" ref="AY281:BB281" si="2452">IFNA(IFS(AY$3=$AP281,"",$AX281=U281,AY$3),"")</f>
        <v/>
      </c>
      <c r="AZ281" s="28" t="str">
        <f t="shared" si="2452"/>
        <v/>
      </c>
      <c r="BA281" s="28" t="str">
        <f t="shared" si="2452"/>
        <v/>
      </c>
      <c r="BB281" s="28" t="str">
        <f t="shared" si="2452"/>
        <v/>
      </c>
      <c r="BC281" s="58">
        <f>OFFSET('00_Regnskab_01'!$A$1,MATCH(A281,'00_Regnskab_01'!$A$1:$A$25)-1,2)</f>
        <v>44518</v>
      </c>
      <c r="BE281" s="80">
        <f t="shared" ref="BE281:BH281" si="2453">if(U281&gt;0,1+BE280,0)</f>
        <v>0</v>
      </c>
      <c r="BF281" s="28">
        <f t="shared" si="2453"/>
        <v>1</v>
      </c>
      <c r="BG281" s="28">
        <f t="shared" si="2453"/>
        <v>1</v>
      </c>
      <c r="BH281" s="28">
        <f t="shared" si="2453"/>
        <v>2</v>
      </c>
      <c r="BJ281" s="28">
        <f t="shared" ref="BJ281:BM281" si="2454">if(U281&lt;0,1+BJ280,0)</f>
        <v>1</v>
      </c>
      <c r="BK281" s="28">
        <f t="shared" si="2454"/>
        <v>0</v>
      </c>
      <c r="BL281" s="28">
        <f t="shared" si="2454"/>
        <v>0</v>
      </c>
      <c r="BM281" s="28">
        <f t="shared" si="2454"/>
        <v>0</v>
      </c>
      <c r="BO281" s="74">
        <f t="shared" ref="BO281:BR281" si="2455">if(U281&gt;0,U281+BO280,0)</f>
        <v>0</v>
      </c>
      <c r="BP281" s="74">
        <f t="shared" si="2455"/>
        <v>80</v>
      </c>
      <c r="BQ281" s="74">
        <f t="shared" si="2455"/>
        <v>80</v>
      </c>
      <c r="BR281" s="74">
        <f t="shared" si="2455"/>
        <v>128</v>
      </c>
      <c r="BT281" s="28">
        <f t="shared" ref="BT281:BW281" si="2456">if(U281&lt;0,U281+BT280,0)</f>
        <v>-240</v>
      </c>
      <c r="BU281" s="28">
        <f t="shared" si="2456"/>
        <v>0</v>
      </c>
      <c r="BV281" s="28">
        <f t="shared" si="2456"/>
        <v>0</v>
      </c>
      <c r="BW281" s="28">
        <f t="shared" si="2456"/>
        <v>0</v>
      </c>
    </row>
    <row r="282">
      <c r="A282" s="53">
        <v>16.0</v>
      </c>
      <c r="B282" s="28">
        <f>'16_18-11-2021'!A14</f>
        <v>12</v>
      </c>
      <c r="C282" s="28">
        <f>'16_18-11-2021'!C14</f>
        <v>-176</v>
      </c>
      <c r="D282" s="28">
        <f>'16_18-11-2021'!E14</f>
        <v>152</v>
      </c>
      <c r="E282" s="28">
        <f>'16_18-11-2021'!D14</f>
        <v>0</v>
      </c>
      <c r="F282" s="28">
        <f>'16_18-11-2021'!B14</f>
        <v>24</v>
      </c>
      <c r="G282" s="28">
        <f>'16_18-11-2021'!F14</f>
        <v>0</v>
      </c>
      <c r="H282" s="28" t="str">
        <f>'16_18-11-2021'!H14</f>
        <v>Peter</v>
      </c>
      <c r="J282" s="76" t="str">
        <f>'16_18-11-2021'!I14</f>
        <v>Peter</v>
      </c>
      <c r="K282" s="28" t="str">
        <f>'16_18-11-2021'!G14</f>
        <v>Ren sol</v>
      </c>
      <c r="L282" s="56"/>
      <c r="N282" s="25" t="s">
        <v>97</v>
      </c>
      <c r="T282" s="56"/>
      <c r="U282" s="77">
        <f t="shared" ref="U282:X282" si="2457">C282-C281</f>
        <v>-8</v>
      </c>
      <c r="V282" s="28">
        <f t="shared" si="2457"/>
        <v>24</v>
      </c>
      <c r="W282" s="28">
        <f t="shared" si="2457"/>
        <v>-8</v>
      </c>
      <c r="X282" s="28">
        <f t="shared" si="2457"/>
        <v>-8</v>
      </c>
      <c r="AB282" s="28" t="str">
        <f t="shared" ref="AB282:AE282" si="2458">IF(AB$3=$H282,U282,"")</f>
        <v/>
      </c>
      <c r="AC282" s="28">
        <f t="shared" si="2458"/>
        <v>24</v>
      </c>
      <c r="AD282" s="28" t="str">
        <f t="shared" si="2458"/>
        <v/>
      </c>
      <c r="AE282" s="28" t="str">
        <f t="shared" si="2458"/>
        <v/>
      </c>
      <c r="AH282" s="28">
        <f t="shared" si="22"/>
        <v>24</v>
      </c>
      <c r="AI282" s="28">
        <f t="shared" si="23"/>
        <v>0</v>
      </c>
      <c r="AK282" s="78" t="str">
        <f t="shared" ref="AK282:AN282" si="2459">IF(U282&gt;0,AK$3,"")</f>
        <v/>
      </c>
      <c r="AL282" s="78" t="str">
        <f t="shared" si="2459"/>
        <v>Peter</v>
      </c>
      <c r="AM282" s="78" t="str">
        <f t="shared" si="2459"/>
        <v/>
      </c>
      <c r="AN282" s="78" t="str">
        <f t="shared" si="2459"/>
        <v/>
      </c>
      <c r="AO282" s="56">
        <f t="shared" si="25"/>
        <v>1</v>
      </c>
      <c r="AP282" s="8" t="str">
        <f t="shared" si="26"/>
        <v>Peter</v>
      </c>
      <c r="AQ282" s="73" t="str">
        <f>IFERROR(__xludf.DUMMYFUNCTION("IFNA(QUERY(transpose(AY282:BB282),""Select Col1 where Col1 is not null limit 1"",0))"),"")</f>
        <v/>
      </c>
      <c r="AR282" s="56"/>
      <c r="AS282" s="28" t="str">
        <f t="shared" ref="AS282:AV282" si="2460">IF(AK282=AS$3,"",AS$3)</f>
        <v>Thomas</v>
      </c>
      <c r="AT282" s="28" t="str">
        <f t="shared" si="2460"/>
        <v/>
      </c>
      <c r="AU282" s="28" t="str">
        <f t="shared" si="2460"/>
        <v>Janus</v>
      </c>
      <c r="AV282" s="28" t="str">
        <f t="shared" si="2460"/>
        <v>Christian</v>
      </c>
      <c r="AW282" s="56">
        <f t="shared" si="28"/>
        <v>3</v>
      </c>
      <c r="AX282" s="28">
        <f t="shared" si="29"/>
        <v>24</v>
      </c>
      <c r="AY282" s="28" t="str">
        <f t="shared" ref="AY282:BB282" si="2461">IFNA(IFS(AY$3=$AP282,"",$AX282=U282,AY$3),"")</f>
        <v/>
      </c>
      <c r="AZ282" s="28" t="str">
        <f t="shared" si="2461"/>
        <v/>
      </c>
      <c r="BA282" s="28" t="str">
        <f t="shared" si="2461"/>
        <v/>
      </c>
      <c r="BB282" s="28" t="str">
        <f t="shared" si="2461"/>
        <v/>
      </c>
      <c r="BC282" s="58">
        <f>OFFSET('00_Regnskab_01'!$A$1,MATCH(A282,'00_Regnskab_01'!$A$1:$A$25)-1,2)</f>
        <v>44518</v>
      </c>
      <c r="BE282" s="80">
        <f t="shared" ref="BE282:BH282" si="2462">if(U282&gt;0,1+BE281,0)</f>
        <v>0</v>
      </c>
      <c r="BF282" s="28">
        <f t="shared" si="2462"/>
        <v>2</v>
      </c>
      <c r="BG282" s="28">
        <f t="shared" si="2462"/>
        <v>0</v>
      </c>
      <c r="BH282" s="28">
        <f t="shared" si="2462"/>
        <v>0</v>
      </c>
      <c r="BJ282" s="28">
        <f t="shared" ref="BJ282:BM282" si="2463">if(U282&lt;0,1+BJ281,0)</f>
        <v>2</v>
      </c>
      <c r="BK282" s="28">
        <f t="shared" si="2463"/>
        <v>0</v>
      </c>
      <c r="BL282" s="28">
        <f t="shared" si="2463"/>
        <v>1</v>
      </c>
      <c r="BM282" s="28">
        <f t="shared" si="2463"/>
        <v>1</v>
      </c>
      <c r="BO282" s="74">
        <f t="shared" ref="BO282:BR282" si="2464">if(U282&gt;0,U282+BO281,0)</f>
        <v>0</v>
      </c>
      <c r="BP282" s="74">
        <f t="shared" si="2464"/>
        <v>104</v>
      </c>
      <c r="BQ282" s="74">
        <f t="shared" si="2464"/>
        <v>0</v>
      </c>
      <c r="BR282" s="74">
        <f t="shared" si="2464"/>
        <v>0</v>
      </c>
      <c r="BT282" s="28">
        <f t="shared" ref="BT282:BW282" si="2465">if(U282&lt;0,U282+BT281,0)</f>
        <v>-248</v>
      </c>
      <c r="BU282" s="28">
        <f t="shared" si="2465"/>
        <v>0</v>
      </c>
      <c r="BV282" s="28">
        <f t="shared" si="2465"/>
        <v>-8</v>
      </c>
      <c r="BW282" s="28">
        <f t="shared" si="2465"/>
        <v>-8</v>
      </c>
    </row>
    <row r="283">
      <c r="A283" s="53">
        <v>16.0</v>
      </c>
      <c r="B283" s="28">
        <f>'16_18-11-2021'!A15</f>
        <v>13</v>
      </c>
      <c r="C283" s="28">
        <f>'16_18-11-2021'!C15</f>
        <v>-180</v>
      </c>
      <c r="D283" s="28">
        <f>'16_18-11-2021'!E15</f>
        <v>156</v>
      </c>
      <c r="E283" s="28">
        <f>'16_18-11-2021'!D15</f>
        <v>4</v>
      </c>
      <c r="F283" s="28">
        <f>'16_18-11-2021'!B15</f>
        <v>20</v>
      </c>
      <c r="G283" s="28">
        <f>'16_18-11-2021'!F15</f>
        <v>0</v>
      </c>
      <c r="H283" s="28" t="str">
        <f>'16_18-11-2021'!H15</f>
        <v>Janus</v>
      </c>
      <c r="J283" s="76" t="str">
        <f>'16_18-11-2021'!I15</f>
        <v>Christian </v>
      </c>
      <c r="K283" s="28" t="str">
        <f>'16_18-11-2021'!G15</f>
        <v>8 halve</v>
      </c>
      <c r="L283" s="56"/>
      <c r="M283" s="25">
        <v>8.0</v>
      </c>
      <c r="N283" s="25" t="s">
        <v>94</v>
      </c>
      <c r="T283" s="56"/>
      <c r="U283" s="77">
        <f t="shared" ref="U283:X283" si="2466">C283-C282</f>
        <v>-4</v>
      </c>
      <c r="V283" s="28">
        <f t="shared" si="2466"/>
        <v>4</v>
      </c>
      <c r="W283" s="28">
        <f t="shared" si="2466"/>
        <v>4</v>
      </c>
      <c r="X283" s="28">
        <f t="shared" si="2466"/>
        <v>-4</v>
      </c>
      <c r="AB283" s="28" t="str">
        <f t="shared" ref="AB283:AE283" si="2467">IF(AB$3=$H283,U283,"")</f>
        <v/>
      </c>
      <c r="AC283" s="28" t="str">
        <f t="shared" si="2467"/>
        <v/>
      </c>
      <c r="AD283" s="28">
        <f t="shared" si="2467"/>
        <v>4</v>
      </c>
      <c r="AE283" s="28" t="str">
        <f t="shared" si="2467"/>
        <v/>
      </c>
      <c r="AH283" s="28">
        <f t="shared" si="22"/>
        <v>4</v>
      </c>
      <c r="AI283" s="28">
        <f t="shared" si="23"/>
        <v>0</v>
      </c>
      <c r="AK283" s="78" t="str">
        <f t="shared" ref="AK283:AN283" si="2468">IF(U283&gt;0,AK$3,"")</f>
        <v/>
      </c>
      <c r="AL283" s="78" t="str">
        <f t="shared" si="2468"/>
        <v>Peter</v>
      </c>
      <c r="AM283" s="78" t="str">
        <f t="shared" si="2468"/>
        <v>Janus</v>
      </c>
      <c r="AN283" s="78" t="str">
        <f t="shared" si="2468"/>
        <v/>
      </c>
      <c r="AO283" s="56">
        <f t="shared" si="25"/>
        <v>2</v>
      </c>
      <c r="AP283" s="8" t="str">
        <f t="shared" si="26"/>
        <v>Janus</v>
      </c>
      <c r="AQ283" s="73" t="str">
        <f>IFERROR(__xludf.DUMMYFUNCTION("IFNA(QUERY(transpose(AY283:BB283),""Select Col1 where Col1 is not null limit 1"",0))"),"Peter")</f>
        <v>Peter</v>
      </c>
      <c r="AR283" s="56"/>
      <c r="AS283" s="28" t="str">
        <f t="shared" ref="AS283:AV283" si="2469">IF(AK283=AS$3,"",AS$3)</f>
        <v>Thomas</v>
      </c>
      <c r="AT283" s="28" t="str">
        <f t="shared" si="2469"/>
        <v/>
      </c>
      <c r="AU283" s="28" t="str">
        <f t="shared" si="2469"/>
        <v/>
      </c>
      <c r="AV283" s="28" t="str">
        <f t="shared" si="2469"/>
        <v>Christian</v>
      </c>
      <c r="AW283" s="56">
        <f t="shared" si="28"/>
        <v>2</v>
      </c>
      <c r="AX283" s="28">
        <f t="shared" si="29"/>
        <v>4</v>
      </c>
      <c r="AY283" s="28" t="str">
        <f t="shared" ref="AY283:BB283" si="2470">IFNA(IFS(AY$3=$AP283,"",$AX283=U283,AY$3),"")</f>
        <v/>
      </c>
      <c r="AZ283" s="28" t="str">
        <f t="shared" si="2470"/>
        <v>Peter</v>
      </c>
      <c r="BA283" s="28" t="str">
        <f t="shared" si="2470"/>
        <v/>
      </c>
      <c r="BB283" s="28" t="str">
        <f t="shared" si="2470"/>
        <v/>
      </c>
      <c r="BC283" s="58">
        <f>OFFSET('00_Regnskab_01'!$A$1,MATCH(A283,'00_Regnskab_01'!$A$1:$A$25)-1,2)</f>
        <v>44518</v>
      </c>
      <c r="BE283" s="80">
        <f t="shared" ref="BE283:BH283" si="2471">if(U283&gt;0,1+BE282,0)</f>
        <v>0</v>
      </c>
      <c r="BF283" s="28">
        <f t="shared" si="2471"/>
        <v>3</v>
      </c>
      <c r="BG283" s="28">
        <f t="shared" si="2471"/>
        <v>1</v>
      </c>
      <c r="BH283" s="28">
        <f t="shared" si="2471"/>
        <v>0</v>
      </c>
      <c r="BJ283" s="28">
        <f t="shared" ref="BJ283:BM283" si="2472">if(U283&lt;0,1+BJ282,0)</f>
        <v>3</v>
      </c>
      <c r="BK283" s="28">
        <f t="shared" si="2472"/>
        <v>0</v>
      </c>
      <c r="BL283" s="28">
        <f t="shared" si="2472"/>
        <v>0</v>
      </c>
      <c r="BM283" s="28">
        <f t="shared" si="2472"/>
        <v>2</v>
      </c>
      <c r="BO283" s="74">
        <f t="shared" ref="BO283:BR283" si="2473">if(U283&gt;0,U283+BO282,0)</f>
        <v>0</v>
      </c>
      <c r="BP283" s="74">
        <f t="shared" si="2473"/>
        <v>108</v>
      </c>
      <c r="BQ283" s="74">
        <f t="shared" si="2473"/>
        <v>4</v>
      </c>
      <c r="BR283" s="74">
        <f t="shared" si="2473"/>
        <v>0</v>
      </c>
      <c r="BT283" s="28">
        <f t="shared" ref="BT283:BW283" si="2474">if(U283&lt;0,U283+BT282,0)</f>
        <v>-252</v>
      </c>
      <c r="BU283" s="28">
        <f t="shared" si="2474"/>
        <v>0</v>
      </c>
      <c r="BV283" s="28">
        <f t="shared" si="2474"/>
        <v>0</v>
      </c>
      <c r="BW283" s="28">
        <f t="shared" si="2474"/>
        <v>-12</v>
      </c>
    </row>
    <row r="284">
      <c r="A284" s="53">
        <v>16.0</v>
      </c>
      <c r="B284" s="28">
        <f>'16_18-11-2021'!A16</f>
        <v>14</v>
      </c>
      <c r="C284" s="28">
        <f>'16_18-11-2021'!C16</f>
        <v>-212</v>
      </c>
      <c r="D284" s="28">
        <f>'16_18-11-2021'!E16</f>
        <v>188</v>
      </c>
      <c r="E284" s="28">
        <f>'16_18-11-2021'!D16</f>
        <v>-28</v>
      </c>
      <c r="F284" s="28">
        <f>'16_18-11-2021'!B16</f>
        <v>52</v>
      </c>
      <c r="G284" s="28">
        <f>'16_18-11-2021'!F16</f>
        <v>0</v>
      </c>
      <c r="H284" s="28" t="str">
        <f>'16_18-11-2021'!H16</f>
        <v>Peter</v>
      </c>
      <c r="J284" s="76" t="str">
        <f>'16_18-11-2021'!I16</f>
        <v>Thomas</v>
      </c>
      <c r="K284" s="28" t="str">
        <f>'16_18-11-2021'!G16</f>
        <v>10 Alm (æg)</v>
      </c>
      <c r="L284" s="56"/>
      <c r="M284" s="25">
        <v>10.0</v>
      </c>
      <c r="N284" s="25" t="s">
        <v>100</v>
      </c>
      <c r="T284" s="56"/>
      <c r="U284" s="77">
        <f t="shared" ref="U284:X284" si="2475">C284-C283</f>
        <v>-32</v>
      </c>
      <c r="V284" s="28">
        <f t="shared" si="2475"/>
        <v>32</v>
      </c>
      <c r="W284" s="28">
        <f t="shared" si="2475"/>
        <v>-32</v>
      </c>
      <c r="X284" s="28">
        <f t="shared" si="2475"/>
        <v>32</v>
      </c>
      <c r="AB284" s="28" t="str">
        <f t="shared" ref="AB284:AE284" si="2476">IF(AB$3=$H284,U284,"")</f>
        <v/>
      </c>
      <c r="AC284" s="28">
        <f t="shared" si="2476"/>
        <v>32</v>
      </c>
      <c r="AD284" s="28" t="str">
        <f t="shared" si="2476"/>
        <v/>
      </c>
      <c r="AE284" s="28" t="str">
        <f t="shared" si="2476"/>
        <v/>
      </c>
      <c r="AH284" s="28">
        <f t="shared" si="22"/>
        <v>32</v>
      </c>
      <c r="AI284" s="28">
        <f t="shared" si="23"/>
        <v>0</v>
      </c>
      <c r="AK284" s="78" t="str">
        <f t="shared" ref="AK284:AN284" si="2477">IF(U284&gt;0,AK$3,"")</f>
        <v/>
      </c>
      <c r="AL284" s="78" t="str">
        <f t="shared" si="2477"/>
        <v>Peter</v>
      </c>
      <c r="AM284" s="78" t="str">
        <f t="shared" si="2477"/>
        <v/>
      </c>
      <c r="AN284" s="78" t="str">
        <f t="shared" si="2477"/>
        <v>Christian</v>
      </c>
      <c r="AO284" s="56">
        <f t="shared" si="25"/>
        <v>2</v>
      </c>
      <c r="AP284" s="8" t="str">
        <f t="shared" si="26"/>
        <v>Peter</v>
      </c>
      <c r="AQ284" s="73" t="str">
        <f>IFERROR(__xludf.DUMMYFUNCTION("IFNA(QUERY(transpose(AY284:BB284),""Select Col1 where Col1 is not null limit 1"",0))"),"Christian")</f>
        <v>Christian</v>
      </c>
      <c r="AR284" s="56"/>
      <c r="AS284" s="28" t="str">
        <f t="shared" ref="AS284:AV284" si="2478">IF(AK284=AS$3,"",AS$3)</f>
        <v>Thomas</v>
      </c>
      <c r="AT284" s="28" t="str">
        <f t="shared" si="2478"/>
        <v/>
      </c>
      <c r="AU284" s="28" t="str">
        <f t="shared" si="2478"/>
        <v>Janus</v>
      </c>
      <c r="AV284" s="28" t="str">
        <f t="shared" si="2478"/>
        <v/>
      </c>
      <c r="AW284" s="56">
        <f t="shared" si="28"/>
        <v>2</v>
      </c>
      <c r="AX284" s="28">
        <f t="shared" si="29"/>
        <v>32</v>
      </c>
      <c r="AY284" s="28" t="str">
        <f t="shared" ref="AY284:BB284" si="2479">IFNA(IFS(AY$3=$AP284,"",$AX284=U284,AY$3),"")</f>
        <v/>
      </c>
      <c r="AZ284" s="28" t="str">
        <f t="shared" si="2479"/>
        <v/>
      </c>
      <c r="BA284" s="28" t="str">
        <f t="shared" si="2479"/>
        <v/>
      </c>
      <c r="BB284" s="28" t="str">
        <f t="shared" si="2479"/>
        <v>Christian</v>
      </c>
      <c r="BC284" s="58">
        <f>OFFSET('00_Regnskab_01'!$A$1,MATCH(A284,'00_Regnskab_01'!$A$1:$A$25)-1,2)</f>
        <v>44518</v>
      </c>
      <c r="BE284" s="80">
        <f t="shared" ref="BE284:BH284" si="2480">if(U284&gt;0,1+BE283,0)</f>
        <v>0</v>
      </c>
      <c r="BF284" s="28">
        <f t="shared" si="2480"/>
        <v>4</v>
      </c>
      <c r="BG284" s="28">
        <f t="shared" si="2480"/>
        <v>0</v>
      </c>
      <c r="BH284" s="28">
        <f t="shared" si="2480"/>
        <v>1</v>
      </c>
      <c r="BJ284" s="28">
        <f t="shared" ref="BJ284:BM284" si="2481">if(U284&lt;0,1+BJ283,0)</f>
        <v>4</v>
      </c>
      <c r="BK284" s="28">
        <f t="shared" si="2481"/>
        <v>0</v>
      </c>
      <c r="BL284" s="28">
        <f t="shared" si="2481"/>
        <v>1</v>
      </c>
      <c r="BM284" s="28">
        <f t="shared" si="2481"/>
        <v>0</v>
      </c>
      <c r="BO284" s="74">
        <f t="shared" ref="BO284:BR284" si="2482">if(U284&gt;0,U284+BO283,0)</f>
        <v>0</v>
      </c>
      <c r="BP284" s="74">
        <f t="shared" si="2482"/>
        <v>140</v>
      </c>
      <c r="BQ284" s="74">
        <f t="shared" si="2482"/>
        <v>0</v>
      </c>
      <c r="BR284" s="74">
        <f t="shared" si="2482"/>
        <v>32</v>
      </c>
      <c r="BT284" s="28">
        <f t="shared" ref="BT284:BW284" si="2483">if(U284&lt;0,U284+BT283,0)</f>
        <v>-284</v>
      </c>
      <c r="BU284" s="28">
        <f t="shared" si="2483"/>
        <v>0</v>
      </c>
      <c r="BV284" s="28">
        <f t="shared" si="2483"/>
        <v>-32</v>
      </c>
      <c r="BW284" s="28">
        <f t="shared" si="2483"/>
        <v>0</v>
      </c>
    </row>
    <row r="285">
      <c r="A285" s="53">
        <v>16.0</v>
      </c>
      <c r="B285" s="28">
        <f>'16_18-11-2021'!A17</f>
        <v>15</v>
      </c>
      <c r="C285" s="28">
        <f>'16_18-11-2021'!C17</f>
        <v>-180</v>
      </c>
      <c r="D285" s="28">
        <f>'16_18-11-2021'!E17</f>
        <v>156</v>
      </c>
      <c r="E285" s="28">
        <f>'16_18-11-2021'!D17</f>
        <v>-60</v>
      </c>
      <c r="F285" s="28">
        <f>'16_18-11-2021'!B17</f>
        <v>84</v>
      </c>
      <c r="G285" s="28">
        <f>'16_18-11-2021'!F17</f>
        <v>0</v>
      </c>
      <c r="H285" s="28" t="str">
        <f>'16_18-11-2021'!H17</f>
        <v>Christian</v>
      </c>
      <c r="J285" s="76" t="str">
        <f>'16_18-11-2021'!I17</f>
        <v>Janus</v>
      </c>
      <c r="K285" s="28" t="str">
        <f>'16_18-11-2021'!G17</f>
        <v>10 halve</v>
      </c>
      <c r="L285" s="56"/>
      <c r="M285" s="25">
        <v>10.0</v>
      </c>
      <c r="N285" s="25" t="s">
        <v>94</v>
      </c>
      <c r="T285" s="56"/>
      <c r="U285" s="77">
        <f t="shared" ref="U285:X285" si="2484">C285-C284</f>
        <v>32</v>
      </c>
      <c r="V285" s="28">
        <f t="shared" si="2484"/>
        <v>-32</v>
      </c>
      <c r="W285" s="28">
        <f t="shared" si="2484"/>
        <v>-32</v>
      </c>
      <c r="X285" s="28">
        <f t="shared" si="2484"/>
        <v>32</v>
      </c>
      <c r="AB285" s="28" t="str">
        <f t="shared" ref="AB285:AE285" si="2485">IF(AB$3=$H285,U285,"")</f>
        <v/>
      </c>
      <c r="AC285" s="28" t="str">
        <f t="shared" si="2485"/>
        <v/>
      </c>
      <c r="AD285" s="28" t="str">
        <f t="shared" si="2485"/>
        <v/>
      </c>
      <c r="AE285" s="28">
        <f t="shared" si="2485"/>
        <v>32</v>
      </c>
      <c r="AH285" s="28">
        <f t="shared" si="22"/>
        <v>32</v>
      </c>
      <c r="AI285" s="28">
        <f t="shared" si="23"/>
        <v>0</v>
      </c>
      <c r="AK285" s="78" t="str">
        <f t="shared" ref="AK285:AN285" si="2486">IF(U285&gt;0,AK$3,"")</f>
        <v>Thomas</v>
      </c>
      <c r="AL285" s="78" t="str">
        <f t="shared" si="2486"/>
        <v/>
      </c>
      <c r="AM285" s="78" t="str">
        <f t="shared" si="2486"/>
        <v/>
      </c>
      <c r="AN285" s="78" t="str">
        <f t="shared" si="2486"/>
        <v>Christian</v>
      </c>
      <c r="AO285" s="56">
        <f t="shared" si="25"/>
        <v>2</v>
      </c>
      <c r="AP285" s="8" t="str">
        <f t="shared" si="26"/>
        <v>Christian</v>
      </c>
      <c r="AQ285" s="73" t="str">
        <f>IFERROR(__xludf.DUMMYFUNCTION("IFNA(QUERY(transpose(AY285:BB285),""Select Col1 where Col1 is not null limit 1"",0))"),"Thomas")</f>
        <v>Thomas</v>
      </c>
      <c r="AR285" s="56"/>
      <c r="AS285" s="28" t="str">
        <f t="shared" ref="AS285:AV285" si="2487">IF(AK285=AS$3,"",AS$3)</f>
        <v/>
      </c>
      <c r="AT285" s="28" t="str">
        <f t="shared" si="2487"/>
        <v>Peter</v>
      </c>
      <c r="AU285" s="28" t="str">
        <f t="shared" si="2487"/>
        <v>Janus</v>
      </c>
      <c r="AV285" s="28" t="str">
        <f t="shared" si="2487"/>
        <v/>
      </c>
      <c r="AW285" s="56">
        <f t="shared" si="28"/>
        <v>2</v>
      </c>
      <c r="AX285" s="28">
        <f t="shared" si="29"/>
        <v>32</v>
      </c>
      <c r="AY285" s="28" t="str">
        <f t="shared" ref="AY285:BB285" si="2488">IFNA(IFS(AY$3=$AP285,"",$AX285=U285,AY$3),"")</f>
        <v>Thomas</v>
      </c>
      <c r="AZ285" s="28" t="str">
        <f t="shared" si="2488"/>
        <v/>
      </c>
      <c r="BA285" s="28" t="str">
        <f t="shared" si="2488"/>
        <v/>
      </c>
      <c r="BB285" s="28" t="str">
        <f t="shared" si="2488"/>
        <v/>
      </c>
      <c r="BC285" s="58">
        <f>OFFSET('00_Regnskab_01'!$A$1,MATCH(A285,'00_Regnskab_01'!$A$1:$A$25)-1,2)</f>
        <v>44518</v>
      </c>
      <c r="BE285" s="80">
        <f t="shared" ref="BE285:BH285" si="2489">if(U285&gt;0,1+BE284,0)</f>
        <v>1</v>
      </c>
      <c r="BF285" s="28">
        <f t="shared" si="2489"/>
        <v>0</v>
      </c>
      <c r="BG285" s="28">
        <f t="shared" si="2489"/>
        <v>0</v>
      </c>
      <c r="BH285" s="28">
        <f t="shared" si="2489"/>
        <v>2</v>
      </c>
      <c r="BJ285" s="28">
        <f t="shared" ref="BJ285:BM285" si="2490">if(U285&lt;0,1+BJ284,0)</f>
        <v>0</v>
      </c>
      <c r="BK285" s="28">
        <f t="shared" si="2490"/>
        <v>1</v>
      </c>
      <c r="BL285" s="28">
        <f t="shared" si="2490"/>
        <v>2</v>
      </c>
      <c r="BM285" s="28">
        <f t="shared" si="2490"/>
        <v>0</v>
      </c>
      <c r="BO285" s="74">
        <f t="shared" ref="BO285:BR285" si="2491">if(U285&gt;0,U285+BO284,0)</f>
        <v>32</v>
      </c>
      <c r="BP285" s="74">
        <f t="shared" si="2491"/>
        <v>0</v>
      </c>
      <c r="BQ285" s="74">
        <f t="shared" si="2491"/>
        <v>0</v>
      </c>
      <c r="BR285" s="74">
        <f t="shared" si="2491"/>
        <v>64</v>
      </c>
      <c r="BT285" s="28">
        <f t="shared" ref="BT285:BW285" si="2492">if(U285&lt;0,U285+BT284,0)</f>
        <v>0</v>
      </c>
      <c r="BU285" s="28">
        <f t="shared" si="2492"/>
        <v>-32</v>
      </c>
      <c r="BV285" s="28">
        <f t="shared" si="2492"/>
        <v>-64</v>
      </c>
      <c r="BW285" s="28">
        <f t="shared" si="2492"/>
        <v>0</v>
      </c>
    </row>
    <row r="286">
      <c r="A286" s="53">
        <v>16.0</v>
      </c>
      <c r="B286" s="28">
        <f>'16_18-11-2021'!A18</f>
        <v>16</v>
      </c>
      <c r="C286" s="28">
        <f>'16_18-11-2021'!C18</f>
        <v>-148</v>
      </c>
      <c r="D286" s="28">
        <f>'16_18-11-2021'!E18</f>
        <v>188</v>
      </c>
      <c r="E286" s="28">
        <f>'16_18-11-2021'!D18</f>
        <v>-156</v>
      </c>
      <c r="F286" s="28">
        <f>'16_18-11-2021'!B18</f>
        <v>116</v>
      </c>
      <c r="G286" s="28">
        <f>'16_18-11-2021'!F18</f>
        <v>0</v>
      </c>
      <c r="H286" s="28" t="str">
        <f>'16_18-11-2021'!H18</f>
        <v>Janus</v>
      </c>
      <c r="J286" s="76" t="str">
        <f>'16_18-11-2021'!I18</f>
        <v>Peter</v>
      </c>
      <c r="K286" s="28" t="str">
        <f>'16_18-11-2021'!G18</f>
        <v>10 vip 3 gode</v>
      </c>
      <c r="L286" s="56"/>
      <c r="M286" s="25">
        <v>10.0</v>
      </c>
      <c r="N286" s="25" t="s">
        <v>86</v>
      </c>
      <c r="O286" s="25">
        <v>3.0</v>
      </c>
      <c r="R286" s="25" t="s">
        <v>15</v>
      </c>
      <c r="T286" s="56"/>
      <c r="U286" s="77">
        <f t="shared" ref="U286:X286" si="2493">C286-C285</f>
        <v>32</v>
      </c>
      <c r="V286" s="28">
        <f t="shared" si="2493"/>
        <v>32</v>
      </c>
      <c r="W286" s="28">
        <f t="shared" si="2493"/>
        <v>-96</v>
      </c>
      <c r="X286" s="28">
        <f t="shared" si="2493"/>
        <v>32</v>
      </c>
      <c r="AB286" s="28" t="str">
        <f t="shared" ref="AB286:AE286" si="2494">IF(AB$3=$H286,U286,"")</f>
        <v/>
      </c>
      <c r="AC286" s="28" t="str">
        <f t="shared" si="2494"/>
        <v/>
      </c>
      <c r="AD286" s="28">
        <f t="shared" si="2494"/>
        <v>-96</v>
      </c>
      <c r="AE286" s="28" t="str">
        <f t="shared" si="2494"/>
        <v/>
      </c>
      <c r="AH286" s="28">
        <f t="shared" si="22"/>
        <v>0</v>
      </c>
      <c r="AI286" s="28">
        <f t="shared" si="23"/>
        <v>-96</v>
      </c>
      <c r="AK286" s="78" t="str">
        <f t="shared" ref="AK286:AN286" si="2495">IF(U286&gt;0,AK$3,"")</f>
        <v>Thomas</v>
      </c>
      <c r="AL286" s="78" t="str">
        <f t="shared" si="2495"/>
        <v>Peter</v>
      </c>
      <c r="AM286" s="78" t="str">
        <f t="shared" si="2495"/>
        <v/>
      </c>
      <c r="AN286" s="78" t="str">
        <f t="shared" si="2495"/>
        <v>Christian</v>
      </c>
      <c r="AO286" s="56">
        <f t="shared" si="25"/>
        <v>3</v>
      </c>
      <c r="AP286" s="8" t="str">
        <f t="shared" si="26"/>
        <v>Janus</v>
      </c>
      <c r="AQ286" s="73" t="str">
        <f>IFERROR(__xludf.DUMMYFUNCTION("IFNA(QUERY(transpose(AY286:BB286),""Select Col1 where Col1 is not null limit 1"",0))"),"")</f>
        <v/>
      </c>
      <c r="AR286" s="56"/>
      <c r="AS286" s="28" t="str">
        <f t="shared" ref="AS286:AV286" si="2496">IF(AK286=AS$3,"",AS$3)</f>
        <v/>
      </c>
      <c r="AT286" s="28" t="str">
        <f t="shared" si="2496"/>
        <v/>
      </c>
      <c r="AU286" s="28" t="str">
        <f t="shared" si="2496"/>
        <v>Janus</v>
      </c>
      <c r="AV286" s="28" t="str">
        <f t="shared" si="2496"/>
        <v/>
      </c>
      <c r="AW286" s="56">
        <f t="shared" si="28"/>
        <v>1</v>
      </c>
      <c r="AX286" s="28">
        <f t="shared" si="29"/>
        <v>-96</v>
      </c>
      <c r="AY286" s="28" t="str">
        <f t="shared" ref="AY286:BB286" si="2497">IFNA(IFS(AY$3=$AP286,"",$AX286=U286,AY$3),"")</f>
        <v/>
      </c>
      <c r="AZ286" s="28" t="str">
        <f t="shared" si="2497"/>
        <v/>
      </c>
      <c r="BA286" s="28" t="str">
        <f t="shared" si="2497"/>
        <v/>
      </c>
      <c r="BB286" s="28" t="str">
        <f t="shared" si="2497"/>
        <v/>
      </c>
      <c r="BC286" s="58">
        <f>OFFSET('00_Regnskab_01'!$A$1,MATCH(A286,'00_Regnskab_01'!$A$1:$A$25)-1,2)</f>
        <v>44518</v>
      </c>
      <c r="BE286" s="80">
        <f t="shared" ref="BE286:BH286" si="2498">if(U286&gt;0,1+BE285,0)</f>
        <v>2</v>
      </c>
      <c r="BF286" s="28">
        <f t="shared" si="2498"/>
        <v>1</v>
      </c>
      <c r="BG286" s="28">
        <f t="shared" si="2498"/>
        <v>0</v>
      </c>
      <c r="BH286" s="28">
        <f t="shared" si="2498"/>
        <v>3</v>
      </c>
      <c r="BJ286" s="28">
        <f t="shared" ref="BJ286:BM286" si="2499">if(U286&lt;0,1+BJ285,0)</f>
        <v>0</v>
      </c>
      <c r="BK286" s="28">
        <f t="shared" si="2499"/>
        <v>0</v>
      </c>
      <c r="BL286" s="28">
        <f t="shared" si="2499"/>
        <v>3</v>
      </c>
      <c r="BM286" s="28">
        <f t="shared" si="2499"/>
        <v>0</v>
      </c>
      <c r="BO286" s="74">
        <f t="shared" ref="BO286:BR286" si="2500">if(U286&gt;0,U286+BO285,0)</f>
        <v>64</v>
      </c>
      <c r="BP286" s="74">
        <f t="shared" si="2500"/>
        <v>32</v>
      </c>
      <c r="BQ286" s="74">
        <f t="shared" si="2500"/>
        <v>0</v>
      </c>
      <c r="BR286" s="74">
        <f t="shared" si="2500"/>
        <v>96</v>
      </c>
      <c r="BT286" s="28">
        <f t="shared" ref="BT286:BW286" si="2501">if(U286&lt;0,U286+BT285,0)</f>
        <v>0</v>
      </c>
      <c r="BU286" s="28">
        <f t="shared" si="2501"/>
        <v>0</v>
      </c>
      <c r="BV286" s="28">
        <f t="shared" si="2501"/>
        <v>-160</v>
      </c>
      <c r="BW286" s="28">
        <f t="shared" si="2501"/>
        <v>0</v>
      </c>
    </row>
    <row r="287">
      <c r="A287" s="53">
        <v>16.0</v>
      </c>
      <c r="B287" s="28">
        <f>'16_18-11-2021'!A19</f>
        <v>17</v>
      </c>
      <c r="C287" s="28">
        <f>'16_18-11-2021'!C19</f>
        <v>-144</v>
      </c>
      <c r="D287" s="28">
        <f>'16_18-11-2021'!E19</f>
        <v>192</v>
      </c>
      <c r="E287" s="28">
        <f>'16_18-11-2021'!D19</f>
        <v>-160</v>
      </c>
      <c r="F287" s="28">
        <f>'16_18-11-2021'!B19</f>
        <v>112</v>
      </c>
      <c r="G287" s="28">
        <f>'16_18-11-2021'!F19</f>
        <v>0</v>
      </c>
      <c r="H287" s="28" t="str">
        <f>'16_18-11-2021'!H19</f>
        <v>Peter</v>
      </c>
      <c r="J287" s="76" t="str">
        <f>'16_18-11-2021'!I19</f>
        <v>Christian </v>
      </c>
      <c r="K287" s="28" t="str">
        <f>'16_18-11-2021'!G19</f>
        <v>9 alm</v>
      </c>
      <c r="L287" s="56"/>
      <c r="M287" s="25">
        <v>9.0</v>
      </c>
      <c r="N287" s="25" t="s">
        <v>100</v>
      </c>
      <c r="T287" s="56"/>
      <c r="U287" s="77">
        <f t="shared" ref="U287:X287" si="2502">C287-C286</f>
        <v>4</v>
      </c>
      <c r="V287" s="28">
        <f t="shared" si="2502"/>
        <v>4</v>
      </c>
      <c r="W287" s="28">
        <f t="shared" si="2502"/>
        <v>-4</v>
      </c>
      <c r="X287" s="28">
        <f t="shared" si="2502"/>
        <v>-4</v>
      </c>
      <c r="AB287" s="28" t="str">
        <f t="shared" ref="AB287:AE287" si="2503">IF(AB$3=$H287,U287,"")</f>
        <v/>
      </c>
      <c r="AC287" s="28">
        <f t="shared" si="2503"/>
        <v>4</v>
      </c>
      <c r="AD287" s="28" t="str">
        <f t="shared" si="2503"/>
        <v/>
      </c>
      <c r="AE287" s="28" t="str">
        <f t="shared" si="2503"/>
        <v/>
      </c>
      <c r="AH287" s="28">
        <f t="shared" si="22"/>
        <v>4</v>
      </c>
      <c r="AI287" s="28">
        <f t="shared" si="23"/>
        <v>0</v>
      </c>
      <c r="AK287" s="78" t="str">
        <f t="shared" ref="AK287:AN287" si="2504">IF(U287&gt;0,AK$3,"")</f>
        <v>Thomas</v>
      </c>
      <c r="AL287" s="78" t="str">
        <f t="shared" si="2504"/>
        <v>Peter</v>
      </c>
      <c r="AM287" s="78" t="str">
        <f t="shared" si="2504"/>
        <v/>
      </c>
      <c r="AN287" s="78" t="str">
        <f t="shared" si="2504"/>
        <v/>
      </c>
      <c r="AO287" s="56">
        <f t="shared" si="25"/>
        <v>2</v>
      </c>
      <c r="AP287" s="8" t="str">
        <f t="shared" si="26"/>
        <v>Peter</v>
      </c>
      <c r="AQ287" s="73" t="str">
        <f>IFERROR(__xludf.DUMMYFUNCTION("IFNA(QUERY(transpose(AY287:BB287),""Select Col1 where Col1 is not null limit 1"",0))"),"Thomas")</f>
        <v>Thomas</v>
      </c>
      <c r="AR287" s="56"/>
      <c r="AS287" s="28" t="str">
        <f t="shared" ref="AS287:AV287" si="2505">IF(AK287=AS$3,"",AS$3)</f>
        <v/>
      </c>
      <c r="AT287" s="28" t="str">
        <f t="shared" si="2505"/>
        <v/>
      </c>
      <c r="AU287" s="28" t="str">
        <f t="shared" si="2505"/>
        <v>Janus</v>
      </c>
      <c r="AV287" s="28" t="str">
        <f t="shared" si="2505"/>
        <v>Christian</v>
      </c>
      <c r="AW287" s="56">
        <f t="shared" si="28"/>
        <v>2</v>
      </c>
      <c r="AX287" s="28">
        <f t="shared" si="29"/>
        <v>4</v>
      </c>
      <c r="AY287" s="28" t="str">
        <f t="shared" ref="AY287:BB287" si="2506">IFNA(IFS(AY$3=$AP287,"",$AX287=U287,AY$3),"")</f>
        <v>Thomas</v>
      </c>
      <c r="AZ287" s="28" t="str">
        <f t="shared" si="2506"/>
        <v/>
      </c>
      <c r="BA287" s="28" t="str">
        <f t="shared" si="2506"/>
        <v/>
      </c>
      <c r="BB287" s="28" t="str">
        <f t="shared" si="2506"/>
        <v/>
      </c>
      <c r="BC287" s="58">
        <f>OFFSET('00_Regnskab_01'!$A$1,MATCH(A287,'00_Regnskab_01'!$A$1:$A$25)-1,2)</f>
        <v>44518</v>
      </c>
      <c r="BE287" s="80">
        <f t="shared" ref="BE287:BH287" si="2507">if(U287&gt;0,1+BE286,0)</f>
        <v>3</v>
      </c>
      <c r="BF287" s="28">
        <f t="shared" si="2507"/>
        <v>2</v>
      </c>
      <c r="BG287" s="28">
        <f t="shared" si="2507"/>
        <v>0</v>
      </c>
      <c r="BH287" s="28">
        <f t="shared" si="2507"/>
        <v>0</v>
      </c>
      <c r="BJ287" s="28">
        <f t="shared" ref="BJ287:BM287" si="2508">if(U287&lt;0,1+BJ286,0)</f>
        <v>0</v>
      </c>
      <c r="BK287" s="28">
        <f t="shared" si="2508"/>
        <v>0</v>
      </c>
      <c r="BL287" s="28">
        <f t="shared" si="2508"/>
        <v>4</v>
      </c>
      <c r="BM287" s="28">
        <f t="shared" si="2508"/>
        <v>1</v>
      </c>
      <c r="BO287" s="74">
        <f t="shared" ref="BO287:BR287" si="2509">if(U287&gt;0,U287+BO286,0)</f>
        <v>68</v>
      </c>
      <c r="BP287" s="74">
        <f t="shared" si="2509"/>
        <v>36</v>
      </c>
      <c r="BQ287" s="74">
        <f t="shared" si="2509"/>
        <v>0</v>
      </c>
      <c r="BR287" s="74">
        <f t="shared" si="2509"/>
        <v>0</v>
      </c>
      <c r="BT287" s="28">
        <f t="shared" ref="BT287:BW287" si="2510">if(U287&lt;0,U287+BT286,0)</f>
        <v>0</v>
      </c>
      <c r="BU287" s="28">
        <f t="shared" si="2510"/>
        <v>0</v>
      </c>
      <c r="BV287" s="28">
        <f t="shared" si="2510"/>
        <v>-164</v>
      </c>
      <c r="BW287" s="28">
        <f t="shared" si="2510"/>
        <v>-4</v>
      </c>
    </row>
    <row r="288">
      <c r="A288" s="53">
        <v>16.0</v>
      </c>
      <c r="B288" s="28">
        <f>'16_18-11-2021'!A20</f>
        <v>18</v>
      </c>
      <c r="C288" s="28">
        <f>'16_18-11-2021'!C20</f>
        <v>-136</v>
      </c>
      <c r="D288" s="28">
        <f>'16_18-11-2021'!E20</f>
        <v>200</v>
      </c>
      <c r="E288" s="28">
        <f>'16_18-11-2021'!D20</f>
        <v>-152</v>
      </c>
      <c r="F288" s="28">
        <f>'16_18-11-2021'!B20</f>
        <v>88</v>
      </c>
      <c r="G288" s="28">
        <f>'16_18-11-2021'!F20</f>
        <v>0</v>
      </c>
      <c r="H288" s="28" t="str">
        <f>'16_18-11-2021'!H20</f>
        <v>Christian</v>
      </c>
      <c r="J288" s="76" t="str">
        <f>'16_18-11-2021'!I20</f>
        <v>Thomas</v>
      </c>
      <c r="K288" s="28" t="str">
        <f>'16_18-11-2021'!G20</f>
        <v>Ren sol</v>
      </c>
      <c r="L288" s="56"/>
      <c r="N288" s="25" t="s">
        <v>97</v>
      </c>
      <c r="T288" s="56"/>
      <c r="U288" s="77">
        <f t="shared" ref="U288:X288" si="2511">C288-C287</f>
        <v>8</v>
      </c>
      <c r="V288" s="28">
        <f t="shared" si="2511"/>
        <v>8</v>
      </c>
      <c r="W288" s="28">
        <f t="shared" si="2511"/>
        <v>8</v>
      </c>
      <c r="X288" s="28">
        <f t="shared" si="2511"/>
        <v>-24</v>
      </c>
      <c r="AB288" s="28" t="str">
        <f t="shared" ref="AB288:AE288" si="2512">IF(AB$3=$H288,U288,"")</f>
        <v/>
      </c>
      <c r="AC288" s="28" t="str">
        <f t="shared" si="2512"/>
        <v/>
      </c>
      <c r="AD288" s="28" t="str">
        <f t="shared" si="2512"/>
        <v/>
      </c>
      <c r="AE288" s="28">
        <f t="shared" si="2512"/>
        <v>-24</v>
      </c>
      <c r="AH288" s="28">
        <f t="shared" si="22"/>
        <v>0</v>
      </c>
      <c r="AI288" s="28">
        <f t="shared" si="23"/>
        <v>-24</v>
      </c>
      <c r="AK288" s="78" t="str">
        <f t="shared" ref="AK288:AN288" si="2513">IF(U288&gt;0,AK$3,"")</f>
        <v>Thomas</v>
      </c>
      <c r="AL288" s="78" t="str">
        <f t="shared" si="2513"/>
        <v>Peter</v>
      </c>
      <c r="AM288" s="78" t="str">
        <f t="shared" si="2513"/>
        <v>Janus</v>
      </c>
      <c r="AN288" s="78" t="str">
        <f t="shared" si="2513"/>
        <v/>
      </c>
      <c r="AO288" s="56">
        <f t="shared" si="25"/>
        <v>3</v>
      </c>
      <c r="AP288" s="8" t="str">
        <f t="shared" si="26"/>
        <v>Christian</v>
      </c>
      <c r="AQ288" s="73" t="str">
        <f>IFERROR(__xludf.DUMMYFUNCTION("IFNA(QUERY(transpose(AY288:BB288),""Select Col1 where Col1 is not null limit 1"",0))"),"")</f>
        <v/>
      </c>
      <c r="AR288" s="56"/>
      <c r="AS288" s="28" t="str">
        <f t="shared" ref="AS288:AV288" si="2514">IF(AK288=AS$3,"",AS$3)</f>
        <v/>
      </c>
      <c r="AT288" s="28" t="str">
        <f t="shared" si="2514"/>
        <v/>
      </c>
      <c r="AU288" s="28" t="str">
        <f t="shared" si="2514"/>
        <v/>
      </c>
      <c r="AV288" s="28" t="str">
        <f t="shared" si="2514"/>
        <v>Christian</v>
      </c>
      <c r="AW288" s="56">
        <f t="shared" si="28"/>
        <v>1</v>
      </c>
      <c r="AX288" s="28">
        <f t="shared" si="29"/>
        <v>-24</v>
      </c>
      <c r="AY288" s="28" t="str">
        <f t="shared" ref="AY288:BB288" si="2515">IFNA(IFS(AY$3=$AP288,"",$AX288=U288,AY$3),"")</f>
        <v/>
      </c>
      <c r="AZ288" s="28" t="str">
        <f t="shared" si="2515"/>
        <v/>
      </c>
      <c r="BA288" s="28" t="str">
        <f t="shared" si="2515"/>
        <v/>
      </c>
      <c r="BB288" s="28" t="str">
        <f t="shared" si="2515"/>
        <v/>
      </c>
      <c r="BC288" s="58">
        <f>OFFSET('00_Regnskab_01'!$A$1,MATCH(A288,'00_Regnskab_01'!$A$1:$A$25)-1,2)</f>
        <v>44518</v>
      </c>
      <c r="BE288" s="80">
        <f t="shared" ref="BE288:BH288" si="2516">if(U288&gt;0,1+BE287,0)</f>
        <v>4</v>
      </c>
      <c r="BF288" s="28">
        <f t="shared" si="2516"/>
        <v>3</v>
      </c>
      <c r="BG288" s="28">
        <f t="shared" si="2516"/>
        <v>1</v>
      </c>
      <c r="BH288" s="28">
        <f t="shared" si="2516"/>
        <v>0</v>
      </c>
      <c r="BJ288" s="28">
        <f t="shared" ref="BJ288:BM288" si="2517">if(U288&lt;0,1+BJ287,0)</f>
        <v>0</v>
      </c>
      <c r="BK288" s="28">
        <f t="shared" si="2517"/>
        <v>0</v>
      </c>
      <c r="BL288" s="28">
        <f t="shared" si="2517"/>
        <v>0</v>
      </c>
      <c r="BM288" s="28">
        <f t="shared" si="2517"/>
        <v>2</v>
      </c>
      <c r="BO288" s="74">
        <f t="shared" ref="BO288:BR288" si="2518">if(U288&gt;0,U288+BO287,0)</f>
        <v>76</v>
      </c>
      <c r="BP288" s="74">
        <f t="shared" si="2518"/>
        <v>44</v>
      </c>
      <c r="BQ288" s="74">
        <f t="shared" si="2518"/>
        <v>8</v>
      </c>
      <c r="BR288" s="74">
        <f t="shared" si="2518"/>
        <v>0</v>
      </c>
      <c r="BT288" s="28">
        <f t="shared" ref="BT288:BW288" si="2519">if(U288&lt;0,U288+BT287,0)</f>
        <v>0</v>
      </c>
      <c r="BU288" s="28">
        <f t="shared" si="2519"/>
        <v>0</v>
      </c>
      <c r="BV288" s="28">
        <f t="shared" si="2519"/>
        <v>0</v>
      </c>
      <c r="BW288" s="28">
        <f t="shared" si="2519"/>
        <v>-28</v>
      </c>
    </row>
    <row r="289">
      <c r="A289" s="53">
        <v>16.0</v>
      </c>
      <c r="B289" s="28">
        <f>'16_18-11-2021'!A21</f>
        <v>19</v>
      </c>
      <c r="C289" s="28">
        <f>'16_18-11-2021'!C21</f>
        <v>-128</v>
      </c>
      <c r="D289" s="28">
        <f>'16_18-11-2021'!E21</f>
        <v>208</v>
      </c>
      <c r="E289" s="28">
        <f>'16_18-11-2021'!D21</f>
        <v>-176</v>
      </c>
      <c r="F289" s="28">
        <f>'16_18-11-2021'!B21</f>
        <v>96</v>
      </c>
      <c r="G289" s="28">
        <f>'16_18-11-2021'!F21</f>
        <v>0</v>
      </c>
      <c r="H289" s="28" t="str">
        <f>'16_18-11-2021'!H21</f>
        <v>Janus</v>
      </c>
      <c r="J289" s="76" t="str">
        <f>'16_18-11-2021'!I21</f>
        <v>Janus</v>
      </c>
      <c r="K289" s="28" t="str">
        <f>'16_18-11-2021'!G21</f>
        <v>Ren sol</v>
      </c>
      <c r="L289" s="56"/>
      <c r="N289" s="25" t="s">
        <v>97</v>
      </c>
      <c r="T289" s="56"/>
      <c r="U289" s="77">
        <f t="shared" ref="U289:X289" si="2520">C289-C288</f>
        <v>8</v>
      </c>
      <c r="V289" s="28">
        <f t="shared" si="2520"/>
        <v>8</v>
      </c>
      <c r="W289" s="28">
        <f t="shared" si="2520"/>
        <v>-24</v>
      </c>
      <c r="X289" s="28">
        <f t="shared" si="2520"/>
        <v>8</v>
      </c>
      <c r="AB289" s="28" t="str">
        <f t="shared" ref="AB289:AE289" si="2521">IF(AB$3=$H289,U289,"")</f>
        <v/>
      </c>
      <c r="AC289" s="28" t="str">
        <f t="shared" si="2521"/>
        <v/>
      </c>
      <c r="AD289" s="28">
        <f t="shared" si="2521"/>
        <v>-24</v>
      </c>
      <c r="AE289" s="28" t="str">
        <f t="shared" si="2521"/>
        <v/>
      </c>
      <c r="AH289" s="28">
        <f t="shared" si="22"/>
        <v>0</v>
      </c>
      <c r="AI289" s="28">
        <f t="shared" si="23"/>
        <v>-24</v>
      </c>
      <c r="AK289" s="78" t="str">
        <f t="shared" ref="AK289:AN289" si="2522">IF(U289&gt;0,AK$3,"")</f>
        <v>Thomas</v>
      </c>
      <c r="AL289" s="78" t="str">
        <f t="shared" si="2522"/>
        <v>Peter</v>
      </c>
      <c r="AM289" s="78" t="str">
        <f t="shared" si="2522"/>
        <v/>
      </c>
      <c r="AN289" s="78" t="str">
        <f t="shared" si="2522"/>
        <v>Christian</v>
      </c>
      <c r="AO289" s="56">
        <f t="shared" si="25"/>
        <v>3</v>
      </c>
      <c r="AP289" s="8" t="str">
        <f t="shared" si="26"/>
        <v>Janus</v>
      </c>
      <c r="AQ289" s="73" t="str">
        <f>IFERROR(__xludf.DUMMYFUNCTION("IFNA(QUERY(transpose(AY289:BB289),""Select Col1 where Col1 is not null limit 1"",0))"),"")</f>
        <v/>
      </c>
      <c r="AR289" s="56"/>
      <c r="AS289" s="28" t="str">
        <f t="shared" ref="AS289:AV289" si="2523">IF(AK289=AS$3,"",AS$3)</f>
        <v/>
      </c>
      <c r="AT289" s="28" t="str">
        <f t="shared" si="2523"/>
        <v/>
      </c>
      <c r="AU289" s="28" t="str">
        <f t="shared" si="2523"/>
        <v>Janus</v>
      </c>
      <c r="AV289" s="28" t="str">
        <f t="shared" si="2523"/>
        <v/>
      </c>
      <c r="AW289" s="56">
        <f t="shared" si="28"/>
        <v>1</v>
      </c>
      <c r="AX289" s="28">
        <f t="shared" si="29"/>
        <v>-24</v>
      </c>
      <c r="AY289" s="28" t="str">
        <f t="shared" ref="AY289:BB289" si="2524">IFNA(IFS(AY$3=$AP289,"",$AX289=U289,AY$3),"")</f>
        <v/>
      </c>
      <c r="AZ289" s="28" t="str">
        <f t="shared" si="2524"/>
        <v/>
      </c>
      <c r="BA289" s="28" t="str">
        <f t="shared" si="2524"/>
        <v/>
      </c>
      <c r="BB289" s="28" t="str">
        <f t="shared" si="2524"/>
        <v/>
      </c>
      <c r="BC289" s="58">
        <f>OFFSET('00_Regnskab_01'!$A$1,MATCH(A289,'00_Regnskab_01'!$A$1:$A$25)-1,2)</f>
        <v>44518</v>
      </c>
      <c r="BE289" s="80">
        <f t="shared" ref="BE289:BH289" si="2525">if(U289&gt;0,1+BE288,0)</f>
        <v>5</v>
      </c>
      <c r="BF289" s="28">
        <f t="shared" si="2525"/>
        <v>4</v>
      </c>
      <c r="BG289" s="28">
        <f t="shared" si="2525"/>
        <v>0</v>
      </c>
      <c r="BH289" s="28">
        <f t="shared" si="2525"/>
        <v>1</v>
      </c>
      <c r="BJ289" s="28">
        <f t="shared" ref="BJ289:BM289" si="2526">if(U289&lt;0,1+BJ288,0)</f>
        <v>0</v>
      </c>
      <c r="BK289" s="28">
        <f t="shared" si="2526"/>
        <v>0</v>
      </c>
      <c r="BL289" s="28">
        <f t="shared" si="2526"/>
        <v>1</v>
      </c>
      <c r="BM289" s="28">
        <f t="shared" si="2526"/>
        <v>0</v>
      </c>
      <c r="BO289" s="74">
        <f t="shared" ref="BO289:BR289" si="2527">if(U289&gt;0,U289+BO288,0)</f>
        <v>84</v>
      </c>
      <c r="BP289" s="74">
        <f t="shared" si="2527"/>
        <v>52</v>
      </c>
      <c r="BQ289" s="74">
        <f t="shared" si="2527"/>
        <v>0</v>
      </c>
      <c r="BR289" s="74">
        <f t="shared" si="2527"/>
        <v>8</v>
      </c>
      <c r="BT289" s="28">
        <f t="shared" ref="BT289:BW289" si="2528">if(U289&lt;0,U289+BT288,0)</f>
        <v>0</v>
      </c>
      <c r="BU289" s="28">
        <f t="shared" si="2528"/>
        <v>0</v>
      </c>
      <c r="BV289" s="28">
        <f t="shared" si="2528"/>
        <v>-24</v>
      </c>
      <c r="BW289" s="28">
        <f t="shared" si="2528"/>
        <v>0</v>
      </c>
    </row>
    <row r="290">
      <c r="A290" s="53">
        <v>16.0</v>
      </c>
      <c r="B290" s="28">
        <f>'16_18-11-2021'!A22</f>
        <v>20</v>
      </c>
      <c r="C290" s="28">
        <f>'16_18-11-2021'!C22</f>
        <v>-144</v>
      </c>
      <c r="D290" s="28">
        <f>'16_18-11-2021'!E22</f>
        <v>224</v>
      </c>
      <c r="E290" s="28">
        <f>'16_18-11-2021'!D22</f>
        <v>-160</v>
      </c>
      <c r="F290" s="28">
        <f>'16_18-11-2021'!B22</f>
        <v>80</v>
      </c>
      <c r="G290" s="28">
        <f>'16_18-11-2021'!F22</f>
        <v>0</v>
      </c>
      <c r="H290" s="28" t="str">
        <f>'16_18-11-2021'!H22</f>
        <v>Thomas</v>
      </c>
      <c r="J290" s="76" t="str">
        <f>'16_18-11-2021'!I22</f>
        <v>Peter</v>
      </c>
      <c r="K290" s="28" t="str">
        <f>'16_18-11-2021'!G22</f>
        <v>10 halve</v>
      </c>
      <c r="L290" s="56"/>
      <c r="M290" s="25">
        <v>10.0</v>
      </c>
      <c r="N290" s="25" t="s">
        <v>94</v>
      </c>
      <c r="T290" s="56"/>
      <c r="U290" s="77">
        <f t="shared" ref="U290:X290" si="2529">C290-C289</f>
        <v>-16</v>
      </c>
      <c r="V290" s="28">
        <f t="shared" si="2529"/>
        <v>16</v>
      </c>
      <c r="W290" s="28">
        <f t="shared" si="2529"/>
        <v>16</v>
      </c>
      <c r="X290" s="28">
        <f t="shared" si="2529"/>
        <v>-16</v>
      </c>
      <c r="AB290" s="28">
        <f t="shared" ref="AB290:AE290" si="2530">IF(AB$3=$H290,U290,"")</f>
        <v>-16</v>
      </c>
      <c r="AC290" s="28" t="str">
        <f t="shared" si="2530"/>
        <v/>
      </c>
      <c r="AD290" s="28" t="str">
        <f t="shared" si="2530"/>
        <v/>
      </c>
      <c r="AE290" s="28" t="str">
        <f t="shared" si="2530"/>
        <v/>
      </c>
      <c r="AH290" s="28">
        <f t="shared" si="22"/>
        <v>0</v>
      </c>
      <c r="AI290" s="28">
        <f t="shared" si="23"/>
        <v>-16</v>
      </c>
      <c r="AK290" s="78" t="str">
        <f t="shared" ref="AK290:AN290" si="2531">IF(U290&gt;0,AK$3,"")</f>
        <v/>
      </c>
      <c r="AL290" s="78" t="str">
        <f t="shared" si="2531"/>
        <v>Peter</v>
      </c>
      <c r="AM290" s="78" t="str">
        <f t="shared" si="2531"/>
        <v>Janus</v>
      </c>
      <c r="AN290" s="78" t="str">
        <f t="shared" si="2531"/>
        <v/>
      </c>
      <c r="AO290" s="56">
        <f t="shared" si="25"/>
        <v>2</v>
      </c>
      <c r="AP290" s="8" t="str">
        <f t="shared" si="26"/>
        <v>Thomas</v>
      </c>
      <c r="AQ290" s="73" t="str">
        <f>IFERROR(__xludf.DUMMYFUNCTION("IFNA(QUERY(transpose(AY290:BB290),""Select Col1 where Col1 is not null limit 1"",0))"),"Christian")</f>
        <v>Christian</v>
      </c>
      <c r="AR290" s="56"/>
      <c r="AS290" s="28" t="str">
        <f t="shared" ref="AS290:AV290" si="2532">IF(AK290=AS$3,"",AS$3)</f>
        <v>Thomas</v>
      </c>
      <c r="AT290" s="28" t="str">
        <f t="shared" si="2532"/>
        <v/>
      </c>
      <c r="AU290" s="28" t="str">
        <f t="shared" si="2532"/>
        <v/>
      </c>
      <c r="AV290" s="28" t="str">
        <f t="shared" si="2532"/>
        <v>Christian</v>
      </c>
      <c r="AW290" s="56">
        <f t="shared" si="28"/>
        <v>2</v>
      </c>
      <c r="AX290" s="28">
        <f t="shared" si="29"/>
        <v>-16</v>
      </c>
      <c r="AY290" s="28" t="str">
        <f t="shared" ref="AY290:BB290" si="2533">IFNA(IFS(AY$3=$AP290,"",$AX290=U290,AY$3),"")</f>
        <v/>
      </c>
      <c r="AZ290" s="28" t="str">
        <f t="shared" si="2533"/>
        <v/>
      </c>
      <c r="BA290" s="28" t="str">
        <f t="shared" si="2533"/>
        <v/>
      </c>
      <c r="BB290" s="28" t="str">
        <f t="shared" si="2533"/>
        <v>Christian</v>
      </c>
      <c r="BC290" s="58">
        <f>OFFSET('00_Regnskab_01'!$A$1,MATCH(A290,'00_Regnskab_01'!$A$1:$A$25)-1,2)</f>
        <v>44518</v>
      </c>
      <c r="BE290" s="80">
        <f t="shared" ref="BE290:BH290" si="2534">if(U290&gt;0,1+BE289,0)</f>
        <v>0</v>
      </c>
      <c r="BF290" s="28">
        <f t="shared" si="2534"/>
        <v>5</v>
      </c>
      <c r="BG290" s="28">
        <f t="shared" si="2534"/>
        <v>1</v>
      </c>
      <c r="BH290" s="28">
        <f t="shared" si="2534"/>
        <v>0</v>
      </c>
      <c r="BJ290" s="28">
        <f t="shared" ref="BJ290:BM290" si="2535">if(U290&lt;0,1+BJ289,0)</f>
        <v>1</v>
      </c>
      <c r="BK290" s="28">
        <f t="shared" si="2535"/>
        <v>0</v>
      </c>
      <c r="BL290" s="28">
        <f t="shared" si="2535"/>
        <v>0</v>
      </c>
      <c r="BM290" s="28">
        <f t="shared" si="2535"/>
        <v>1</v>
      </c>
      <c r="BO290" s="74">
        <f t="shared" ref="BO290:BR290" si="2536">if(U290&gt;0,U290+BO289,0)</f>
        <v>0</v>
      </c>
      <c r="BP290" s="74">
        <f t="shared" si="2536"/>
        <v>68</v>
      </c>
      <c r="BQ290" s="74">
        <f t="shared" si="2536"/>
        <v>16</v>
      </c>
      <c r="BR290" s="74">
        <f t="shared" si="2536"/>
        <v>0</v>
      </c>
      <c r="BT290" s="28">
        <f t="shared" ref="BT290:BW290" si="2537">if(U290&lt;0,U290+BT289,0)</f>
        <v>-16</v>
      </c>
      <c r="BU290" s="28">
        <f t="shared" si="2537"/>
        <v>0</v>
      </c>
      <c r="BV290" s="28">
        <f t="shared" si="2537"/>
        <v>0</v>
      </c>
      <c r="BW290" s="28">
        <f t="shared" si="2537"/>
        <v>-16</v>
      </c>
    </row>
    <row r="291">
      <c r="A291" s="53">
        <v>16.0</v>
      </c>
      <c r="B291" s="28">
        <f>'16_18-11-2021'!A23</f>
        <v>21</v>
      </c>
      <c r="C291" s="28">
        <f>'16_18-11-2021'!C23</f>
        <v>-136</v>
      </c>
      <c r="D291" s="28">
        <f>'16_18-11-2021'!E23</f>
        <v>200</v>
      </c>
      <c r="E291" s="28">
        <f>'16_18-11-2021'!D23</f>
        <v>-152</v>
      </c>
      <c r="F291" s="28">
        <f>'16_18-11-2021'!B23</f>
        <v>88</v>
      </c>
      <c r="G291" s="28">
        <f>'16_18-11-2021'!F23</f>
        <v>0</v>
      </c>
      <c r="H291" s="28" t="str">
        <f>'16_18-11-2021'!H23</f>
        <v>Peter</v>
      </c>
      <c r="J291" s="76" t="str">
        <f>'16_18-11-2021'!I23</f>
        <v>Christian </v>
      </c>
      <c r="K291" s="28" t="str">
        <f>'16_18-11-2021'!G23</f>
        <v>Ren sol</v>
      </c>
      <c r="L291" s="56"/>
      <c r="N291" s="25" t="s">
        <v>97</v>
      </c>
      <c r="T291" s="56"/>
      <c r="U291" s="77">
        <f t="shared" ref="U291:X291" si="2538">C291-C290</f>
        <v>8</v>
      </c>
      <c r="V291" s="28">
        <f t="shared" si="2538"/>
        <v>-24</v>
      </c>
      <c r="W291" s="28">
        <f t="shared" si="2538"/>
        <v>8</v>
      </c>
      <c r="X291" s="28">
        <f t="shared" si="2538"/>
        <v>8</v>
      </c>
      <c r="AB291" s="28" t="str">
        <f t="shared" ref="AB291:AE291" si="2539">IF(AB$3=$H291,U291,"")</f>
        <v/>
      </c>
      <c r="AC291" s="28">
        <f t="shared" si="2539"/>
        <v>-24</v>
      </c>
      <c r="AD291" s="28" t="str">
        <f t="shared" si="2539"/>
        <v/>
      </c>
      <c r="AE291" s="28" t="str">
        <f t="shared" si="2539"/>
        <v/>
      </c>
      <c r="AH291" s="28">
        <f t="shared" si="22"/>
        <v>0</v>
      </c>
      <c r="AI291" s="28">
        <f t="shared" si="23"/>
        <v>-24</v>
      </c>
      <c r="AK291" s="78" t="str">
        <f t="shared" ref="AK291:AN291" si="2540">IF(U291&gt;0,AK$3,"")</f>
        <v>Thomas</v>
      </c>
      <c r="AL291" s="78" t="str">
        <f t="shared" si="2540"/>
        <v/>
      </c>
      <c r="AM291" s="78" t="str">
        <f t="shared" si="2540"/>
        <v>Janus</v>
      </c>
      <c r="AN291" s="78" t="str">
        <f t="shared" si="2540"/>
        <v>Christian</v>
      </c>
      <c r="AO291" s="56">
        <f t="shared" si="25"/>
        <v>3</v>
      </c>
      <c r="AP291" s="8" t="str">
        <f t="shared" si="26"/>
        <v>Peter</v>
      </c>
      <c r="AQ291" s="73" t="str">
        <f>IFERROR(__xludf.DUMMYFUNCTION("IFNA(QUERY(transpose(AY291:BB291),""Select Col1 where Col1 is not null limit 1"",0))"),"")</f>
        <v/>
      </c>
      <c r="AR291" s="56"/>
      <c r="AS291" s="28" t="str">
        <f t="shared" ref="AS291:AV291" si="2541">IF(AK291=AS$3,"",AS$3)</f>
        <v/>
      </c>
      <c r="AT291" s="28" t="str">
        <f t="shared" si="2541"/>
        <v>Peter</v>
      </c>
      <c r="AU291" s="28" t="str">
        <f t="shared" si="2541"/>
        <v/>
      </c>
      <c r="AV291" s="28" t="str">
        <f t="shared" si="2541"/>
        <v/>
      </c>
      <c r="AW291" s="56">
        <f t="shared" si="28"/>
        <v>1</v>
      </c>
      <c r="AX291" s="28">
        <f t="shared" si="29"/>
        <v>-24</v>
      </c>
      <c r="AY291" s="28" t="str">
        <f t="shared" ref="AY291:BB291" si="2542">IFNA(IFS(AY$3=$AP291,"",$AX291=U291,AY$3),"")</f>
        <v/>
      </c>
      <c r="AZ291" s="28" t="str">
        <f t="shared" si="2542"/>
        <v/>
      </c>
      <c r="BA291" s="28" t="str">
        <f t="shared" si="2542"/>
        <v/>
      </c>
      <c r="BB291" s="28" t="str">
        <f t="shared" si="2542"/>
        <v/>
      </c>
      <c r="BC291" s="58">
        <f>OFFSET('00_Regnskab_01'!$A$1,MATCH(A291,'00_Regnskab_01'!$A$1:$A$25)-1,2)</f>
        <v>44518</v>
      </c>
      <c r="BE291" s="80">
        <f t="shared" ref="BE291:BH291" si="2543">if(U291&gt;0,1+BE290,0)</f>
        <v>1</v>
      </c>
      <c r="BF291" s="28">
        <f t="shared" si="2543"/>
        <v>0</v>
      </c>
      <c r="BG291" s="28">
        <f t="shared" si="2543"/>
        <v>2</v>
      </c>
      <c r="BH291" s="28">
        <f t="shared" si="2543"/>
        <v>1</v>
      </c>
      <c r="BJ291" s="28">
        <f t="shared" ref="BJ291:BM291" si="2544">if(U291&lt;0,1+BJ290,0)</f>
        <v>0</v>
      </c>
      <c r="BK291" s="28">
        <f t="shared" si="2544"/>
        <v>1</v>
      </c>
      <c r="BL291" s="28">
        <f t="shared" si="2544"/>
        <v>0</v>
      </c>
      <c r="BM291" s="28">
        <f t="shared" si="2544"/>
        <v>0</v>
      </c>
      <c r="BO291" s="74">
        <f t="shared" ref="BO291:BR291" si="2545">if(U291&gt;0,U291+BO290,0)</f>
        <v>8</v>
      </c>
      <c r="BP291" s="74">
        <f t="shared" si="2545"/>
        <v>0</v>
      </c>
      <c r="BQ291" s="74">
        <f t="shared" si="2545"/>
        <v>24</v>
      </c>
      <c r="BR291" s="74">
        <f t="shared" si="2545"/>
        <v>8</v>
      </c>
      <c r="BT291" s="28">
        <f t="shared" ref="BT291:BW291" si="2546">if(U291&lt;0,U291+BT290,0)</f>
        <v>0</v>
      </c>
      <c r="BU291" s="28">
        <f t="shared" si="2546"/>
        <v>-24</v>
      </c>
      <c r="BV291" s="28">
        <f t="shared" si="2546"/>
        <v>0</v>
      </c>
      <c r="BW291" s="28">
        <f t="shared" si="2546"/>
        <v>0</v>
      </c>
    </row>
    <row r="292">
      <c r="A292" s="53">
        <v>16.0</v>
      </c>
      <c r="B292" s="28">
        <f>'16_18-11-2021'!A24</f>
        <v>22</v>
      </c>
      <c r="C292" s="28">
        <f>'16_18-11-2021'!C24</f>
        <v>-152</v>
      </c>
      <c r="D292" s="28">
        <f>'16_18-11-2021'!E24</f>
        <v>184</v>
      </c>
      <c r="E292" s="28">
        <f>'16_18-11-2021'!D24</f>
        <v>-136</v>
      </c>
      <c r="F292" s="28">
        <f>'16_18-11-2021'!B24</f>
        <v>104</v>
      </c>
      <c r="G292" s="28">
        <f>'16_18-11-2021'!F24</f>
        <v>0</v>
      </c>
      <c r="H292" s="28" t="str">
        <f>'16_18-11-2021'!H24</f>
        <v>Thomas</v>
      </c>
      <c r="J292" s="76" t="str">
        <f>'16_18-11-2021'!I24</f>
        <v>Thomas</v>
      </c>
      <c r="K292" s="28" t="str">
        <f>'16_18-11-2021'!G24</f>
        <v>10 gode</v>
      </c>
      <c r="L292" s="56"/>
      <c r="M292" s="25">
        <v>10.0</v>
      </c>
      <c r="N292" s="25" t="s">
        <v>95</v>
      </c>
      <c r="T292" s="56"/>
      <c r="U292" s="77">
        <f t="shared" ref="U292:X292" si="2547">C292-C291</f>
        <v>-16</v>
      </c>
      <c r="V292" s="28">
        <f t="shared" si="2547"/>
        <v>-16</v>
      </c>
      <c r="W292" s="28">
        <f t="shared" si="2547"/>
        <v>16</v>
      </c>
      <c r="X292" s="28">
        <f t="shared" si="2547"/>
        <v>16</v>
      </c>
      <c r="AB292" s="28">
        <f t="shared" ref="AB292:AE292" si="2548">IF(AB$3=$H292,U292,"")</f>
        <v>-16</v>
      </c>
      <c r="AC292" s="28" t="str">
        <f t="shared" si="2548"/>
        <v/>
      </c>
      <c r="AD292" s="28" t="str">
        <f t="shared" si="2548"/>
        <v/>
      </c>
      <c r="AE292" s="28" t="str">
        <f t="shared" si="2548"/>
        <v/>
      </c>
      <c r="AH292" s="28">
        <f t="shared" si="22"/>
        <v>0</v>
      </c>
      <c r="AI292" s="28">
        <f t="shared" si="23"/>
        <v>-16</v>
      </c>
      <c r="AK292" s="78" t="str">
        <f t="shared" ref="AK292:AN292" si="2549">IF(U292&gt;0,AK$3,"")</f>
        <v/>
      </c>
      <c r="AL292" s="78" t="str">
        <f t="shared" si="2549"/>
        <v/>
      </c>
      <c r="AM292" s="78" t="str">
        <f t="shared" si="2549"/>
        <v>Janus</v>
      </c>
      <c r="AN292" s="78" t="str">
        <f t="shared" si="2549"/>
        <v>Christian</v>
      </c>
      <c r="AO292" s="56">
        <f t="shared" si="25"/>
        <v>2</v>
      </c>
      <c r="AP292" s="8" t="str">
        <f t="shared" si="26"/>
        <v>Thomas</v>
      </c>
      <c r="AQ292" s="73" t="str">
        <f>IFERROR(__xludf.DUMMYFUNCTION("IFNA(QUERY(transpose(AY292:BB292),""Select Col1 where Col1 is not null limit 1"",0))"),"Peter")</f>
        <v>Peter</v>
      </c>
      <c r="AR292" s="56"/>
      <c r="AS292" s="28" t="str">
        <f t="shared" ref="AS292:AV292" si="2550">IF(AK292=AS$3,"",AS$3)</f>
        <v>Thomas</v>
      </c>
      <c r="AT292" s="28" t="str">
        <f t="shared" si="2550"/>
        <v>Peter</v>
      </c>
      <c r="AU292" s="28" t="str">
        <f t="shared" si="2550"/>
        <v/>
      </c>
      <c r="AV292" s="28" t="str">
        <f t="shared" si="2550"/>
        <v/>
      </c>
      <c r="AW292" s="56">
        <f t="shared" si="28"/>
        <v>2</v>
      </c>
      <c r="AX292" s="28">
        <f t="shared" si="29"/>
        <v>-16</v>
      </c>
      <c r="AY292" s="28" t="str">
        <f t="shared" ref="AY292:BB292" si="2551">IFNA(IFS(AY$3=$AP292,"",$AX292=U292,AY$3),"")</f>
        <v/>
      </c>
      <c r="AZ292" s="28" t="str">
        <f t="shared" si="2551"/>
        <v>Peter</v>
      </c>
      <c r="BA292" s="28" t="str">
        <f t="shared" si="2551"/>
        <v/>
      </c>
      <c r="BB292" s="28" t="str">
        <f t="shared" si="2551"/>
        <v/>
      </c>
      <c r="BC292" s="58">
        <f>OFFSET('00_Regnskab_01'!$A$1,MATCH(A292,'00_Regnskab_01'!$A$1:$A$25)-1,2)</f>
        <v>44518</v>
      </c>
      <c r="BE292" s="80">
        <f t="shared" ref="BE292:BH292" si="2552">if(U292&gt;0,1+BE291,0)</f>
        <v>0</v>
      </c>
      <c r="BF292" s="28">
        <f t="shared" si="2552"/>
        <v>0</v>
      </c>
      <c r="BG292" s="28">
        <f t="shared" si="2552"/>
        <v>3</v>
      </c>
      <c r="BH292" s="28">
        <f t="shared" si="2552"/>
        <v>2</v>
      </c>
      <c r="BJ292" s="28">
        <f t="shared" ref="BJ292:BM292" si="2553">if(U292&lt;0,1+BJ291,0)</f>
        <v>1</v>
      </c>
      <c r="BK292" s="28">
        <f t="shared" si="2553"/>
        <v>2</v>
      </c>
      <c r="BL292" s="28">
        <f t="shared" si="2553"/>
        <v>0</v>
      </c>
      <c r="BM292" s="28">
        <f t="shared" si="2553"/>
        <v>0</v>
      </c>
      <c r="BO292" s="74">
        <f t="shared" ref="BO292:BR292" si="2554">if(U292&gt;0,U292+BO291,0)</f>
        <v>0</v>
      </c>
      <c r="BP292" s="74">
        <f t="shared" si="2554"/>
        <v>0</v>
      </c>
      <c r="BQ292" s="74">
        <f t="shared" si="2554"/>
        <v>40</v>
      </c>
      <c r="BR292" s="74">
        <f t="shared" si="2554"/>
        <v>24</v>
      </c>
      <c r="BT292" s="28">
        <f t="shared" ref="BT292:BW292" si="2555">if(U292&lt;0,U292+BT291,0)</f>
        <v>-16</v>
      </c>
      <c r="BU292" s="28">
        <f t="shared" si="2555"/>
        <v>-40</v>
      </c>
      <c r="BV292" s="28">
        <f t="shared" si="2555"/>
        <v>0</v>
      </c>
      <c r="BW292" s="28">
        <f t="shared" si="2555"/>
        <v>0</v>
      </c>
    </row>
    <row r="293">
      <c r="A293" s="53">
        <v>16.0</v>
      </c>
      <c r="B293" s="28">
        <f>'16_18-11-2021'!A25</f>
        <v>23</v>
      </c>
      <c r="C293" s="28">
        <f>'16_18-11-2021'!C25</f>
        <v>-144</v>
      </c>
      <c r="D293" s="28">
        <f>'16_18-11-2021'!E25</f>
        <v>192</v>
      </c>
      <c r="E293" s="28">
        <f>'16_18-11-2021'!D25</f>
        <v>-160</v>
      </c>
      <c r="F293" s="28">
        <f>'16_18-11-2021'!B25</f>
        <v>112</v>
      </c>
      <c r="G293" s="28">
        <f>'16_18-11-2021'!F25</f>
        <v>0</v>
      </c>
      <c r="H293" s="28" t="str">
        <f>'16_18-11-2021'!H25</f>
        <v>Janus</v>
      </c>
      <c r="J293" s="76" t="str">
        <f>'16_18-11-2021'!I25</f>
        <v>Janus</v>
      </c>
      <c r="K293" s="28" t="str">
        <f>'16_18-11-2021'!G25</f>
        <v>Ren sol</v>
      </c>
      <c r="L293" s="56"/>
      <c r="N293" s="25" t="s">
        <v>97</v>
      </c>
      <c r="T293" s="56"/>
      <c r="U293" s="77">
        <f t="shared" ref="U293:X293" si="2556">C293-C292</f>
        <v>8</v>
      </c>
      <c r="V293" s="28">
        <f t="shared" si="2556"/>
        <v>8</v>
      </c>
      <c r="W293" s="28">
        <f t="shared" si="2556"/>
        <v>-24</v>
      </c>
      <c r="X293" s="28">
        <f t="shared" si="2556"/>
        <v>8</v>
      </c>
      <c r="AB293" s="28" t="str">
        <f t="shared" ref="AB293:AE293" si="2557">IF(AB$3=$H293,U293,"")</f>
        <v/>
      </c>
      <c r="AC293" s="28" t="str">
        <f t="shared" si="2557"/>
        <v/>
      </c>
      <c r="AD293" s="28">
        <f t="shared" si="2557"/>
        <v>-24</v>
      </c>
      <c r="AE293" s="28" t="str">
        <f t="shared" si="2557"/>
        <v/>
      </c>
      <c r="AH293" s="28">
        <f t="shared" si="22"/>
        <v>0</v>
      </c>
      <c r="AI293" s="28">
        <f t="shared" si="23"/>
        <v>-24</v>
      </c>
      <c r="AK293" s="78" t="str">
        <f t="shared" ref="AK293:AN293" si="2558">IF(U293&gt;0,AK$3,"")</f>
        <v>Thomas</v>
      </c>
      <c r="AL293" s="78" t="str">
        <f t="shared" si="2558"/>
        <v>Peter</v>
      </c>
      <c r="AM293" s="78" t="str">
        <f t="shared" si="2558"/>
        <v/>
      </c>
      <c r="AN293" s="78" t="str">
        <f t="shared" si="2558"/>
        <v>Christian</v>
      </c>
      <c r="AO293" s="56">
        <f t="shared" si="25"/>
        <v>3</v>
      </c>
      <c r="AP293" s="8" t="str">
        <f t="shared" si="26"/>
        <v>Janus</v>
      </c>
      <c r="AQ293" s="73" t="str">
        <f>IFERROR(__xludf.DUMMYFUNCTION("IFNA(QUERY(transpose(AY293:BB293),""Select Col1 where Col1 is not null limit 1"",0))"),"")</f>
        <v/>
      </c>
      <c r="AR293" s="56"/>
      <c r="AS293" s="28" t="str">
        <f t="shared" ref="AS293:AV293" si="2559">IF(AK293=AS$3,"",AS$3)</f>
        <v/>
      </c>
      <c r="AT293" s="28" t="str">
        <f t="shared" si="2559"/>
        <v/>
      </c>
      <c r="AU293" s="28" t="str">
        <f t="shared" si="2559"/>
        <v>Janus</v>
      </c>
      <c r="AV293" s="28" t="str">
        <f t="shared" si="2559"/>
        <v/>
      </c>
      <c r="AW293" s="56">
        <f t="shared" si="28"/>
        <v>1</v>
      </c>
      <c r="AX293" s="28">
        <f t="shared" si="29"/>
        <v>-24</v>
      </c>
      <c r="AY293" s="28" t="str">
        <f t="shared" ref="AY293:BB293" si="2560">IFNA(IFS(AY$3=$AP293,"",$AX293=U293,AY$3),"")</f>
        <v/>
      </c>
      <c r="AZ293" s="28" t="str">
        <f t="shared" si="2560"/>
        <v/>
      </c>
      <c r="BA293" s="28" t="str">
        <f t="shared" si="2560"/>
        <v/>
      </c>
      <c r="BB293" s="28" t="str">
        <f t="shared" si="2560"/>
        <v/>
      </c>
      <c r="BC293" s="58">
        <f>OFFSET('00_Regnskab_01'!$A$1,MATCH(A293,'00_Regnskab_01'!$A$1:$A$25)-1,2)</f>
        <v>44518</v>
      </c>
      <c r="BE293" s="80">
        <f t="shared" ref="BE293:BH293" si="2561">if(U293&gt;0,1+BE292,0)</f>
        <v>1</v>
      </c>
      <c r="BF293" s="28">
        <f t="shared" si="2561"/>
        <v>1</v>
      </c>
      <c r="BG293" s="28">
        <f t="shared" si="2561"/>
        <v>0</v>
      </c>
      <c r="BH293" s="28">
        <f t="shared" si="2561"/>
        <v>3</v>
      </c>
      <c r="BJ293" s="28">
        <f t="shared" ref="BJ293:BM293" si="2562">if(U293&lt;0,1+BJ292,0)</f>
        <v>0</v>
      </c>
      <c r="BK293" s="28">
        <f t="shared" si="2562"/>
        <v>0</v>
      </c>
      <c r="BL293" s="28">
        <f t="shared" si="2562"/>
        <v>1</v>
      </c>
      <c r="BM293" s="28">
        <f t="shared" si="2562"/>
        <v>0</v>
      </c>
      <c r="BO293" s="74">
        <f t="shared" ref="BO293:BR293" si="2563">if(U293&gt;0,U293+BO292,0)</f>
        <v>8</v>
      </c>
      <c r="BP293" s="74">
        <f t="shared" si="2563"/>
        <v>8</v>
      </c>
      <c r="BQ293" s="74">
        <f t="shared" si="2563"/>
        <v>0</v>
      </c>
      <c r="BR293" s="74">
        <f t="shared" si="2563"/>
        <v>32</v>
      </c>
      <c r="BT293" s="28">
        <f t="shared" ref="BT293:BW293" si="2564">if(U293&lt;0,U293+BT292,0)</f>
        <v>0</v>
      </c>
      <c r="BU293" s="28">
        <f t="shared" si="2564"/>
        <v>0</v>
      </c>
      <c r="BV293" s="28">
        <f t="shared" si="2564"/>
        <v>-24</v>
      </c>
      <c r="BW293" s="28">
        <f t="shared" si="2564"/>
        <v>0</v>
      </c>
    </row>
    <row r="294">
      <c r="A294" s="53">
        <v>16.0</v>
      </c>
      <c r="B294" s="28">
        <f>'16_18-11-2021'!A26</f>
        <v>24</v>
      </c>
      <c r="C294" s="28">
        <f>'16_18-11-2021'!C26</f>
        <v>-112</v>
      </c>
      <c r="D294" s="28">
        <f>'16_18-11-2021'!E26</f>
        <v>160</v>
      </c>
      <c r="E294" s="28">
        <f>'16_18-11-2021'!D26</f>
        <v>-192</v>
      </c>
      <c r="F294" s="28">
        <f>'16_18-11-2021'!B26</f>
        <v>144</v>
      </c>
      <c r="G294" s="28">
        <f>'16_18-11-2021'!F26</f>
        <v>0</v>
      </c>
      <c r="H294" s="28" t="str">
        <f>'16_18-11-2021'!H26</f>
        <v>Thomas</v>
      </c>
      <c r="J294" s="76" t="str">
        <f>'16_18-11-2021'!I26</f>
        <v>Peter</v>
      </c>
      <c r="K294" s="28" t="str">
        <f>'16_18-11-2021'!G26</f>
        <v>9 vip i 3</v>
      </c>
      <c r="L294" s="56"/>
      <c r="M294" s="25">
        <v>9.0</v>
      </c>
      <c r="N294" s="25" t="s">
        <v>86</v>
      </c>
      <c r="O294" s="25">
        <v>3.0</v>
      </c>
      <c r="T294" s="56"/>
      <c r="U294" s="77">
        <f t="shared" ref="U294:X294" si="2565">C294-C293</f>
        <v>32</v>
      </c>
      <c r="V294" s="28">
        <f t="shared" si="2565"/>
        <v>-32</v>
      </c>
      <c r="W294" s="28">
        <f t="shared" si="2565"/>
        <v>-32</v>
      </c>
      <c r="X294" s="28">
        <f t="shared" si="2565"/>
        <v>32</v>
      </c>
      <c r="AB294" s="28">
        <f t="shared" ref="AB294:AE294" si="2566">IF(AB$3=$H294,U294,"")</f>
        <v>32</v>
      </c>
      <c r="AC294" s="28" t="str">
        <f t="shared" si="2566"/>
        <v/>
      </c>
      <c r="AD294" s="28" t="str">
        <f t="shared" si="2566"/>
        <v/>
      </c>
      <c r="AE294" s="28" t="str">
        <f t="shared" si="2566"/>
        <v/>
      </c>
      <c r="AH294" s="28">
        <f t="shared" si="22"/>
        <v>32</v>
      </c>
      <c r="AI294" s="28">
        <f t="shared" si="23"/>
        <v>0</v>
      </c>
      <c r="AK294" s="78" t="str">
        <f t="shared" ref="AK294:AN294" si="2567">IF(U294&gt;0,AK$3,"")</f>
        <v>Thomas</v>
      </c>
      <c r="AL294" s="78" t="str">
        <f t="shared" si="2567"/>
        <v/>
      </c>
      <c r="AM294" s="78" t="str">
        <f t="shared" si="2567"/>
        <v/>
      </c>
      <c r="AN294" s="78" t="str">
        <f t="shared" si="2567"/>
        <v>Christian</v>
      </c>
      <c r="AO294" s="56">
        <f t="shared" si="25"/>
        <v>2</v>
      </c>
      <c r="AP294" s="8" t="str">
        <f t="shared" si="26"/>
        <v>Thomas</v>
      </c>
      <c r="AQ294" s="73" t="str">
        <f>IFERROR(__xludf.DUMMYFUNCTION("IFNA(QUERY(transpose(AY294:BB294),""Select Col1 where Col1 is not null limit 1"",0))"),"Christian")</f>
        <v>Christian</v>
      </c>
      <c r="AR294" s="56"/>
      <c r="AS294" s="28" t="str">
        <f t="shared" ref="AS294:AV294" si="2568">IF(AK294=AS$3,"",AS$3)</f>
        <v/>
      </c>
      <c r="AT294" s="28" t="str">
        <f t="shared" si="2568"/>
        <v>Peter</v>
      </c>
      <c r="AU294" s="28" t="str">
        <f t="shared" si="2568"/>
        <v>Janus</v>
      </c>
      <c r="AV294" s="28" t="str">
        <f t="shared" si="2568"/>
        <v/>
      </c>
      <c r="AW294" s="56">
        <f t="shared" si="28"/>
        <v>2</v>
      </c>
      <c r="AX294" s="28">
        <f t="shared" si="29"/>
        <v>32</v>
      </c>
      <c r="AY294" s="28" t="str">
        <f t="shared" ref="AY294:BB294" si="2569">IFNA(IFS(AY$3=$AP294,"",$AX294=U294,AY$3),"")</f>
        <v/>
      </c>
      <c r="AZ294" s="28" t="str">
        <f t="shared" si="2569"/>
        <v/>
      </c>
      <c r="BA294" s="28" t="str">
        <f t="shared" si="2569"/>
        <v/>
      </c>
      <c r="BB294" s="28" t="str">
        <f t="shared" si="2569"/>
        <v>Christian</v>
      </c>
      <c r="BC294" s="58">
        <f>OFFSET('00_Regnskab_01'!$A$1,MATCH(A294,'00_Regnskab_01'!$A$1:$A$25)-1,2)</f>
        <v>44518</v>
      </c>
      <c r="BE294" s="80">
        <f t="shared" ref="BE294:BH294" si="2570">if(U294&gt;0,1+BE293,0)</f>
        <v>2</v>
      </c>
      <c r="BF294" s="28">
        <f t="shared" si="2570"/>
        <v>0</v>
      </c>
      <c r="BG294" s="28">
        <f t="shared" si="2570"/>
        <v>0</v>
      </c>
      <c r="BH294" s="28">
        <f t="shared" si="2570"/>
        <v>4</v>
      </c>
      <c r="BJ294" s="28">
        <f t="shared" ref="BJ294:BM294" si="2571">if(U294&lt;0,1+BJ293,0)</f>
        <v>0</v>
      </c>
      <c r="BK294" s="28">
        <f t="shared" si="2571"/>
        <v>1</v>
      </c>
      <c r="BL294" s="28">
        <f t="shared" si="2571"/>
        <v>2</v>
      </c>
      <c r="BM294" s="28">
        <f t="shared" si="2571"/>
        <v>0</v>
      </c>
      <c r="BO294" s="74">
        <f t="shared" ref="BO294:BR294" si="2572">if(U294&gt;0,U294+BO293,0)</f>
        <v>40</v>
      </c>
      <c r="BP294" s="74">
        <f t="shared" si="2572"/>
        <v>0</v>
      </c>
      <c r="BQ294" s="74">
        <f t="shared" si="2572"/>
        <v>0</v>
      </c>
      <c r="BR294" s="74">
        <f t="shared" si="2572"/>
        <v>64</v>
      </c>
      <c r="BT294" s="28">
        <f t="shared" ref="BT294:BW294" si="2573">if(U294&lt;0,U294+BT293,0)</f>
        <v>0</v>
      </c>
      <c r="BU294" s="28">
        <f t="shared" si="2573"/>
        <v>-32</v>
      </c>
      <c r="BV294" s="28">
        <f t="shared" si="2573"/>
        <v>-56</v>
      </c>
      <c r="BW294" s="28">
        <f t="shared" si="2573"/>
        <v>0</v>
      </c>
    </row>
    <row r="295">
      <c r="A295" s="53">
        <v>16.0</v>
      </c>
      <c r="B295" s="28">
        <f>'16_18-11-2021'!A27</f>
        <v>25</v>
      </c>
      <c r="C295" s="28">
        <f>'16_18-11-2021'!C27</f>
        <v>-88</v>
      </c>
      <c r="D295" s="28">
        <f>'16_18-11-2021'!E27</f>
        <v>152</v>
      </c>
      <c r="E295" s="28">
        <f>'16_18-11-2021'!D27</f>
        <v>-200</v>
      </c>
      <c r="F295" s="28">
        <f>'16_18-11-2021'!B27</f>
        <v>136</v>
      </c>
      <c r="G295" s="28">
        <f>'16_18-11-2021'!F27</f>
        <v>0</v>
      </c>
      <c r="H295" s="28" t="str">
        <f>'16_18-11-2021'!H27</f>
        <v>Thomas</v>
      </c>
      <c r="J295" s="76" t="str">
        <f>'16_18-11-2021'!I27</f>
        <v>Christian </v>
      </c>
      <c r="K295" s="28" t="str">
        <f>'16_18-11-2021'!G27</f>
        <v>9 vip 1</v>
      </c>
      <c r="L295" s="56"/>
      <c r="M295" s="25">
        <v>9.0</v>
      </c>
      <c r="N295" s="25" t="s">
        <v>86</v>
      </c>
      <c r="O295" s="25">
        <v>1.0</v>
      </c>
      <c r="T295" s="56"/>
      <c r="U295" s="77">
        <f t="shared" ref="U295:X295" si="2574">C295-C294</f>
        <v>24</v>
      </c>
      <c r="V295" s="28">
        <f t="shared" si="2574"/>
        <v>-8</v>
      </c>
      <c r="W295" s="28">
        <f t="shared" si="2574"/>
        <v>-8</v>
      </c>
      <c r="X295" s="28">
        <f t="shared" si="2574"/>
        <v>-8</v>
      </c>
      <c r="AB295" s="28">
        <f t="shared" ref="AB295:AE295" si="2575">IF(AB$3=$H295,U295,"")</f>
        <v>24</v>
      </c>
      <c r="AC295" s="28" t="str">
        <f t="shared" si="2575"/>
        <v/>
      </c>
      <c r="AD295" s="28" t="str">
        <f t="shared" si="2575"/>
        <v/>
      </c>
      <c r="AE295" s="28" t="str">
        <f t="shared" si="2575"/>
        <v/>
      </c>
      <c r="AH295" s="28">
        <f t="shared" si="22"/>
        <v>24</v>
      </c>
      <c r="AI295" s="28">
        <f t="shared" si="23"/>
        <v>0</v>
      </c>
      <c r="AK295" s="78" t="str">
        <f t="shared" ref="AK295:AN295" si="2576">IF(U295&gt;0,AK$3,"")</f>
        <v>Thomas</v>
      </c>
      <c r="AL295" s="78" t="str">
        <f t="shared" si="2576"/>
        <v/>
      </c>
      <c r="AM295" s="78" t="str">
        <f t="shared" si="2576"/>
        <v/>
      </c>
      <c r="AN295" s="78" t="str">
        <f t="shared" si="2576"/>
        <v/>
      </c>
      <c r="AO295" s="56">
        <f t="shared" si="25"/>
        <v>1</v>
      </c>
      <c r="AP295" s="8" t="str">
        <f t="shared" si="26"/>
        <v>Thomas</v>
      </c>
      <c r="AQ295" s="73" t="str">
        <f>IFERROR(__xludf.DUMMYFUNCTION("IFNA(QUERY(transpose(AY295:BB295),""Select Col1 where Col1 is not null limit 1"",0))"),"")</f>
        <v/>
      </c>
      <c r="AR295" s="56"/>
      <c r="AS295" s="28" t="str">
        <f t="shared" ref="AS295:AV295" si="2577">IF(AK295=AS$3,"",AS$3)</f>
        <v/>
      </c>
      <c r="AT295" s="28" t="str">
        <f t="shared" si="2577"/>
        <v>Peter</v>
      </c>
      <c r="AU295" s="28" t="str">
        <f t="shared" si="2577"/>
        <v>Janus</v>
      </c>
      <c r="AV295" s="28" t="str">
        <f t="shared" si="2577"/>
        <v>Christian</v>
      </c>
      <c r="AW295" s="56">
        <f t="shared" si="28"/>
        <v>3</v>
      </c>
      <c r="AX295" s="28">
        <f t="shared" si="29"/>
        <v>24</v>
      </c>
      <c r="AY295" s="28" t="str">
        <f t="shared" ref="AY295:BB295" si="2578">IFNA(IFS(AY$3=$AP295,"",$AX295=U295,AY$3),"")</f>
        <v/>
      </c>
      <c r="AZ295" s="28" t="str">
        <f t="shared" si="2578"/>
        <v/>
      </c>
      <c r="BA295" s="28" t="str">
        <f t="shared" si="2578"/>
        <v/>
      </c>
      <c r="BB295" s="28" t="str">
        <f t="shared" si="2578"/>
        <v/>
      </c>
      <c r="BC295" s="58">
        <f>OFFSET('00_Regnskab_01'!$A$1,MATCH(A295,'00_Regnskab_01'!$A$1:$A$25)-1,2)</f>
        <v>44518</v>
      </c>
      <c r="BE295" s="80">
        <f t="shared" ref="BE295:BH295" si="2579">if(U295&gt;0,1+BE294,0)</f>
        <v>3</v>
      </c>
      <c r="BF295" s="28">
        <f t="shared" si="2579"/>
        <v>0</v>
      </c>
      <c r="BG295" s="28">
        <f t="shared" si="2579"/>
        <v>0</v>
      </c>
      <c r="BH295" s="28">
        <f t="shared" si="2579"/>
        <v>0</v>
      </c>
      <c r="BJ295" s="28">
        <f t="shared" ref="BJ295:BM295" si="2580">if(U295&lt;0,1+BJ294,0)</f>
        <v>0</v>
      </c>
      <c r="BK295" s="28">
        <f t="shared" si="2580"/>
        <v>2</v>
      </c>
      <c r="BL295" s="28">
        <f t="shared" si="2580"/>
        <v>3</v>
      </c>
      <c r="BM295" s="28">
        <f t="shared" si="2580"/>
        <v>1</v>
      </c>
      <c r="BO295" s="74">
        <f t="shared" ref="BO295:BR295" si="2581">if(U295&gt;0,U295+BO294,0)</f>
        <v>64</v>
      </c>
      <c r="BP295" s="74">
        <f t="shared" si="2581"/>
        <v>0</v>
      </c>
      <c r="BQ295" s="74">
        <f t="shared" si="2581"/>
        <v>0</v>
      </c>
      <c r="BR295" s="74">
        <f t="shared" si="2581"/>
        <v>0</v>
      </c>
      <c r="BT295" s="28">
        <f t="shared" ref="BT295:BW295" si="2582">if(U295&lt;0,U295+BT294,0)</f>
        <v>0</v>
      </c>
      <c r="BU295" s="28">
        <f t="shared" si="2582"/>
        <v>-40</v>
      </c>
      <c r="BV295" s="28">
        <f t="shared" si="2582"/>
        <v>-64</v>
      </c>
      <c r="BW295" s="28">
        <f t="shared" si="2582"/>
        <v>-8</v>
      </c>
    </row>
    <row r="296">
      <c r="A296" s="53">
        <v>16.0</v>
      </c>
      <c r="B296" s="28">
        <f>'16_18-11-2021'!A28</f>
        <v>26</v>
      </c>
      <c r="C296" s="28">
        <f>'16_18-11-2021'!C28</f>
        <v>-108</v>
      </c>
      <c r="D296" s="28">
        <f>'16_18-11-2021'!E28</f>
        <v>172</v>
      </c>
      <c r="E296" s="28">
        <f>'16_18-11-2021'!D28</f>
        <v>-180</v>
      </c>
      <c r="F296" s="28">
        <f>'16_18-11-2021'!B28</f>
        <v>116</v>
      </c>
      <c r="G296" s="28">
        <f>'16_18-11-2021'!F28</f>
        <v>0</v>
      </c>
      <c r="H296" s="28" t="str">
        <f>'16_18-11-2021'!H28</f>
        <v>Peter</v>
      </c>
      <c r="J296" s="76" t="str">
        <f>'16_18-11-2021'!I28</f>
        <v>Thomas</v>
      </c>
      <c r="K296" s="28" t="str">
        <f>'16_18-11-2021'!G28</f>
        <v>9 halve</v>
      </c>
      <c r="L296" s="56"/>
      <c r="M296" s="25">
        <v>9.0</v>
      </c>
      <c r="N296" s="25" t="s">
        <v>94</v>
      </c>
      <c r="T296" s="56"/>
      <c r="U296" s="77">
        <f t="shared" ref="U296:X296" si="2583">C296-C295</f>
        <v>-20</v>
      </c>
      <c r="V296" s="28">
        <f t="shared" si="2583"/>
        <v>20</v>
      </c>
      <c r="W296" s="28">
        <f t="shared" si="2583"/>
        <v>20</v>
      </c>
      <c r="X296" s="28">
        <f t="shared" si="2583"/>
        <v>-20</v>
      </c>
      <c r="AB296" s="28" t="str">
        <f t="shared" ref="AB296:AE296" si="2584">IF(AB$3=$H296,U296,"")</f>
        <v/>
      </c>
      <c r="AC296" s="28">
        <f t="shared" si="2584"/>
        <v>20</v>
      </c>
      <c r="AD296" s="28" t="str">
        <f t="shared" si="2584"/>
        <v/>
      </c>
      <c r="AE296" s="28" t="str">
        <f t="shared" si="2584"/>
        <v/>
      </c>
      <c r="AH296" s="28">
        <f t="shared" si="22"/>
        <v>20</v>
      </c>
      <c r="AI296" s="28">
        <f t="shared" si="23"/>
        <v>0</v>
      </c>
      <c r="AK296" s="78" t="str">
        <f t="shared" ref="AK296:AN296" si="2585">IF(U296&gt;0,AK$3,"")</f>
        <v/>
      </c>
      <c r="AL296" s="78" t="str">
        <f t="shared" si="2585"/>
        <v>Peter</v>
      </c>
      <c r="AM296" s="78" t="str">
        <f t="shared" si="2585"/>
        <v>Janus</v>
      </c>
      <c r="AN296" s="78" t="str">
        <f t="shared" si="2585"/>
        <v/>
      </c>
      <c r="AO296" s="56">
        <f t="shared" si="25"/>
        <v>2</v>
      </c>
      <c r="AP296" s="8" t="str">
        <f t="shared" si="26"/>
        <v>Peter</v>
      </c>
      <c r="AQ296" s="73" t="str">
        <f>IFERROR(__xludf.DUMMYFUNCTION("IFNA(QUERY(transpose(AY296:BB296),""Select Col1 where Col1 is not null limit 1"",0))"),"Janus")</f>
        <v>Janus</v>
      </c>
      <c r="AR296" s="56"/>
      <c r="AS296" s="28" t="str">
        <f t="shared" ref="AS296:AV296" si="2586">IF(AK296=AS$3,"",AS$3)</f>
        <v>Thomas</v>
      </c>
      <c r="AT296" s="28" t="str">
        <f t="shared" si="2586"/>
        <v/>
      </c>
      <c r="AU296" s="28" t="str">
        <f t="shared" si="2586"/>
        <v/>
      </c>
      <c r="AV296" s="28" t="str">
        <f t="shared" si="2586"/>
        <v>Christian</v>
      </c>
      <c r="AW296" s="56">
        <f t="shared" si="28"/>
        <v>2</v>
      </c>
      <c r="AX296" s="28">
        <f t="shared" si="29"/>
        <v>20</v>
      </c>
      <c r="AY296" s="28" t="str">
        <f t="shared" ref="AY296:BB296" si="2587">IFNA(IFS(AY$3=$AP296,"",$AX296=U296,AY$3),"")</f>
        <v/>
      </c>
      <c r="AZ296" s="28" t="str">
        <f t="shared" si="2587"/>
        <v/>
      </c>
      <c r="BA296" s="28" t="str">
        <f t="shared" si="2587"/>
        <v>Janus</v>
      </c>
      <c r="BB296" s="28" t="str">
        <f t="shared" si="2587"/>
        <v/>
      </c>
      <c r="BC296" s="58">
        <f>OFFSET('00_Regnskab_01'!$A$1,MATCH(A296,'00_Regnskab_01'!$A$1:$A$25)-1,2)</f>
        <v>44518</v>
      </c>
      <c r="BE296" s="80">
        <f t="shared" ref="BE296:BH296" si="2588">if(U296&gt;0,1+BE295,0)</f>
        <v>0</v>
      </c>
      <c r="BF296" s="28">
        <f t="shared" si="2588"/>
        <v>1</v>
      </c>
      <c r="BG296" s="28">
        <f t="shared" si="2588"/>
        <v>1</v>
      </c>
      <c r="BH296" s="28">
        <f t="shared" si="2588"/>
        <v>0</v>
      </c>
      <c r="BJ296" s="28">
        <f t="shared" ref="BJ296:BM296" si="2589">if(U296&lt;0,1+BJ295,0)</f>
        <v>1</v>
      </c>
      <c r="BK296" s="28">
        <f t="shared" si="2589"/>
        <v>0</v>
      </c>
      <c r="BL296" s="28">
        <f t="shared" si="2589"/>
        <v>0</v>
      </c>
      <c r="BM296" s="28">
        <f t="shared" si="2589"/>
        <v>2</v>
      </c>
      <c r="BO296" s="74">
        <f t="shared" ref="BO296:BR296" si="2590">if(U296&gt;0,U296+BO295,0)</f>
        <v>0</v>
      </c>
      <c r="BP296" s="74">
        <f t="shared" si="2590"/>
        <v>20</v>
      </c>
      <c r="BQ296" s="74">
        <f t="shared" si="2590"/>
        <v>20</v>
      </c>
      <c r="BR296" s="74">
        <f t="shared" si="2590"/>
        <v>0</v>
      </c>
      <c r="BT296" s="28">
        <f t="shared" ref="BT296:BW296" si="2591">if(U296&lt;0,U296+BT295,0)</f>
        <v>-20</v>
      </c>
      <c r="BU296" s="28">
        <f t="shared" si="2591"/>
        <v>0</v>
      </c>
      <c r="BV296" s="28">
        <f t="shared" si="2591"/>
        <v>0</v>
      </c>
      <c r="BW296" s="28">
        <f t="shared" si="2591"/>
        <v>-28</v>
      </c>
    </row>
    <row r="297">
      <c r="A297" s="83">
        <v>16.0</v>
      </c>
      <c r="B297" s="84">
        <f>'16_18-11-2021'!A29</f>
        <v>27</v>
      </c>
      <c r="C297" s="84">
        <f>'16_18-11-2021'!C29</f>
        <v>-300</v>
      </c>
      <c r="D297" s="84">
        <f>'16_18-11-2021'!E29</f>
        <v>-20</v>
      </c>
      <c r="E297" s="84">
        <f>'16_18-11-2021'!D29</f>
        <v>12</v>
      </c>
      <c r="F297" s="84">
        <f>'16_18-11-2021'!B29</f>
        <v>308</v>
      </c>
      <c r="G297" s="84">
        <f>'16_18-11-2021'!F29</f>
        <v>0</v>
      </c>
      <c r="H297" s="84" t="str">
        <f>'16_18-11-2021'!H29</f>
        <v>Thomas</v>
      </c>
      <c r="I297" s="84"/>
      <c r="J297" s="86" t="str">
        <f>'16_18-11-2021'!I29</f>
        <v>Janus</v>
      </c>
      <c r="K297" s="84" t="str">
        <f>'16_18-11-2021'!G29</f>
        <v>9 vip i 3.</v>
      </c>
      <c r="L297" s="84"/>
      <c r="M297" s="87">
        <v>9.0</v>
      </c>
      <c r="N297" s="87" t="s">
        <v>86</v>
      </c>
      <c r="O297" s="87">
        <v>3.0</v>
      </c>
      <c r="P297" s="84"/>
      <c r="Q297" s="84"/>
      <c r="R297" s="84"/>
      <c r="S297" s="84"/>
      <c r="T297" s="84"/>
      <c r="U297" s="88">
        <f t="shared" ref="U297:X297" si="2592">C297-C296</f>
        <v>-192</v>
      </c>
      <c r="V297" s="84">
        <f t="shared" si="2592"/>
        <v>-192</v>
      </c>
      <c r="W297" s="84">
        <f t="shared" si="2592"/>
        <v>192</v>
      </c>
      <c r="X297" s="84">
        <f t="shared" si="2592"/>
        <v>192</v>
      </c>
      <c r="Y297" s="84"/>
      <c r="Z297" s="84"/>
      <c r="AA297" s="84"/>
      <c r="AB297" s="84">
        <f t="shared" ref="AB297:AE297" si="2593">IF(AB$3=$H297,U297,"")</f>
        <v>-192</v>
      </c>
      <c r="AC297" s="84" t="str">
        <f t="shared" si="2593"/>
        <v/>
      </c>
      <c r="AD297" s="84" t="str">
        <f t="shared" si="2593"/>
        <v/>
      </c>
      <c r="AE297" s="84" t="str">
        <f t="shared" si="2593"/>
        <v/>
      </c>
      <c r="AF297" s="84"/>
      <c r="AG297" s="84"/>
      <c r="AH297" s="84">
        <f t="shared" si="22"/>
        <v>0</v>
      </c>
      <c r="AI297" s="84">
        <f t="shared" si="23"/>
        <v>-192</v>
      </c>
      <c r="AJ297" s="84"/>
      <c r="AK297" s="78" t="str">
        <f t="shared" ref="AK297:AN297" si="2594">IF(U297&gt;0,AK$3,"")</f>
        <v/>
      </c>
      <c r="AL297" s="78" t="str">
        <f t="shared" si="2594"/>
        <v/>
      </c>
      <c r="AM297" s="78" t="str">
        <f t="shared" si="2594"/>
        <v>Janus</v>
      </c>
      <c r="AN297" s="78" t="str">
        <f t="shared" si="2594"/>
        <v>Christian</v>
      </c>
      <c r="AO297" s="56">
        <f t="shared" si="25"/>
        <v>2</v>
      </c>
      <c r="AP297" s="8" t="str">
        <f t="shared" si="26"/>
        <v>Thomas</v>
      </c>
      <c r="AQ297" s="73" t="str">
        <f>IFERROR(__xludf.DUMMYFUNCTION("IFNA(QUERY(transpose(AY297:BB297),""Select Col1 where Col1 is not null limit 1"",0))"),"Peter")</f>
        <v>Peter</v>
      </c>
      <c r="AR297" s="56"/>
      <c r="AS297" s="28" t="str">
        <f t="shared" ref="AS297:AV297" si="2595">IF(AK297=AS$3,"",AS$3)</f>
        <v>Thomas</v>
      </c>
      <c r="AT297" s="28" t="str">
        <f t="shared" si="2595"/>
        <v>Peter</v>
      </c>
      <c r="AU297" s="28" t="str">
        <f t="shared" si="2595"/>
        <v/>
      </c>
      <c r="AV297" s="28" t="str">
        <f t="shared" si="2595"/>
        <v/>
      </c>
      <c r="AW297" s="56">
        <f t="shared" si="28"/>
        <v>2</v>
      </c>
      <c r="AX297" s="28">
        <f t="shared" si="29"/>
        <v>-192</v>
      </c>
      <c r="AY297" s="28" t="str">
        <f t="shared" ref="AY297:BB297" si="2596">IFNA(IFS(AY$3=$AP297,"",$AX297=U297,AY$3),"")</f>
        <v/>
      </c>
      <c r="AZ297" s="28" t="str">
        <f t="shared" si="2596"/>
        <v>Peter</v>
      </c>
      <c r="BA297" s="28" t="str">
        <f t="shared" si="2596"/>
        <v/>
      </c>
      <c r="BB297" s="28" t="str">
        <f t="shared" si="2596"/>
        <v/>
      </c>
      <c r="BC297" s="58">
        <f>OFFSET('00_Regnskab_01'!$A$1,MATCH(A297,'00_Regnskab_01'!$A$1:$A$25)-1,2)</f>
        <v>44518</v>
      </c>
      <c r="BD297" s="84"/>
      <c r="BE297" s="80">
        <f t="shared" ref="BE297:BH297" si="2597">if(U297&gt;0,1+BE296,0)</f>
        <v>0</v>
      </c>
      <c r="BF297" s="28">
        <f t="shared" si="2597"/>
        <v>0</v>
      </c>
      <c r="BG297" s="28">
        <f t="shared" si="2597"/>
        <v>2</v>
      </c>
      <c r="BH297" s="28">
        <f t="shared" si="2597"/>
        <v>1</v>
      </c>
      <c r="BI297" s="84"/>
      <c r="BJ297" s="28">
        <f t="shared" ref="BJ297:BM297" si="2598">if(U297&lt;0,1+BJ296,0)</f>
        <v>2</v>
      </c>
      <c r="BK297" s="28">
        <f t="shared" si="2598"/>
        <v>1</v>
      </c>
      <c r="BL297" s="28">
        <f t="shared" si="2598"/>
        <v>0</v>
      </c>
      <c r="BM297" s="28">
        <f t="shared" si="2598"/>
        <v>0</v>
      </c>
      <c r="BO297" s="74">
        <f t="shared" ref="BO297:BR297" si="2599">if(U297&gt;0,U297+BO296,0)</f>
        <v>0</v>
      </c>
      <c r="BP297" s="74">
        <f t="shared" si="2599"/>
        <v>0</v>
      </c>
      <c r="BQ297" s="74">
        <f t="shared" si="2599"/>
        <v>212</v>
      </c>
      <c r="BR297" s="74">
        <f t="shared" si="2599"/>
        <v>192</v>
      </c>
      <c r="BT297" s="28">
        <f t="shared" ref="BT297:BW297" si="2600">if(U297&lt;0,U297+BT296,0)</f>
        <v>-212</v>
      </c>
      <c r="BU297" s="28">
        <f t="shared" si="2600"/>
        <v>-192</v>
      </c>
      <c r="BV297" s="28">
        <f t="shared" si="2600"/>
        <v>0</v>
      </c>
      <c r="BW297" s="28">
        <f t="shared" si="2600"/>
        <v>0</v>
      </c>
      <c r="BX297" s="84"/>
      <c r="BY297" s="84"/>
    </row>
    <row r="298">
      <c r="A298" s="51">
        <v>17.0</v>
      </c>
      <c r="B298" s="32">
        <f>'17_25-02-2022'!A3</f>
        <v>1</v>
      </c>
      <c r="C298" s="32">
        <f>'17_25-02-2022'!E3</f>
        <v>-12</v>
      </c>
      <c r="D298" s="32">
        <f>'17_25-02-2022'!H3</f>
        <v>12</v>
      </c>
      <c r="E298" s="32">
        <f>'17_25-02-2022'!F3</f>
        <v>12</v>
      </c>
      <c r="F298" s="32">
        <f>'17_25-02-2022'!G3</f>
        <v>-12</v>
      </c>
      <c r="G298" s="32">
        <f>'17_25-02-2022'!I3</f>
        <v>0</v>
      </c>
      <c r="H298" s="32" t="str">
        <f>'17_25-02-2022'!D3</f>
        <v>Christian</v>
      </c>
      <c r="I298" s="32"/>
      <c r="J298" s="70" t="str">
        <f>'17_25-02-2022'!B3</f>
        <v>Thomas</v>
      </c>
      <c r="K298" s="32" t="str">
        <f>'17_25-02-2022'!C3</f>
        <v>9 gode</v>
      </c>
      <c r="L298" s="32"/>
      <c r="M298" s="48">
        <v>9.0</v>
      </c>
      <c r="N298" s="48" t="s">
        <v>95</v>
      </c>
      <c r="O298" s="32"/>
      <c r="P298" s="32"/>
      <c r="Q298" s="32"/>
      <c r="R298" s="32"/>
      <c r="S298" s="32"/>
      <c r="T298" s="32"/>
      <c r="U298" s="71">
        <f t="shared" ref="U298:X298" si="2601">C298</f>
        <v>-12</v>
      </c>
      <c r="V298" s="32">
        <f t="shared" si="2601"/>
        <v>12</v>
      </c>
      <c r="W298" s="32">
        <f t="shared" si="2601"/>
        <v>12</v>
      </c>
      <c r="X298" s="32">
        <f t="shared" si="2601"/>
        <v>-12</v>
      </c>
      <c r="Y298" s="32"/>
      <c r="Z298" s="32"/>
      <c r="AA298" s="32"/>
      <c r="AB298" s="32" t="str">
        <f t="shared" ref="AB298:AE298" si="2602">IF(AB$3=$H298,U298,"")</f>
        <v/>
      </c>
      <c r="AC298" s="32" t="str">
        <f t="shared" si="2602"/>
        <v/>
      </c>
      <c r="AD298" s="32" t="str">
        <f t="shared" si="2602"/>
        <v/>
      </c>
      <c r="AE298" s="32">
        <f t="shared" si="2602"/>
        <v>-12</v>
      </c>
      <c r="AF298" s="32"/>
      <c r="AG298" s="32"/>
      <c r="AH298" s="32">
        <f t="shared" si="22"/>
        <v>0</v>
      </c>
      <c r="AI298" s="32">
        <f t="shared" si="23"/>
        <v>-12</v>
      </c>
      <c r="AJ298" s="32"/>
      <c r="AK298" s="78" t="str">
        <f t="shared" ref="AK298:AN298" si="2603">IF(U298&gt;0,AK$3,"")</f>
        <v/>
      </c>
      <c r="AL298" s="78" t="str">
        <f t="shared" si="2603"/>
        <v>Peter</v>
      </c>
      <c r="AM298" s="78" t="str">
        <f t="shared" si="2603"/>
        <v>Janus</v>
      </c>
      <c r="AN298" s="78" t="str">
        <f t="shared" si="2603"/>
        <v/>
      </c>
      <c r="AO298" s="56">
        <f t="shared" si="25"/>
        <v>2</v>
      </c>
      <c r="AP298" s="8" t="str">
        <f t="shared" si="26"/>
        <v>Christian</v>
      </c>
      <c r="AQ298" s="73" t="str">
        <f>IFERROR(__xludf.DUMMYFUNCTION("IFNA(QUERY(transpose(AY298:BB298),""Select Col1 where Col1 is not null limit 1"",0))"),"Thomas")</f>
        <v>Thomas</v>
      </c>
      <c r="AR298" s="56"/>
      <c r="AS298" s="28" t="str">
        <f t="shared" ref="AS298:AV298" si="2604">IF(AK298=AS$3,"",AS$3)</f>
        <v>Thomas</v>
      </c>
      <c r="AT298" s="28" t="str">
        <f t="shared" si="2604"/>
        <v/>
      </c>
      <c r="AU298" s="28" t="str">
        <f t="shared" si="2604"/>
        <v/>
      </c>
      <c r="AV298" s="28" t="str">
        <f t="shared" si="2604"/>
        <v>Christian</v>
      </c>
      <c r="AW298" s="56">
        <f t="shared" si="28"/>
        <v>2</v>
      </c>
      <c r="AX298" s="28">
        <f t="shared" si="29"/>
        <v>-12</v>
      </c>
      <c r="AY298" s="28" t="str">
        <f t="shared" ref="AY298:BB298" si="2605">IFNA(IFS(AY$3=$AP298,"",$AX298=U298,AY$3),"")</f>
        <v>Thomas</v>
      </c>
      <c r="AZ298" s="28" t="str">
        <f t="shared" si="2605"/>
        <v/>
      </c>
      <c r="BA298" s="28" t="str">
        <f t="shared" si="2605"/>
        <v/>
      </c>
      <c r="BB298" s="28" t="str">
        <f t="shared" si="2605"/>
        <v/>
      </c>
      <c r="BC298" s="58">
        <f>OFFSET('00_Regnskab_01'!$A$1,MATCH(A298,'00_Regnskab_01'!$A$1:$A$25)-1,2)</f>
        <v>44617</v>
      </c>
      <c r="BD298" s="32"/>
      <c r="BE298" s="80">
        <f t="shared" ref="BE298:BH298" si="2606">if(U298&gt;0,1+BE297,0)</f>
        <v>0</v>
      </c>
      <c r="BF298" s="28">
        <f t="shared" si="2606"/>
        <v>1</v>
      </c>
      <c r="BG298" s="28">
        <f t="shared" si="2606"/>
        <v>3</v>
      </c>
      <c r="BH298" s="28">
        <f t="shared" si="2606"/>
        <v>0</v>
      </c>
      <c r="BI298" s="32"/>
      <c r="BJ298" s="28">
        <f t="shared" ref="BJ298:BM298" si="2607">if(U298&lt;0,1+BJ297,0)</f>
        <v>3</v>
      </c>
      <c r="BK298" s="28">
        <f t="shared" si="2607"/>
        <v>0</v>
      </c>
      <c r="BL298" s="28">
        <f t="shared" si="2607"/>
        <v>0</v>
      </c>
      <c r="BM298" s="28">
        <f t="shared" si="2607"/>
        <v>1</v>
      </c>
      <c r="BO298" s="74">
        <f t="shared" ref="BO298:BR298" si="2608">if(U298&gt;0,U298+BO297,0)</f>
        <v>0</v>
      </c>
      <c r="BP298" s="74">
        <f t="shared" si="2608"/>
        <v>12</v>
      </c>
      <c r="BQ298" s="74">
        <f t="shared" si="2608"/>
        <v>224</v>
      </c>
      <c r="BR298" s="74">
        <f t="shared" si="2608"/>
        <v>0</v>
      </c>
      <c r="BT298" s="28">
        <f t="shared" ref="BT298:BW298" si="2609">if(U298&lt;0,U298+BT297,0)</f>
        <v>-224</v>
      </c>
      <c r="BU298" s="28">
        <f t="shared" si="2609"/>
        <v>0</v>
      </c>
      <c r="BV298" s="28">
        <f t="shared" si="2609"/>
        <v>0</v>
      </c>
      <c r="BW298" s="28">
        <f t="shared" si="2609"/>
        <v>-12</v>
      </c>
      <c r="BX298" s="32"/>
      <c r="BY298" s="32"/>
    </row>
    <row r="299">
      <c r="A299" s="53">
        <v>17.0</v>
      </c>
      <c r="B299" s="28">
        <f>'17_25-02-2022'!A4</f>
        <v>2</v>
      </c>
      <c r="C299" s="28">
        <f>'17_25-02-2022'!E4</f>
        <v>116</v>
      </c>
      <c r="D299" s="28">
        <f>'17_25-02-2022'!H4</f>
        <v>-116</v>
      </c>
      <c r="E299" s="28">
        <f>'17_25-02-2022'!F4</f>
        <v>140</v>
      </c>
      <c r="F299" s="28">
        <f>'17_25-02-2022'!G4</f>
        <v>-140</v>
      </c>
      <c r="G299" s="28">
        <f>'17_25-02-2022'!I4</f>
        <v>0</v>
      </c>
      <c r="H299" s="28" t="str">
        <f>'17_25-02-2022'!D4</f>
        <v>Janus</v>
      </c>
      <c r="J299" s="76" t="str">
        <f>'17_25-02-2022'!B4</f>
        <v>Janus</v>
      </c>
      <c r="K299" s="28" t="str">
        <f>'17_25-02-2022'!C4</f>
        <v>9 vip i 3 gode</v>
      </c>
      <c r="L299" s="56"/>
      <c r="M299" s="25">
        <v>9.0</v>
      </c>
      <c r="N299" s="25" t="s">
        <v>86</v>
      </c>
      <c r="O299" s="25">
        <v>3.0</v>
      </c>
      <c r="R299" s="25" t="s">
        <v>15</v>
      </c>
      <c r="T299" s="56"/>
      <c r="U299" s="77">
        <f t="shared" ref="U299:X299" si="2610">C299-C298</f>
        <v>128</v>
      </c>
      <c r="V299" s="28">
        <f t="shared" si="2610"/>
        <v>-128</v>
      </c>
      <c r="W299" s="28">
        <f t="shared" si="2610"/>
        <v>128</v>
      </c>
      <c r="X299" s="28">
        <f t="shared" si="2610"/>
        <v>-128</v>
      </c>
      <c r="AB299" s="28" t="str">
        <f t="shared" ref="AB299:AE299" si="2611">IF(AB$3=$H299,U299,"")</f>
        <v/>
      </c>
      <c r="AC299" s="28" t="str">
        <f t="shared" si="2611"/>
        <v/>
      </c>
      <c r="AD299" s="28">
        <f t="shared" si="2611"/>
        <v>128</v>
      </c>
      <c r="AE299" s="28" t="str">
        <f t="shared" si="2611"/>
        <v/>
      </c>
      <c r="AH299" s="28">
        <f t="shared" si="22"/>
        <v>128</v>
      </c>
      <c r="AI299" s="28">
        <f t="shared" si="23"/>
        <v>0</v>
      </c>
      <c r="AK299" s="78" t="str">
        <f t="shared" ref="AK299:AN299" si="2612">IF(U299&gt;0,AK$3,"")</f>
        <v>Thomas</v>
      </c>
      <c r="AL299" s="78" t="str">
        <f t="shared" si="2612"/>
        <v/>
      </c>
      <c r="AM299" s="78" t="str">
        <f t="shared" si="2612"/>
        <v>Janus</v>
      </c>
      <c r="AN299" s="78" t="str">
        <f t="shared" si="2612"/>
        <v/>
      </c>
      <c r="AO299" s="56">
        <f t="shared" si="25"/>
        <v>2</v>
      </c>
      <c r="AP299" s="8" t="str">
        <f t="shared" si="26"/>
        <v>Janus</v>
      </c>
      <c r="AQ299" s="73" t="str">
        <f>IFERROR(__xludf.DUMMYFUNCTION("IFNA(QUERY(transpose(AY299:BB299),""Select Col1 where Col1 is not null limit 1"",0))"),"Thomas")</f>
        <v>Thomas</v>
      </c>
      <c r="AR299" s="56"/>
      <c r="AS299" s="28" t="str">
        <f t="shared" ref="AS299:AV299" si="2613">IF(AK299=AS$3,"",AS$3)</f>
        <v/>
      </c>
      <c r="AT299" s="28" t="str">
        <f t="shared" si="2613"/>
        <v>Peter</v>
      </c>
      <c r="AU299" s="28" t="str">
        <f t="shared" si="2613"/>
        <v/>
      </c>
      <c r="AV299" s="28" t="str">
        <f t="shared" si="2613"/>
        <v>Christian</v>
      </c>
      <c r="AW299" s="56">
        <f t="shared" si="28"/>
        <v>2</v>
      </c>
      <c r="AX299" s="28">
        <f t="shared" si="29"/>
        <v>128</v>
      </c>
      <c r="AY299" s="28" t="str">
        <f t="shared" ref="AY299:BB299" si="2614">IFNA(IFS(AY$3=$AP299,"",$AX299=U299,AY$3),"")</f>
        <v>Thomas</v>
      </c>
      <c r="AZ299" s="28" t="str">
        <f t="shared" si="2614"/>
        <v/>
      </c>
      <c r="BA299" s="28" t="str">
        <f t="shared" si="2614"/>
        <v/>
      </c>
      <c r="BB299" s="28" t="str">
        <f t="shared" si="2614"/>
        <v/>
      </c>
      <c r="BC299" s="58">
        <f>OFFSET('00_Regnskab_01'!$A$1,MATCH(A299,'00_Regnskab_01'!$A$1:$A$25)-1,2)</f>
        <v>44617</v>
      </c>
      <c r="BE299" s="80">
        <f t="shared" ref="BE299:BH299" si="2615">if(U299&gt;0,1+BE298,0)</f>
        <v>1</v>
      </c>
      <c r="BF299" s="28">
        <f t="shared" si="2615"/>
        <v>0</v>
      </c>
      <c r="BG299" s="28">
        <f t="shared" si="2615"/>
        <v>4</v>
      </c>
      <c r="BH299" s="28">
        <f t="shared" si="2615"/>
        <v>0</v>
      </c>
      <c r="BJ299" s="28">
        <f t="shared" ref="BJ299:BM299" si="2616">if(U299&lt;0,1+BJ298,0)</f>
        <v>0</v>
      </c>
      <c r="BK299" s="28">
        <f t="shared" si="2616"/>
        <v>1</v>
      </c>
      <c r="BL299" s="28">
        <f t="shared" si="2616"/>
        <v>0</v>
      </c>
      <c r="BM299" s="28">
        <f t="shared" si="2616"/>
        <v>2</v>
      </c>
      <c r="BO299" s="74">
        <f t="shared" ref="BO299:BR299" si="2617">if(U299&gt;0,U299+BO298,0)</f>
        <v>128</v>
      </c>
      <c r="BP299" s="74">
        <f t="shared" si="2617"/>
        <v>0</v>
      </c>
      <c r="BQ299" s="74">
        <f t="shared" si="2617"/>
        <v>352</v>
      </c>
      <c r="BR299" s="74">
        <f t="shared" si="2617"/>
        <v>0</v>
      </c>
      <c r="BT299" s="28">
        <f t="shared" ref="BT299:BW299" si="2618">if(U299&lt;0,U299+BT298,0)</f>
        <v>0</v>
      </c>
      <c r="BU299" s="28">
        <f t="shared" si="2618"/>
        <v>-128</v>
      </c>
      <c r="BV299" s="28">
        <f t="shared" si="2618"/>
        <v>0</v>
      </c>
      <c r="BW299" s="28">
        <f t="shared" si="2618"/>
        <v>-140</v>
      </c>
    </row>
    <row r="300">
      <c r="A300" s="53">
        <v>17.0</v>
      </c>
      <c r="B300" s="28">
        <f>'17_25-02-2022'!A5</f>
        <v>3</v>
      </c>
      <c r="C300" s="28">
        <f>'17_25-02-2022'!E5</f>
        <v>68</v>
      </c>
      <c r="D300" s="28">
        <f>'17_25-02-2022'!H5</f>
        <v>-164</v>
      </c>
      <c r="E300" s="28">
        <f>'17_25-02-2022'!F5</f>
        <v>188</v>
      </c>
      <c r="F300" s="28">
        <f>'17_25-02-2022'!G5</f>
        <v>-92</v>
      </c>
      <c r="G300" s="28">
        <f>'17_25-02-2022'!I5</f>
        <v>0</v>
      </c>
      <c r="H300" s="28" t="str">
        <f>'17_25-02-2022'!D5</f>
        <v>Janus</v>
      </c>
      <c r="J300" s="76" t="str">
        <f>'17_25-02-2022'!B5</f>
        <v>Christian</v>
      </c>
      <c r="K300" s="28" t="str">
        <f>'17_25-02-2022'!C5</f>
        <v>9 halve</v>
      </c>
      <c r="L300" s="56"/>
      <c r="M300" s="25">
        <v>9.0</v>
      </c>
      <c r="N300" s="25" t="s">
        <v>94</v>
      </c>
      <c r="T300" s="56"/>
      <c r="U300" s="77">
        <f t="shared" ref="U300:X300" si="2619">C300-C299</f>
        <v>-48</v>
      </c>
      <c r="V300" s="28">
        <f t="shared" si="2619"/>
        <v>-48</v>
      </c>
      <c r="W300" s="28">
        <f t="shared" si="2619"/>
        <v>48</v>
      </c>
      <c r="X300" s="28">
        <f t="shared" si="2619"/>
        <v>48</v>
      </c>
      <c r="AB300" s="28" t="str">
        <f t="shared" ref="AB300:AE300" si="2620">IF(AB$3=$H300,U300,"")</f>
        <v/>
      </c>
      <c r="AC300" s="28" t="str">
        <f t="shared" si="2620"/>
        <v/>
      </c>
      <c r="AD300" s="28">
        <f t="shared" si="2620"/>
        <v>48</v>
      </c>
      <c r="AE300" s="28" t="str">
        <f t="shared" si="2620"/>
        <v/>
      </c>
      <c r="AH300" s="28">
        <f t="shared" si="22"/>
        <v>48</v>
      </c>
      <c r="AI300" s="28">
        <f t="shared" si="23"/>
        <v>0</v>
      </c>
      <c r="AK300" s="78" t="str">
        <f t="shared" ref="AK300:AN300" si="2621">IF(U300&gt;0,AK$3,"")</f>
        <v/>
      </c>
      <c r="AL300" s="78" t="str">
        <f t="shared" si="2621"/>
        <v/>
      </c>
      <c r="AM300" s="78" t="str">
        <f t="shared" si="2621"/>
        <v>Janus</v>
      </c>
      <c r="AN300" s="78" t="str">
        <f t="shared" si="2621"/>
        <v>Christian</v>
      </c>
      <c r="AO300" s="56">
        <f t="shared" si="25"/>
        <v>2</v>
      </c>
      <c r="AP300" s="8" t="str">
        <f t="shared" si="26"/>
        <v>Janus</v>
      </c>
      <c r="AQ300" s="73" t="str">
        <f>IFERROR(__xludf.DUMMYFUNCTION("IFNA(QUERY(transpose(AY300:BB300),""Select Col1 where Col1 is not null limit 1"",0))"),"Christian")</f>
        <v>Christian</v>
      </c>
      <c r="AR300" s="56"/>
      <c r="AS300" s="28" t="str">
        <f t="shared" ref="AS300:AV300" si="2622">IF(AK300=AS$3,"",AS$3)</f>
        <v>Thomas</v>
      </c>
      <c r="AT300" s="28" t="str">
        <f t="shared" si="2622"/>
        <v>Peter</v>
      </c>
      <c r="AU300" s="28" t="str">
        <f t="shared" si="2622"/>
        <v/>
      </c>
      <c r="AV300" s="28" t="str">
        <f t="shared" si="2622"/>
        <v/>
      </c>
      <c r="AW300" s="56">
        <f t="shared" si="28"/>
        <v>2</v>
      </c>
      <c r="AX300" s="28">
        <f t="shared" si="29"/>
        <v>48</v>
      </c>
      <c r="AY300" s="28" t="str">
        <f t="shared" ref="AY300:BB300" si="2623">IFNA(IFS(AY$3=$AP300,"",$AX300=U300,AY$3),"")</f>
        <v/>
      </c>
      <c r="AZ300" s="28" t="str">
        <f t="shared" si="2623"/>
        <v/>
      </c>
      <c r="BA300" s="28" t="str">
        <f t="shared" si="2623"/>
        <v/>
      </c>
      <c r="BB300" s="28" t="str">
        <f t="shared" si="2623"/>
        <v>Christian</v>
      </c>
      <c r="BC300" s="58">
        <f>OFFSET('00_Regnskab_01'!$A$1,MATCH(A300,'00_Regnskab_01'!$A$1:$A$25)-1,2)</f>
        <v>44617</v>
      </c>
      <c r="BE300" s="80">
        <f t="shared" ref="BE300:BH300" si="2624">if(U300&gt;0,1+BE299,0)</f>
        <v>0</v>
      </c>
      <c r="BF300" s="28">
        <f t="shared" si="2624"/>
        <v>0</v>
      </c>
      <c r="BG300" s="28">
        <f t="shared" si="2624"/>
        <v>5</v>
      </c>
      <c r="BH300" s="28">
        <f t="shared" si="2624"/>
        <v>1</v>
      </c>
      <c r="BJ300" s="28">
        <f t="shared" ref="BJ300:BM300" si="2625">if(U300&lt;0,1+BJ299,0)</f>
        <v>1</v>
      </c>
      <c r="BK300" s="28">
        <f t="shared" si="2625"/>
        <v>2</v>
      </c>
      <c r="BL300" s="28">
        <f t="shared" si="2625"/>
        <v>0</v>
      </c>
      <c r="BM300" s="28">
        <f t="shared" si="2625"/>
        <v>0</v>
      </c>
      <c r="BO300" s="74">
        <f t="shared" ref="BO300:BR300" si="2626">if(U300&gt;0,U300+BO299,0)</f>
        <v>0</v>
      </c>
      <c r="BP300" s="74">
        <f t="shared" si="2626"/>
        <v>0</v>
      </c>
      <c r="BQ300" s="74">
        <f t="shared" si="2626"/>
        <v>400</v>
      </c>
      <c r="BR300" s="74">
        <f t="shared" si="2626"/>
        <v>48</v>
      </c>
      <c r="BT300" s="28">
        <f t="shared" ref="BT300:BW300" si="2627">if(U300&lt;0,U300+BT299,0)</f>
        <v>-48</v>
      </c>
      <c r="BU300" s="28">
        <f t="shared" si="2627"/>
        <v>-176</v>
      </c>
      <c r="BV300" s="28">
        <f t="shared" si="2627"/>
        <v>0</v>
      </c>
      <c r="BW300" s="28">
        <f t="shared" si="2627"/>
        <v>0</v>
      </c>
    </row>
    <row r="301">
      <c r="A301" s="53">
        <v>17.0</v>
      </c>
      <c r="B301" s="28">
        <f>'17_25-02-2022'!A6</f>
        <v>4</v>
      </c>
      <c r="C301" s="28">
        <f>'17_25-02-2022'!E6</f>
        <v>92</v>
      </c>
      <c r="D301" s="28">
        <f>'17_25-02-2022'!H6</f>
        <v>-188</v>
      </c>
      <c r="E301" s="28">
        <f>'17_25-02-2022'!F6</f>
        <v>164</v>
      </c>
      <c r="F301" s="28">
        <f>'17_25-02-2022'!G6</f>
        <v>-68</v>
      </c>
      <c r="G301" s="28">
        <f>'17_25-02-2022'!I6</f>
        <v>0</v>
      </c>
      <c r="H301" s="28" t="str">
        <f>'17_25-02-2022'!D6</f>
        <v>Thomas</v>
      </c>
      <c r="J301" s="76" t="str">
        <f>'17_25-02-2022'!B6</f>
        <v>Peter</v>
      </c>
      <c r="K301" s="28" t="str">
        <f>'17_25-02-2022'!C6</f>
        <v>10 halve</v>
      </c>
      <c r="L301" s="56"/>
      <c r="M301" s="25">
        <v>10.0</v>
      </c>
      <c r="N301" s="25" t="s">
        <v>94</v>
      </c>
      <c r="T301" s="56"/>
      <c r="U301" s="77">
        <f t="shared" ref="U301:X301" si="2628">C301-C300</f>
        <v>24</v>
      </c>
      <c r="V301" s="28">
        <f t="shared" si="2628"/>
        <v>-24</v>
      </c>
      <c r="W301" s="28">
        <f t="shared" si="2628"/>
        <v>-24</v>
      </c>
      <c r="X301" s="28">
        <f t="shared" si="2628"/>
        <v>24</v>
      </c>
      <c r="AB301" s="28">
        <f t="shared" ref="AB301:AE301" si="2629">IF(AB$3=$H301,U301,"")</f>
        <v>24</v>
      </c>
      <c r="AC301" s="28" t="str">
        <f t="shared" si="2629"/>
        <v/>
      </c>
      <c r="AD301" s="28" t="str">
        <f t="shared" si="2629"/>
        <v/>
      </c>
      <c r="AE301" s="28" t="str">
        <f t="shared" si="2629"/>
        <v/>
      </c>
      <c r="AH301" s="28">
        <f t="shared" si="22"/>
        <v>24</v>
      </c>
      <c r="AI301" s="28">
        <f t="shared" si="23"/>
        <v>0</v>
      </c>
      <c r="AK301" s="78" t="str">
        <f t="shared" ref="AK301:AN301" si="2630">IF(U301&gt;0,AK$3,"")</f>
        <v>Thomas</v>
      </c>
      <c r="AL301" s="78" t="str">
        <f t="shared" si="2630"/>
        <v/>
      </c>
      <c r="AM301" s="78" t="str">
        <f t="shared" si="2630"/>
        <v/>
      </c>
      <c r="AN301" s="78" t="str">
        <f t="shared" si="2630"/>
        <v>Christian</v>
      </c>
      <c r="AO301" s="56">
        <f t="shared" si="25"/>
        <v>2</v>
      </c>
      <c r="AP301" s="8" t="str">
        <f t="shared" si="26"/>
        <v>Thomas</v>
      </c>
      <c r="AQ301" s="73" t="str">
        <f>IFERROR(__xludf.DUMMYFUNCTION("IFNA(QUERY(transpose(AY301:BB301),""Select Col1 where Col1 is not null limit 1"",0))"),"Christian")</f>
        <v>Christian</v>
      </c>
      <c r="AR301" s="56"/>
      <c r="AS301" s="28" t="str">
        <f t="shared" ref="AS301:AV301" si="2631">IF(AK301=AS$3,"",AS$3)</f>
        <v/>
      </c>
      <c r="AT301" s="28" t="str">
        <f t="shared" si="2631"/>
        <v>Peter</v>
      </c>
      <c r="AU301" s="28" t="str">
        <f t="shared" si="2631"/>
        <v>Janus</v>
      </c>
      <c r="AV301" s="28" t="str">
        <f t="shared" si="2631"/>
        <v/>
      </c>
      <c r="AW301" s="56">
        <f t="shared" si="28"/>
        <v>2</v>
      </c>
      <c r="AX301" s="28">
        <f t="shared" si="29"/>
        <v>24</v>
      </c>
      <c r="AY301" s="28" t="str">
        <f t="shared" ref="AY301:BB301" si="2632">IFNA(IFS(AY$3=$AP301,"",$AX301=U301,AY$3),"")</f>
        <v/>
      </c>
      <c r="AZ301" s="28" t="str">
        <f t="shared" si="2632"/>
        <v/>
      </c>
      <c r="BA301" s="28" t="str">
        <f t="shared" si="2632"/>
        <v/>
      </c>
      <c r="BB301" s="28" t="str">
        <f t="shared" si="2632"/>
        <v>Christian</v>
      </c>
      <c r="BC301" s="58">
        <f>OFFSET('00_Regnskab_01'!$A$1,MATCH(A301,'00_Regnskab_01'!$A$1:$A$25)-1,2)</f>
        <v>44617</v>
      </c>
      <c r="BE301" s="80">
        <f t="shared" ref="BE301:BH301" si="2633">if(U301&gt;0,1+BE300,0)</f>
        <v>1</v>
      </c>
      <c r="BF301" s="28">
        <f t="shared" si="2633"/>
        <v>0</v>
      </c>
      <c r="BG301" s="28">
        <f t="shared" si="2633"/>
        <v>0</v>
      </c>
      <c r="BH301" s="28">
        <f t="shared" si="2633"/>
        <v>2</v>
      </c>
      <c r="BJ301" s="28">
        <f t="shared" ref="BJ301:BM301" si="2634">if(U301&lt;0,1+BJ300,0)</f>
        <v>0</v>
      </c>
      <c r="BK301" s="28">
        <f t="shared" si="2634"/>
        <v>3</v>
      </c>
      <c r="BL301" s="28">
        <f t="shared" si="2634"/>
        <v>1</v>
      </c>
      <c r="BM301" s="28">
        <f t="shared" si="2634"/>
        <v>0</v>
      </c>
      <c r="BO301" s="74">
        <f t="shared" ref="BO301:BR301" si="2635">if(U301&gt;0,U301+BO300,0)</f>
        <v>24</v>
      </c>
      <c r="BP301" s="74">
        <f t="shared" si="2635"/>
        <v>0</v>
      </c>
      <c r="BQ301" s="74">
        <f t="shared" si="2635"/>
        <v>0</v>
      </c>
      <c r="BR301" s="74">
        <f t="shared" si="2635"/>
        <v>72</v>
      </c>
      <c r="BT301" s="28">
        <f t="shared" ref="BT301:BW301" si="2636">if(U301&lt;0,U301+BT300,0)</f>
        <v>0</v>
      </c>
      <c r="BU301" s="28">
        <f t="shared" si="2636"/>
        <v>-200</v>
      </c>
      <c r="BV301" s="28">
        <f t="shared" si="2636"/>
        <v>-24</v>
      </c>
      <c r="BW301" s="28">
        <f t="shared" si="2636"/>
        <v>0</v>
      </c>
    </row>
    <row r="302">
      <c r="A302" s="53">
        <v>17.0</v>
      </c>
      <c r="B302" s="28">
        <f>'17_25-02-2022'!A7</f>
        <v>5</v>
      </c>
      <c r="C302" s="28">
        <f>'17_25-02-2022'!E7</f>
        <v>88</v>
      </c>
      <c r="D302" s="28">
        <f>'17_25-02-2022'!H7</f>
        <v>-192</v>
      </c>
      <c r="E302" s="28">
        <f>'17_25-02-2022'!F7</f>
        <v>176</v>
      </c>
      <c r="F302" s="28">
        <f>'17_25-02-2022'!G7</f>
        <v>-72</v>
      </c>
      <c r="G302" s="28">
        <f>'17_25-02-2022'!I7</f>
        <v>0</v>
      </c>
      <c r="H302" s="28" t="str">
        <f>'17_25-02-2022'!D7</f>
        <v>Janus</v>
      </c>
      <c r="J302" s="76" t="str">
        <f>'17_25-02-2022'!B7</f>
        <v>Thomas</v>
      </c>
      <c r="K302" s="28" t="str">
        <f>'17_25-02-2022'!C7</f>
        <v>Sol</v>
      </c>
      <c r="L302" s="56"/>
      <c r="N302" s="25" t="s">
        <v>99</v>
      </c>
      <c r="T302" s="56"/>
      <c r="U302" s="77">
        <f t="shared" ref="U302:X302" si="2637">C302-C301</f>
        <v>-4</v>
      </c>
      <c r="V302" s="28">
        <f t="shared" si="2637"/>
        <v>-4</v>
      </c>
      <c r="W302" s="28">
        <f t="shared" si="2637"/>
        <v>12</v>
      </c>
      <c r="X302" s="28">
        <f t="shared" si="2637"/>
        <v>-4</v>
      </c>
      <c r="AB302" s="28" t="str">
        <f t="shared" ref="AB302:AE302" si="2638">IF(AB$3=$H302,U302,"")</f>
        <v/>
      </c>
      <c r="AC302" s="28" t="str">
        <f t="shared" si="2638"/>
        <v/>
      </c>
      <c r="AD302" s="28">
        <f t="shared" si="2638"/>
        <v>12</v>
      </c>
      <c r="AE302" s="28" t="str">
        <f t="shared" si="2638"/>
        <v/>
      </c>
      <c r="AH302" s="28">
        <f t="shared" si="22"/>
        <v>12</v>
      </c>
      <c r="AI302" s="28">
        <f t="shared" si="23"/>
        <v>0</v>
      </c>
      <c r="AK302" s="78" t="str">
        <f t="shared" ref="AK302:AN302" si="2639">IF(U302&gt;0,AK$3,"")</f>
        <v/>
      </c>
      <c r="AL302" s="78" t="str">
        <f t="shared" si="2639"/>
        <v/>
      </c>
      <c r="AM302" s="78" t="str">
        <f t="shared" si="2639"/>
        <v>Janus</v>
      </c>
      <c r="AN302" s="78" t="str">
        <f t="shared" si="2639"/>
        <v/>
      </c>
      <c r="AO302" s="56">
        <f t="shared" si="25"/>
        <v>1</v>
      </c>
      <c r="AP302" s="8" t="str">
        <f t="shared" si="26"/>
        <v>Janus</v>
      </c>
      <c r="AQ302" s="73" t="str">
        <f>IFERROR(__xludf.DUMMYFUNCTION("IFNA(QUERY(transpose(AY302:BB302),""Select Col1 where Col1 is not null limit 1"",0))"),"")</f>
        <v/>
      </c>
      <c r="AR302" s="56"/>
      <c r="AS302" s="28" t="str">
        <f t="shared" ref="AS302:AV302" si="2640">IF(AK302=AS$3,"",AS$3)</f>
        <v>Thomas</v>
      </c>
      <c r="AT302" s="28" t="str">
        <f t="shared" si="2640"/>
        <v>Peter</v>
      </c>
      <c r="AU302" s="28" t="str">
        <f t="shared" si="2640"/>
        <v/>
      </c>
      <c r="AV302" s="28" t="str">
        <f t="shared" si="2640"/>
        <v>Christian</v>
      </c>
      <c r="AW302" s="56">
        <f t="shared" si="28"/>
        <v>3</v>
      </c>
      <c r="AX302" s="28">
        <f t="shared" si="29"/>
        <v>12</v>
      </c>
      <c r="AY302" s="28" t="str">
        <f t="shared" ref="AY302:BB302" si="2641">IFNA(IFS(AY$3=$AP302,"",$AX302=U302,AY$3),"")</f>
        <v/>
      </c>
      <c r="AZ302" s="28" t="str">
        <f t="shared" si="2641"/>
        <v/>
      </c>
      <c r="BA302" s="28" t="str">
        <f t="shared" si="2641"/>
        <v/>
      </c>
      <c r="BB302" s="28" t="str">
        <f t="shared" si="2641"/>
        <v/>
      </c>
      <c r="BC302" s="58">
        <f>OFFSET('00_Regnskab_01'!$A$1,MATCH(A302,'00_Regnskab_01'!$A$1:$A$25)-1,2)</f>
        <v>44617</v>
      </c>
      <c r="BE302" s="80">
        <f t="shared" ref="BE302:BH302" si="2642">if(U302&gt;0,1+BE301,0)</f>
        <v>0</v>
      </c>
      <c r="BF302" s="28">
        <f t="shared" si="2642"/>
        <v>0</v>
      </c>
      <c r="BG302" s="28">
        <f t="shared" si="2642"/>
        <v>1</v>
      </c>
      <c r="BH302" s="28">
        <f t="shared" si="2642"/>
        <v>0</v>
      </c>
      <c r="BJ302" s="28">
        <f t="shared" ref="BJ302:BM302" si="2643">if(U302&lt;0,1+BJ301,0)</f>
        <v>1</v>
      </c>
      <c r="BK302" s="28">
        <f t="shared" si="2643"/>
        <v>4</v>
      </c>
      <c r="BL302" s="28">
        <f t="shared" si="2643"/>
        <v>0</v>
      </c>
      <c r="BM302" s="28">
        <f t="shared" si="2643"/>
        <v>1</v>
      </c>
      <c r="BO302" s="74">
        <f t="shared" ref="BO302:BR302" si="2644">if(U302&gt;0,U302+BO301,0)</f>
        <v>0</v>
      </c>
      <c r="BP302" s="74">
        <f t="shared" si="2644"/>
        <v>0</v>
      </c>
      <c r="BQ302" s="74">
        <f t="shared" si="2644"/>
        <v>12</v>
      </c>
      <c r="BR302" s="74">
        <f t="shared" si="2644"/>
        <v>0</v>
      </c>
      <c r="BT302" s="28">
        <f t="shared" ref="BT302:BW302" si="2645">if(U302&lt;0,U302+BT301,0)</f>
        <v>-4</v>
      </c>
      <c r="BU302" s="28">
        <f t="shared" si="2645"/>
        <v>-204</v>
      </c>
      <c r="BV302" s="28">
        <f t="shared" si="2645"/>
        <v>0</v>
      </c>
      <c r="BW302" s="28">
        <f t="shared" si="2645"/>
        <v>-4</v>
      </c>
    </row>
    <row r="303">
      <c r="A303" s="53">
        <v>17.0</v>
      </c>
      <c r="B303" s="28">
        <f>'17_25-02-2022'!A8</f>
        <v>6</v>
      </c>
      <c r="C303" s="28">
        <f>'17_25-02-2022'!E8</f>
        <v>100</v>
      </c>
      <c r="D303" s="28">
        <f>'17_25-02-2022'!H8</f>
        <v>-204</v>
      </c>
      <c r="E303" s="28">
        <f>'17_25-02-2022'!F8</f>
        <v>188</v>
      </c>
      <c r="F303" s="28">
        <f>'17_25-02-2022'!G8</f>
        <v>-84</v>
      </c>
      <c r="G303" s="28">
        <f>'17_25-02-2022'!I8</f>
        <v>0</v>
      </c>
      <c r="H303" s="28" t="str">
        <f>'17_25-02-2022'!D8</f>
        <v>Peter</v>
      </c>
      <c r="J303" s="76" t="str">
        <f>'17_25-02-2022'!B8</f>
        <v>Janus</v>
      </c>
      <c r="K303" s="28" t="str">
        <f>'17_25-02-2022'!C8</f>
        <v>10 alm</v>
      </c>
      <c r="L303" s="56"/>
      <c r="M303" s="25">
        <v>10.0</v>
      </c>
      <c r="N303" s="25" t="s">
        <v>100</v>
      </c>
      <c r="T303" s="56"/>
      <c r="U303" s="77">
        <f t="shared" ref="U303:X303" si="2646">C303-C302</f>
        <v>12</v>
      </c>
      <c r="V303" s="28">
        <f t="shared" si="2646"/>
        <v>-12</v>
      </c>
      <c r="W303" s="28">
        <f t="shared" si="2646"/>
        <v>12</v>
      </c>
      <c r="X303" s="28">
        <f t="shared" si="2646"/>
        <v>-12</v>
      </c>
      <c r="AB303" s="28" t="str">
        <f t="shared" ref="AB303:AE303" si="2647">IF(AB$3=$H303,U303,"")</f>
        <v/>
      </c>
      <c r="AC303" s="28">
        <f t="shared" si="2647"/>
        <v>-12</v>
      </c>
      <c r="AD303" s="28" t="str">
        <f t="shared" si="2647"/>
        <v/>
      </c>
      <c r="AE303" s="28" t="str">
        <f t="shared" si="2647"/>
        <v/>
      </c>
      <c r="AH303" s="28">
        <f t="shared" si="22"/>
        <v>0</v>
      </c>
      <c r="AI303" s="28">
        <f t="shared" si="23"/>
        <v>-12</v>
      </c>
      <c r="AK303" s="78" t="str">
        <f t="shared" ref="AK303:AN303" si="2648">IF(U303&gt;0,AK$3,"")</f>
        <v>Thomas</v>
      </c>
      <c r="AL303" s="78" t="str">
        <f t="shared" si="2648"/>
        <v/>
      </c>
      <c r="AM303" s="78" t="str">
        <f t="shared" si="2648"/>
        <v>Janus</v>
      </c>
      <c r="AN303" s="78" t="str">
        <f t="shared" si="2648"/>
        <v/>
      </c>
      <c r="AO303" s="56">
        <f t="shared" si="25"/>
        <v>2</v>
      </c>
      <c r="AP303" s="8" t="str">
        <f t="shared" si="26"/>
        <v>Peter</v>
      </c>
      <c r="AQ303" s="73" t="str">
        <f>IFERROR(__xludf.DUMMYFUNCTION("IFNA(QUERY(transpose(AY303:BB303),""Select Col1 where Col1 is not null limit 1"",0))"),"Christian")</f>
        <v>Christian</v>
      </c>
      <c r="AR303" s="56"/>
      <c r="AS303" s="28" t="str">
        <f t="shared" ref="AS303:AV303" si="2649">IF(AK303=AS$3,"",AS$3)</f>
        <v/>
      </c>
      <c r="AT303" s="28" t="str">
        <f t="shared" si="2649"/>
        <v>Peter</v>
      </c>
      <c r="AU303" s="28" t="str">
        <f t="shared" si="2649"/>
        <v/>
      </c>
      <c r="AV303" s="28" t="str">
        <f t="shared" si="2649"/>
        <v>Christian</v>
      </c>
      <c r="AW303" s="56">
        <f t="shared" si="28"/>
        <v>2</v>
      </c>
      <c r="AX303" s="28">
        <f t="shared" si="29"/>
        <v>-12</v>
      </c>
      <c r="AY303" s="28" t="str">
        <f t="shared" ref="AY303:BB303" si="2650">IFNA(IFS(AY$3=$AP303,"",$AX303=U303,AY$3),"")</f>
        <v/>
      </c>
      <c r="AZ303" s="28" t="str">
        <f t="shared" si="2650"/>
        <v/>
      </c>
      <c r="BA303" s="28" t="str">
        <f t="shared" si="2650"/>
        <v/>
      </c>
      <c r="BB303" s="28" t="str">
        <f t="shared" si="2650"/>
        <v>Christian</v>
      </c>
      <c r="BC303" s="58">
        <f>OFFSET('00_Regnskab_01'!$A$1,MATCH(A303,'00_Regnskab_01'!$A$1:$A$25)-1,2)</f>
        <v>44617</v>
      </c>
      <c r="BE303" s="80">
        <f t="shared" ref="BE303:BH303" si="2651">if(U303&gt;0,1+BE302,0)</f>
        <v>1</v>
      </c>
      <c r="BF303" s="28">
        <f t="shared" si="2651"/>
        <v>0</v>
      </c>
      <c r="BG303" s="28">
        <f t="shared" si="2651"/>
        <v>2</v>
      </c>
      <c r="BH303" s="28">
        <f t="shared" si="2651"/>
        <v>0</v>
      </c>
      <c r="BJ303" s="28">
        <f t="shared" ref="BJ303:BM303" si="2652">if(U303&lt;0,1+BJ302,0)</f>
        <v>0</v>
      </c>
      <c r="BK303" s="28">
        <f t="shared" si="2652"/>
        <v>5</v>
      </c>
      <c r="BL303" s="28">
        <f t="shared" si="2652"/>
        <v>0</v>
      </c>
      <c r="BM303" s="28">
        <f t="shared" si="2652"/>
        <v>2</v>
      </c>
      <c r="BO303" s="74">
        <f t="shared" ref="BO303:BR303" si="2653">if(U303&gt;0,U303+BO302,0)</f>
        <v>12</v>
      </c>
      <c r="BP303" s="74">
        <f t="shared" si="2653"/>
        <v>0</v>
      </c>
      <c r="BQ303" s="74">
        <f t="shared" si="2653"/>
        <v>24</v>
      </c>
      <c r="BR303" s="74">
        <f t="shared" si="2653"/>
        <v>0</v>
      </c>
      <c r="BT303" s="28">
        <f t="shared" ref="BT303:BW303" si="2654">if(U303&lt;0,U303+BT302,0)</f>
        <v>0</v>
      </c>
      <c r="BU303" s="28">
        <f t="shared" si="2654"/>
        <v>-216</v>
      </c>
      <c r="BV303" s="28">
        <f t="shared" si="2654"/>
        <v>0</v>
      </c>
      <c r="BW303" s="28">
        <f t="shared" si="2654"/>
        <v>-16</v>
      </c>
    </row>
    <row r="304">
      <c r="A304" s="53">
        <v>17.0</v>
      </c>
      <c r="B304" s="28">
        <f>'17_25-02-2022'!A9</f>
        <v>7</v>
      </c>
      <c r="C304" s="28">
        <f>'17_25-02-2022'!E9</f>
        <v>40</v>
      </c>
      <c r="D304" s="28">
        <f>'17_25-02-2022'!H9</f>
        <v>-184</v>
      </c>
      <c r="E304" s="28">
        <f>'17_25-02-2022'!F9</f>
        <v>208</v>
      </c>
      <c r="F304" s="28">
        <f>'17_25-02-2022'!G9</f>
        <v>-64</v>
      </c>
      <c r="G304" s="28">
        <f>'17_25-02-2022'!I9</f>
        <v>0</v>
      </c>
      <c r="H304" s="28" t="str">
        <f>'17_25-02-2022'!D9</f>
        <v>Thomas</v>
      </c>
      <c r="J304" s="76" t="str">
        <f>'17_25-02-2022'!B9</f>
        <v>Christian</v>
      </c>
      <c r="K304" s="28" t="str">
        <f>'17_25-02-2022'!C9</f>
        <v>9 vip i 1 (selvmakker)</v>
      </c>
      <c r="L304" s="56"/>
      <c r="M304" s="25">
        <v>9.0</v>
      </c>
      <c r="N304" s="25" t="s">
        <v>86</v>
      </c>
      <c r="O304" s="25">
        <v>1.0</v>
      </c>
      <c r="T304" s="56"/>
      <c r="U304" s="77">
        <f t="shared" ref="U304:X304" si="2655">C304-C303</f>
        <v>-60</v>
      </c>
      <c r="V304" s="28">
        <f t="shared" si="2655"/>
        <v>20</v>
      </c>
      <c r="W304" s="28">
        <f t="shared" si="2655"/>
        <v>20</v>
      </c>
      <c r="X304" s="28">
        <f t="shared" si="2655"/>
        <v>20</v>
      </c>
      <c r="AB304" s="28">
        <f t="shared" ref="AB304:AE304" si="2656">IF(AB$3=$H304,U304,"")</f>
        <v>-60</v>
      </c>
      <c r="AC304" s="28" t="str">
        <f t="shared" si="2656"/>
        <v/>
      </c>
      <c r="AD304" s="28" t="str">
        <f t="shared" si="2656"/>
        <v/>
      </c>
      <c r="AE304" s="28" t="str">
        <f t="shared" si="2656"/>
        <v/>
      </c>
      <c r="AH304" s="28">
        <f t="shared" si="22"/>
        <v>0</v>
      </c>
      <c r="AI304" s="28">
        <f t="shared" si="23"/>
        <v>-60</v>
      </c>
      <c r="AK304" s="78" t="str">
        <f t="shared" ref="AK304:AN304" si="2657">IF(U304&gt;0,AK$3,"")</f>
        <v/>
      </c>
      <c r="AL304" s="78" t="str">
        <f t="shared" si="2657"/>
        <v>Peter</v>
      </c>
      <c r="AM304" s="78" t="str">
        <f t="shared" si="2657"/>
        <v>Janus</v>
      </c>
      <c r="AN304" s="78" t="str">
        <f t="shared" si="2657"/>
        <v>Christian</v>
      </c>
      <c r="AO304" s="56">
        <f t="shared" si="25"/>
        <v>3</v>
      </c>
      <c r="AP304" s="8" t="str">
        <f t="shared" si="26"/>
        <v>Thomas</v>
      </c>
      <c r="AQ304" s="73" t="str">
        <f>IFERROR(__xludf.DUMMYFUNCTION("IFNA(QUERY(transpose(AY304:BB304),""Select Col1 where Col1 is not null limit 1"",0))"),"")</f>
        <v/>
      </c>
      <c r="AR304" s="56"/>
      <c r="AS304" s="28" t="str">
        <f t="shared" ref="AS304:AV304" si="2658">IF(AK304=AS$3,"",AS$3)</f>
        <v>Thomas</v>
      </c>
      <c r="AT304" s="28" t="str">
        <f t="shared" si="2658"/>
        <v/>
      </c>
      <c r="AU304" s="28" t="str">
        <f t="shared" si="2658"/>
        <v/>
      </c>
      <c r="AV304" s="28" t="str">
        <f t="shared" si="2658"/>
        <v/>
      </c>
      <c r="AW304" s="56">
        <f t="shared" si="28"/>
        <v>1</v>
      </c>
      <c r="AX304" s="28">
        <f t="shared" si="29"/>
        <v>-60</v>
      </c>
      <c r="AY304" s="28" t="str">
        <f t="shared" ref="AY304:BB304" si="2659">IFNA(IFS(AY$3=$AP304,"",$AX304=U304,AY$3),"")</f>
        <v/>
      </c>
      <c r="AZ304" s="28" t="str">
        <f t="shared" si="2659"/>
        <v/>
      </c>
      <c r="BA304" s="28" t="str">
        <f t="shared" si="2659"/>
        <v/>
      </c>
      <c r="BB304" s="28" t="str">
        <f t="shared" si="2659"/>
        <v/>
      </c>
      <c r="BC304" s="58">
        <f>OFFSET('00_Regnskab_01'!$A$1,MATCH(A304,'00_Regnskab_01'!$A$1:$A$25)-1,2)</f>
        <v>44617</v>
      </c>
      <c r="BE304" s="80">
        <f t="shared" ref="BE304:BH304" si="2660">if(U304&gt;0,1+BE303,0)</f>
        <v>0</v>
      </c>
      <c r="BF304" s="28">
        <f t="shared" si="2660"/>
        <v>1</v>
      </c>
      <c r="BG304" s="28">
        <f t="shared" si="2660"/>
        <v>3</v>
      </c>
      <c r="BH304" s="28">
        <f t="shared" si="2660"/>
        <v>1</v>
      </c>
      <c r="BJ304" s="28">
        <f t="shared" ref="BJ304:BM304" si="2661">if(U304&lt;0,1+BJ303,0)</f>
        <v>1</v>
      </c>
      <c r="BK304" s="28">
        <f t="shared" si="2661"/>
        <v>0</v>
      </c>
      <c r="BL304" s="28">
        <f t="shared" si="2661"/>
        <v>0</v>
      </c>
      <c r="BM304" s="28">
        <f t="shared" si="2661"/>
        <v>0</v>
      </c>
      <c r="BO304" s="74">
        <f t="shared" ref="BO304:BR304" si="2662">if(U304&gt;0,U304+BO303,0)</f>
        <v>0</v>
      </c>
      <c r="BP304" s="74">
        <f t="shared" si="2662"/>
        <v>20</v>
      </c>
      <c r="BQ304" s="74">
        <f t="shared" si="2662"/>
        <v>44</v>
      </c>
      <c r="BR304" s="74">
        <f t="shared" si="2662"/>
        <v>20</v>
      </c>
      <c r="BT304" s="28">
        <f t="shared" ref="BT304:BW304" si="2663">if(U304&lt;0,U304+BT303,0)</f>
        <v>-60</v>
      </c>
      <c r="BU304" s="28">
        <f t="shared" si="2663"/>
        <v>0</v>
      </c>
      <c r="BV304" s="28">
        <f t="shared" si="2663"/>
        <v>0</v>
      </c>
      <c r="BW304" s="28">
        <f t="shared" si="2663"/>
        <v>0</v>
      </c>
    </row>
    <row r="305">
      <c r="A305" s="53">
        <v>17.0</v>
      </c>
      <c r="B305" s="28">
        <f>'17_25-02-2022'!A10</f>
        <v>8</v>
      </c>
      <c r="C305" s="28">
        <f>'17_25-02-2022'!E10</f>
        <v>56</v>
      </c>
      <c r="D305" s="28">
        <f>'17_25-02-2022'!H10</f>
        <v>-168</v>
      </c>
      <c r="E305" s="28">
        <f>'17_25-02-2022'!F10</f>
        <v>224</v>
      </c>
      <c r="F305" s="28">
        <f>'17_25-02-2022'!G10</f>
        <v>-112</v>
      </c>
      <c r="G305" s="28">
        <f>'17_25-02-2022'!I10</f>
        <v>0</v>
      </c>
      <c r="H305" s="28" t="str">
        <f>'17_25-02-2022'!D10</f>
        <v>Christian</v>
      </c>
      <c r="J305" s="76" t="str">
        <f>'17_25-02-2022'!B10</f>
        <v>Peter</v>
      </c>
      <c r="K305" s="28" t="str">
        <f>'17_25-02-2022'!C10</f>
        <v>9 halve (selvmakker</v>
      </c>
      <c r="L305" s="56"/>
      <c r="M305" s="25">
        <v>9.0</v>
      </c>
      <c r="N305" s="25" t="s">
        <v>94</v>
      </c>
      <c r="T305" s="56"/>
      <c r="U305" s="77">
        <f t="shared" ref="U305:X305" si="2664">C305-C304</f>
        <v>16</v>
      </c>
      <c r="V305" s="28">
        <f t="shared" si="2664"/>
        <v>16</v>
      </c>
      <c r="W305" s="28">
        <f t="shared" si="2664"/>
        <v>16</v>
      </c>
      <c r="X305" s="28">
        <f t="shared" si="2664"/>
        <v>-48</v>
      </c>
      <c r="AB305" s="28" t="str">
        <f t="shared" ref="AB305:AE305" si="2665">IF(AB$3=$H305,U305,"")</f>
        <v/>
      </c>
      <c r="AC305" s="28" t="str">
        <f t="shared" si="2665"/>
        <v/>
      </c>
      <c r="AD305" s="28" t="str">
        <f t="shared" si="2665"/>
        <v/>
      </c>
      <c r="AE305" s="28">
        <f t="shared" si="2665"/>
        <v>-48</v>
      </c>
      <c r="AH305" s="28">
        <f t="shared" si="22"/>
        <v>0</v>
      </c>
      <c r="AI305" s="28">
        <f t="shared" si="23"/>
        <v>-48</v>
      </c>
      <c r="AK305" s="78" t="str">
        <f t="shared" ref="AK305:AN305" si="2666">IF(U305&gt;0,AK$3,"")</f>
        <v>Thomas</v>
      </c>
      <c r="AL305" s="78" t="str">
        <f t="shared" si="2666"/>
        <v>Peter</v>
      </c>
      <c r="AM305" s="78" t="str">
        <f t="shared" si="2666"/>
        <v>Janus</v>
      </c>
      <c r="AN305" s="78" t="str">
        <f t="shared" si="2666"/>
        <v/>
      </c>
      <c r="AO305" s="56">
        <f t="shared" si="25"/>
        <v>3</v>
      </c>
      <c r="AP305" s="8" t="str">
        <f t="shared" si="26"/>
        <v>Christian</v>
      </c>
      <c r="AQ305" s="73" t="str">
        <f>IFERROR(__xludf.DUMMYFUNCTION("IFNA(QUERY(transpose(AY305:BB305),""Select Col1 where Col1 is not null limit 1"",0))"),"")</f>
        <v/>
      </c>
      <c r="AR305" s="56"/>
      <c r="AS305" s="28" t="str">
        <f t="shared" ref="AS305:AV305" si="2667">IF(AK305=AS$3,"",AS$3)</f>
        <v/>
      </c>
      <c r="AT305" s="28" t="str">
        <f t="shared" si="2667"/>
        <v/>
      </c>
      <c r="AU305" s="28" t="str">
        <f t="shared" si="2667"/>
        <v/>
      </c>
      <c r="AV305" s="28" t="str">
        <f t="shared" si="2667"/>
        <v>Christian</v>
      </c>
      <c r="AW305" s="56">
        <f t="shared" si="28"/>
        <v>1</v>
      </c>
      <c r="AX305" s="28">
        <f t="shared" si="29"/>
        <v>-48</v>
      </c>
      <c r="AY305" s="28" t="str">
        <f t="shared" ref="AY305:BB305" si="2668">IFNA(IFS(AY$3=$AP305,"",$AX305=U305,AY$3),"")</f>
        <v/>
      </c>
      <c r="AZ305" s="28" t="str">
        <f t="shared" si="2668"/>
        <v/>
      </c>
      <c r="BA305" s="28" t="str">
        <f t="shared" si="2668"/>
        <v/>
      </c>
      <c r="BB305" s="28" t="str">
        <f t="shared" si="2668"/>
        <v/>
      </c>
      <c r="BC305" s="58">
        <f>OFFSET('00_Regnskab_01'!$A$1,MATCH(A305,'00_Regnskab_01'!$A$1:$A$25)-1,2)</f>
        <v>44617</v>
      </c>
      <c r="BE305" s="80">
        <f t="shared" ref="BE305:BH305" si="2669">if(U305&gt;0,1+BE304,0)</f>
        <v>1</v>
      </c>
      <c r="BF305" s="28">
        <f t="shared" si="2669"/>
        <v>2</v>
      </c>
      <c r="BG305" s="28">
        <f t="shared" si="2669"/>
        <v>4</v>
      </c>
      <c r="BH305" s="28">
        <f t="shared" si="2669"/>
        <v>0</v>
      </c>
      <c r="BJ305" s="28">
        <f t="shared" ref="BJ305:BM305" si="2670">if(U305&lt;0,1+BJ304,0)</f>
        <v>0</v>
      </c>
      <c r="BK305" s="28">
        <f t="shared" si="2670"/>
        <v>0</v>
      </c>
      <c r="BL305" s="28">
        <f t="shared" si="2670"/>
        <v>0</v>
      </c>
      <c r="BM305" s="28">
        <f t="shared" si="2670"/>
        <v>1</v>
      </c>
      <c r="BO305" s="74">
        <f t="shared" ref="BO305:BR305" si="2671">if(U305&gt;0,U305+BO304,0)</f>
        <v>16</v>
      </c>
      <c r="BP305" s="74">
        <f t="shared" si="2671"/>
        <v>36</v>
      </c>
      <c r="BQ305" s="74">
        <f t="shared" si="2671"/>
        <v>60</v>
      </c>
      <c r="BR305" s="74">
        <f t="shared" si="2671"/>
        <v>0</v>
      </c>
      <c r="BT305" s="28">
        <f t="shared" ref="BT305:BW305" si="2672">if(U305&lt;0,U305+BT304,0)</f>
        <v>0</v>
      </c>
      <c r="BU305" s="28">
        <f t="shared" si="2672"/>
        <v>0</v>
      </c>
      <c r="BV305" s="28">
        <f t="shared" si="2672"/>
        <v>0</v>
      </c>
      <c r="BW305" s="28">
        <f t="shared" si="2672"/>
        <v>-48</v>
      </c>
    </row>
    <row r="306">
      <c r="A306" s="53">
        <v>17.0</v>
      </c>
      <c r="B306" s="28">
        <f>'17_25-02-2022'!A11</f>
        <v>9</v>
      </c>
      <c r="C306" s="28">
        <f>'17_25-02-2022'!E11</f>
        <v>50</v>
      </c>
      <c r="D306" s="28">
        <f>'17_25-02-2022'!H11</f>
        <v>-162</v>
      </c>
      <c r="E306" s="28">
        <f>'17_25-02-2022'!F11</f>
        <v>218</v>
      </c>
      <c r="F306" s="28">
        <f>'17_25-02-2022'!G11</f>
        <v>-106</v>
      </c>
      <c r="G306" s="28">
        <f>'17_25-02-2022'!I11</f>
        <v>0</v>
      </c>
      <c r="H306" s="28" t="str">
        <f>'17_25-02-2022'!D11</f>
        <v>Peter</v>
      </c>
      <c r="J306" s="76" t="str">
        <f>'17_25-02-2022'!B11</f>
        <v>Thomas</v>
      </c>
      <c r="K306" s="28" t="str">
        <f>'17_25-02-2022'!C11</f>
        <v>8 Gode</v>
      </c>
      <c r="L306" s="56"/>
      <c r="M306" s="25">
        <v>8.0</v>
      </c>
      <c r="N306" s="25" t="s">
        <v>95</v>
      </c>
      <c r="T306" s="56"/>
      <c r="U306" s="77">
        <f t="shared" ref="U306:X306" si="2673">C306-C305</f>
        <v>-6</v>
      </c>
      <c r="V306" s="28">
        <f t="shared" si="2673"/>
        <v>6</v>
      </c>
      <c r="W306" s="28">
        <f t="shared" si="2673"/>
        <v>-6</v>
      </c>
      <c r="X306" s="28">
        <f t="shared" si="2673"/>
        <v>6</v>
      </c>
      <c r="AB306" s="28" t="str">
        <f t="shared" ref="AB306:AE306" si="2674">IF(AB$3=$H306,U306,"")</f>
        <v/>
      </c>
      <c r="AC306" s="28">
        <f t="shared" si="2674"/>
        <v>6</v>
      </c>
      <c r="AD306" s="28" t="str">
        <f t="shared" si="2674"/>
        <v/>
      </c>
      <c r="AE306" s="28" t="str">
        <f t="shared" si="2674"/>
        <v/>
      </c>
      <c r="AH306" s="28">
        <f t="shared" si="22"/>
        <v>6</v>
      </c>
      <c r="AI306" s="28">
        <f t="shared" si="23"/>
        <v>0</v>
      </c>
      <c r="AK306" s="78" t="str">
        <f t="shared" ref="AK306:AN306" si="2675">IF(U306&gt;0,AK$3,"")</f>
        <v/>
      </c>
      <c r="AL306" s="78" t="str">
        <f t="shared" si="2675"/>
        <v>Peter</v>
      </c>
      <c r="AM306" s="78" t="str">
        <f t="shared" si="2675"/>
        <v/>
      </c>
      <c r="AN306" s="78" t="str">
        <f t="shared" si="2675"/>
        <v>Christian</v>
      </c>
      <c r="AO306" s="56">
        <f t="shared" si="25"/>
        <v>2</v>
      </c>
      <c r="AP306" s="8" t="str">
        <f t="shared" si="26"/>
        <v>Peter</v>
      </c>
      <c r="AQ306" s="73" t="str">
        <f>IFERROR(__xludf.DUMMYFUNCTION("IFNA(QUERY(transpose(AY306:BB306),""Select Col1 where Col1 is not null limit 1"",0))"),"Christian")</f>
        <v>Christian</v>
      </c>
      <c r="AR306" s="56"/>
      <c r="AS306" s="28" t="str">
        <f t="shared" ref="AS306:AV306" si="2676">IF(AK306=AS$3,"",AS$3)</f>
        <v>Thomas</v>
      </c>
      <c r="AT306" s="28" t="str">
        <f t="shared" si="2676"/>
        <v/>
      </c>
      <c r="AU306" s="28" t="str">
        <f t="shared" si="2676"/>
        <v>Janus</v>
      </c>
      <c r="AV306" s="28" t="str">
        <f t="shared" si="2676"/>
        <v/>
      </c>
      <c r="AW306" s="56">
        <f t="shared" si="28"/>
        <v>2</v>
      </c>
      <c r="AX306" s="28">
        <f t="shared" si="29"/>
        <v>6</v>
      </c>
      <c r="AY306" s="28" t="str">
        <f t="shared" ref="AY306:BB306" si="2677">IFNA(IFS(AY$3=$AP306,"",$AX306=U306,AY$3),"")</f>
        <v/>
      </c>
      <c r="AZ306" s="28" t="str">
        <f t="shared" si="2677"/>
        <v/>
      </c>
      <c r="BA306" s="28" t="str">
        <f t="shared" si="2677"/>
        <v/>
      </c>
      <c r="BB306" s="28" t="str">
        <f t="shared" si="2677"/>
        <v>Christian</v>
      </c>
      <c r="BC306" s="58">
        <f>OFFSET('00_Regnskab_01'!$A$1,MATCH(A306,'00_Regnskab_01'!$A$1:$A$25)-1,2)</f>
        <v>44617</v>
      </c>
      <c r="BE306" s="80">
        <f t="shared" ref="BE306:BH306" si="2678">if(U306&gt;0,1+BE305,0)</f>
        <v>0</v>
      </c>
      <c r="BF306" s="28">
        <f t="shared" si="2678"/>
        <v>3</v>
      </c>
      <c r="BG306" s="28">
        <f t="shared" si="2678"/>
        <v>0</v>
      </c>
      <c r="BH306" s="28">
        <f t="shared" si="2678"/>
        <v>1</v>
      </c>
      <c r="BJ306" s="28">
        <f t="shared" ref="BJ306:BM306" si="2679">if(U306&lt;0,1+BJ305,0)</f>
        <v>1</v>
      </c>
      <c r="BK306" s="28">
        <f t="shared" si="2679"/>
        <v>0</v>
      </c>
      <c r="BL306" s="28">
        <f t="shared" si="2679"/>
        <v>1</v>
      </c>
      <c r="BM306" s="28">
        <f t="shared" si="2679"/>
        <v>0</v>
      </c>
      <c r="BO306" s="74">
        <f t="shared" ref="BO306:BR306" si="2680">if(U306&gt;0,U306+BO305,0)</f>
        <v>0</v>
      </c>
      <c r="BP306" s="74">
        <f t="shared" si="2680"/>
        <v>42</v>
      </c>
      <c r="BQ306" s="74">
        <f t="shared" si="2680"/>
        <v>0</v>
      </c>
      <c r="BR306" s="74">
        <f t="shared" si="2680"/>
        <v>6</v>
      </c>
      <c r="BT306" s="28">
        <f t="shared" ref="BT306:BW306" si="2681">if(U306&lt;0,U306+BT305,0)</f>
        <v>-6</v>
      </c>
      <c r="BU306" s="28">
        <f t="shared" si="2681"/>
        <v>0</v>
      </c>
      <c r="BV306" s="28">
        <f t="shared" si="2681"/>
        <v>-6</v>
      </c>
      <c r="BW306" s="28">
        <f t="shared" si="2681"/>
        <v>0</v>
      </c>
    </row>
    <row r="307">
      <c r="A307" s="53">
        <v>17.0</v>
      </c>
      <c r="B307" s="28">
        <f>'17_25-02-2022'!A12</f>
        <v>10</v>
      </c>
      <c r="C307" s="28">
        <f>'17_25-02-2022'!E12</f>
        <v>46</v>
      </c>
      <c r="D307" s="28">
        <f>'17_25-02-2022'!H12</f>
        <v>-166</v>
      </c>
      <c r="E307" s="28">
        <f>'17_25-02-2022'!F12</f>
        <v>214</v>
      </c>
      <c r="F307" s="28">
        <f>'17_25-02-2022'!G12</f>
        <v>-94</v>
      </c>
      <c r="G307" s="28">
        <f>'17_25-02-2022'!I12</f>
        <v>0</v>
      </c>
      <c r="H307" s="28" t="str">
        <f>'17_25-02-2022'!D12</f>
        <v>Christian</v>
      </c>
      <c r="J307" s="76" t="str">
        <f>'17_25-02-2022'!B12</f>
        <v>Janus</v>
      </c>
      <c r="K307" s="28" t="str">
        <f>'17_25-02-2022'!C12</f>
        <v>Sol </v>
      </c>
      <c r="L307" s="56"/>
      <c r="N307" s="25" t="s">
        <v>99</v>
      </c>
      <c r="T307" s="56"/>
      <c r="U307" s="77">
        <f t="shared" ref="U307:X307" si="2682">C307-C306</f>
        <v>-4</v>
      </c>
      <c r="V307" s="28">
        <f t="shared" si="2682"/>
        <v>-4</v>
      </c>
      <c r="W307" s="28">
        <f t="shared" si="2682"/>
        <v>-4</v>
      </c>
      <c r="X307" s="28">
        <f t="shared" si="2682"/>
        <v>12</v>
      </c>
      <c r="AB307" s="28" t="str">
        <f t="shared" ref="AB307:AE307" si="2683">IF(AB$3=$H307,U307,"")</f>
        <v/>
      </c>
      <c r="AC307" s="28" t="str">
        <f t="shared" si="2683"/>
        <v/>
      </c>
      <c r="AD307" s="28" t="str">
        <f t="shared" si="2683"/>
        <v/>
      </c>
      <c r="AE307" s="28">
        <f t="shared" si="2683"/>
        <v>12</v>
      </c>
      <c r="AH307" s="28">
        <f t="shared" si="22"/>
        <v>12</v>
      </c>
      <c r="AI307" s="28">
        <f t="shared" si="23"/>
        <v>0</v>
      </c>
      <c r="AK307" s="78" t="str">
        <f t="shared" ref="AK307:AN307" si="2684">IF(U307&gt;0,AK$3,"")</f>
        <v/>
      </c>
      <c r="AL307" s="78" t="str">
        <f t="shared" si="2684"/>
        <v/>
      </c>
      <c r="AM307" s="78" t="str">
        <f t="shared" si="2684"/>
        <v/>
      </c>
      <c r="AN307" s="78" t="str">
        <f t="shared" si="2684"/>
        <v>Christian</v>
      </c>
      <c r="AO307" s="56">
        <f t="shared" si="25"/>
        <v>1</v>
      </c>
      <c r="AP307" s="8" t="str">
        <f t="shared" si="26"/>
        <v>Christian</v>
      </c>
      <c r="AQ307" s="73" t="str">
        <f>IFERROR(__xludf.DUMMYFUNCTION("IFNA(QUERY(transpose(AY307:BB307),""Select Col1 where Col1 is not null limit 1"",0))"),"")</f>
        <v/>
      </c>
      <c r="AR307" s="56"/>
      <c r="AS307" s="28" t="str">
        <f t="shared" ref="AS307:AV307" si="2685">IF(AK307=AS$3,"",AS$3)</f>
        <v>Thomas</v>
      </c>
      <c r="AT307" s="28" t="str">
        <f t="shared" si="2685"/>
        <v>Peter</v>
      </c>
      <c r="AU307" s="28" t="str">
        <f t="shared" si="2685"/>
        <v>Janus</v>
      </c>
      <c r="AV307" s="28" t="str">
        <f t="shared" si="2685"/>
        <v/>
      </c>
      <c r="AW307" s="56">
        <f t="shared" si="28"/>
        <v>3</v>
      </c>
      <c r="AX307" s="28">
        <f t="shared" si="29"/>
        <v>12</v>
      </c>
      <c r="AY307" s="28" t="str">
        <f t="shared" ref="AY307:BB307" si="2686">IFNA(IFS(AY$3=$AP307,"",$AX307=U307,AY$3),"")</f>
        <v/>
      </c>
      <c r="AZ307" s="28" t="str">
        <f t="shared" si="2686"/>
        <v/>
      </c>
      <c r="BA307" s="28" t="str">
        <f t="shared" si="2686"/>
        <v/>
      </c>
      <c r="BB307" s="28" t="str">
        <f t="shared" si="2686"/>
        <v/>
      </c>
      <c r="BC307" s="58">
        <f>OFFSET('00_Regnskab_01'!$A$1,MATCH(A307,'00_Regnskab_01'!$A$1:$A$25)-1,2)</f>
        <v>44617</v>
      </c>
      <c r="BE307" s="80">
        <f t="shared" ref="BE307:BH307" si="2687">if(U307&gt;0,1+BE306,0)</f>
        <v>0</v>
      </c>
      <c r="BF307" s="28">
        <f t="shared" si="2687"/>
        <v>0</v>
      </c>
      <c r="BG307" s="28">
        <f t="shared" si="2687"/>
        <v>0</v>
      </c>
      <c r="BH307" s="28">
        <f t="shared" si="2687"/>
        <v>2</v>
      </c>
      <c r="BJ307" s="28">
        <f t="shared" ref="BJ307:BM307" si="2688">if(U307&lt;0,1+BJ306,0)</f>
        <v>2</v>
      </c>
      <c r="BK307" s="28">
        <f t="shared" si="2688"/>
        <v>1</v>
      </c>
      <c r="BL307" s="28">
        <f t="shared" si="2688"/>
        <v>2</v>
      </c>
      <c r="BM307" s="28">
        <f t="shared" si="2688"/>
        <v>0</v>
      </c>
      <c r="BO307" s="74">
        <f t="shared" ref="BO307:BR307" si="2689">if(U307&gt;0,U307+BO306,0)</f>
        <v>0</v>
      </c>
      <c r="BP307" s="74">
        <f t="shared" si="2689"/>
        <v>0</v>
      </c>
      <c r="BQ307" s="74">
        <f t="shared" si="2689"/>
        <v>0</v>
      </c>
      <c r="BR307" s="74">
        <f t="shared" si="2689"/>
        <v>18</v>
      </c>
      <c r="BT307" s="28">
        <f t="shared" ref="BT307:BW307" si="2690">if(U307&lt;0,U307+BT306,0)</f>
        <v>-10</v>
      </c>
      <c r="BU307" s="28">
        <f t="shared" si="2690"/>
        <v>-4</v>
      </c>
      <c r="BV307" s="28">
        <f t="shared" si="2690"/>
        <v>-10</v>
      </c>
      <c r="BW307" s="28">
        <f t="shared" si="2690"/>
        <v>0</v>
      </c>
    </row>
    <row r="308">
      <c r="A308" s="53">
        <v>17.0</v>
      </c>
      <c r="B308" s="28">
        <f>'17_25-02-2022'!A13</f>
        <v>11</v>
      </c>
      <c r="C308" s="28">
        <f>'17_25-02-2022'!E13</f>
        <v>54</v>
      </c>
      <c r="D308" s="28">
        <f>'17_25-02-2022'!H13</f>
        <v>-174</v>
      </c>
      <c r="E308" s="28">
        <f>'17_25-02-2022'!F13</f>
        <v>222</v>
      </c>
      <c r="F308" s="28">
        <f>'17_25-02-2022'!G13</f>
        <v>-102</v>
      </c>
      <c r="G308" s="28">
        <f>'17_25-02-2022'!I13</f>
        <v>0</v>
      </c>
      <c r="H308" s="28" t="str">
        <f>'17_25-02-2022'!D13</f>
        <v>Christian</v>
      </c>
      <c r="J308" s="76" t="str">
        <f>'17_25-02-2022'!B13</f>
        <v>Christian</v>
      </c>
      <c r="K308" s="28" t="str">
        <f>'17_25-02-2022'!C13</f>
        <v>9 gode</v>
      </c>
      <c r="L308" s="56"/>
      <c r="M308" s="25">
        <v>9.0</v>
      </c>
      <c r="N308" s="25" t="s">
        <v>95</v>
      </c>
      <c r="T308" s="56"/>
      <c r="U308" s="77">
        <f t="shared" ref="U308:X308" si="2691">C308-C307</f>
        <v>8</v>
      </c>
      <c r="V308" s="28">
        <f t="shared" si="2691"/>
        <v>-8</v>
      </c>
      <c r="W308" s="28">
        <f t="shared" si="2691"/>
        <v>8</v>
      </c>
      <c r="X308" s="28">
        <f t="shared" si="2691"/>
        <v>-8</v>
      </c>
      <c r="AB308" s="28" t="str">
        <f t="shared" ref="AB308:AE308" si="2692">IF(AB$3=$H308,U308,"")</f>
        <v/>
      </c>
      <c r="AC308" s="28" t="str">
        <f t="shared" si="2692"/>
        <v/>
      </c>
      <c r="AD308" s="28" t="str">
        <f t="shared" si="2692"/>
        <v/>
      </c>
      <c r="AE308" s="28">
        <f t="shared" si="2692"/>
        <v>-8</v>
      </c>
      <c r="AH308" s="28">
        <f t="shared" si="22"/>
        <v>0</v>
      </c>
      <c r="AI308" s="28">
        <f t="shared" si="23"/>
        <v>-8</v>
      </c>
      <c r="AK308" s="78" t="str">
        <f t="shared" ref="AK308:AN308" si="2693">IF(U308&gt;0,AK$3,"")</f>
        <v>Thomas</v>
      </c>
      <c r="AL308" s="78" t="str">
        <f t="shared" si="2693"/>
        <v/>
      </c>
      <c r="AM308" s="78" t="str">
        <f t="shared" si="2693"/>
        <v>Janus</v>
      </c>
      <c r="AN308" s="78" t="str">
        <f t="shared" si="2693"/>
        <v/>
      </c>
      <c r="AO308" s="56">
        <f t="shared" si="25"/>
        <v>2</v>
      </c>
      <c r="AP308" s="8" t="str">
        <f t="shared" si="26"/>
        <v>Christian</v>
      </c>
      <c r="AQ308" s="73" t="str">
        <f>IFERROR(__xludf.DUMMYFUNCTION("IFNA(QUERY(transpose(AY308:BB308),""Select Col1 where Col1 is not null limit 1"",0))"),"Peter")</f>
        <v>Peter</v>
      </c>
      <c r="AR308" s="56"/>
      <c r="AS308" s="28" t="str">
        <f t="shared" ref="AS308:AV308" si="2694">IF(AK308=AS$3,"",AS$3)</f>
        <v/>
      </c>
      <c r="AT308" s="28" t="str">
        <f t="shared" si="2694"/>
        <v>Peter</v>
      </c>
      <c r="AU308" s="28" t="str">
        <f t="shared" si="2694"/>
        <v/>
      </c>
      <c r="AV308" s="28" t="str">
        <f t="shared" si="2694"/>
        <v>Christian</v>
      </c>
      <c r="AW308" s="56">
        <f t="shared" si="28"/>
        <v>2</v>
      </c>
      <c r="AX308" s="28">
        <f t="shared" si="29"/>
        <v>-8</v>
      </c>
      <c r="AY308" s="28" t="str">
        <f t="shared" ref="AY308:BB308" si="2695">IFNA(IFS(AY$3=$AP308,"",$AX308=U308,AY$3),"")</f>
        <v/>
      </c>
      <c r="AZ308" s="28" t="str">
        <f t="shared" si="2695"/>
        <v>Peter</v>
      </c>
      <c r="BA308" s="28" t="str">
        <f t="shared" si="2695"/>
        <v/>
      </c>
      <c r="BB308" s="28" t="str">
        <f t="shared" si="2695"/>
        <v/>
      </c>
      <c r="BC308" s="58">
        <f>OFFSET('00_Regnskab_01'!$A$1,MATCH(A308,'00_Regnskab_01'!$A$1:$A$25)-1,2)</f>
        <v>44617</v>
      </c>
      <c r="BE308" s="80">
        <f t="shared" ref="BE308:BH308" si="2696">if(U308&gt;0,1+BE307,0)</f>
        <v>1</v>
      </c>
      <c r="BF308" s="28">
        <f t="shared" si="2696"/>
        <v>0</v>
      </c>
      <c r="BG308" s="28">
        <f t="shared" si="2696"/>
        <v>1</v>
      </c>
      <c r="BH308" s="28">
        <f t="shared" si="2696"/>
        <v>0</v>
      </c>
      <c r="BJ308" s="28">
        <f t="shared" ref="BJ308:BM308" si="2697">if(U308&lt;0,1+BJ307,0)</f>
        <v>0</v>
      </c>
      <c r="BK308" s="28">
        <f t="shared" si="2697"/>
        <v>2</v>
      </c>
      <c r="BL308" s="28">
        <f t="shared" si="2697"/>
        <v>0</v>
      </c>
      <c r="BM308" s="28">
        <f t="shared" si="2697"/>
        <v>1</v>
      </c>
      <c r="BO308" s="74">
        <f t="shared" ref="BO308:BR308" si="2698">if(U308&gt;0,U308+BO307,0)</f>
        <v>8</v>
      </c>
      <c r="BP308" s="74">
        <f t="shared" si="2698"/>
        <v>0</v>
      </c>
      <c r="BQ308" s="74">
        <f t="shared" si="2698"/>
        <v>8</v>
      </c>
      <c r="BR308" s="74">
        <f t="shared" si="2698"/>
        <v>0</v>
      </c>
      <c r="BT308" s="28">
        <f t="shared" ref="BT308:BW308" si="2699">if(U308&lt;0,U308+BT307,0)</f>
        <v>0</v>
      </c>
      <c r="BU308" s="28">
        <f t="shared" si="2699"/>
        <v>-12</v>
      </c>
      <c r="BV308" s="28">
        <f t="shared" si="2699"/>
        <v>0</v>
      </c>
      <c r="BW308" s="28">
        <f t="shared" si="2699"/>
        <v>-8</v>
      </c>
    </row>
    <row r="309">
      <c r="A309" s="53">
        <v>17.0</v>
      </c>
      <c r="B309" s="28">
        <f>'17_25-02-2022'!A14</f>
        <v>12</v>
      </c>
      <c r="C309" s="28">
        <f>'17_25-02-2022'!E14</f>
        <v>-6</v>
      </c>
      <c r="D309" s="28">
        <f>'17_25-02-2022'!H14</f>
        <v>-154</v>
      </c>
      <c r="E309" s="28">
        <f>'17_25-02-2022'!F14</f>
        <v>242</v>
      </c>
      <c r="F309" s="28">
        <f>'17_25-02-2022'!G14</f>
        <v>-82</v>
      </c>
      <c r="G309" s="28">
        <f>'17_25-02-2022'!I14</f>
        <v>0</v>
      </c>
      <c r="H309" s="28" t="str">
        <f>'17_25-02-2022'!D14</f>
        <v>Thomas</v>
      </c>
      <c r="J309" s="76" t="str">
        <f>'17_25-02-2022'!B14</f>
        <v>Peter</v>
      </c>
      <c r="K309" s="28" t="str">
        <f>'17_25-02-2022'!C14</f>
        <v>9 halve</v>
      </c>
      <c r="L309" s="56"/>
      <c r="M309" s="25">
        <v>9.0</v>
      </c>
      <c r="N309" s="25" t="s">
        <v>94</v>
      </c>
      <c r="T309" s="56"/>
      <c r="U309" s="77">
        <f t="shared" ref="U309:X309" si="2700">C309-C308</f>
        <v>-60</v>
      </c>
      <c r="V309" s="28">
        <f t="shared" si="2700"/>
        <v>20</v>
      </c>
      <c r="W309" s="28">
        <f t="shared" si="2700"/>
        <v>20</v>
      </c>
      <c r="X309" s="28">
        <f t="shared" si="2700"/>
        <v>20</v>
      </c>
      <c r="AB309" s="28">
        <f t="shared" ref="AB309:AE309" si="2701">IF(AB$3=$H309,U309,"")</f>
        <v>-60</v>
      </c>
      <c r="AC309" s="28" t="str">
        <f t="shared" si="2701"/>
        <v/>
      </c>
      <c r="AD309" s="28" t="str">
        <f t="shared" si="2701"/>
        <v/>
      </c>
      <c r="AE309" s="28" t="str">
        <f t="shared" si="2701"/>
        <v/>
      </c>
      <c r="AH309" s="28">
        <f t="shared" si="22"/>
        <v>0</v>
      </c>
      <c r="AI309" s="28">
        <f t="shared" si="23"/>
        <v>-60</v>
      </c>
      <c r="AK309" s="78" t="str">
        <f t="shared" ref="AK309:AN309" si="2702">IF(U309&gt;0,AK$3,"")</f>
        <v/>
      </c>
      <c r="AL309" s="78" t="str">
        <f t="shared" si="2702"/>
        <v>Peter</v>
      </c>
      <c r="AM309" s="78" t="str">
        <f t="shared" si="2702"/>
        <v>Janus</v>
      </c>
      <c r="AN309" s="78" t="str">
        <f t="shared" si="2702"/>
        <v>Christian</v>
      </c>
      <c r="AO309" s="56">
        <f t="shared" si="25"/>
        <v>3</v>
      </c>
      <c r="AP309" s="8" t="str">
        <f t="shared" si="26"/>
        <v>Thomas</v>
      </c>
      <c r="AQ309" s="73" t="str">
        <f>IFERROR(__xludf.DUMMYFUNCTION("IFNA(QUERY(transpose(AY309:BB309),""Select Col1 where Col1 is not null limit 1"",0))"),"")</f>
        <v/>
      </c>
      <c r="AR309" s="56"/>
      <c r="AS309" s="28" t="str">
        <f t="shared" ref="AS309:AV309" si="2703">IF(AK309=AS$3,"",AS$3)</f>
        <v>Thomas</v>
      </c>
      <c r="AT309" s="28" t="str">
        <f t="shared" si="2703"/>
        <v/>
      </c>
      <c r="AU309" s="28" t="str">
        <f t="shared" si="2703"/>
        <v/>
      </c>
      <c r="AV309" s="28" t="str">
        <f t="shared" si="2703"/>
        <v/>
      </c>
      <c r="AW309" s="56">
        <f t="shared" si="28"/>
        <v>1</v>
      </c>
      <c r="AX309" s="28">
        <f t="shared" si="29"/>
        <v>-60</v>
      </c>
      <c r="AY309" s="28" t="str">
        <f t="shared" ref="AY309:BB309" si="2704">IFNA(IFS(AY$3=$AP309,"",$AX309=U309,AY$3),"")</f>
        <v/>
      </c>
      <c r="AZ309" s="28" t="str">
        <f t="shared" si="2704"/>
        <v/>
      </c>
      <c r="BA309" s="28" t="str">
        <f t="shared" si="2704"/>
        <v/>
      </c>
      <c r="BB309" s="28" t="str">
        <f t="shared" si="2704"/>
        <v/>
      </c>
      <c r="BC309" s="58">
        <f>OFFSET('00_Regnskab_01'!$A$1,MATCH(A309,'00_Regnskab_01'!$A$1:$A$25)-1,2)</f>
        <v>44617</v>
      </c>
      <c r="BE309" s="80">
        <f t="shared" ref="BE309:BH309" si="2705">if(U309&gt;0,1+BE308,0)</f>
        <v>0</v>
      </c>
      <c r="BF309" s="28">
        <f t="shared" si="2705"/>
        <v>1</v>
      </c>
      <c r="BG309" s="28">
        <f t="shared" si="2705"/>
        <v>2</v>
      </c>
      <c r="BH309" s="28">
        <f t="shared" si="2705"/>
        <v>1</v>
      </c>
      <c r="BJ309" s="28">
        <f t="shared" ref="BJ309:BM309" si="2706">if(U309&lt;0,1+BJ308,0)</f>
        <v>1</v>
      </c>
      <c r="BK309" s="28">
        <f t="shared" si="2706"/>
        <v>0</v>
      </c>
      <c r="BL309" s="28">
        <f t="shared" si="2706"/>
        <v>0</v>
      </c>
      <c r="BM309" s="28">
        <f t="shared" si="2706"/>
        <v>0</v>
      </c>
      <c r="BO309" s="74">
        <f t="shared" ref="BO309:BR309" si="2707">if(U309&gt;0,U309+BO308,0)</f>
        <v>0</v>
      </c>
      <c r="BP309" s="74">
        <f t="shared" si="2707"/>
        <v>20</v>
      </c>
      <c r="BQ309" s="74">
        <f t="shared" si="2707"/>
        <v>28</v>
      </c>
      <c r="BR309" s="74">
        <f t="shared" si="2707"/>
        <v>20</v>
      </c>
      <c r="BT309" s="28">
        <f t="shared" ref="BT309:BW309" si="2708">if(U309&lt;0,U309+BT308,0)</f>
        <v>-60</v>
      </c>
      <c r="BU309" s="28">
        <f t="shared" si="2708"/>
        <v>0</v>
      </c>
      <c r="BV309" s="28">
        <f t="shared" si="2708"/>
        <v>0</v>
      </c>
      <c r="BW309" s="28">
        <f t="shared" si="2708"/>
        <v>0</v>
      </c>
    </row>
    <row r="310">
      <c r="A310" s="53">
        <v>17.0</v>
      </c>
      <c r="B310" s="28">
        <f>'17_25-02-2022'!A15</f>
        <v>13</v>
      </c>
      <c r="C310" s="28">
        <f>'17_25-02-2022'!E15</f>
        <v>18</v>
      </c>
      <c r="D310" s="28">
        <f>'17_25-02-2022'!H15</f>
        <v>-162</v>
      </c>
      <c r="E310" s="28">
        <f>'17_25-02-2022'!F15</f>
        <v>234</v>
      </c>
      <c r="F310" s="28">
        <f>'17_25-02-2022'!G15</f>
        <v>-90</v>
      </c>
      <c r="G310" s="28">
        <f>'17_25-02-2022'!I15</f>
        <v>0</v>
      </c>
      <c r="H310" s="28" t="str">
        <f>'17_25-02-2022'!D15</f>
        <v>Thomas</v>
      </c>
      <c r="J310" s="76" t="str">
        <f>'17_25-02-2022'!B15</f>
        <v>Thomas</v>
      </c>
      <c r="K310" s="28" t="str">
        <f>'17_25-02-2022'!C15</f>
        <v>Ren Sol</v>
      </c>
      <c r="L310" s="56"/>
      <c r="N310" s="25" t="s">
        <v>97</v>
      </c>
      <c r="T310" s="56"/>
      <c r="U310" s="77">
        <f t="shared" ref="U310:X310" si="2709">C310-C309</f>
        <v>24</v>
      </c>
      <c r="V310" s="28">
        <f t="shared" si="2709"/>
        <v>-8</v>
      </c>
      <c r="W310" s="28">
        <f t="shared" si="2709"/>
        <v>-8</v>
      </c>
      <c r="X310" s="28">
        <f t="shared" si="2709"/>
        <v>-8</v>
      </c>
      <c r="AB310" s="28">
        <f t="shared" ref="AB310:AE310" si="2710">IF(AB$3=$H310,U310,"")</f>
        <v>24</v>
      </c>
      <c r="AC310" s="28" t="str">
        <f t="shared" si="2710"/>
        <v/>
      </c>
      <c r="AD310" s="28" t="str">
        <f t="shared" si="2710"/>
        <v/>
      </c>
      <c r="AE310" s="28" t="str">
        <f t="shared" si="2710"/>
        <v/>
      </c>
      <c r="AH310" s="28">
        <f t="shared" si="22"/>
        <v>24</v>
      </c>
      <c r="AI310" s="28">
        <f t="shared" si="23"/>
        <v>0</v>
      </c>
      <c r="AK310" s="78" t="str">
        <f t="shared" ref="AK310:AN310" si="2711">IF(U310&gt;0,AK$3,"")</f>
        <v>Thomas</v>
      </c>
      <c r="AL310" s="78" t="str">
        <f t="shared" si="2711"/>
        <v/>
      </c>
      <c r="AM310" s="78" t="str">
        <f t="shared" si="2711"/>
        <v/>
      </c>
      <c r="AN310" s="78" t="str">
        <f t="shared" si="2711"/>
        <v/>
      </c>
      <c r="AO310" s="56">
        <f t="shared" si="25"/>
        <v>1</v>
      </c>
      <c r="AP310" s="8" t="str">
        <f t="shared" si="26"/>
        <v>Thomas</v>
      </c>
      <c r="AQ310" s="73" t="str">
        <f>IFERROR(__xludf.DUMMYFUNCTION("IFNA(QUERY(transpose(AY310:BB310),""Select Col1 where Col1 is not null limit 1"",0))"),"")</f>
        <v/>
      </c>
      <c r="AR310" s="56"/>
      <c r="AS310" s="28" t="str">
        <f t="shared" ref="AS310:AV310" si="2712">IF(AK310=AS$3,"",AS$3)</f>
        <v/>
      </c>
      <c r="AT310" s="28" t="str">
        <f t="shared" si="2712"/>
        <v>Peter</v>
      </c>
      <c r="AU310" s="28" t="str">
        <f t="shared" si="2712"/>
        <v>Janus</v>
      </c>
      <c r="AV310" s="28" t="str">
        <f t="shared" si="2712"/>
        <v>Christian</v>
      </c>
      <c r="AW310" s="56">
        <f t="shared" si="28"/>
        <v>3</v>
      </c>
      <c r="AX310" s="28">
        <f t="shared" si="29"/>
        <v>24</v>
      </c>
      <c r="AY310" s="28" t="str">
        <f t="shared" ref="AY310:BB310" si="2713">IFNA(IFS(AY$3=$AP310,"",$AX310=U310,AY$3),"")</f>
        <v/>
      </c>
      <c r="AZ310" s="28" t="str">
        <f t="shared" si="2713"/>
        <v/>
      </c>
      <c r="BA310" s="28" t="str">
        <f t="shared" si="2713"/>
        <v/>
      </c>
      <c r="BB310" s="28" t="str">
        <f t="shared" si="2713"/>
        <v/>
      </c>
      <c r="BC310" s="58">
        <f>OFFSET('00_Regnskab_01'!$A$1,MATCH(A310,'00_Regnskab_01'!$A$1:$A$25)-1,2)</f>
        <v>44617</v>
      </c>
      <c r="BE310" s="80">
        <f t="shared" ref="BE310:BH310" si="2714">if(U310&gt;0,1+BE309,0)</f>
        <v>1</v>
      </c>
      <c r="BF310" s="28">
        <f t="shared" si="2714"/>
        <v>0</v>
      </c>
      <c r="BG310" s="28">
        <f t="shared" si="2714"/>
        <v>0</v>
      </c>
      <c r="BH310" s="28">
        <f t="shared" si="2714"/>
        <v>0</v>
      </c>
      <c r="BJ310" s="28">
        <f t="shared" ref="BJ310:BM310" si="2715">if(U310&lt;0,1+BJ309,0)</f>
        <v>0</v>
      </c>
      <c r="BK310" s="28">
        <f t="shared" si="2715"/>
        <v>1</v>
      </c>
      <c r="BL310" s="28">
        <f t="shared" si="2715"/>
        <v>1</v>
      </c>
      <c r="BM310" s="28">
        <f t="shared" si="2715"/>
        <v>1</v>
      </c>
      <c r="BO310" s="74">
        <f t="shared" ref="BO310:BR310" si="2716">if(U310&gt;0,U310+BO309,0)</f>
        <v>24</v>
      </c>
      <c r="BP310" s="74">
        <f t="shared" si="2716"/>
        <v>0</v>
      </c>
      <c r="BQ310" s="74">
        <f t="shared" si="2716"/>
        <v>0</v>
      </c>
      <c r="BR310" s="74">
        <f t="shared" si="2716"/>
        <v>0</v>
      </c>
      <c r="BT310" s="28">
        <f t="shared" ref="BT310:BW310" si="2717">if(U310&lt;0,U310+BT309,0)</f>
        <v>0</v>
      </c>
      <c r="BU310" s="28">
        <f t="shared" si="2717"/>
        <v>-8</v>
      </c>
      <c r="BV310" s="28">
        <f t="shared" si="2717"/>
        <v>-8</v>
      </c>
      <c r="BW310" s="28">
        <f t="shared" si="2717"/>
        <v>-8</v>
      </c>
    </row>
    <row r="311">
      <c r="A311" s="53">
        <v>17.0</v>
      </c>
      <c r="B311" s="28">
        <f>'17_25-02-2022'!A16</f>
        <v>14</v>
      </c>
      <c r="C311" s="28">
        <f>'17_25-02-2022'!E16</f>
        <v>42</v>
      </c>
      <c r="D311" s="28">
        <f>'17_25-02-2022'!H16</f>
        <v>-186</v>
      </c>
      <c r="E311" s="28">
        <f>'17_25-02-2022'!F16</f>
        <v>258</v>
      </c>
      <c r="F311" s="28">
        <f>'17_25-02-2022'!G16</f>
        <v>-114</v>
      </c>
      <c r="G311" s="28">
        <f>'17_25-02-2022'!I16</f>
        <v>0</v>
      </c>
      <c r="H311" s="28" t="str">
        <f>'17_25-02-2022'!D16</f>
        <v>Thomas</v>
      </c>
      <c r="J311" s="76" t="str">
        <f>'17_25-02-2022'!B16</f>
        <v>Janus</v>
      </c>
      <c r="K311" s="28" t="str">
        <f>'17_25-02-2022'!C16</f>
        <v>9. 2 vip</v>
      </c>
      <c r="L311" s="56"/>
      <c r="M311" s="25">
        <v>9.0</v>
      </c>
      <c r="N311" s="25" t="s">
        <v>86</v>
      </c>
      <c r="O311" s="25">
        <v>2.0</v>
      </c>
      <c r="T311" s="56"/>
      <c r="U311" s="77">
        <f t="shared" ref="U311:X311" si="2718">C311-C310</f>
        <v>24</v>
      </c>
      <c r="V311" s="28">
        <f t="shared" si="2718"/>
        <v>-24</v>
      </c>
      <c r="W311" s="28">
        <f t="shared" si="2718"/>
        <v>24</v>
      </c>
      <c r="X311" s="28">
        <f t="shared" si="2718"/>
        <v>-24</v>
      </c>
      <c r="AB311" s="28">
        <f t="shared" ref="AB311:AE311" si="2719">IF(AB$3=$H311,U311,"")</f>
        <v>24</v>
      </c>
      <c r="AC311" s="28" t="str">
        <f t="shared" si="2719"/>
        <v/>
      </c>
      <c r="AD311" s="28" t="str">
        <f t="shared" si="2719"/>
        <v/>
      </c>
      <c r="AE311" s="28" t="str">
        <f t="shared" si="2719"/>
        <v/>
      </c>
      <c r="AH311" s="28">
        <f t="shared" si="22"/>
        <v>24</v>
      </c>
      <c r="AI311" s="28">
        <f t="shared" si="23"/>
        <v>0</v>
      </c>
      <c r="AK311" s="78" t="str">
        <f t="shared" ref="AK311:AN311" si="2720">IF(U311&gt;0,AK$3,"")</f>
        <v>Thomas</v>
      </c>
      <c r="AL311" s="78" t="str">
        <f t="shared" si="2720"/>
        <v/>
      </c>
      <c r="AM311" s="78" t="str">
        <f t="shared" si="2720"/>
        <v>Janus</v>
      </c>
      <c r="AN311" s="78" t="str">
        <f t="shared" si="2720"/>
        <v/>
      </c>
      <c r="AO311" s="56">
        <f t="shared" si="25"/>
        <v>2</v>
      </c>
      <c r="AP311" s="8" t="str">
        <f t="shared" si="26"/>
        <v>Thomas</v>
      </c>
      <c r="AQ311" s="73" t="str">
        <f>IFERROR(__xludf.DUMMYFUNCTION("IFNA(QUERY(transpose(AY311:BB311),""Select Col1 where Col1 is not null limit 1"",0))"),"Janus")</f>
        <v>Janus</v>
      </c>
      <c r="AR311" s="56"/>
      <c r="AS311" s="28" t="str">
        <f t="shared" ref="AS311:AV311" si="2721">IF(AK311=AS$3,"",AS$3)</f>
        <v/>
      </c>
      <c r="AT311" s="28" t="str">
        <f t="shared" si="2721"/>
        <v>Peter</v>
      </c>
      <c r="AU311" s="28" t="str">
        <f t="shared" si="2721"/>
        <v/>
      </c>
      <c r="AV311" s="28" t="str">
        <f t="shared" si="2721"/>
        <v>Christian</v>
      </c>
      <c r="AW311" s="56">
        <f t="shared" si="28"/>
        <v>2</v>
      </c>
      <c r="AX311" s="28">
        <f t="shared" si="29"/>
        <v>24</v>
      </c>
      <c r="AY311" s="28" t="str">
        <f t="shared" ref="AY311:BB311" si="2722">IFNA(IFS(AY$3=$AP311,"",$AX311=U311,AY$3),"")</f>
        <v/>
      </c>
      <c r="AZ311" s="28" t="str">
        <f t="shared" si="2722"/>
        <v/>
      </c>
      <c r="BA311" s="28" t="str">
        <f t="shared" si="2722"/>
        <v>Janus</v>
      </c>
      <c r="BB311" s="28" t="str">
        <f t="shared" si="2722"/>
        <v/>
      </c>
      <c r="BC311" s="58">
        <f>OFFSET('00_Regnskab_01'!$A$1,MATCH(A311,'00_Regnskab_01'!$A$1:$A$25)-1,2)</f>
        <v>44617</v>
      </c>
      <c r="BE311" s="80">
        <f t="shared" ref="BE311:BH311" si="2723">if(U311&gt;0,1+BE310,0)</f>
        <v>2</v>
      </c>
      <c r="BF311" s="28">
        <f t="shared" si="2723"/>
        <v>0</v>
      </c>
      <c r="BG311" s="28">
        <f t="shared" si="2723"/>
        <v>1</v>
      </c>
      <c r="BH311" s="28">
        <f t="shared" si="2723"/>
        <v>0</v>
      </c>
      <c r="BJ311" s="28">
        <f t="shared" ref="BJ311:BM311" si="2724">if(U311&lt;0,1+BJ310,0)</f>
        <v>0</v>
      </c>
      <c r="BK311" s="28">
        <f t="shared" si="2724"/>
        <v>2</v>
      </c>
      <c r="BL311" s="28">
        <f t="shared" si="2724"/>
        <v>0</v>
      </c>
      <c r="BM311" s="28">
        <f t="shared" si="2724"/>
        <v>2</v>
      </c>
      <c r="BO311" s="74">
        <f t="shared" ref="BO311:BR311" si="2725">if(U311&gt;0,U311+BO310,0)</f>
        <v>48</v>
      </c>
      <c r="BP311" s="74">
        <f t="shared" si="2725"/>
        <v>0</v>
      </c>
      <c r="BQ311" s="74">
        <f t="shared" si="2725"/>
        <v>24</v>
      </c>
      <c r="BR311" s="74">
        <f t="shared" si="2725"/>
        <v>0</v>
      </c>
      <c r="BT311" s="28">
        <f t="shared" ref="BT311:BW311" si="2726">if(U311&lt;0,U311+BT310,0)</f>
        <v>0</v>
      </c>
      <c r="BU311" s="28">
        <f t="shared" si="2726"/>
        <v>-32</v>
      </c>
      <c r="BV311" s="28">
        <f t="shared" si="2726"/>
        <v>0</v>
      </c>
      <c r="BW311" s="28">
        <f t="shared" si="2726"/>
        <v>-32</v>
      </c>
    </row>
    <row r="312">
      <c r="A312" s="53">
        <v>17.0</v>
      </c>
      <c r="B312" s="28">
        <f>'17_25-02-2022'!A17</f>
        <v>15</v>
      </c>
      <c r="C312" s="28">
        <f>'17_25-02-2022'!E17</f>
        <v>46</v>
      </c>
      <c r="D312" s="28">
        <f>'17_25-02-2022'!H17</f>
        <v>-198</v>
      </c>
      <c r="E312" s="28">
        <f>'17_25-02-2022'!F17</f>
        <v>262</v>
      </c>
      <c r="F312" s="28">
        <f>'17_25-02-2022'!G17</f>
        <v>-110</v>
      </c>
      <c r="G312" s="28">
        <f>'17_25-02-2022'!I17</f>
        <v>0</v>
      </c>
      <c r="H312" s="28" t="str">
        <f>'17_25-02-2022'!D17</f>
        <v>Peter</v>
      </c>
      <c r="J312" s="76" t="str">
        <f>'17_25-02-2022'!B17</f>
        <v>Christian</v>
      </c>
      <c r="K312" s="28" t="str">
        <f>'17_25-02-2022'!C17</f>
        <v>Sol </v>
      </c>
      <c r="L312" s="56"/>
      <c r="N312" s="25" t="s">
        <v>99</v>
      </c>
      <c r="T312" s="56"/>
      <c r="U312" s="77">
        <f t="shared" ref="U312:X312" si="2727">C312-C311</f>
        <v>4</v>
      </c>
      <c r="V312" s="28">
        <f t="shared" si="2727"/>
        <v>-12</v>
      </c>
      <c r="W312" s="28">
        <f t="shared" si="2727"/>
        <v>4</v>
      </c>
      <c r="X312" s="28">
        <f t="shared" si="2727"/>
        <v>4</v>
      </c>
      <c r="AB312" s="28" t="str">
        <f t="shared" ref="AB312:AE312" si="2728">IF(AB$3=$H312,U312,"")</f>
        <v/>
      </c>
      <c r="AC312" s="28">
        <f t="shared" si="2728"/>
        <v>-12</v>
      </c>
      <c r="AD312" s="28" t="str">
        <f t="shared" si="2728"/>
        <v/>
      </c>
      <c r="AE312" s="28" t="str">
        <f t="shared" si="2728"/>
        <v/>
      </c>
      <c r="AH312" s="28">
        <f t="shared" si="22"/>
        <v>0</v>
      </c>
      <c r="AI312" s="28">
        <f t="shared" si="23"/>
        <v>-12</v>
      </c>
      <c r="AK312" s="78" t="str">
        <f t="shared" ref="AK312:AN312" si="2729">IF(U312&gt;0,AK$3,"")</f>
        <v>Thomas</v>
      </c>
      <c r="AL312" s="78" t="str">
        <f t="shared" si="2729"/>
        <v/>
      </c>
      <c r="AM312" s="78" t="str">
        <f t="shared" si="2729"/>
        <v>Janus</v>
      </c>
      <c r="AN312" s="78" t="str">
        <f t="shared" si="2729"/>
        <v>Christian</v>
      </c>
      <c r="AO312" s="56">
        <f t="shared" si="25"/>
        <v>3</v>
      </c>
      <c r="AP312" s="8" t="str">
        <f t="shared" si="26"/>
        <v>Peter</v>
      </c>
      <c r="AQ312" s="73" t="str">
        <f>IFERROR(__xludf.DUMMYFUNCTION("IFNA(QUERY(transpose(AY312:BB312),""Select Col1 where Col1 is not null limit 1"",0))"),"")</f>
        <v/>
      </c>
      <c r="AR312" s="56"/>
      <c r="AS312" s="28" t="str">
        <f t="shared" ref="AS312:AV312" si="2730">IF(AK312=AS$3,"",AS$3)</f>
        <v/>
      </c>
      <c r="AT312" s="28" t="str">
        <f t="shared" si="2730"/>
        <v>Peter</v>
      </c>
      <c r="AU312" s="28" t="str">
        <f t="shared" si="2730"/>
        <v/>
      </c>
      <c r="AV312" s="28" t="str">
        <f t="shared" si="2730"/>
        <v/>
      </c>
      <c r="AW312" s="56">
        <f t="shared" si="28"/>
        <v>1</v>
      </c>
      <c r="AX312" s="28">
        <f t="shared" si="29"/>
        <v>-12</v>
      </c>
      <c r="AY312" s="28" t="str">
        <f t="shared" ref="AY312:BB312" si="2731">IFNA(IFS(AY$3=$AP312,"",$AX312=U312,AY$3),"")</f>
        <v/>
      </c>
      <c r="AZ312" s="28" t="str">
        <f t="shared" si="2731"/>
        <v/>
      </c>
      <c r="BA312" s="28" t="str">
        <f t="shared" si="2731"/>
        <v/>
      </c>
      <c r="BB312" s="28" t="str">
        <f t="shared" si="2731"/>
        <v/>
      </c>
      <c r="BC312" s="58">
        <f>OFFSET('00_Regnskab_01'!$A$1,MATCH(A312,'00_Regnskab_01'!$A$1:$A$25)-1,2)</f>
        <v>44617</v>
      </c>
      <c r="BE312" s="80">
        <f t="shared" ref="BE312:BH312" si="2732">if(U312&gt;0,1+BE311,0)</f>
        <v>3</v>
      </c>
      <c r="BF312" s="28">
        <f t="shared" si="2732"/>
        <v>0</v>
      </c>
      <c r="BG312" s="28">
        <f t="shared" si="2732"/>
        <v>2</v>
      </c>
      <c r="BH312" s="28">
        <f t="shared" si="2732"/>
        <v>1</v>
      </c>
      <c r="BJ312" s="28">
        <f t="shared" ref="BJ312:BM312" si="2733">if(U312&lt;0,1+BJ311,0)</f>
        <v>0</v>
      </c>
      <c r="BK312" s="28">
        <f t="shared" si="2733"/>
        <v>3</v>
      </c>
      <c r="BL312" s="28">
        <f t="shared" si="2733"/>
        <v>0</v>
      </c>
      <c r="BM312" s="28">
        <f t="shared" si="2733"/>
        <v>0</v>
      </c>
      <c r="BO312" s="74">
        <f t="shared" ref="BO312:BR312" si="2734">if(U312&gt;0,U312+BO311,0)</f>
        <v>52</v>
      </c>
      <c r="BP312" s="74">
        <f t="shared" si="2734"/>
        <v>0</v>
      </c>
      <c r="BQ312" s="74">
        <f t="shared" si="2734"/>
        <v>28</v>
      </c>
      <c r="BR312" s="74">
        <f t="shared" si="2734"/>
        <v>4</v>
      </c>
      <c r="BT312" s="28">
        <f t="shared" ref="BT312:BW312" si="2735">if(U312&lt;0,U312+BT311,0)</f>
        <v>0</v>
      </c>
      <c r="BU312" s="28">
        <f t="shared" si="2735"/>
        <v>-44</v>
      </c>
      <c r="BV312" s="28">
        <f t="shared" si="2735"/>
        <v>0</v>
      </c>
      <c r="BW312" s="28">
        <f t="shared" si="2735"/>
        <v>0</v>
      </c>
    </row>
    <row r="313">
      <c r="A313" s="53">
        <v>17.0</v>
      </c>
      <c r="B313" s="28">
        <f>'17_25-02-2022'!A18</f>
        <v>16</v>
      </c>
      <c r="C313" s="28">
        <f>'17_25-02-2022'!E18</f>
        <v>38</v>
      </c>
      <c r="D313" s="28">
        <f>'17_25-02-2022'!H18</f>
        <v>-206</v>
      </c>
      <c r="E313" s="28">
        <f>'17_25-02-2022'!F18</f>
        <v>286</v>
      </c>
      <c r="F313" s="28">
        <f>'17_25-02-2022'!G18</f>
        <v>-118</v>
      </c>
      <c r="G313" s="28">
        <f>'17_25-02-2022'!I18</f>
        <v>0</v>
      </c>
      <c r="H313" s="28" t="str">
        <f>'17_25-02-2022'!D18</f>
        <v>Janus</v>
      </c>
      <c r="J313" s="76" t="str">
        <f>'17_25-02-2022'!B18</f>
        <v>Peter</v>
      </c>
      <c r="K313" s="28" t="str">
        <f>'17_25-02-2022'!C18</f>
        <v>Ren Sol</v>
      </c>
      <c r="L313" s="56"/>
      <c r="N313" s="25" t="s">
        <v>97</v>
      </c>
      <c r="T313" s="56"/>
      <c r="U313" s="77">
        <f t="shared" ref="U313:X313" si="2736">C313-C312</f>
        <v>-8</v>
      </c>
      <c r="V313" s="28">
        <f t="shared" si="2736"/>
        <v>-8</v>
      </c>
      <c r="W313" s="28">
        <f t="shared" si="2736"/>
        <v>24</v>
      </c>
      <c r="X313" s="28">
        <f t="shared" si="2736"/>
        <v>-8</v>
      </c>
      <c r="AB313" s="28" t="str">
        <f t="shared" ref="AB313:AE313" si="2737">IF(AB$3=$H313,U313,"")</f>
        <v/>
      </c>
      <c r="AC313" s="28" t="str">
        <f t="shared" si="2737"/>
        <v/>
      </c>
      <c r="AD313" s="28">
        <f t="shared" si="2737"/>
        <v>24</v>
      </c>
      <c r="AE313" s="28" t="str">
        <f t="shared" si="2737"/>
        <v/>
      </c>
      <c r="AH313" s="28">
        <f t="shared" si="22"/>
        <v>24</v>
      </c>
      <c r="AI313" s="28">
        <f t="shared" si="23"/>
        <v>0</v>
      </c>
      <c r="AK313" s="78" t="str">
        <f t="shared" ref="AK313:AN313" si="2738">IF(U313&gt;0,AK$3,"")</f>
        <v/>
      </c>
      <c r="AL313" s="78" t="str">
        <f t="shared" si="2738"/>
        <v/>
      </c>
      <c r="AM313" s="78" t="str">
        <f t="shared" si="2738"/>
        <v>Janus</v>
      </c>
      <c r="AN313" s="78" t="str">
        <f t="shared" si="2738"/>
        <v/>
      </c>
      <c r="AO313" s="56">
        <f t="shared" si="25"/>
        <v>1</v>
      </c>
      <c r="AP313" s="8" t="str">
        <f t="shared" si="26"/>
        <v>Janus</v>
      </c>
      <c r="AQ313" s="73" t="str">
        <f>IFERROR(__xludf.DUMMYFUNCTION("IFNA(QUERY(transpose(AY313:BB313),""Select Col1 where Col1 is not null limit 1"",0))"),"")</f>
        <v/>
      </c>
      <c r="AR313" s="56"/>
      <c r="AS313" s="28" t="str">
        <f t="shared" ref="AS313:AV313" si="2739">IF(AK313=AS$3,"",AS$3)</f>
        <v>Thomas</v>
      </c>
      <c r="AT313" s="28" t="str">
        <f t="shared" si="2739"/>
        <v>Peter</v>
      </c>
      <c r="AU313" s="28" t="str">
        <f t="shared" si="2739"/>
        <v/>
      </c>
      <c r="AV313" s="28" t="str">
        <f t="shared" si="2739"/>
        <v>Christian</v>
      </c>
      <c r="AW313" s="56">
        <f t="shared" si="28"/>
        <v>3</v>
      </c>
      <c r="AX313" s="28">
        <f t="shared" si="29"/>
        <v>24</v>
      </c>
      <c r="AY313" s="28" t="str">
        <f t="shared" ref="AY313:BB313" si="2740">IFNA(IFS(AY$3=$AP313,"",$AX313=U313,AY$3),"")</f>
        <v/>
      </c>
      <c r="AZ313" s="28" t="str">
        <f t="shared" si="2740"/>
        <v/>
      </c>
      <c r="BA313" s="28" t="str">
        <f t="shared" si="2740"/>
        <v/>
      </c>
      <c r="BB313" s="28" t="str">
        <f t="shared" si="2740"/>
        <v/>
      </c>
      <c r="BC313" s="58">
        <f>OFFSET('00_Regnskab_01'!$A$1,MATCH(A313,'00_Regnskab_01'!$A$1:$A$25)-1,2)</f>
        <v>44617</v>
      </c>
      <c r="BE313" s="80">
        <f t="shared" ref="BE313:BH313" si="2741">if(U313&gt;0,1+BE312,0)</f>
        <v>0</v>
      </c>
      <c r="BF313" s="28">
        <f t="shared" si="2741"/>
        <v>0</v>
      </c>
      <c r="BG313" s="28">
        <f t="shared" si="2741"/>
        <v>3</v>
      </c>
      <c r="BH313" s="28">
        <f t="shared" si="2741"/>
        <v>0</v>
      </c>
      <c r="BJ313" s="28">
        <f t="shared" ref="BJ313:BM313" si="2742">if(U313&lt;0,1+BJ312,0)</f>
        <v>1</v>
      </c>
      <c r="BK313" s="28">
        <f t="shared" si="2742"/>
        <v>4</v>
      </c>
      <c r="BL313" s="28">
        <f t="shared" si="2742"/>
        <v>0</v>
      </c>
      <c r="BM313" s="28">
        <f t="shared" si="2742"/>
        <v>1</v>
      </c>
      <c r="BO313" s="74">
        <f t="shared" ref="BO313:BR313" si="2743">if(U313&gt;0,U313+BO312,0)</f>
        <v>0</v>
      </c>
      <c r="BP313" s="74">
        <f t="shared" si="2743"/>
        <v>0</v>
      </c>
      <c r="BQ313" s="74">
        <f t="shared" si="2743"/>
        <v>52</v>
      </c>
      <c r="BR313" s="74">
        <f t="shared" si="2743"/>
        <v>0</v>
      </c>
      <c r="BT313" s="28">
        <f t="shared" ref="BT313:BW313" si="2744">if(U313&lt;0,U313+BT312,0)</f>
        <v>-8</v>
      </c>
      <c r="BU313" s="28">
        <f t="shared" si="2744"/>
        <v>-52</v>
      </c>
      <c r="BV313" s="28">
        <f t="shared" si="2744"/>
        <v>0</v>
      </c>
      <c r="BW313" s="28">
        <f t="shared" si="2744"/>
        <v>-8</v>
      </c>
    </row>
    <row r="314">
      <c r="A314" s="53">
        <v>17.0</v>
      </c>
      <c r="B314" s="28">
        <f>'17_25-02-2022'!A19</f>
        <v>17</v>
      </c>
      <c r="C314" s="28">
        <f>'17_25-02-2022'!E19</f>
        <v>46</v>
      </c>
      <c r="D314" s="28">
        <f>'17_25-02-2022'!H19</f>
        <v>-198</v>
      </c>
      <c r="E314" s="28">
        <f>'17_25-02-2022'!F19</f>
        <v>294</v>
      </c>
      <c r="F314" s="28">
        <f>'17_25-02-2022'!G19</f>
        <v>-142</v>
      </c>
      <c r="G314" s="28">
        <f>'17_25-02-2022'!I19</f>
        <v>0</v>
      </c>
      <c r="H314" s="28" t="str">
        <f>'17_25-02-2022'!D19</f>
        <v>Christian</v>
      </c>
      <c r="J314" s="76" t="str">
        <f>'17_25-02-2022'!B19</f>
        <v>Thomas</v>
      </c>
      <c r="K314" s="28" t="str">
        <f>'17_25-02-2022'!C19</f>
        <v>Ren Sol</v>
      </c>
      <c r="L314" s="56"/>
      <c r="N314" s="25" t="s">
        <v>97</v>
      </c>
      <c r="T314" s="56"/>
      <c r="U314" s="77">
        <f t="shared" ref="U314:X314" si="2745">C314-C313</f>
        <v>8</v>
      </c>
      <c r="V314" s="28">
        <f t="shared" si="2745"/>
        <v>8</v>
      </c>
      <c r="W314" s="28">
        <f t="shared" si="2745"/>
        <v>8</v>
      </c>
      <c r="X314" s="28">
        <f t="shared" si="2745"/>
        <v>-24</v>
      </c>
      <c r="AB314" s="28" t="str">
        <f t="shared" ref="AB314:AE314" si="2746">IF(AB$3=$H314,U314,"")</f>
        <v/>
      </c>
      <c r="AC314" s="28" t="str">
        <f t="shared" si="2746"/>
        <v/>
      </c>
      <c r="AD314" s="28" t="str">
        <f t="shared" si="2746"/>
        <v/>
      </c>
      <c r="AE314" s="28">
        <f t="shared" si="2746"/>
        <v>-24</v>
      </c>
      <c r="AH314" s="28">
        <f t="shared" si="22"/>
        <v>0</v>
      </c>
      <c r="AI314" s="28">
        <f t="shared" si="23"/>
        <v>-24</v>
      </c>
      <c r="AK314" s="78" t="str">
        <f t="shared" ref="AK314:AN314" si="2747">IF(U314&gt;0,AK$3,"")</f>
        <v>Thomas</v>
      </c>
      <c r="AL314" s="78" t="str">
        <f t="shared" si="2747"/>
        <v>Peter</v>
      </c>
      <c r="AM314" s="78" t="str">
        <f t="shared" si="2747"/>
        <v>Janus</v>
      </c>
      <c r="AN314" s="78" t="str">
        <f t="shared" si="2747"/>
        <v/>
      </c>
      <c r="AO314" s="56">
        <f t="shared" si="25"/>
        <v>3</v>
      </c>
      <c r="AP314" s="8" t="str">
        <f t="shared" si="26"/>
        <v>Christian</v>
      </c>
      <c r="AQ314" s="73" t="str">
        <f>IFERROR(__xludf.DUMMYFUNCTION("IFNA(QUERY(transpose(AY314:BB314),""Select Col1 where Col1 is not null limit 1"",0))"),"")</f>
        <v/>
      </c>
      <c r="AR314" s="56"/>
      <c r="AS314" s="28" t="str">
        <f t="shared" ref="AS314:AV314" si="2748">IF(AK314=AS$3,"",AS$3)</f>
        <v/>
      </c>
      <c r="AT314" s="28" t="str">
        <f t="shared" si="2748"/>
        <v/>
      </c>
      <c r="AU314" s="28" t="str">
        <f t="shared" si="2748"/>
        <v/>
      </c>
      <c r="AV314" s="28" t="str">
        <f t="shared" si="2748"/>
        <v>Christian</v>
      </c>
      <c r="AW314" s="56">
        <f t="shared" si="28"/>
        <v>1</v>
      </c>
      <c r="AX314" s="28">
        <f t="shared" si="29"/>
        <v>-24</v>
      </c>
      <c r="AY314" s="28" t="str">
        <f t="shared" ref="AY314:BB314" si="2749">IFNA(IFS(AY$3=$AP314,"",$AX314=U314,AY$3),"")</f>
        <v/>
      </c>
      <c r="AZ314" s="28" t="str">
        <f t="shared" si="2749"/>
        <v/>
      </c>
      <c r="BA314" s="28" t="str">
        <f t="shared" si="2749"/>
        <v/>
      </c>
      <c r="BB314" s="28" t="str">
        <f t="shared" si="2749"/>
        <v/>
      </c>
      <c r="BC314" s="58">
        <f>OFFSET('00_Regnskab_01'!$A$1,MATCH(A314,'00_Regnskab_01'!$A$1:$A$25)-1,2)</f>
        <v>44617</v>
      </c>
      <c r="BE314" s="80">
        <f t="shared" ref="BE314:BH314" si="2750">if(U314&gt;0,1+BE313,0)</f>
        <v>1</v>
      </c>
      <c r="BF314" s="28">
        <f t="shared" si="2750"/>
        <v>1</v>
      </c>
      <c r="BG314" s="28">
        <f t="shared" si="2750"/>
        <v>4</v>
      </c>
      <c r="BH314" s="28">
        <f t="shared" si="2750"/>
        <v>0</v>
      </c>
      <c r="BJ314" s="28">
        <f t="shared" ref="BJ314:BM314" si="2751">if(U314&lt;0,1+BJ313,0)</f>
        <v>0</v>
      </c>
      <c r="BK314" s="28">
        <f t="shared" si="2751"/>
        <v>0</v>
      </c>
      <c r="BL314" s="28">
        <f t="shared" si="2751"/>
        <v>0</v>
      </c>
      <c r="BM314" s="28">
        <f t="shared" si="2751"/>
        <v>2</v>
      </c>
      <c r="BO314" s="74">
        <f t="shared" ref="BO314:BR314" si="2752">if(U314&gt;0,U314+BO313,0)</f>
        <v>8</v>
      </c>
      <c r="BP314" s="74">
        <f t="shared" si="2752"/>
        <v>8</v>
      </c>
      <c r="BQ314" s="74">
        <f t="shared" si="2752"/>
        <v>60</v>
      </c>
      <c r="BR314" s="74">
        <f t="shared" si="2752"/>
        <v>0</v>
      </c>
      <c r="BT314" s="28">
        <f t="shared" ref="BT314:BW314" si="2753">if(U314&lt;0,U314+BT313,0)</f>
        <v>0</v>
      </c>
      <c r="BU314" s="28">
        <f t="shared" si="2753"/>
        <v>0</v>
      </c>
      <c r="BV314" s="28">
        <f t="shared" si="2753"/>
        <v>0</v>
      </c>
      <c r="BW314" s="28">
        <f t="shared" si="2753"/>
        <v>-32</v>
      </c>
    </row>
    <row r="315">
      <c r="A315" s="53">
        <v>17.0</v>
      </c>
      <c r="B315" s="28">
        <f>'17_25-02-2022'!A20</f>
        <v>18</v>
      </c>
      <c r="C315" s="28">
        <f>'17_25-02-2022'!E20</f>
        <v>54</v>
      </c>
      <c r="D315" s="28">
        <f>'17_25-02-2022'!H20</f>
        <v>-206</v>
      </c>
      <c r="E315" s="28">
        <f>'17_25-02-2022'!F20</f>
        <v>302</v>
      </c>
      <c r="F315" s="28">
        <f>'17_25-02-2022'!G20</f>
        <v>-150</v>
      </c>
      <c r="G315" s="28">
        <f>'17_25-02-2022'!I20</f>
        <v>0</v>
      </c>
      <c r="H315" s="28" t="str">
        <f>'17_25-02-2022'!D20</f>
        <v>Thomas</v>
      </c>
      <c r="J315" s="76" t="str">
        <f>'17_25-02-2022'!B20</f>
        <v>Janus</v>
      </c>
      <c r="K315" s="28" t="str">
        <f>'17_25-02-2022'!C20</f>
        <v>9 gode</v>
      </c>
      <c r="L315" s="56"/>
      <c r="M315" s="25">
        <v>9.0</v>
      </c>
      <c r="N315" s="25" t="s">
        <v>95</v>
      </c>
      <c r="T315" s="56"/>
      <c r="U315" s="77">
        <f t="shared" ref="U315:X315" si="2754">C315-C314</f>
        <v>8</v>
      </c>
      <c r="V315" s="28">
        <f t="shared" si="2754"/>
        <v>-8</v>
      </c>
      <c r="W315" s="28">
        <f t="shared" si="2754"/>
        <v>8</v>
      </c>
      <c r="X315" s="28">
        <f t="shared" si="2754"/>
        <v>-8</v>
      </c>
      <c r="AB315" s="28">
        <f t="shared" ref="AB315:AE315" si="2755">IF(AB$3=$H315,U315,"")</f>
        <v>8</v>
      </c>
      <c r="AC315" s="28" t="str">
        <f t="shared" si="2755"/>
        <v/>
      </c>
      <c r="AD315" s="28" t="str">
        <f t="shared" si="2755"/>
        <v/>
      </c>
      <c r="AE315" s="28" t="str">
        <f t="shared" si="2755"/>
        <v/>
      </c>
      <c r="AH315" s="28">
        <f t="shared" si="22"/>
        <v>8</v>
      </c>
      <c r="AI315" s="28">
        <f t="shared" si="23"/>
        <v>0</v>
      </c>
      <c r="AK315" s="78" t="str">
        <f t="shared" ref="AK315:AN315" si="2756">IF(U315&gt;0,AK$3,"")</f>
        <v>Thomas</v>
      </c>
      <c r="AL315" s="78" t="str">
        <f t="shared" si="2756"/>
        <v/>
      </c>
      <c r="AM315" s="78" t="str">
        <f t="shared" si="2756"/>
        <v>Janus</v>
      </c>
      <c r="AN315" s="78" t="str">
        <f t="shared" si="2756"/>
        <v/>
      </c>
      <c r="AO315" s="56">
        <f t="shared" si="25"/>
        <v>2</v>
      </c>
      <c r="AP315" s="8" t="str">
        <f t="shared" si="26"/>
        <v>Thomas</v>
      </c>
      <c r="AQ315" s="73" t="str">
        <f>IFERROR(__xludf.DUMMYFUNCTION("IFNA(QUERY(transpose(AY315:BB315),""Select Col1 where Col1 is not null limit 1"",0))"),"Janus")</f>
        <v>Janus</v>
      </c>
      <c r="AR315" s="56"/>
      <c r="AS315" s="28" t="str">
        <f t="shared" ref="AS315:AV315" si="2757">IF(AK315=AS$3,"",AS$3)</f>
        <v/>
      </c>
      <c r="AT315" s="28" t="str">
        <f t="shared" si="2757"/>
        <v>Peter</v>
      </c>
      <c r="AU315" s="28" t="str">
        <f t="shared" si="2757"/>
        <v/>
      </c>
      <c r="AV315" s="28" t="str">
        <f t="shared" si="2757"/>
        <v>Christian</v>
      </c>
      <c r="AW315" s="56">
        <f t="shared" si="28"/>
        <v>2</v>
      </c>
      <c r="AX315" s="28">
        <f t="shared" si="29"/>
        <v>8</v>
      </c>
      <c r="AY315" s="28" t="str">
        <f t="shared" ref="AY315:BB315" si="2758">IFNA(IFS(AY$3=$AP315,"",$AX315=U315,AY$3),"")</f>
        <v/>
      </c>
      <c r="AZ315" s="28" t="str">
        <f t="shared" si="2758"/>
        <v/>
      </c>
      <c r="BA315" s="28" t="str">
        <f t="shared" si="2758"/>
        <v>Janus</v>
      </c>
      <c r="BB315" s="28" t="str">
        <f t="shared" si="2758"/>
        <v/>
      </c>
      <c r="BC315" s="58">
        <f>OFFSET('00_Regnskab_01'!$A$1,MATCH(A315,'00_Regnskab_01'!$A$1:$A$25)-1,2)</f>
        <v>44617</v>
      </c>
      <c r="BE315" s="80">
        <f t="shared" ref="BE315:BH315" si="2759">if(U315&gt;0,1+BE314,0)</f>
        <v>2</v>
      </c>
      <c r="BF315" s="28">
        <f t="shared" si="2759"/>
        <v>0</v>
      </c>
      <c r="BG315" s="28">
        <f t="shared" si="2759"/>
        <v>5</v>
      </c>
      <c r="BH315" s="28">
        <f t="shared" si="2759"/>
        <v>0</v>
      </c>
      <c r="BJ315" s="28">
        <f t="shared" ref="BJ315:BM315" si="2760">if(U315&lt;0,1+BJ314,0)</f>
        <v>0</v>
      </c>
      <c r="BK315" s="28">
        <f t="shared" si="2760"/>
        <v>1</v>
      </c>
      <c r="BL315" s="28">
        <f t="shared" si="2760"/>
        <v>0</v>
      </c>
      <c r="BM315" s="28">
        <f t="shared" si="2760"/>
        <v>3</v>
      </c>
      <c r="BO315" s="74">
        <f t="shared" ref="BO315:BR315" si="2761">if(U315&gt;0,U315+BO314,0)</f>
        <v>16</v>
      </c>
      <c r="BP315" s="74">
        <f t="shared" si="2761"/>
        <v>0</v>
      </c>
      <c r="BQ315" s="74">
        <f t="shared" si="2761"/>
        <v>68</v>
      </c>
      <c r="BR315" s="74">
        <f t="shared" si="2761"/>
        <v>0</v>
      </c>
      <c r="BT315" s="28">
        <f t="shared" ref="BT315:BW315" si="2762">if(U315&lt;0,U315+BT314,0)</f>
        <v>0</v>
      </c>
      <c r="BU315" s="28">
        <f t="shared" si="2762"/>
        <v>-8</v>
      </c>
      <c r="BV315" s="28">
        <f t="shared" si="2762"/>
        <v>0</v>
      </c>
      <c r="BW315" s="28">
        <f t="shared" si="2762"/>
        <v>-40</v>
      </c>
    </row>
    <row r="316">
      <c r="A316" s="53">
        <v>17.0</v>
      </c>
      <c r="B316" s="28">
        <f>'17_25-02-2022'!A21</f>
        <v>19</v>
      </c>
      <c r="C316" s="28">
        <f>'17_25-02-2022'!E21</f>
        <v>50</v>
      </c>
      <c r="D316" s="28">
        <f>'17_25-02-2022'!H21</f>
        <v>-194</v>
      </c>
      <c r="E316" s="28">
        <f>'17_25-02-2022'!F21</f>
        <v>298</v>
      </c>
      <c r="F316" s="28">
        <f>'17_25-02-2022'!G21</f>
        <v>-154</v>
      </c>
      <c r="G316" s="28">
        <f>'17_25-02-2022'!I21</f>
        <v>0</v>
      </c>
      <c r="H316" s="28" t="str">
        <f>'17_25-02-2022'!D21</f>
        <v>Peter</v>
      </c>
      <c r="J316" s="76" t="str">
        <f>'17_25-02-2022'!B21</f>
        <v>Christian</v>
      </c>
      <c r="K316" s="28" t="str">
        <f>'17_25-02-2022'!C21</f>
        <v>sol</v>
      </c>
      <c r="L316" s="56"/>
      <c r="N316" s="25" t="s">
        <v>99</v>
      </c>
      <c r="T316" s="56"/>
      <c r="U316" s="77">
        <f t="shared" ref="U316:X316" si="2763">C316-C315</f>
        <v>-4</v>
      </c>
      <c r="V316" s="28">
        <f t="shared" si="2763"/>
        <v>12</v>
      </c>
      <c r="W316" s="28">
        <f t="shared" si="2763"/>
        <v>-4</v>
      </c>
      <c r="X316" s="28">
        <f t="shared" si="2763"/>
        <v>-4</v>
      </c>
      <c r="AB316" s="28" t="str">
        <f t="shared" ref="AB316:AE316" si="2764">IF(AB$3=$H316,U316,"")</f>
        <v/>
      </c>
      <c r="AC316" s="28">
        <f t="shared" si="2764"/>
        <v>12</v>
      </c>
      <c r="AD316" s="28" t="str">
        <f t="shared" si="2764"/>
        <v/>
      </c>
      <c r="AE316" s="28" t="str">
        <f t="shared" si="2764"/>
        <v/>
      </c>
      <c r="AH316" s="28">
        <f t="shared" si="22"/>
        <v>12</v>
      </c>
      <c r="AI316" s="28">
        <f t="shared" si="23"/>
        <v>0</v>
      </c>
      <c r="AK316" s="78" t="str">
        <f t="shared" ref="AK316:AN316" si="2765">IF(U316&gt;0,AK$3,"")</f>
        <v/>
      </c>
      <c r="AL316" s="78" t="str">
        <f t="shared" si="2765"/>
        <v>Peter</v>
      </c>
      <c r="AM316" s="78" t="str">
        <f t="shared" si="2765"/>
        <v/>
      </c>
      <c r="AN316" s="78" t="str">
        <f t="shared" si="2765"/>
        <v/>
      </c>
      <c r="AO316" s="56">
        <f t="shared" si="25"/>
        <v>1</v>
      </c>
      <c r="AP316" s="8" t="str">
        <f t="shared" si="26"/>
        <v>Peter</v>
      </c>
      <c r="AQ316" s="73" t="str">
        <f>IFERROR(__xludf.DUMMYFUNCTION("IFNA(QUERY(transpose(AY316:BB316),""Select Col1 where Col1 is not null limit 1"",0))"),"")</f>
        <v/>
      </c>
      <c r="AR316" s="56"/>
      <c r="AS316" s="28" t="str">
        <f t="shared" ref="AS316:AV316" si="2766">IF(AK316=AS$3,"",AS$3)</f>
        <v>Thomas</v>
      </c>
      <c r="AT316" s="28" t="str">
        <f t="shared" si="2766"/>
        <v/>
      </c>
      <c r="AU316" s="28" t="str">
        <f t="shared" si="2766"/>
        <v>Janus</v>
      </c>
      <c r="AV316" s="28" t="str">
        <f t="shared" si="2766"/>
        <v>Christian</v>
      </c>
      <c r="AW316" s="56">
        <f t="shared" si="28"/>
        <v>3</v>
      </c>
      <c r="AX316" s="28">
        <f t="shared" si="29"/>
        <v>12</v>
      </c>
      <c r="AY316" s="28" t="str">
        <f t="shared" ref="AY316:BB316" si="2767">IFNA(IFS(AY$3=$AP316,"",$AX316=U316,AY$3),"")</f>
        <v/>
      </c>
      <c r="AZ316" s="28" t="str">
        <f t="shared" si="2767"/>
        <v/>
      </c>
      <c r="BA316" s="28" t="str">
        <f t="shared" si="2767"/>
        <v/>
      </c>
      <c r="BB316" s="28" t="str">
        <f t="shared" si="2767"/>
        <v/>
      </c>
      <c r="BC316" s="58">
        <f>OFFSET('00_Regnskab_01'!$A$1,MATCH(A316,'00_Regnskab_01'!$A$1:$A$25)-1,2)</f>
        <v>44617</v>
      </c>
      <c r="BE316" s="80">
        <f t="shared" ref="BE316:BH316" si="2768">if(U316&gt;0,1+BE315,0)</f>
        <v>0</v>
      </c>
      <c r="BF316" s="28">
        <f t="shared" si="2768"/>
        <v>1</v>
      </c>
      <c r="BG316" s="28">
        <f t="shared" si="2768"/>
        <v>0</v>
      </c>
      <c r="BH316" s="28">
        <f t="shared" si="2768"/>
        <v>0</v>
      </c>
      <c r="BJ316" s="28">
        <f t="shared" ref="BJ316:BM316" si="2769">if(U316&lt;0,1+BJ315,0)</f>
        <v>1</v>
      </c>
      <c r="BK316" s="28">
        <f t="shared" si="2769"/>
        <v>0</v>
      </c>
      <c r="BL316" s="28">
        <f t="shared" si="2769"/>
        <v>1</v>
      </c>
      <c r="BM316" s="28">
        <f t="shared" si="2769"/>
        <v>4</v>
      </c>
      <c r="BO316" s="74">
        <f t="shared" ref="BO316:BR316" si="2770">if(U316&gt;0,U316+BO315,0)</f>
        <v>0</v>
      </c>
      <c r="BP316" s="74">
        <f t="shared" si="2770"/>
        <v>12</v>
      </c>
      <c r="BQ316" s="74">
        <f t="shared" si="2770"/>
        <v>0</v>
      </c>
      <c r="BR316" s="74">
        <f t="shared" si="2770"/>
        <v>0</v>
      </c>
      <c r="BT316" s="28">
        <f t="shared" ref="BT316:BW316" si="2771">if(U316&lt;0,U316+BT315,0)</f>
        <v>-4</v>
      </c>
      <c r="BU316" s="28">
        <f t="shared" si="2771"/>
        <v>0</v>
      </c>
      <c r="BV316" s="28">
        <f t="shared" si="2771"/>
        <v>-4</v>
      </c>
      <c r="BW316" s="28">
        <f t="shared" si="2771"/>
        <v>-44</v>
      </c>
    </row>
    <row r="317">
      <c r="A317" s="53">
        <v>17.0</v>
      </c>
      <c r="B317" s="28">
        <f>'17_25-02-2022'!A22</f>
        <v>20</v>
      </c>
      <c r="C317" s="28">
        <f>'17_25-02-2022'!E22</f>
        <v>74</v>
      </c>
      <c r="D317" s="28">
        <f>'17_25-02-2022'!H22</f>
        <v>-218</v>
      </c>
      <c r="E317" s="28">
        <f>'17_25-02-2022'!F22</f>
        <v>322</v>
      </c>
      <c r="F317" s="28">
        <f>'17_25-02-2022'!G22</f>
        <v>-178</v>
      </c>
      <c r="G317" s="28">
        <f>'17_25-02-2022'!I22</f>
        <v>0</v>
      </c>
      <c r="H317" s="28" t="str">
        <f>'17_25-02-2022'!D22</f>
        <v>Thomas</v>
      </c>
      <c r="J317" s="76" t="str">
        <f>'17_25-02-2022'!B22</f>
        <v>Peter</v>
      </c>
      <c r="K317" s="28" t="str">
        <f>'17_25-02-2022'!C22</f>
        <v>9 vip i 2</v>
      </c>
      <c r="L317" s="56"/>
      <c r="M317" s="25">
        <v>9.0</v>
      </c>
      <c r="N317" s="25" t="s">
        <v>86</v>
      </c>
      <c r="O317" s="25">
        <v>2.0</v>
      </c>
      <c r="T317" s="56"/>
      <c r="U317" s="77">
        <f t="shared" ref="U317:X317" si="2772">C317-C316</f>
        <v>24</v>
      </c>
      <c r="V317" s="28">
        <f t="shared" si="2772"/>
        <v>-24</v>
      </c>
      <c r="W317" s="28">
        <f t="shared" si="2772"/>
        <v>24</v>
      </c>
      <c r="X317" s="28">
        <f t="shared" si="2772"/>
        <v>-24</v>
      </c>
      <c r="AB317" s="28">
        <f t="shared" ref="AB317:AE317" si="2773">IF(AB$3=$H317,U317,"")</f>
        <v>24</v>
      </c>
      <c r="AC317" s="28" t="str">
        <f t="shared" si="2773"/>
        <v/>
      </c>
      <c r="AD317" s="28" t="str">
        <f t="shared" si="2773"/>
        <v/>
      </c>
      <c r="AE317" s="28" t="str">
        <f t="shared" si="2773"/>
        <v/>
      </c>
      <c r="AH317" s="28">
        <f t="shared" si="22"/>
        <v>24</v>
      </c>
      <c r="AI317" s="28">
        <f t="shared" si="23"/>
        <v>0</v>
      </c>
      <c r="AK317" s="78" t="str">
        <f t="shared" ref="AK317:AN317" si="2774">IF(U317&gt;0,AK$3,"")</f>
        <v>Thomas</v>
      </c>
      <c r="AL317" s="78" t="str">
        <f t="shared" si="2774"/>
        <v/>
      </c>
      <c r="AM317" s="78" t="str">
        <f t="shared" si="2774"/>
        <v>Janus</v>
      </c>
      <c r="AN317" s="78" t="str">
        <f t="shared" si="2774"/>
        <v/>
      </c>
      <c r="AO317" s="56">
        <f t="shared" si="25"/>
        <v>2</v>
      </c>
      <c r="AP317" s="8" t="str">
        <f t="shared" si="26"/>
        <v>Thomas</v>
      </c>
      <c r="AQ317" s="73" t="str">
        <f>IFERROR(__xludf.DUMMYFUNCTION("IFNA(QUERY(transpose(AY317:BB317),""Select Col1 where Col1 is not null limit 1"",0))"),"Janus")</f>
        <v>Janus</v>
      </c>
      <c r="AR317" s="56"/>
      <c r="AS317" s="28" t="str">
        <f t="shared" ref="AS317:AV317" si="2775">IF(AK317=AS$3,"",AS$3)</f>
        <v/>
      </c>
      <c r="AT317" s="28" t="str">
        <f t="shared" si="2775"/>
        <v>Peter</v>
      </c>
      <c r="AU317" s="28" t="str">
        <f t="shared" si="2775"/>
        <v/>
      </c>
      <c r="AV317" s="28" t="str">
        <f t="shared" si="2775"/>
        <v>Christian</v>
      </c>
      <c r="AW317" s="56">
        <f t="shared" si="28"/>
        <v>2</v>
      </c>
      <c r="AX317" s="28">
        <f t="shared" si="29"/>
        <v>24</v>
      </c>
      <c r="AY317" s="28" t="str">
        <f t="shared" ref="AY317:BB317" si="2776">IFNA(IFS(AY$3=$AP317,"",$AX317=U317,AY$3),"")</f>
        <v/>
      </c>
      <c r="AZ317" s="28" t="str">
        <f t="shared" si="2776"/>
        <v/>
      </c>
      <c r="BA317" s="28" t="str">
        <f t="shared" si="2776"/>
        <v>Janus</v>
      </c>
      <c r="BB317" s="28" t="str">
        <f t="shared" si="2776"/>
        <v/>
      </c>
      <c r="BC317" s="58">
        <f>OFFSET('00_Regnskab_01'!$A$1,MATCH(A317,'00_Regnskab_01'!$A$1:$A$25)-1,2)</f>
        <v>44617</v>
      </c>
      <c r="BE317" s="80">
        <f t="shared" ref="BE317:BH317" si="2777">if(U317&gt;0,1+BE316,0)</f>
        <v>1</v>
      </c>
      <c r="BF317" s="28">
        <f t="shared" si="2777"/>
        <v>0</v>
      </c>
      <c r="BG317" s="28">
        <f t="shared" si="2777"/>
        <v>1</v>
      </c>
      <c r="BH317" s="28">
        <f t="shared" si="2777"/>
        <v>0</v>
      </c>
      <c r="BJ317" s="28">
        <f t="shared" ref="BJ317:BM317" si="2778">if(U317&lt;0,1+BJ316,0)</f>
        <v>0</v>
      </c>
      <c r="BK317" s="28">
        <f t="shared" si="2778"/>
        <v>1</v>
      </c>
      <c r="BL317" s="28">
        <f t="shared" si="2778"/>
        <v>0</v>
      </c>
      <c r="BM317" s="28">
        <f t="shared" si="2778"/>
        <v>5</v>
      </c>
      <c r="BO317" s="74">
        <f t="shared" ref="BO317:BR317" si="2779">if(U317&gt;0,U317+BO316,0)</f>
        <v>24</v>
      </c>
      <c r="BP317" s="74">
        <f t="shared" si="2779"/>
        <v>0</v>
      </c>
      <c r="BQ317" s="74">
        <f t="shared" si="2779"/>
        <v>24</v>
      </c>
      <c r="BR317" s="74">
        <f t="shared" si="2779"/>
        <v>0</v>
      </c>
      <c r="BT317" s="28">
        <f t="shared" ref="BT317:BW317" si="2780">if(U317&lt;0,U317+BT316,0)</f>
        <v>0</v>
      </c>
      <c r="BU317" s="28">
        <f t="shared" si="2780"/>
        <v>-24</v>
      </c>
      <c r="BV317" s="28">
        <f t="shared" si="2780"/>
        <v>0</v>
      </c>
      <c r="BW317" s="28">
        <f t="shared" si="2780"/>
        <v>-68</v>
      </c>
    </row>
    <row r="318">
      <c r="A318" s="53">
        <v>17.0</v>
      </c>
      <c r="B318" s="28">
        <f>'17_25-02-2022'!A23</f>
        <v>21</v>
      </c>
      <c r="C318" s="28">
        <f>'17_25-02-2022'!E23</f>
        <v>86</v>
      </c>
      <c r="D318" s="28">
        <f>'17_25-02-2022'!H23</f>
        <v>-230</v>
      </c>
      <c r="E318" s="28">
        <f>'17_25-02-2022'!F23</f>
        <v>334</v>
      </c>
      <c r="F318" s="28">
        <f>'17_25-02-2022'!G23</f>
        <v>-190</v>
      </c>
      <c r="G318" s="28">
        <f>'17_25-02-2022'!I23</f>
        <v>0</v>
      </c>
      <c r="H318" s="28" t="str">
        <f>'17_25-02-2022'!D23</f>
        <v>Thomas</v>
      </c>
      <c r="J318" s="76" t="str">
        <f>'17_25-02-2022'!B23</f>
        <v>Thomas</v>
      </c>
      <c r="K318" s="28" t="str">
        <f>'17_25-02-2022'!C23</f>
        <v>10 alm</v>
      </c>
      <c r="L318" s="56"/>
      <c r="M318" s="25">
        <v>10.0</v>
      </c>
      <c r="N318" s="25" t="s">
        <v>100</v>
      </c>
      <c r="T318" s="56"/>
      <c r="U318" s="77">
        <f t="shared" ref="U318:X318" si="2781">C318-C317</f>
        <v>12</v>
      </c>
      <c r="V318" s="28">
        <f t="shared" si="2781"/>
        <v>-12</v>
      </c>
      <c r="W318" s="28">
        <f t="shared" si="2781"/>
        <v>12</v>
      </c>
      <c r="X318" s="28">
        <f t="shared" si="2781"/>
        <v>-12</v>
      </c>
      <c r="AB318" s="28">
        <f t="shared" ref="AB318:AE318" si="2782">IF(AB$3=$H318,U318,"")</f>
        <v>12</v>
      </c>
      <c r="AC318" s="28" t="str">
        <f t="shared" si="2782"/>
        <v/>
      </c>
      <c r="AD318" s="28" t="str">
        <f t="shared" si="2782"/>
        <v/>
      </c>
      <c r="AE318" s="28" t="str">
        <f t="shared" si="2782"/>
        <v/>
      </c>
      <c r="AH318" s="28">
        <f t="shared" si="22"/>
        <v>12</v>
      </c>
      <c r="AI318" s="28">
        <f t="shared" si="23"/>
        <v>0</v>
      </c>
      <c r="AK318" s="78" t="str">
        <f t="shared" ref="AK318:AN318" si="2783">IF(U318&gt;0,AK$3,"")</f>
        <v>Thomas</v>
      </c>
      <c r="AL318" s="78" t="str">
        <f t="shared" si="2783"/>
        <v/>
      </c>
      <c r="AM318" s="78" t="str">
        <f t="shared" si="2783"/>
        <v>Janus</v>
      </c>
      <c r="AN318" s="78" t="str">
        <f t="shared" si="2783"/>
        <v/>
      </c>
      <c r="AO318" s="56">
        <f t="shared" si="25"/>
        <v>2</v>
      </c>
      <c r="AP318" s="8" t="str">
        <f t="shared" si="26"/>
        <v>Thomas</v>
      </c>
      <c r="AQ318" s="73" t="str">
        <f>IFERROR(__xludf.DUMMYFUNCTION("IFNA(QUERY(transpose(AY318:BB318),""Select Col1 where Col1 is not null limit 1"",0))"),"Janus")</f>
        <v>Janus</v>
      </c>
      <c r="AR318" s="56"/>
      <c r="AS318" s="28" t="str">
        <f t="shared" ref="AS318:AV318" si="2784">IF(AK318=AS$3,"",AS$3)</f>
        <v/>
      </c>
      <c r="AT318" s="28" t="str">
        <f t="shared" si="2784"/>
        <v>Peter</v>
      </c>
      <c r="AU318" s="28" t="str">
        <f t="shared" si="2784"/>
        <v/>
      </c>
      <c r="AV318" s="28" t="str">
        <f t="shared" si="2784"/>
        <v>Christian</v>
      </c>
      <c r="AW318" s="56">
        <f t="shared" si="28"/>
        <v>2</v>
      </c>
      <c r="AX318" s="28">
        <f t="shared" si="29"/>
        <v>12</v>
      </c>
      <c r="AY318" s="28" t="str">
        <f t="shared" ref="AY318:BB318" si="2785">IFNA(IFS(AY$3=$AP318,"",$AX318=U318,AY$3),"")</f>
        <v/>
      </c>
      <c r="AZ318" s="28" t="str">
        <f t="shared" si="2785"/>
        <v/>
      </c>
      <c r="BA318" s="28" t="str">
        <f t="shared" si="2785"/>
        <v>Janus</v>
      </c>
      <c r="BB318" s="28" t="str">
        <f t="shared" si="2785"/>
        <v/>
      </c>
      <c r="BC318" s="58">
        <f>OFFSET('00_Regnskab_01'!$A$1,MATCH(A318,'00_Regnskab_01'!$A$1:$A$25)-1,2)</f>
        <v>44617</v>
      </c>
      <c r="BE318" s="80">
        <f t="shared" ref="BE318:BH318" si="2786">if(U318&gt;0,1+BE317,0)</f>
        <v>2</v>
      </c>
      <c r="BF318" s="28">
        <f t="shared" si="2786"/>
        <v>0</v>
      </c>
      <c r="BG318" s="28">
        <f t="shared" si="2786"/>
        <v>2</v>
      </c>
      <c r="BH318" s="28">
        <f t="shared" si="2786"/>
        <v>0</v>
      </c>
      <c r="BJ318" s="28">
        <f t="shared" ref="BJ318:BM318" si="2787">if(U318&lt;0,1+BJ317,0)</f>
        <v>0</v>
      </c>
      <c r="BK318" s="28">
        <f t="shared" si="2787"/>
        <v>2</v>
      </c>
      <c r="BL318" s="28">
        <f t="shared" si="2787"/>
        <v>0</v>
      </c>
      <c r="BM318" s="28">
        <f t="shared" si="2787"/>
        <v>6</v>
      </c>
      <c r="BO318" s="74">
        <f t="shared" ref="BO318:BR318" si="2788">if(U318&gt;0,U318+BO317,0)</f>
        <v>36</v>
      </c>
      <c r="BP318" s="74">
        <f t="shared" si="2788"/>
        <v>0</v>
      </c>
      <c r="BQ318" s="74">
        <f t="shared" si="2788"/>
        <v>36</v>
      </c>
      <c r="BR318" s="74">
        <f t="shared" si="2788"/>
        <v>0</v>
      </c>
      <c r="BT318" s="28">
        <f t="shared" ref="BT318:BW318" si="2789">if(U318&lt;0,U318+BT317,0)</f>
        <v>0</v>
      </c>
      <c r="BU318" s="28">
        <f t="shared" si="2789"/>
        <v>-36</v>
      </c>
      <c r="BV318" s="28">
        <f t="shared" si="2789"/>
        <v>0</v>
      </c>
      <c r="BW318" s="28">
        <f t="shared" si="2789"/>
        <v>-80</v>
      </c>
    </row>
    <row r="319">
      <c r="A319" s="53">
        <v>17.0</v>
      </c>
      <c r="B319" s="28">
        <f>'17_25-02-2022'!A24</f>
        <v>22</v>
      </c>
      <c r="C319" s="28">
        <f>'17_25-02-2022'!E24</f>
        <v>82</v>
      </c>
      <c r="D319" s="28">
        <f>'17_25-02-2022'!H24</f>
        <v>-234</v>
      </c>
      <c r="E319" s="28">
        <f>'17_25-02-2022'!F24</f>
        <v>330</v>
      </c>
      <c r="F319" s="28">
        <f>'17_25-02-2022'!G24</f>
        <v>-178</v>
      </c>
      <c r="G319" s="28">
        <f>'17_25-02-2022'!I24</f>
        <v>0</v>
      </c>
      <c r="H319" s="28" t="str">
        <f>'17_25-02-2022'!D24</f>
        <v>Christian</v>
      </c>
      <c r="J319" s="76" t="str">
        <f>'17_25-02-2022'!B24</f>
        <v>Janus</v>
      </c>
      <c r="K319" s="28" t="str">
        <f>'17_25-02-2022'!C24</f>
        <v>Sol</v>
      </c>
      <c r="L319" s="56"/>
      <c r="N319" s="25" t="s">
        <v>99</v>
      </c>
      <c r="T319" s="56"/>
      <c r="U319" s="77">
        <f t="shared" ref="U319:X319" si="2790">C319-C318</f>
        <v>-4</v>
      </c>
      <c r="V319" s="28">
        <f t="shared" si="2790"/>
        <v>-4</v>
      </c>
      <c r="W319" s="28">
        <f t="shared" si="2790"/>
        <v>-4</v>
      </c>
      <c r="X319" s="28">
        <f t="shared" si="2790"/>
        <v>12</v>
      </c>
      <c r="AB319" s="28" t="str">
        <f t="shared" ref="AB319:AE319" si="2791">IF(AB$3=$H319,U319,"")</f>
        <v/>
      </c>
      <c r="AC319" s="28" t="str">
        <f t="shared" si="2791"/>
        <v/>
      </c>
      <c r="AD319" s="28" t="str">
        <f t="shared" si="2791"/>
        <v/>
      </c>
      <c r="AE319" s="28">
        <f t="shared" si="2791"/>
        <v>12</v>
      </c>
      <c r="AH319" s="28">
        <f t="shared" si="22"/>
        <v>12</v>
      </c>
      <c r="AI319" s="28">
        <f t="shared" si="23"/>
        <v>0</v>
      </c>
      <c r="AK319" s="78" t="str">
        <f t="shared" ref="AK319:AN319" si="2792">IF(U319&gt;0,AK$3,"")</f>
        <v/>
      </c>
      <c r="AL319" s="78" t="str">
        <f t="shared" si="2792"/>
        <v/>
      </c>
      <c r="AM319" s="78" t="str">
        <f t="shared" si="2792"/>
        <v/>
      </c>
      <c r="AN319" s="78" t="str">
        <f t="shared" si="2792"/>
        <v>Christian</v>
      </c>
      <c r="AO319" s="56">
        <f t="shared" si="25"/>
        <v>1</v>
      </c>
      <c r="AP319" s="8" t="str">
        <f t="shared" si="26"/>
        <v>Christian</v>
      </c>
      <c r="AQ319" s="73" t="str">
        <f>IFERROR(__xludf.DUMMYFUNCTION("IFNA(QUERY(transpose(AY319:BB319),""Select Col1 where Col1 is not null limit 1"",0))"),"")</f>
        <v/>
      </c>
      <c r="AR319" s="56"/>
      <c r="AS319" s="28" t="str">
        <f t="shared" ref="AS319:AV319" si="2793">IF(AK319=AS$3,"",AS$3)</f>
        <v>Thomas</v>
      </c>
      <c r="AT319" s="28" t="str">
        <f t="shared" si="2793"/>
        <v>Peter</v>
      </c>
      <c r="AU319" s="28" t="str">
        <f t="shared" si="2793"/>
        <v>Janus</v>
      </c>
      <c r="AV319" s="28" t="str">
        <f t="shared" si="2793"/>
        <v/>
      </c>
      <c r="AW319" s="56">
        <f t="shared" si="28"/>
        <v>3</v>
      </c>
      <c r="AX319" s="28">
        <f t="shared" si="29"/>
        <v>12</v>
      </c>
      <c r="AY319" s="28" t="str">
        <f t="shared" ref="AY319:BB319" si="2794">IFNA(IFS(AY$3=$AP319,"",$AX319=U319,AY$3),"")</f>
        <v/>
      </c>
      <c r="AZ319" s="28" t="str">
        <f t="shared" si="2794"/>
        <v/>
      </c>
      <c r="BA319" s="28" t="str">
        <f t="shared" si="2794"/>
        <v/>
      </c>
      <c r="BB319" s="28" t="str">
        <f t="shared" si="2794"/>
        <v/>
      </c>
      <c r="BC319" s="58">
        <f>OFFSET('00_Regnskab_01'!$A$1,MATCH(A319,'00_Regnskab_01'!$A$1:$A$25)-1,2)</f>
        <v>44617</v>
      </c>
      <c r="BE319" s="80">
        <f t="shared" ref="BE319:BH319" si="2795">if(U319&gt;0,1+BE318,0)</f>
        <v>0</v>
      </c>
      <c r="BF319" s="28">
        <f t="shared" si="2795"/>
        <v>0</v>
      </c>
      <c r="BG319" s="28">
        <f t="shared" si="2795"/>
        <v>0</v>
      </c>
      <c r="BH319" s="28">
        <f t="shared" si="2795"/>
        <v>1</v>
      </c>
      <c r="BJ319" s="28">
        <f t="shared" ref="BJ319:BM319" si="2796">if(U319&lt;0,1+BJ318,0)</f>
        <v>1</v>
      </c>
      <c r="BK319" s="28">
        <f t="shared" si="2796"/>
        <v>3</v>
      </c>
      <c r="BL319" s="28">
        <f t="shared" si="2796"/>
        <v>1</v>
      </c>
      <c r="BM319" s="28">
        <f t="shared" si="2796"/>
        <v>0</v>
      </c>
      <c r="BO319" s="74">
        <f t="shared" ref="BO319:BR319" si="2797">if(U319&gt;0,U319+BO318,0)</f>
        <v>0</v>
      </c>
      <c r="BP319" s="74">
        <f t="shared" si="2797"/>
        <v>0</v>
      </c>
      <c r="BQ319" s="74">
        <f t="shared" si="2797"/>
        <v>0</v>
      </c>
      <c r="BR319" s="74">
        <f t="shared" si="2797"/>
        <v>12</v>
      </c>
      <c r="BT319" s="28">
        <f t="shared" ref="BT319:BW319" si="2798">if(U319&lt;0,U319+BT318,0)</f>
        <v>-4</v>
      </c>
      <c r="BU319" s="28">
        <f t="shared" si="2798"/>
        <v>-40</v>
      </c>
      <c r="BV319" s="28">
        <f t="shared" si="2798"/>
        <v>-4</v>
      </c>
      <c r="BW319" s="28">
        <f t="shared" si="2798"/>
        <v>0</v>
      </c>
    </row>
    <row r="320">
      <c r="A320" s="53">
        <v>17.0</v>
      </c>
      <c r="B320" s="28">
        <f>'17_25-02-2022'!A25</f>
        <v>23</v>
      </c>
      <c r="C320" s="28">
        <f>'17_25-02-2022'!E25</f>
        <v>70</v>
      </c>
      <c r="D320" s="28">
        <f>'17_25-02-2022'!H25</f>
        <v>-246</v>
      </c>
      <c r="E320" s="28">
        <f>'17_25-02-2022'!F25</f>
        <v>342</v>
      </c>
      <c r="F320" s="28">
        <f>'17_25-02-2022'!G25</f>
        <v>-166</v>
      </c>
      <c r="G320" s="28">
        <f>'17_25-02-2022'!I25</f>
        <v>0</v>
      </c>
      <c r="H320" s="28" t="str">
        <f>'17_25-02-2022'!D25</f>
        <v>Thomas</v>
      </c>
      <c r="J320" s="76" t="str">
        <f>'17_25-02-2022'!B25</f>
        <v>Christian</v>
      </c>
      <c r="K320" s="28" t="str">
        <f>'17_25-02-2022'!C25</f>
        <v>9 vip 1</v>
      </c>
      <c r="L320" s="56"/>
      <c r="M320" s="25">
        <v>9.0</v>
      </c>
      <c r="N320" s="25" t="s">
        <v>86</v>
      </c>
      <c r="O320" s="25">
        <v>1.0</v>
      </c>
      <c r="T320" s="56"/>
      <c r="U320" s="77">
        <f t="shared" ref="U320:X320" si="2799">C320-C319</f>
        <v>-12</v>
      </c>
      <c r="V320" s="28">
        <f t="shared" si="2799"/>
        <v>-12</v>
      </c>
      <c r="W320" s="28">
        <f t="shared" si="2799"/>
        <v>12</v>
      </c>
      <c r="X320" s="28">
        <f t="shared" si="2799"/>
        <v>12</v>
      </c>
      <c r="AB320" s="28">
        <f t="shared" ref="AB320:AE320" si="2800">IF(AB$3=$H320,U320,"")</f>
        <v>-12</v>
      </c>
      <c r="AC320" s="28" t="str">
        <f t="shared" si="2800"/>
        <v/>
      </c>
      <c r="AD320" s="28" t="str">
        <f t="shared" si="2800"/>
        <v/>
      </c>
      <c r="AE320" s="28" t="str">
        <f t="shared" si="2800"/>
        <v/>
      </c>
      <c r="AH320" s="28">
        <f t="shared" si="22"/>
        <v>0</v>
      </c>
      <c r="AI320" s="28">
        <f t="shared" si="23"/>
        <v>-12</v>
      </c>
      <c r="AK320" s="78" t="str">
        <f t="shared" ref="AK320:AN320" si="2801">IF(U320&gt;0,AK$3,"")</f>
        <v/>
      </c>
      <c r="AL320" s="78" t="str">
        <f t="shared" si="2801"/>
        <v/>
      </c>
      <c r="AM320" s="78" t="str">
        <f t="shared" si="2801"/>
        <v>Janus</v>
      </c>
      <c r="AN320" s="78" t="str">
        <f t="shared" si="2801"/>
        <v>Christian</v>
      </c>
      <c r="AO320" s="56">
        <f t="shared" si="25"/>
        <v>2</v>
      </c>
      <c r="AP320" s="8" t="str">
        <f t="shared" si="26"/>
        <v>Thomas</v>
      </c>
      <c r="AQ320" s="73" t="str">
        <f>IFERROR(__xludf.DUMMYFUNCTION("IFNA(QUERY(transpose(AY320:BB320),""Select Col1 where Col1 is not null limit 1"",0))"),"Peter")</f>
        <v>Peter</v>
      </c>
      <c r="AR320" s="56"/>
      <c r="AS320" s="28" t="str">
        <f t="shared" ref="AS320:AV320" si="2802">IF(AK320=AS$3,"",AS$3)</f>
        <v>Thomas</v>
      </c>
      <c r="AT320" s="28" t="str">
        <f t="shared" si="2802"/>
        <v>Peter</v>
      </c>
      <c r="AU320" s="28" t="str">
        <f t="shared" si="2802"/>
        <v/>
      </c>
      <c r="AV320" s="28" t="str">
        <f t="shared" si="2802"/>
        <v/>
      </c>
      <c r="AW320" s="56">
        <f t="shared" si="28"/>
        <v>2</v>
      </c>
      <c r="AX320" s="28">
        <f t="shared" si="29"/>
        <v>-12</v>
      </c>
      <c r="AY320" s="28" t="str">
        <f t="shared" ref="AY320:BB320" si="2803">IFNA(IFS(AY$3=$AP320,"",$AX320=U320,AY$3),"")</f>
        <v/>
      </c>
      <c r="AZ320" s="28" t="str">
        <f t="shared" si="2803"/>
        <v>Peter</v>
      </c>
      <c r="BA320" s="28" t="str">
        <f t="shared" si="2803"/>
        <v/>
      </c>
      <c r="BB320" s="28" t="str">
        <f t="shared" si="2803"/>
        <v/>
      </c>
      <c r="BC320" s="58">
        <f>OFFSET('00_Regnskab_01'!$A$1,MATCH(A320,'00_Regnskab_01'!$A$1:$A$25)-1,2)</f>
        <v>44617</v>
      </c>
      <c r="BE320" s="80">
        <f t="shared" ref="BE320:BH320" si="2804">if(U320&gt;0,1+BE319,0)</f>
        <v>0</v>
      </c>
      <c r="BF320" s="28">
        <f t="shared" si="2804"/>
        <v>0</v>
      </c>
      <c r="BG320" s="28">
        <f t="shared" si="2804"/>
        <v>1</v>
      </c>
      <c r="BH320" s="28">
        <f t="shared" si="2804"/>
        <v>2</v>
      </c>
      <c r="BJ320" s="28">
        <f t="shared" ref="BJ320:BM320" si="2805">if(U320&lt;0,1+BJ319,0)</f>
        <v>2</v>
      </c>
      <c r="BK320" s="28">
        <f t="shared" si="2805"/>
        <v>4</v>
      </c>
      <c r="BL320" s="28">
        <f t="shared" si="2805"/>
        <v>0</v>
      </c>
      <c r="BM320" s="28">
        <f t="shared" si="2805"/>
        <v>0</v>
      </c>
      <c r="BO320" s="74">
        <f t="shared" ref="BO320:BR320" si="2806">if(U320&gt;0,U320+BO319,0)</f>
        <v>0</v>
      </c>
      <c r="BP320" s="74">
        <f t="shared" si="2806"/>
        <v>0</v>
      </c>
      <c r="BQ320" s="74">
        <f t="shared" si="2806"/>
        <v>12</v>
      </c>
      <c r="BR320" s="74">
        <f t="shared" si="2806"/>
        <v>24</v>
      </c>
      <c r="BT320" s="28">
        <f t="shared" ref="BT320:BW320" si="2807">if(U320&lt;0,U320+BT319,0)</f>
        <v>-16</v>
      </c>
      <c r="BU320" s="28">
        <f t="shared" si="2807"/>
        <v>-52</v>
      </c>
      <c r="BV320" s="28">
        <f t="shared" si="2807"/>
        <v>0</v>
      </c>
      <c r="BW320" s="28">
        <f t="shared" si="2807"/>
        <v>0</v>
      </c>
    </row>
    <row r="321">
      <c r="A321" s="53">
        <v>17.0</v>
      </c>
      <c r="B321" s="28">
        <f>'17_25-02-2022'!A26</f>
        <v>24</v>
      </c>
      <c r="C321" s="28">
        <f>'17_25-02-2022'!E26</f>
        <v>86</v>
      </c>
      <c r="D321" s="28">
        <f>'17_25-02-2022'!H26</f>
        <v>-294</v>
      </c>
      <c r="E321" s="28">
        <f>'17_25-02-2022'!F26</f>
        <v>358</v>
      </c>
      <c r="F321" s="28">
        <f>'17_25-02-2022'!G26</f>
        <v>-150</v>
      </c>
      <c r="G321" s="28">
        <f>'17_25-02-2022'!I26</f>
        <v>0</v>
      </c>
      <c r="H321" s="28" t="str">
        <f>'17_25-02-2022'!D26</f>
        <v>Peter</v>
      </c>
      <c r="J321" s="76" t="str">
        <f>'17_25-02-2022'!B26</f>
        <v>Peter</v>
      </c>
      <c r="K321" s="28" t="str">
        <f>'17_25-02-2022'!C26</f>
        <v>Halv bordlægger</v>
      </c>
      <c r="L321" s="56"/>
      <c r="N321" s="25" t="s">
        <v>101</v>
      </c>
      <c r="T321" s="56"/>
      <c r="U321" s="77">
        <f t="shared" ref="U321:X321" si="2808">C321-C320</f>
        <v>16</v>
      </c>
      <c r="V321" s="28">
        <f t="shared" si="2808"/>
        <v>-48</v>
      </c>
      <c r="W321" s="28">
        <f t="shared" si="2808"/>
        <v>16</v>
      </c>
      <c r="X321" s="28">
        <f t="shared" si="2808"/>
        <v>16</v>
      </c>
      <c r="AB321" s="28" t="str">
        <f t="shared" ref="AB321:AE321" si="2809">IF(AB$3=$H321,U321,"")</f>
        <v/>
      </c>
      <c r="AC321" s="28">
        <f t="shared" si="2809"/>
        <v>-48</v>
      </c>
      <c r="AD321" s="28" t="str">
        <f t="shared" si="2809"/>
        <v/>
      </c>
      <c r="AE321" s="28" t="str">
        <f t="shared" si="2809"/>
        <v/>
      </c>
      <c r="AH321" s="28">
        <f t="shared" si="22"/>
        <v>0</v>
      </c>
      <c r="AI321" s="28">
        <f t="shared" si="23"/>
        <v>-48</v>
      </c>
      <c r="AK321" s="78" t="str">
        <f t="shared" ref="AK321:AN321" si="2810">IF(U321&gt;0,AK$3,"")</f>
        <v>Thomas</v>
      </c>
      <c r="AL321" s="78" t="str">
        <f t="shared" si="2810"/>
        <v/>
      </c>
      <c r="AM321" s="78" t="str">
        <f t="shared" si="2810"/>
        <v>Janus</v>
      </c>
      <c r="AN321" s="78" t="str">
        <f t="shared" si="2810"/>
        <v>Christian</v>
      </c>
      <c r="AO321" s="56">
        <f t="shared" si="25"/>
        <v>3</v>
      </c>
      <c r="AP321" s="8" t="str">
        <f t="shared" si="26"/>
        <v>Peter</v>
      </c>
      <c r="AQ321" s="73" t="str">
        <f>IFERROR(__xludf.DUMMYFUNCTION("IFNA(QUERY(transpose(AY321:BB321),""Select Col1 where Col1 is not null limit 1"",0))"),"")</f>
        <v/>
      </c>
      <c r="AR321" s="56"/>
      <c r="AS321" s="28" t="str">
        <f t="shared" ref="AS321:AV321" si="2811">IF(AK321=AS$3,"",AS$3)</f>
        <v/>
      </c>
      <c r="AT321" s="28" t="str">
        <f t="shared" si="2811"/>
        <v>Peter</v>
      </c>
      <c r="AU321" s="28" t="str">
        <f t="shared" si="2811"/>
        <v/>
      </c>
      <c r="AV321" s="28" t="str">
        <f t="shared" si="2811"/>
        <v/>
      </c>
      <c r="AW321" s="56">
        <f t="shared" si="28"/>
        <v>1</v>
      </c>
      <c r="AX321" s="28">
        <f t="shared" si="29"/>
        <v>-48</v>
      </c>
      <c r="AY321" s="28" t="str">
        <f t="shared" ref="AY321:BB321" si="2812">IFNA(IFS(AY$3=$AP321,"",$AX321=U321,AY$3),"")</f>
        <v/>
      </c>
      <c r="AZ321" s="28" t="str">
        <f t="shared" si="2812"/>
        <v/>
      </c>
      <c r="BA321" s="28" t="str">
        <f t="shared" si="2812"/>
        <v/>
      </c>
      <c r="BB321" s="28" t="str">
        <f t="shared" si="2812"/>
        <v/>
      </c>
      <c r="BC321" s="58">
        <f>OFFSET('00_Regnskab_01'!$A$1,MATCH(A321,'00_Regnskab_01'!$A$1:$A$25)-1,2)</f>
        <v>44617</v>
      </c>
      <c r="BE321" s="80">
        <f t="shared" ref="BE321:BH321" si="2813">if(U321&gt;0,1+BE320,0)</f>
        <v>1</v>
      </c>
      <c r="BF321" s="28">
        <f t="shared" si="2813"/>
        <v>0</v>
      </c>
      <c r="BG321" s="28">
        <f t="shared" si="2813"/>
        <v>2</v>
      </c>
      <c r="BH321" s="28">
        <f t="shared" si="2813"/>
        <v>3</v>
      </c>
      <c r="BJ321" s="28">
        <f t="shared" ref="BJ321:BM321" si="2814">if(U321&lt;0,1+BJ320,0)</f>
        <v>0</v>
      </c>
      <c r="BK321" s="28">
        <f t="shared" si="2814"/>
        <v>5</v>
      </c>
      <c r="BL321" s="28">
        <f t="shared" si="2814"/>
        <v>0</v>
      </c>
      <c r="BM321" s="28">
        <f t="shared" si="2814"/>
        <v>0</v>
      </c>
      <c r="BO321" s="74">
        <f t="shared" ref="BO321:BR321" si="2815">if(U321&gt;0,U321+BO320,0)</f>
        <v>16</v>
      </c>
      <c r="BP321" s="74">
        <f t="shared" si="2815"/>
        <v>0</v>
      </c>
      <c r="BQ321" s="74">
        <f t="shared" si="2815"/>
        <v>28</v>
      </c>
      <c r="BR321" s="74">
        <f t="shared" si="2815"/>
        <v>40</v>
      </c>
      <c r="BT321" s="28">
        <f t="shared" ref="BT321:BW321" si="2816">if(U321&lt;0,U321+BT320,0)</f>
        <v>0</v>
      </c>
      <c r="BU321" s="28">
        <f t="shared" si="2816"/>
        <v>-100</v>
      </c>
      <c r="BV321" s="28">
        <f t="shared" si="2816"/>
        <v>0</v>
      </c>
      <c r="BW321" s="28">
        <f t="shared" si="2816"/>
        <v>0</v>
      </c>
    </row>
    <row r="322">
      <c r="A322" s="83">
        <v>17.0</v>
      </c>
      <c r="B322" s="84">
        <f>'17_25-02-2022'!A27</f>
        <v>25</v>
      </c>
      <c r="C322" s="84">
        <f>'17_25-02-2022'!E27</f>
        <v>96</v>
      </c>
      <c r="D322" s="84">
        <f>'17_25-02-2022'!H27</f>
        <v>-304</v>
      </c>
      <c r="E322" s="84">
        <f>'17_25-02-2022'!F27</f>
        <v>368</v>
      </c>
      <c r="F322" s="84">
        <f>'17_25-02-2022'!G27</f>
        <v>-160</v>
      </c>
      <c r="G322" s="84">
        <f>'17_25-02-2022'!I27</f>
        <v>0</v>
      </c>
      <c r="H322" s="84" t="str">
        <f>'17_25-02-2022'!D27</f>
        <v>Janus</v>
      </c>
      <c r="I322" s="84"/>
      <c r="J322" s="86" t="str">
        <f>'17_25-02-2022'!B27</f>
        <v>Thomas</v>
      </c>
      <c r="K322" s="84" t="str">
        <f>'17_25-02-2022'!C27</f>
        <v>8 halve</v>
      </c>
      <c r="L322" s="84"/>
      <c r="M322" s="87">
        <v>8.0</v>
      </c>
      <c r="N322" s="87" t="s">
        <v>94</v>
      </c>
      <c r="O322" s="84"/>
      <c r="P322" s="84"/>
      <c r="Q322" s="84"/>
      <c r="R322" s="84"/>
      <c r="S322" s="84"/>
      <c r="T322" s="84"/>
      <c r="U322" s="88">
        <f t="shared" ref="U322:X322" si="2817">C322-C321</f>
        <v>10</v>
      </c>
      <c r="V322" s="84">
        <f t="shared" si="2817"/>
        <v>-10</v>
      </c>
      <c r="W322" s="84">
        <f t="shared" si="2817"/>
        <v>10</v>
      </c>
      <c r="X322" s="84">
        <f t="shared" si="2817"/>
        <v>-10</v>
      </c>
      <c r="Y322" s="84"/>
      <c r="Z322" s="84"/>
      <c r="AA322" s="84"/>
      <c r="AB322" s="84" t="str">
        <f t="shared" ref="AB322:AE322" si="2818">IF(AB$3=$H322,U322,"")</f>
        <v/>
      </c>
      <c r="AC322" s="84" t="str">
        <f t="shared" si="2818"/>
        <v/>
      </c>
      <c r="AD322" s="84">
        <f t="shared" si="2818"/>
        <v>10</v>
      </c>
      <c r="AE322" s="84" t="str">
        <f t="shared" si="2818"/>
        <v/>
      </c>
      <c r="AF322" s="84"/>
      <c r="AG322" s="84"/>
      <c r="AH322" s="84">
        <f t="shared" si="22"/>
        <v>10</v>
      </c>
      <c r="AI322" s="84">
        <f t="shared" si="23"/>
        <v>0</v>
      </c>
      <c r="AJ322" s="84"/>
      <c r="AK322" s="93" t="str">
        <f t="shared" ref="AK322:AN322" si="2819">IF(U322&gt;0,AK$3,"")</f>
        <v>Thomas</v>
      </c>
      <c r="AL322" s="93" t="str">
        <f t="shared" si="2819"/>
        <v/>
      </c>
      <c r="AM322" s="93" t="str">
        <f t="shared" si="2819"/>
        <v>Janus</v>
      </c>
      <c r="AN322" s="93" t="str">
        <f t="shared" si="2819"/>
        <v/>
      </c>
      <c r="AO322" s="84">
        <f t="shared" si="25"/>
        <v>2</v>
      </c>
      <c r="AP322" s="94" t="str">
        <f t="shared" si="26"/>
        <v>Janus</v>
      </c>
      <c r="AQ322" s="95" t="str">
        <f>IFERROR(__xludf.DUMMYFUNCTION("IFNA(QUERY(transpose(AY322:BB322),""Select Col1 where Col1 is not null limit 1"",0))"),"Thomas")</f>
        <v>Thomas</v>
      </c>
      <c r="AR322" s="84"/>
      <c r="AS322" s="84" t="str">
        <f t="shared" ref="AS322:AV322" si="2820">IF(AK322=AS$3,"",AS$3)</f>
        <v/>
      </c>
      <c r="AT322" s="84" t="str">
        <f t="shared" si="2820"/>
        <v>Peter</v>
      </c>
      <c r="AU322" s="84" t="str">
        <f t="shared" si="2820"/>
        <v/>
      </c>
      <c r="AV322" s="84" t="str">
        <f t="shared" si="2820"/>
        <v>Christian</v>
      </c>
      <c r="AW322" s="84">
        <f t="shared" si="28"/>
        <v>2</v>
      </c>
      <c r="AX322" s="84">
        <f t="shared" si="29"/>
        <v>10</v>
      </c>
      <c r="AY322" s="84" t="str">
        <f t="shared" ref="AY322:BB322" si="2821">IFNA(IFS(AY$3=$AP322,"",$AX322=U322,AY$3),"")</f>
        <v>Thomas</v>
      </c>
      <c r="AZ322" s="84" t="str">
        <f t="shared" si="2821"/>
        <v/>
      </c>
      <c r="BA322" s="84" t="str">
        <f t="shared" si="2821"/>
        <v/>
      </c>
      <c r="BB322" s="84" t="str">
        <f t="shared" si="2821"/>
        <v/>
      </c>
      <c r="BC322" s="96">
        <f>OFFSET('00_Regnskab_01'!$A$1,MATCH(A322,'00_Regnskab_01'!$A$1:$A$25)-1,2)</f>
        <v>44617</v>
      </c>
      <c r="BD322" s="84"/>
      <c r="BE322" s="97">
        <f t="shared" ref="BE322:BH322" si="2822">if(U322&gt;0,1+BE321,0)</f>
        <v>2</v>
      </c>
      <c r="BF322" s="84">
        <f t="shared" si="2822"/>
        <v>0</v>
      </c>
      <c r="BG322" s="84">
        <f t="shared" si="2822"/>
        <v>3</v>
      </c>
      <c r="BH322" s="84">
        <f t="shared" si="2822"/>
        <v>0</v>
      </c>
      <c r="BI322" s="84"/>
      <c r="BJ322" s="28">
        <f t="shared" ref="BJ322:BM322" si="2823">if(U322&lt;0,1+BJ321,0)</f>
        <v>0</v>
      </c>
      <c r="BK322" s="28">
        <f t="shared" si="2823"/>
        <v>6</v>
      </c>
      <c r="BL322" s="28">
        <f t="shared" si="2823"/>
        <v>0</v>
      </c>
      <c r="BM322" s="28">
        <f t="shared" si="2823"/>
        <v>1</v>
      </c>
      <c r="BN322" s="84"/>
      <c r="BO322" s="98">
        <f t="shared" ref="BO322:BR322" si="2824">if(U322&gt;0,U322+BO321,0)</f>
        <v>26</v>
      </c>
      <c r="BP322" s="98">
        <f t="shared" si="2824"/>
        <v>0</v>
      </c>
      <c r="BQ322" s="98">
        <f t="shared" si="2824"/>
        <v>38</v>
      </c>
      <c r="BR322" s="98">
        <f t="shared" si="2824"/>
        <v>0</v>
      </c>
      <c r="BS322" s="84"/>
      <c r="BT322" s="84">
        <f t="shared" ref="BT322:BW322" si="2825">if(U322&lt;0,U322+BT321,0)</f>
        <v>0</v>
      </c>
      <c r="BU322" s="84">
        <f t="shared" si="2825"/>
        <v>-110</v>
      </c>
      <c r="BV322" s="84">
        <f t="shared" si="2825"/>
        <v>0</v>
      </c>
      <c r="BW322" s="84">
        <f t="shared" si="2825"/>
        <v>-10</v>
      </c>
      <c r="BX322" s="84"/>
      <c r="BY322" s="84"/>
    </row>
    <row r="323">
      <c r="A323" s="51">
        <v>18.0</v>
      </c>
      <c r="B323" s="32">
        <f>'18_26-02-2022'!A3</f>
        <v>1</v>
      </c>
      <c r="C323" s="32">
        <f>'18_26-02-2022'!E3</f>
        <v>8</v>
      </c>
      <c r="D323" s="32">
        <f>'18_26-02-2022'!H3</f>
        <v>-8</v>
      </c>
      <c r="E323" s="32">
        <f>'18_26-02-2022'!F3</f>
        <v>-8</v>
      </c>
      <c r="F323" s="32">
        <f>'18_26-02-2022'!G3</f>
        <v>8</v>
      </c>
      <c r="G323" s="32">
        <f>'18_26-02-2022'!I3</f>
        <v>0</v>
      </c>
      <c r="H323" s="32" t="str">
        <f>'18_26-02-2022'!D3</f>
        <v>Christian</v>
      </c>
      <c r="I323" s="32"/>
      <c r="J323" s="70" t="str">
        <f>'18_26-02-2022'!B3</f>
        <v>Christian</v>
      </c>
      <c r="K323" s="32" t="str">
        <f>'18_26-02-2022'!C3</f>
        <v>10 alm</v>
      </c>
      <c r="L323" s="32"/>
      <c r="M323" s="48">
        <v>10.0</v>
      </c>
      <c r="N323" s="25" t="s">
        <v>100</v>
      </c>
      <c r="O323" s="32"/>
      <c r="P323" s="32"/>
      <c r="Q323" s="32"/>
      <c r="R323" s="32"/>
      <c r="S323" s="32"/>
      <c r="T323" s="32"/>
      <c r="U323" s="71">
        <f t="shared" ref="U323:X323" si="2826">C323</f>
        <v>8</v>
      </c>
      <c r="V323" s="32">
        <f t="shared" si="2826"/>
        <v>-8</v>
      </c>
      <c r="W323" s="32">
        <f t="shared" si="2826"/>
        <v>-8</v>
      </c>
      <c r="X323" s="32">
        <f t="shared" si="2826"/>
        <v>8</v>
      </c>
      <c r="Y323" s="32"/>
      <c r="Z323" s="32"/>
      <c r="AA323" s="32"/>
      <c r="AB323" s="28" t="str">
        <f t="shared" ref="AB323:AE323" si="2827">IF(AB$3=$H323,U323,"")</f>
        <v/>
      </c>
      <c r="AC323" s="28" t="str">
        <f t="shared" si="2827"/>
        <v/>
      </c>
      <c r="AD323" s="28" t="str">
        <f t="shared" si="2827"/>
        <v/>
      </c>
      <c r="AE323" s="28">
        <f t="shared" si="2827"/>
        <v>8</v>
      </c>
      <c r="AH323" s="28">
        <f t="shared" si="22"/>
        <v>8</v>
      </c>
      <c r="AI323" s="28">
        <f t="shared" si="23"/>
        <v>0</v>
      </c>
      <c r="AJ323" s="32"/>
      <c r="AK323" s="78" t="str">
        <f t="shared" ref="AK323:AN323" si="2828">IF(U323&gt;0,AK$3,"")</f>
        <v>Thomas</v>
      </c>
      <c r="AL323" s="78" t="str">
        <f t="shared" si="2828"/>
        <v/>
      </c>
      <c r="AM323" s="78" t="str">
        <f t="shared" si="2828"/>
        <v/>
      </c>
      <c r="AN323" s="78" t="str">
        <f t="shared" si="2828"/>
        <v>Christian</v>
      </c>
      <c r="AO323" s="56">
        <f t="shared" si="25"/>
        <v>2</v>
      </c>
      <c r="AP323" s="8" t="str">
        <f t="shared" si="26"/>
        <v>Christian</v>
      </c>
      <c r="AQ323" s="73" t="str">
        <f>IFERROR(__xludf.DUMMYFUNCTION("IFNA(QUERY(transpose(AY323:BB323),""Select Col1 where Col1 is not null limit 1"",0))"),"Thomas")</f>
        <v>Thomas</v>
      </c>
      <c r="AR323" s="56"/>
      <c r="AS323" s="28" t="str">
        <f t="shared" ref="AS323:AV323" si="2829">IF(AK323=AS$3,"",AS$3)</f>
        <v/>
      </c>
      <c r="AT323" s="28" t="str">
        <f t="shared" si="2829"/>
        <v>Peter</v>
      </c>
      <c r="AU323" s="28" t="str">
        <f t="shared" si="2829"/>
        <v>Janus</v>
      </c>
      <c r="AV323" s="28" t="str">
        <f t="shared" si="2829"/>
        <v/>
      </c>
      <c r="AW323" s="56">
        <f t="shared" si="28"/>
        <v>2</v>
      </c>
      <c r="AX323" s="28">
        <f t="shared" si="29"/>
        <v>8</v>
      </c>
      <c r="AY323" s="28" t="str">
        <f t="shared" ref="AY323:BB323" si="2830">IFNA(IFS(AY$3=$AP323,"",$AX323=U323,AY$3),"")</f>
        <v>Thomas</v>
      </c>
      <c r="AZ323" s="28" t="str">
        <f t="shared" si="2830"/>
        <v/>
      </c>
      <c r="BA323" s="28" t="str">
        <f t="shared" si="2830"/>
        <v/>
      </c>
      <c r="BB323" s="28" t="str">
        <f t="shared" si="2830"/>
        <v/>
      </c>
      <c r="BC323" s="58">
        <f>OFFSET('00_Regnskab_01'!$A$1,MATCH(A323,'00_Regnskab_01'!$A$1:$A$25)-1,2)</f>
        <v>44618</v>
      </c>
      <c r="BD323" s="32"/>
      <c r="BE323" s="80">
        <f t="shared" ref="BE323:BH323" si="2831">if(U323&gt;0,1+BE322,0)</f>
        <v>3</v>
      </c>
      <c r="BF323" s="28">
        <f t="shared" si="2831"/>
        <v>0</v>
      </c>
      <c r="BG323" s="28">
        <f t="shared" si="2831"/>
        <v>0</v>
      </c>
      <c r="BH323" s="28">
        <f t="shared" si="2831"/>
        <v>1</v>
      </c>
      <c r="BI323" s="32"/>
      <c r="BJ323" s="28">
        <f t="shared" ref="BJ323:BM323" si="2832">if(U323&lt;0,1+BJ322,0)</f>
        <v>0</v>
      </c>
      <c r="BK323" s="28">
        <f t="shared" si="2832"/>
        <v>7</v>
      </c>
      <c r="BL323" s="28">
        <f t="shared" si="2832"/>
        <v>1</v>
      </c>
      <c r="BM323" s="28">
        <f t="shared" si="2832"/>
        <v>0</v>
      </c>
      <c r="BO323" s="74">
        <f t="shared" ref="BO323:BR323" si="2833">if(U323&gt;0,U323+BO322,0)</f>
        <v>34</v>
      </c>
      <c r="BP323" s="74">
        <f t="shared" si="2833"/>
        <v>0</v>
      </c>
      <c r="BQ323" s="74">
        <f t="shared" si="2833"/>
        <v>0</v>
      </c>
      <c r="BR323" s="74">
        <f t="shared" si="2833"/>
        <v>8</v>
      </c>
      <c r="BT323" s="28">
        <f t="shared" ref="BT323:BW323" si="2834">if(U323&lt;0,U323+BT322,0)</f>
        <v>0</v>
      </c>
      <c r="BU323" s="28">
        <f t="shared" si="2834"/>
        <v>-118</v>
      </c>
      <c r="BV323" s="28">
        <f t="shared" si="2834"/>
        <v>-8</v>
      </c>
      <c r="BW323" s="28">
        <f t="shared" si="2834"/>
        <v>0</v>
      </c>
      <c r="BX323" s="32"/>
      <c r="BY323" s="32"/>
    </row>
    <row r="324">
      <c r="A324" s="53">
        <v>18.0</v>
      </c>
      <c r="B324" s="28">
        <f>'18_26-02-2022'!A4</f>
        <v>2</v>
      </c>
      <c r="C324" s="28">
        <f>'18_26-02-2022'!E4</f>
        <v>16</v>
      </c>
      <c r="D324" s="28">
        <f>'18_26-02-2022'!H4</f>
        <v>-32</v>
      </c>
      <c r="E324" s="28">
        <f>'18_26-02-2022'!F4</f>
        <v>0</v>
      </c>
      <c r="F324" s="28">
        <f>'18_26-02-2022'!G4</f>
        <v>16</v>
      </c>
      <c r="G324" s="28">
        <f>'18_26-02-2022'!I4</f>
        <v>0</v>
      </c>
      <c r="H324" s="28" t="str">
        <f>'18_26-02-2022'!D4</f>
        <v>Peter</v>
      </c>
      <c r="J324" s="76" t="str">
        <f>'18_26-02-2022'!B4</f>
        <v>Peter</v>
      </c>
      <c r="K324" s="28" t="str">
        <f>'18_26-02-2022'!C4</f>
        <v>ren sol</v>
      </c>
      <c r="L324" s="56"/>
      <c r="N324" s="25" t="s">
        <v>97</v>
      </c>
      <c r="T324" s="56"/>
      <c r="U324" s="77">
        <f t="shared" ref="U324:X324" si="2835">C324-C323</f>
        <v>8</v>
      </c>
      <c r="V324" s="28">
        <f t="shared" si="2835"/>
        <v>-24</v>
      </c>
      <c r="W324" s="28">
        <f t="shared" si="2835"/>
        <v>8</v>
      </c>
      <c r="X324" s="28">
        <f t="shared" si="2835"/>
        <v>8</v>
      </c>
      <c r="AB324" s="28" t="str">
        <f t="shared" ref="AB324:AE324" si="2836">IF(AB$3=$H324,U324,"")</f>
        <v/>
      </c>
      <c r="AC324" s="28">
        <f t="shared" si="2836"/>
        <v>-24</v>
      </c>
      <c r="AD324" s="28" t="str">
        <f t="shared" si="2836"/>
        <v/>
      </c>
      <c r="AE324" s="28" t="str">
        <f t="shared" si="2836"/>
        <v/>
      </c>
      <c r="AH324" s="28">
        <f t="shared" si="22"/>
        <v>0</v>
      </c>
      <c r="AI324" s="28">
        <f t="shared" si="23"/>
        <v>-24</v>
      </c>
      <c r="AK324" s="78" t="str">
        <f t="shared" ref="AK324:AN324" si="2837">IF(U324&gt;0,AK$3,"")</f>
        <v>Thomas</v>
      </c>
      <c r="AL324" s="78" t="str">
        <f t="shared" si="2837"/>
        <v/>
      </c>
      <c r="AM324" s="78" t="str">
        <f t="shared" si="2837"/>
        <v>Janus</v>
      </c>
      <c r="AN324" s="78" t="str">
        <f t="shared" si="2837"/>
        <v>Christian</v>
      </c>
      <c r="AO324" s="56">
        <f t="shared" si="25"/>
        <v>3</v>
      </c>
      <c r="AP324" s="8" t="str">
        <f t="shared" si="26"/>
        <v>Peter</v>
      </c>
      <c r="AQ324" s="73" t="str">
        <f>IFERROR(__xludf.DUMMYFUNCTION("IFNA(QUERY(transpose(AY324:BB324),""Select Col1 where Col1 is not null limit 1"",0))"),"")</f>
        <v/>
      </c>
      <c r="AR324" s="56"/>
      <c r="AS324" s="28" t="str">
        <f t="shared" ref="AS324:AV324" si="2838">IF(AK324=AS$3,"",AS$3)</f>
        <v/>
      </c>
      <c r="AT324" s="28" t="str">
        <f t="shared" si="2838"/>
        <v>Peter</v>
      </c>
      <c r="AU324" s="28" t="str">
        <f t="shared" si="2838"/>
        <v/>
      </c>
      <c r="AV324" s="28" t="str">
        <f t="shared" si="2838"/>
        <v/>
      </c>
      <c r="AW324" s="56">
        <f t="shared" si="28"/>
        <v>1</v>
      </c>
      <c r="AX324" s="28">
        <f t="shared" si="29"/>
        <v>-24</v>
      </c>
      <c r="AY324" s="28" t="str">
        <f t="shared" ref="AY324:BB324" si="2839">IFNA(IFS(AY$3=$AP324,"",$AX324=U324,AY$3),"")</f>
        <v/>
      </c>
      <c r="AZ324" s="28" t="str">
        <f t="shared" si="2839"/>
        <v/>
      </c>
      <c r="BA324" s="28" t="str">
        <f t="shared" si="2839"/>
        <v/>
      </c>
      <c r="BB324" s="28" t="str">
        <f t="shared" si="2839"/>
        <v/>
      </c>
      <c r="BC324" s="58">
        <f>OFFSET('00_Regnskab_01'!$A$1,MATCH(A324,'00_Regnskab_01'!$A$1:$A$25)-1,2)</f>
        <v>44618</v>
      </c>
      <c r="BE324" s="80">
        <f t="shared" ref="BE324:BH324" si="2840">if(U324&gt;0,1+BE323,0)</f>
        <v>4</v>
      </c>
      <c r="BF324" s="28">
        <f t="shared" si="2840"/>
        <v>0</v>
      </c>
      <c r="BG324" s="28">
        <f t="shared" si="2840"/>
        <v>1</v>
      </c>
      <c r="BH324" s="28">
        <f t="shared" si="2840"/>
        <v>2</v>
      </c>
      <c r="BJ324" s="28">
        <f t="shared" ref="BJ324:BM324" si="2841">if(U324&lt;0,1+BJ323,0)</f>
        <v>0</v>
      </c>
      <c r="BK324" s="28">
        <f t="shared" si="2841"/>
        <v>8</v>
      </c>
      <c r="BL324" s="28">
        <f t="shared" si="2841"/>
        <v>0</v>
      </c>
      <c r="BM324" s="28">
        <f t="shared" si="2841"/>
        <v>0</v>
      </c>
      <c r="BO324" s="74">
        <f t="shared" ref="BO324:BR324" si="2842">if(U324&gt;0,U324+BO323,0)</f>
        <v>42</v>
      </c>
      <c r="BP324" s="74">
        <f t="shared" si="2842"/>
        <v>0</v>
      </c>
      <c r="BQ324" s="74">
        <f t="shared" si="2842"/>
        <v>8</v>
      </c>
      <c r="BR324" s="74">
        <f t="shared" si="2842"/>
        <v>16</v>
      </c>
      <c r="BT324" s="28">
        <f t="shared" ref="BT324:BW324" si="2843">if(U324&lt;0,U324+BT323,0)</f>
        <v>0</v>
      </c>
      <c r="BU324" s="28">
        <f t="shared" si="2843"/>
        <v>-142</v>
      </c>
      <c r="BV324" s="28">
        <f t="shared" si="2843"/>
        <v>0</v>
      </c>
      <c r="BW324" s="28">
        <f t="shared" si="2843"/>
        <v>0</v>
      </c>
    </row>
    <row r="325">
      <c r="A325" s="53">
        <v>18.0</v>
      </c>
      <c r="B325" s="28">
        <f>'18_26-02-2022'!A5</f>
        <v>3</v>
      </c>
      <c r="C325" s="28">
        <f>'18_26-02-2022'!E5</f>
        <v>20</v>
      </c>
      <c r="D325" s="28">
        <f>'18_26-02-2022'!H5</f>
        <v>-28</v>
      </c>
      <c r="E325" s="28">
        <f>'18_26-02-2022'!F5</f>
        <v>4</v>
      </c>
      <c r="F325" s="28">
        <f>'18_26-02-2022'!G5</f>
        <v>4</v>
      </c>
      <c r="G325" s="28">
        <f>'18_26-02-2022'!I5</f>
        <v>0</v>
      </c>
      <c r="H325" s="28" t="str">
        <f>'18_26-02-2022'!D5</f>
        <v>Christian</v>
      </c>
      <c r="J325" s="76" t="str">
        <f>'18_26-02-2022'!B5</f>
        <v>Thomas</v>
      </c>
      <c r="K325" s="28" t="str">
        <f>'18_26-02-2022'!C5</f>
        <v>Sol</v>
      </c>
      <c r="L325" s="56"/>
      <c r="N325" s="25" t="s">
        <v>99</v>
      </c>
      <c r="T325" s="56"/>
      <c r="U325" s="77">
        <f t="shared" ref="U325:X325" si="2844">C325-C324</f>
        <v>4</v>
      </c>
      <c r="V325" s="28">
        <f t="shared" si="2844"/>
        <v>4</v>
      </c>
      <c r="W325" s="28">
        <f t="shared" si="2844"/>
        <v>4</v>
      </c>
      <c r="X325" s="28">
        <f t="shared" si="2844"/>
        <v>-12</v>
      </c>
      <c r="AB325" s="28" t="str">
        <f t="shared" ref="AB325:AE325" si="2845">IF(AB$3=$H325,U325,"")</f>
        <v/>
      </c>
      <c r="AC325" s="28" t="str">
        <f t="shared" si="2845"/>
        <v/>
      </c>
      <c r="AD325" s="28" t="str">
        <f t="shared" si="2845"/>
        <v/>
      </c>
      <c r="AE325" s="28">
        <f t="shared" si="2845"/>
        <v>-12</v>
      </c>
      <c r="AH325" s="28">
        <f t="shared" si="22"/>
        <v>0</v>
      </c>
      <c r="AI325" s="28">
        <f t="shared" si="23"/>
        <v>-12</v>
      </c>
      <c r="AK325" s="78" t="str">
        <f t="shared" ref="AK325:AN325" si="2846">IF(U325&gt;0,AK$3,"")</f>
        <v>Thomas</v>
      </c>
      <c r="AL325" s="78" t="str">
        <f t="shared" si="2846"/>
        <v>Peter</v>
      </c>
      <c r="AM325" s="78" t="str">
        <f t="shared" si="2846"/>
        <v>Janus</v>
      </c>
      <c r="AN325" s="78" t="str">
        <f t="shared" si="2846"/>
        <v/>
      </c>
      <c r="AO325" s="56">
        <f t="shared" si="25"/>
        <v>3</v>
      </c>
      <c r="AP325" s="8" t="str">
        <f t="shared" si="26"/>
        <v>Christian</v>
      </c>
      <c r="AQ325" s="73" t="str">
        <f>IFERROR(__xludf.DUMMYFUNCTION("IFNA(QUERY(transpose(AY325:BB325),""Select Col1 where Col1 is not null limit 1"",0))"),"")</f>
        <v/>
      </c>
      <c r="AR325" s="56"/>
      <c r="AS325" s="28" t="str">
        <f t="shared" ref="AS325:AV325" si="2847">IF(AK325=AS$3,"",AS$3)</f>
        <v/>
      </c>
      <c r="AT325" s="28" t="str">
        <f t="shared" si="2847"/>
        <v/>
      </c>
      <c r="AU325" s="28" t="str">
        <f t="shared" si="2847"/>
        <v/>
      </c>
      <c r="AV325" s="28" t="str">
        <f t="shared" si="2847"/>
        <v>Christian</v>
      </c>
      <c r="AW325" s="56">
        <f t="shared" si="28"/>
        <v>1</v>
      </c>
      <c r="AX325" s="28">
        <f t="shared" si="29"/>
        <v>-12</v>
      </c>
      <c r="AY325" s="28" t="str">
        <f t="shared" ref="AY325:BB325" si="2848">IFNA(IFS(AY$3=$AP325,"",$AX325=U325,AY$3),"")</f>
        <v/>
      </c>
      <c r="AZ325" s="28" t="str">
        <f t="shared" si="2848"/>
        <v/>
      </c>
      <c r="BA325" s="28" t="str">
        <f t="shared" si="2848"/>
        <v/>
      </c>
      <c r="BB325" s="28" t="str">
        <f t="shared" si="2848"/>
        <v/>
      </c>
      <c r="BC325" s="58">
        <f>OFFSET('00_Regnskab_01'!$A$1,MATCH(A325,'00_Regnskab_01'!$A$1:$A$25)-1,2)</f>
        <v>44618</v>
      </c>
      <c r="BE325" s="80">
        <f t="shared" ref="BE325:BH325" si="2849">if(U325&gt;0,1+BE324,0)</f>
        <v>5</v>
      </c>
      <c r="BF325" s="28">
        <f t="shared" si="2849"/>
        <v>1</v>
      </c>
      <c r="BG325" s="28">
        <f t="shared" si="2849"/>
        <v>2</v>
      </c>
      <c r="BH325" s="28">
        <f t="shared" si="2849"/>
        <v>0</v>
      </c>
      <c r="BJ325" s="28">
        <f t="shared" ref="BJ325:BM325" si="2850">if(U325&lt;0,1+BJ324,0)</f>
        <v>0</v>
      </c>
      <c r="BK325" s="28">
        <f t="shared" si="2850"/>
        <v>0</v>
      </c>
      <c r="BL325" s="28">
        <f t="shared" si="2850"/>
        <v>0</v>
      </c>
      <c r="BM325" s="28">
        <f t="shared" si="2850"/>
        <v>1</v>
      </c>
      <c r="BO325" s="74">
        <f t="shared" ref="BO325:BR325" si="2851">if(U325&gt;0,U325+BO324,0)</f>
        <v>46</v>
      </c>
      <c r="BP325" s="74">
        <f t="shared" si="2851"/>
        <v>4</v>
      </c>
      <c r="BQ325" s="74">
        <f t="shared" si="2851"/>
        <v>12</v>
      </c>
      <c r="BR325" s="74">
        <f t="shared" si="2851"/>
        <v>0</v>
      </c>
      <c r="BT325" s="28">
        <f t="shared" ref="BT325:BW325" si="2852">if(U325&lt;0,U325+BT324,0)</f>
        <v>0</v>
      </c>
      <c r="BU325" s="28">
        <f t="shared" si="2852"/>
        <v>0</v>
      </c>
      <c r="BV325" s="28">
        <f t="shared" si="2852"/>
        <v>0</v>
      </c>
      <c r="BW325" s="28">
        <f t="shared" si="2852"/>
        <v>-12</v>
      </c>
    </row>
    <row r="326">
      <c r="A326" s="53">
        <v>18.0</v>
      </c>
      <c r="B326" s="28">
        <f>'18_26-02-2022'!A6</f>
        <v>4</v>
      </c>
      <c r="C326" s="28">
        <f>'18_26-02-2022'!E6</f>
        <v>2</v>
      </c>
      <c r="D326" s="28">
        <f>'18_26-02-2022'!H6</f>
        <v>-22</v>
      </c>
      <c r="E326" s="28">
        <f>'18_26-02-2022'!F6</f>
        <v>10</v>
      </c>
      <c r="F326" s="28">
        <f>'18_26-02-2022'!G6</f>
        <v>10</v>
      </c>
      <c r="G326" s="28">
        <f>'18_26-02-2022'!I6</f>
        <v>0</v>
      </c>
      <c r="H326" s="28" t="str">
        <f>'18_26-02-2022'!D6</f>
        <v>Thomas</v>
      </c>
      <c r="J326" s="76" t="str">
        <f>'18_26-02-2022'!B6</f>
        <v>Janus</v>
      </c>
      <c r="K326" s="28" t="str">
        <f>'18_26-02-2022'!C6</f>
        <v>Vip  1. </v>
      </c>
      <c r="L326" s="56"/>
      <c r="N326" s="25" t="s">
        <v>86</v>
      </c>
      <c r="O326" s="25">
        <v>1.0</v>
      </c>
      <c r="T326" s="56"/>
      <c r="U326" s="77">
        <f t="shared" ref="U326:X326" si="2853">C326-C325</f>
        <v>-18</v>
      </c>
      <c r="V326" s="28">
        <f t="shared" si="2853"/>
        <v>6</v>
      </c>
      <c r="W326" s="28">
        <f t="shared" si="2853"/>
        <v>6</v>
      </c>
      <c r="X326" s="28">
        <f t="shared" si="2853"/>
        <v>6</v>
      </c>
      <c r="AB326" s="28">
        <f t="shared" ref="AB326:AE326" si="2854">IF(AB$3=$H326,U326,"")</f>
        <v>-18</v>
      </c>
      <c r="AC326" s="28" t="str">
        <f t="shared" si="2854"/>
        <v/>
      </c>
      <c r="AD326" s="28" t="str">
        <f t="shared" si="2854"/>
        <v/>
      </c>
      <c r="AE326" s="28" t="str">
        <f t="shared" si="2854"/>
        <v/>
      </c>
      <c r="AH326" s="28">
        <f t="shared" si="22"/>
        <v>0</v>
      </c>
      <c r="AI326" s="28">
        <f t="shared" si="23"/>
        <v>-18</v>
      </c>
      <c r="AK326" s="78" t="str">
        <f t="shared" ref="AK326:AN326" si="2855">IF(U326&gt;0,AK$3,"")</f>
        <v/>
      </c>
      <c r="AL326" s="78" t="str">
        <f t="shared" si="2855"/>
        <v>Peter</v>
      </c>
      <c r="AM326" s="78" t="str">
        <f t="shared" si="2855"/>
        <v>Janus</v>
      </c>
      <c r="AN326" s="78" t="str">
        <f t="shared" si="2855"/>
        <v>Christian</v>
      </c>
      <c r="AO326" s="56">
        <f t="shared" si="25"/>
        <v>3</v>
      </c>
      <c r="AP326" s="8" t="str">
        <f t="shared" si="26"/>
        <v>Thomas</v>
      </c>
      <c r="AQ326" s="73" t="str">
        <f>IFERROR(__xludf.DUMMYFUNCTION("IFNA(QUERY(transpose(AY326:BB326),""Select Col1 where Col1 is not null limit 1"",0))"),"")</f>
        <v/>
      </c>
      <c r="AR326" s="56"/>
      <c r="AS326" s="28" t="str">
        <f t="shared" ref="AS326:AV326" si="2856">IF(AK326=AS$3,"",AS$3)</f>
        <v>Thomas</v>
      </c>
      <c r="AT326" s="28" t="str">
        <f t="shared" si="2856"/>
        <v/>
      </c>
      <c r="AU326" s="28" t="str">
        <f t="shared" si="2856"/>
        <v/>
      </c>
      <c r="AV326" s="28" t="str">
        <f t="shared" si="2856"/>
        <v/>
      </c>
      <c r="AW326" s="56">
        <f t="shared" si="28"/>
        <v>1</v>
      </c>
      <c r="AX326" s="28">
        <f t="shared" si="29"/>
        <v>-18</v>
      </c>
      <c r="AY326" s="28" t="str">
        <f t="shared" ref="AY326:BB326" si="2857">IFNA(IFS(AY$3=$AP326,"",$AX326=U326,AY$3),"")</f>
        <v/>
      </c>
      <c r="AZ326" s="28" t="str">
        <f t="shared" si="2857"/>
        <v/>
      </c>
      <c r="BA326" s="28" t="str">
        <f t="shared" si="2857"/>
        <v/>
      </c>
      <c r="BB326" s="28" t="str">
        <f t="shared" si="2857"/>
        <v/>
      </c>
      <c r="BC326" s="58">
        <f>OFFSET('00_Regnskab_01'!$A$1,MATCH(A326,'00_Regnskab_01'!$A$1:$A$25)-1,2)</f>
        <v>44618</v>
      </c>
      <c r="BE326" s="80">
        <f t="shared" ref="BE326:BH326" si="2858">if(U326&gt;0,1+BE325,0)</f>
        <v>0</v>
      </c>
      <c r="BF326" s="28">
        <f t="shared" si="2858"/>
        <v>2</v>
      </c>
      <c r="BG326" s="28">
        <f t="shared" si="2858"/>
        <v>3</v>
      </c>
      <c r="BH326" s="28">
        <f t="shared" si="2858"/>
        <v>1</v>
      </c>
      <c r="BJ326" s="28">
        <f t="shared" ref="BJ326:BM326" si="2859">if(U326&lt;0,1+BJ325,0)</f>
        <v>1</v>
      </c>
      <c r="BK326" s="28">
        <f t="shared" si="2859"/>
        <v>0</v>
      </c>
      <c r="BL326" s="28">
        <f t="shared" si="2859"/>
        <v>0</v>
      </c>
      <c r="BM326" s="28">
        <f t="shared" si="2859"/>
        <v>0</v>
      </c>
      <c r="BO326" s="74">
        <f t="shared" ref="BO326:BR326" si="2860">if(U326&gt;0,U326+BO325,0)</f>
        <v>0</v>
      </c>
      <c r="BP326" s="74">
        <f t="shared" si="2860"/>
        <v>10</v>
      </c>
      <c r="BQ326" s="74">
        <f t="shared" si="2860"/>
        <v>18</v>
      </c>
      <c r="BR326" s="74">
        <f t="shared" si="2860"/>
        <v>6</v>
      </c>
      <c r="BT326" s="28">
        <f t="shared" ref="BT326:BW326" si="2861">if(U326&lt;0,U326+BT325,0)</f>
        <v>-18</v>
      </c>
      <c r="BU326" s="28">
        <f t="shared" si="2861"/>
        <v>0</v>
      </c>
      <c r="BV326" s="28">
        <f t="shared" si="2861"/>
        <v>0</v>
      </c>
      <c r="BW326" s="28">
        <f t="shared" si="2861"/>
        <v>0</v>
      </c>
    </row>
    <row r="327">
      <c r="A327" s="53">
        <v>18.0</v>
      </c>
      <c r="B327" s="28">
        <f>'18_26-02-2022'!A7</f>
        <v>5</v>
      </c>
      <c r="C327" s="28">
        <f>'18_26-02-2022'!E7</f>
        <v>18</v>
      </c>
      <c r="D327" s="28">
        <f>'18_26-02-2022'!H7</f>
        <v>-38</v>
      </c>
      <c r="E327" s="28">
        <f>'18_26-02-2022'!F7</f>
        <v>-6</v>
      </c>
      <c r="F327" s="28">
        <f>'18_26-02-2022'!G7</f>
        <v>26</v>
      </c>
      <c r="G327" s="28">
        <f>'18_26-02-2022'!I7</f>
        <v>0</v>
      </c>
      <c r="H327" s="28" t="str">
        <f>'18_26-02-2022'!D7</f>
        <v>Thomas</v>
      </c>
      <c r="J327" s="76" t="str">
        <f>'18_26-02-2022'!B7</f>
        <v>Christian</v>
      </c>
      <c r="K327" s="28" t="str">
        <f>'18_26-02-2022'!C7</f>
        <v>10 halve</v>
      </c>
      <c r="L327" s="56"/>
      <c r="N327" s="25" t="s">
        <v>94</v>
      </c>
      <c r="T327" s="56"/>
      <c r="U327" s="77">
        <f t="shared" ref="U327:X327" si="2862">C327-C326</f>
        <v>16</v>
      </c>
      <c r="V327" s="28">
        <f t="shared" si="2862"/>
        <v>-16</v>
      </c>
      <c r="W327" s="28">
        <f t="shared" si="2862"/>
        <v>-16</v>
      </c>
      <c r="X327" s="28">
        <f t="shared" si="2862"/>
        <v>16</v>
      </c>
      <c r="AB327" s="28">
        <f t="shared" ref="AB327:AE327" si="2863">IF(AB$3=$H327,U327,"")</f>
        <v>16</v>
      </c>
      <c r="AC327" s="28" t="str">
        <f t="shared" si="2863"/>
        <v/>
      </c>
      <c r="AD327" s="28" t="str">
        <f t="shared" si="2863"/>
        <v/>
      </c>
      <c r="AE327" s="28" t="str">
        <f t="shared" si="2863"/>
        <v/>
      </c>
      <c r="AH327" s="28">
        <f t="shared" si="22"/>
        <v>16</v>
      </c>
      <c r="AI327" s="28">
        <f t="shared" si="23"/>
        <v>0</v>
      </c>
      <c r="AK327" s="78" t="str">
        <f t="shared" ref="AK327:AN327" si="2864">IF(U327&gt;0,AK$3,"")</f>
        <v>Thomas</v>
      </c>
      <c r="AL327" s="78" t="str">
        <f t="shared" si="2864"/>
        <v/>
      </c>
      <c r="AM327" s="78" t="str">
        <f t="shared" si="2864"/>
        <v/>
      </c>
      <c r="AN327" s="78" t="str">
        <f t="shared" si="2864"/>
        <v>Christian</v>
      </c>
      <c r="AO327" s="56">
        <f t="shared" si="25"/>
        <v>2</v>
      </c>
      <c r="AP327" s="8" t="str">
        <f t="shared" si="26"/>
        <v>Thomas</v>
      </c>
      <c r="AQ327" s="73" t="str">
        <f>IFERROR(__xludf.DUMMYFUNCTION("IFNA(QUERY(transpose(AY327:BB327),""Select Col1 where Col1 is not null limit 1"",0))"),"Christian")</f>
        <v>Christian</v>
      </c>
      <c r="AR327" s="56"/>
      <c r="AS327" s="28" t="str">
        <f t="shared" ref="AS327:AV327" si="2865">IF(AK327=AS$3,"",AS$3)</f>
        <v/>
      </c>
      <c r="AT327" s="28" t="str">
        <f t="shared" si="2865"/>
        <v>Peter</v>
      </c>
      <c r="AU327" s="28" t="str">
        <f t="shared" si="2865"/>
        <v>Janus</v>
      </c>
      <c r="AV327" s="28" t="str">
        <f t="shared" si="2865"/>
        <v/>
      </c>
      <c r="AW327" s="56">
        <f t="shared" si="28"/>
        <v>2</v>
      </c>
      <c r="AX327" s="28">
        <f t="shared" si="29"/>
        <v>16</v>
      </c>
      <c r="AY327" s="28" t="str">
        <f t="shared" ref="AY327:BB327" si="2866">IFNA(IFS(AY$3=$AP327,"",$AX327=U327,AY$3),"")</f>
        <v/>
      </c>
      <c r="AZ327" s="28" t="str">
        <f t="shared" si="2866"/>
        <v/>
      </c>
      <c r="BA327" s="28" t="str">
        <f t="shared" si="2866"/>
        <v/>
      </c>
      <c r="BB327" s="28" t="str">
        <f t="shared" si="2866"/>
        <v>Christian</v>
      </c>
      <c r="BC327" s="58">
        <f>OFFSET('00_Regnskab_01'!$A$1,MATCH(A327,'00_Regnskab_01'!$A$1:$A$25)-1,2)</f>
        <v>44618</v>
      </c>
      <c r="BE327" s="80">
        <f t="shared" ref="BE327:BH327" si="2867">if(U327&gt;0,1+BE326,0)</f>
        <v>1</v>
      </c>
      <c r="BF327" s="28">
        <f t="shared" si="2867"/>
        <v>0</v>
      </c>
      <c r="BG327" s="28">
        <f t="shared" si="2867"/>
        <v>0</v>
      </c>
      <c r="BH327" s="28">
        <f t="shared" si="2867"/>
        <v>2</v>
      </c>
      <c r="BJ327" s="28">
        <f t="shared" ref="BJ327:BM327" si="2868">if(U327&lt;0,1+BJ326,0)</f>
        <v>0</v>
      </c>
      <c r="BK327" s="28">
        <f t="shared" si="2868"/>
        <v>1</v>
      </c>
      <c r="BL327" s="28">
        <f t="shared" si="2868"/>
        <v>1</v>
      </c>
      <c r="BM327" s="28">
        <f t="shared" si="2868"/>
        <v>0</v>
      </c>
      <c r="BO327" s="74">
        <f t="shared" ref="BO327:BR327" si="2869">if(U327&gt;0,U327+BO326,0)</f>
        <v>16</v>
      </c>
      <c r="BP327" s="74">
        <f t="shared" si="2869"/>
        <v>0</v>
      </c>
      <c r="BQ327" s="74">
        <f t="shared" si="2869"/>
        <v>0</v>
      </c>
      <c r="BR327" s="74">
        <f t="shared" si="2869"/>
        <v>22</v>
      </c>
      <c r="BT327" s="28">
        <f t="shared" ref="BT327:BW327" si="2870">if(U327&lt;0,U327+BT326,0)</f>
        <v>0</v>
      </c>
      <c r="BU327" s="28">
        <f t="shared" si="2870"/>
        <v>-16</v>
      </c>
      <c r="BV327" s="28">
        <f t="shared" si="2870"/>
        <v>-16</v>
      </c>
      <c r="BW327" s="28">
        <f t="shared" si="2870"/>
        <v>0</v>
      </c>
    </row>
    <row r="328">
      <c r="A328" s="53">
        <v>18.0</v>
      </c>
      <c r="B328" s="28">
        <f>'18_26-02-2022'!A8</f>
        <v>6</v>
      </c>
      <c r="C328" s="28">
        <f>'18_26-02-2022'!E8</f>
        <v>30</v>
      </c>
      <c r="D328" s="28">
        <f>'18_26-02-2022'!H8</f>
        <v>-26</v>
      </c>
      <c r="E328" s="28">
        <f>'18_26-02-2022'!F8</f>
        <v>-18</v>
      </c>
      <c r="F328" s="28">
        <f>'18_26-02-2022'!G8</f>
        <v>14</v>
      </c>
      <c r="G328" s="28">
        <f>'18_26-02-2022'!I8</f>
        <v>0</v>
      </c>
      <c r="H328" s="28" t="str">
        <f>'18_26-02-2022'!D8</f>
        <v>Peter</v>
      </c>
      <c r="J328" s="76" t="str">
        <f>'18_26-02-2022'!B8</f>
        <v>Peter</v>
      </c>
      <c r="K328" s="28" t="str">
        <f>'18_26-02-2022'!C8</f>
        <v>9 halve</v>
      </c>
      <c r="L328" s="56"/>
      <c r="M328" s="25">
        <v>9.0</v>
      </c>
      <c r="N328" s="25" t="s">
        <v>94</v>
      </c>
      <c r="T328" s="56"/>
      <c r="U328" s="77">
        <f t="shared" ref="U328:X328" si="2871">C328-C327</f>
        <v>12</v>
      </c>
      <c r="V328" s="28">
        <f t="shared" si="2871"/>
        <v>12</v>
      </c>
      <c r="W328" s="28">
        <f t="shared" si="2871"/>
        <v>-12</v>
      </c>
      <c r="X328" s="28">
        <f t="shared" si="2871"/>
        <v>-12</v>
      </c>
      <c r="AB328" s="28" t="str">
        <f t="shared" ref="AB328:AE328" si="2872">IF(AB$3=$H328,U328,"")</f>
        <v/>
      </c>
      <c r="AC328" s="28">
        <f t="shared" si="2872"/>
        <v>12</v>
      </c>
      <c r="AD328" s="28" t="str">
        <f t="shared" si="2872"/>
        <v/>
      </c>
      <c r="AE328" s="28" t="str">
        <f t="shared" si="2872"/>
        <v/>
      </c>
      <c r="AH328" s="28">
        <f t="shared" si="22"/>
        <v>12</v>
      </c>
      <c r="AI328" s="28">
        <f t="shared" si="23"/>
        <v>0</v>
      </c>
      <c r="AK328" s="78" t="str">
        <f t="shared" ref="AK328:AN328" si="2873">IF(U328&gt;0,AK$3,"")</f>
        <v>Thomas</v>
      </c>
      <c r="AL328" s="78" t="str">
        <f t="shared" si="2873"/>
        <v>Peter</v>
      </c>
      <c r="AM328" s="78" t="str">
        <f t="shared" si="2873"/>
        <v/>
      </c>
      <c r="AN328" s="78" t="str">
        <f t="shared" si="2873"/>
        <v/>
      </c>
      <c r="AO328" s="56">
        <f t="shared" si="25"/>
        <v>2</v>
      </c>
      <c r="AP328" s="8" t="str">
        <f t="shared" si="26"/>
        <v>Peter</v>
      </c>
      <c r="AQ328" s="73" t="str">
        <f>IFERROR(__xludf.DUMMYFUNCTION("IFNA(QUERY(transpose(AY328:BB328),""Select Col1 where Col1 is not null limit 1"",0))"),"Thomas")</f>
        <v>Thomas</v>
      </c>
      <c r="AR328" s="56"/>
      <c r="AS328" s="28" t="str">
        <f t="shared" ref="AS328:AV328" si="2874">IF(AK328=AS$3,"",AS$3)</f>
        <v/>
      </c>
      <c r="AT328" s="28" t="str">
        <f t="shared" si="2874"/>
        <v/>
      </c>
      <c r="AU328" s="28" t="str">
        <f t="shared" si="2874"/>
        <v>Janus</v>
      </c>
      <c r="AV328" s="28" t="str">
        <f t="shared" si="2874"/>
        <v>Christian</v>
      </c>
      <c r="AW328" s="56">
        <f t="shared" si="28"/>
        <v>2</v>
      </c>
      <c r="AX328" s="28">
        <f t="shared" si="29"/>
        <v>12</v>
      </c>
      <c r="AY328" s="28" t="str">
        <f t="shared" ref="AY328:BB328" si="2875">IFNA(IFS(AY$3=$AP328,"",$AX328=U328,AY$3),"")</f>
        <v>Thomas</v>
      </c>
      <c r="AZ328" s="28" t="str">
        <f t="shared" si="2875"/>
        <v/>
      </c>
      <c r="BA328" s="28" t="str">
        <f t="shared" si="2875"/>
        <v/>
      </c>
      <c r="BB328" s="28" t="str">
        <f t="shared" si="2875"/>
        <v/>
      </c>
      <c r="BC328" s="58">
        <f>OFFSET('00_Regnskab_01'!$A$1,MATCH(A328,'00_Regnskab_01'!$A$1:$A$25)-1,2)</f>
        <v>44618</v>
      </c>
      <c r="BE328" s="80">
        <f t="shared" ref="BE328:BH328" si="2876">if(U328&gt;0,1+BE327,0)</f>
        <v>2</v>
      </c>
      <c r="BF328" s="28">
        <f t="shared" si="2876"/>
        <v>1</v>
      </c>
      <c r="BG328" s="28">
        <f t="shared" si="2876"/>
        <v>0</v>
      </c>
      <c r="BH328" s="28">
        <f t="shared" si="2876"/>
        <v>0</v>
      </c>
      <c r="BJ328" s="28">
        <f t="shared" ref="BJ328:BM328" si="2877">if(U328&lt;0,1+BJ327,0)</f>
        <v>0</v>
      </c>
      <c r="BK328" s="28">
        <f t="shared" si="2877"/>
        <v>0</v>
      </c>
      <c r="BL328" s="28">
        <f t="shared" si="2877"/>
        <v>2</v>
      </c>
      <c r="BM328" s="28">
        <f t="shared" si="2877"/>
        <v>1</v>
      </c>
      <c r="BO328" s="74">
        <f t="shared" ref="BO328:BR328" si="2878">if(U328&gt;0,U328+BO327,0)</f>
        <v>28</v>
      </c>
      <c r="BP328" s="74">
        <f t="shared" si="2878"/>
        <v>12</v>
      </c>
      <c r="BQ328" s="74">
        <f t="shared" si="2878"/>
        <v>0</v>
      </c>
      <c r="BR328" s="74">
        <f t="shared" si="2878"/>
        <v>0</v>
      </c>
      <c r="BT328" s="28">
        <f t="shared" ref="BT328:BW328" si="2879">if(U328&lt;0,U328+BT327,0)</f>
        <v>0</v>
      </c>
      <c r="BU328" s="28">
        <f t="shared" si="2879"/>
        <v>0</v>
      </c>
      <c r="BV328" s="28">
        <f t="shared" si="2879"/>
        <v>-28</v>
      </c>
      <c r="BW328" s="28">
        <f t="shared" si="2879"/>
        <v>-12</v>
      </c>
    </row>
    <row r="329">
      <c r="A329" s="53">
        <v>18.0</v>
      </c>
      <c r="B329" s="28">
        <f>'18_26-02-2022'!A9</f>
        <v>7</v>
      </c>
      <c r="C329" s="28">
        <f>'18_26-02-2022'!E9</f>
        <v>62</v>
      </c>
      <c r="D329" s="28">
        <f>'18_26-02-2022'!H9</f>
        <v>6</v>
      </c>
      <c r="E329" s="28">
        <f>'18_26-02-2022'!F9</f>
        <v>-50</v>
      </c>
      <c r="F329" s="28">
        <f>'18_26-02-2022'!G9</f>
        <v>-18</v>
      </c>
      <c r="G329" s="28">
        <f>'18_26-02-2022'!I9</f>
        <v>0</v>
      </c>
      <c r="H329" s="28" t="str">
        <f>'18_26-02-2022'!D9</f>
        <v>Peter</v>
      </c>
      <c r="J329" s="76" t="str">
        <f>'18_26-02-2022'!B9</f>
        <v>Thomas</v>
      </c>
      <c r="K329" s="28" t="str">
        <f>'18_26-02-2022'!C9</f>
        <v>10 alm</v>
      </c>
      <c r="L329" s="56"/>
      <c r="M329" s="25">
        <v>10.0</v>
      </c>
      <c r="N329" s="25" t="s">
        <v>100</v>
      </c>
      <c r="T329" s="56"/>
      <c r="U329" s="77">
        <f t="shared" ref="U329:X329" si="2880">C329-C328</f>
        <v>32</v>
      </c>
      <c r="V329" s="28">
        <f t="shared" si="2880"/>
        <v>32</v>
      </c>
      <c r="W329" s="28">
        <f t="shared" si="2880"/>
        <v>-32</v>
      </c>
      <c r="X329" s="28">
        <f t="shared" si="2880"/>
        <v>-32</v>
      </c>
      <c r="AB329" s="28" t="str">
        <f t="shared" ref="AB329:AE329" si="2881">IF(AB$3=$H329,U329,"")</f>
        <v/>
      </c>
      <c r="AC329" s="28">
        <f t="shared" si="2881"/>
        <v>32</v>
      </c>
      <c r="AD329" s="28" t="str">
        <f t="shared" si="2881"/>
        <v/>
      </c>
      <c r="AE329" s="28" t="str">
        <f t="shared" si="2881"/>
        <v/>
      </c>
      <c r="AH329" s="28">
        <f t="shared" si="22"/>
        <v>32</v>
      </c>
      <c r="AI329" s="28">
        <f t="shared" si="23"/>
        <v>0</v>
      </c>
      <c r="AK329" s="78" t="str">
        <f t="shared" ref="AK329:AN329" si="2882">IF(U329&gt;0,AK$3,"")</f>
        <v>Thomas</v>
      </c>
      <c r="AL329" s="78" t="str">
        <f t="shared" si="2882"/>
        <v>Peter</v>
      </c>
      <c r="AM329" s="78" t="str">
        <f t="shared" si="2882"/>
        <v/>
      </c>
      <c r="AN329" s="78" t="str">
        <f t="shared" si="2882"/>
        <v/>
      </c>
      <c r="AO329" s="56">
        <f t="shared" si="25"/>
        <v>2</v>
      </c>
      <c r="AP329" s="8" t="str">
        <f t="shared" si="26"/>
        <v>Peter</v>
      </c>
      <c r="AQ329" s="73" t="str">
        <f>IFERROR(__xludf.DUMMYFUNCTION("IFNA(QUERY(transpose(AY329:BB329),""Select Col1 where Col1 is not null limit 1"",0))"),"Thomas")</f>
        <v>Thomas</v>
      </c>
      <c r="AR329" s="56"/>
      <c r="AS329" s="28" t="str">
        <f t="shared" ref="AS329:AV329" si="2883">IF(AK329=AS$3,"",AS$3)</f>
        <v/>
      </c>
      <c r="AT329" s="28" t="str">
        <f t="shared" si="2883"/>
        <v/>
      </c>
      <c r="AU329" s="28" t="str">
        <f t="shared" si="2883"/>
        <v>Janus</v>
      </c>
      <c r="AV329" s="28" t="str">
        <f t="shared" si="2883"/>
        <v>Christian</v>
      </c>
      <c r="AW329" s="56">
        <f t="shared" si="28"/>
        <v>2</v>
      </c>
      <c r="AX329" s="28">
        <f t="shared" si="29"/>
        <v>32</v>
      </c>
      <c r="AY329" s="28" t="str">
        <f t="shared" ref="AY329:BB329" si="2884">IFNA(IFS(AY$3=$AP329,"",$AX329=U329,AY$3),"")</f>
        <v>Thomas</v>
      </c>
      <c r="AZ329" s="28" t="str">
        <f t="shared" si="2884"/>
        <v/>
      </c>
      <c r="BA329" s="28" t="str">
        <f t="shared" si="2884"/>
        <v/>
      </c>
      <c r="BB329" s="28" t="str">
        <f t="shared" si="2884"/>
        <v/>
      </c>
      <c r="BC329" s="58">
        <f>OFFSET('00_Regnskab_01'!$A$1,MATCH(A329,'00_Regnskab_01'!$A$1:$A$25)-1,2)</f>
        <v>44618</v>
      </c>
      <c r="BE329" s="80">
        <f t="shared" ref="BE329:BH329" si="2885">if(U329&gt;0,1+BE328,0)</f>
        <v>3</v>
      </c>
      <c r="BF329" s="28">
        <f t="shared" si="2885"/>
        <v>2</v>
      </c>
      <c r="BG329" s="28">
        <f t="shared" si="2885"/>
        <v>0</v>
      </c>
      <c r="BH329" s="28">
        <f t="shared" si="2885"/>
        <v>0</v>
      </c>
      <c r="BJ329" s="28">
        <f t="shared" ref="BJ329:BM329" si="2886">if(U329&lt;0,1+BJ328,0)</f>
        <v>0</v>
      </c>
      <c r="BK329" s="28">
        <f t="shared" si="2886"/>
        <v>0</v>
      </c>
      <c r="BL329" s="28">
        <f t="shared" si="2886"/>
        <v>3</v>
      </c>
      <c r="BM329" s="28">
        <f t="shared" si="2886"/>
        <v>2</v>
      </c>
      <c r="BO329" s="74">
        <f t="shared" ref="BO329:BR329" si="2887">if(U329&gt;0,U329+BO328,0)</f>
        <v>60</v>
      </c>
      <c r="BP329" s="74">
        <f t="shared" si="2887"/>
        <v>44</v>
      </c>
      <c r="BQ329" s="74">
        <f t="shared" si="2887"/>
        <v>0</v>
      </c>
      <c r="BR329" s="74">
        <f t="shared" si="2887"/>
        <v>0</v>
      </c>
      <c r="BT329" s="28">
        <f t="shared" ref="BT329:BW329" si="2888">if(U329&lt;0,U329+BT328,0)</f>
        <v>0</v>
      </c>
      <c r="BU329" s="28">
        <f t="shared" si="2888"/>
        <v>0</v>
      </c>
      <c r="BV329" s="28">
        <f t="shared" si="2888"/>
        <v>-60</v>
      </c>
      <c r="BW329" s="28">
        <f t="shared" si="2888"/>
        <v>-44</v>
      </c>
    </row>
    <row r="330">
      <c r="A330" s="53">
        <v>18.0</v>
      </c>
      <c r="B330" s="28">
        <f>'18_26-02-2022'!A10</f>
        <v>8</v>
      </c>
      <c r="C330" s="28">
        <f>'18_26-02-2022'!E10</f>
        <v>206</v>
      </c>
      <c r="D330" s="28">
        <f>'18_26-02-2022'!H10</f>
        <v>-42</v>
      </c>
      <c r="E330" s="28">
        <f>'18_26-02-2022'!F10</f>
        <v>-98</v>
      </c>
      <c r="F330" s="28">
        <f>'18_26-02-2022'!G10</f>
        <v>-66</v>
      </c>
      <c r="G330" s="28">
        <f>'18_26-02-2022'!I10</f>
        <v>0</v>
      </c>
      <c r="H330" s="28" t="str">
        <f>'18_26-02-2022'!D10</f>
        <v>Thomas</v>
      </c>
      <c r="J330" s="76" t="str">
        <f>'18_26-02-2022'!B10</f>
        <v>Janus</v>
      </c>
      <c r="K330" s="28" t="str">
        <f>'18_26-02-2022'!C10</f>
        <v>10 Vip 2.</v>
      </c>
      <c r="L330" s="56"/>
      <c r="M330" s="25">
        <v>10.0</v>
      </c>
      <c r="N330" s="25" t="s">
        <v>86</v>
      </c>
      <c r="O330" s="25">
        <v>2.0</v>
      </c>
      <c r="T330" s="56"/>
      <c r="U330" s="77">
        <f t="shared" ref="U330:X330" si="2889">C330-C329</f>
        <v>144</v>
      </c>
      <c r="V330" s="28">
        <f t="shared" si="2889"/>
        <v>-48</v>
      </c>
      <c r="W330" s="28">
        <f t="shared" si="2889"/>
        <v>-48</v>
      </c>
      <c r="X330" s="28">
        <f t="shared" si="2889"/>
        <v>-48</v>
      </c>
      <c r="AB330" s="28">
        <f t="shared" ref="AB330:AE330" si="2890">IF(AB$3=$H330,U330,"")</f>
        <v>144</v>
      </c>
      <c r="AC330" s="28" t="str">
        <f t="shared" si="2890"/>
        <v/>
      </c>
      <c r="AD330" s="28" t="str">
        <f t="shared" si="2890"/>
        <v/>
      </c>
      <c r="AE330" s="28" t="str">
        <f t="shared" si="2890"/>
        <v/>
      </c>
      <c r="AH330" s="28">
        <f t="shared" si="22"/>
        <v>144</v>
      </c>
      <c r="AI330" s="28">
        <f t="shared" si="23"/>
        <v>0</v>
      </c>
      <c r="AK330" s="78" t="str">
        <f t="shared" ref="AK330:AN330" si="2891">IF(U330&gt;0,AK$3,"")</f>
        <v>Thomas</v>
      </c>
      <c r="AL330" s="78" t="str">
        <f t="shared" si="2891"/>
        <v/>
      </c>
      <c r="AM330" s="78" t="str">
        <f t="shared" si="2891"/>
        <v/>
      </c>
      <c r="AN330" s="78" t="str">
        <f t="shared" si="2891"/>
        <v/>
      </c>
      <c r="AO330" s="56">
        <f t="shared" si="25"/>
        <v>1</v>
      </c>
      <c r="AP330" s="8" t="str">
        <f t="shared" si="26"/>
        <v>Thomas</v>
      </c>
      <c r="AQ330" s="73" t="str">
        <f>IFERROR(__xludf.DUMMYFUNCTION("IFNA(QUERY(transpose(AY330:BB330),""Select Col1 where Col1 is not null limit 1"",0))"),"")</f>
        <v/>
      </c>
      <c r="AR330" s="56"/>
      <c r="AS330" s="28" t="str">
        <f t="shared" ref="AS330:AV330" si="2892">IF(AK330=AS$3,"",AS$3)</f>
        <v/>
      </c>
      <c r="AT330" s="28" t="str">
        <f t="shared" si="2892"/>
        <v>Peter</v>
      </c>
      <c r="AU330" s="28" t="str">
        <f t="shared" si="2892"/>
        <v>Janus</v>
      </c>
      <c r="AV330" s="28" t="str">
        <f t="shared" si="2892"/>
        <v>Christian</v>
      </c>
      <c r="AW330" s="56">
        <f t="shared" si="28"/>
        <v>3</v>
      </c>
      <c r="AX330" s="28">
        <f t="shared" si="29"/>
        <v>144</v>
      </c>
      <c r="AY330" s="28" t="str">
        <f t="shared" ref="AY330:BB330" si="2893">IFNA(IFS(AY$3=$AP330,"",$AX330=U330,AY$3),"")</f>
        <v/>
      </c>
      <c r="AZ330" s="28" t="str">
        <f t="shared" si="2893"/>
        <v/>
      </c>
      <c r="BA330" s="28" t="str">
        <f t="shared" si="2893"/>
        <v/>
      </c>
      <c r="BB330" s="28" t="str">
        <f t="shared" si="2893"/>
        <v/>
      </c>
      <c r="BC330" s="58">
        <f>OFFSET('00_Regnskab_01'!$A$1,MATCH(A330,'00_Regnskab_01'!$A$1:$A$25)-1,2)</f>
        <v>44618</v>
      </c>
      <c r="BE330" s="80">
        <f t="shared" ref="BE330:BH330" si="2894">if(U330&gt;0,1+BE329,0)</f>
        <v>4</v>
      </c>
      <c r="BF330" s="28">
        <f t="shared" si="2894"/>
        <v>0</v>
      </c>
      <c r="BG330" s="28">
        <f t="shared" si="2894"/>
        <v>0</v>
      </c>
      <c r="BH330" s="28">
        <f t="shared" si="2894"/>
        <v>0</v>
      </c>
      <c r="BJ330" s="28">
        <f t="shared" ref="BJ330:BM330" si="2895">if(U330&lt;0,1+BJ329,0)</f>
        <v>0</v>
      </c>
      <c r="BK330" s="28">
        <f t="shared" si="2895"/>
        <v>1</v>
      </c>
      <c r="BL330" s="28">
        <f t="shared" si="2895"/>
        <v>4</v>
      </c>
      <c r="BM330" s="28">
        <f t="shared" si="2895"/>
        <v>3</v>
      </c>
      <c r="BO330" s="74">
        <f t="shared" ref="BO330:BR330" si="2896">if(U330&gt;0,U330+BO329,0)</f>
        <v>204</v>
      </c>
      <c r="BP330" s="74">
        <f t="shared" si="2896"/>
        <v>0</v>
      </c>
      <c r="BQ330" s="74">
        <f t="shared" si="2896"/>
        <v>0</v>
      </c>
      <c r="BR330" s="74">
        <f t="shared" si="2896"/>
        <v>0</v>
      </c>
      <c r="BT330" s="28">
        <f t="shared" ref="BT330:BW330" si="2897">if(U330&lt;0,U330+BT329,0)</f>
        <v>0</v>
      </c>
      <c r="BU330" s="28">
        <f t="shared" si="2897"/>
        <v>-48</v>
      </c>
      <c r="BV330" s="28">
        <f t="shared" si="2897"/>
        <v>-108</v>
      </c>
      <c r="BW330" s="28">
        <f t="shared" si="2897"/>
        <v>-92</v>
      </c>
    </row>
    <row r="331">
      <c r="A331" s="53">
        <v>18.0</v>
      </c>
      <c r="B331" s="28">
        <f>'18_26-02-2022'!A11</f>
        <v>9</v>
      </c>
      <c r="C331" s="28">
        <f>'18_26-02-2022'!E11</f>
        <v>190</v>
      </c>
      <c r="D331" s="28">
        <f>'18_26-02-2022'!H11</f>
        <v>-26</v>
      </c>
      <c r="E331" s="28">
        <f>'18_26-02-2022'!F11</f>
        <v>-114</v>
      </c>
      <c r="F331" s="28">
        <f>'18_26-02-2022'!G11</f>
        <v>-50</v>
      </c>
      <c r="G331" s="28">
        <f>'18_26-02-2022'!I11</f>
        <v>0</v>
      </c>
      <c r="H331" s="28" t="str">
        <f>'18_26-02-2022'!D11</f>
        <v>Christian</v>
      </c>
      <c r="J331" s="76" t="str">
        <f>'18_26-02-2022'!B11</f>
        <v>Christian</v>
      </c>
      <c r="K331" s="28" t="str">
        <f>'18_26-02-2022'!C11</f>
        <v>9 halve </v>
      </c>
      <c r="L331" s="56"/>
      <c r="M331" s="25">
        <v>9.0</v>
      </c>
      <c r="N331" s="25" t="s">
        <v>94</v>
      </c>
      <c r="T331" s="56"/>
      <c r="U331" s="77">
        <f t="shared" ref="U331:X331" si="2898">C331-C330</f>
        <v>-16</v>
      </c>
      <c r="V331" s="28">
        <f t="shared" si="2898"/>
        <v>16</v>
      </c>
      <c r="W331" s="28">
        <f t="shared" si="2898"/>
        <v>-16</v>
      </c>
      <c r="X331" s="28">
        <f t="shared" si="2898"/>
        <v>16</v>
      </c>
      <c r="AB331" s="28" t="str">
        <f t="shared" ref="AB331:AE331" si="2899">IF(AB$3=$H331,U331,"")</f>
        <v/>
      </c>
      <c r="AC331" s="28" t="str">
        <f t="shared" si="2899"/>
        <v/>
      </c>
      <c r="AD331" s="28" t="str">
        <f t="shared" si="2899"/>
        <v/>
      </c>
      <c r="AE331" s="28">
        <f t="shared" si="2899"/>
        <v>16</v>
      </c>
      <c r="AH331" s="28">
        <f t="shared" si="22"/>
        <v>16</v>
      </c>
      <c r="AI331" s="28">
        <f t="shared" si="23"/>
        <v>0</v>
      </c>
      <c r="AK331" s="78" t="str">
        <f t="shared" ref="AK331:AN331" si="2900">IF(U331&gt;0,AK$3,"")</f>
        <v/>
      </c>
      <c r="AL331" s="78" t="str">
        <f t="shared" si="2900"/>
        <v>Peter</v>
      </c>
      <c r="AM331" s="78" t="str">
        <f t="shared" si="2900"/>
        <v/>
      </c>
      <c r="AN331" s="78" t="str">
        <f t="shared" si="2900"/>
        <v>Christian</v>
      </c>
      <c r="AO331" s="56">
        <f t="shared" si="25"/>
        <v>2</v>
      </c>
      <c r="AP331" s="8" t="str">
        <f t="shared" si="26"/>
        <v>Christian</v>
      </c>
      <c r="AQ331" s="73" t="str">
        <f>IFERROR(__xludf.DUMMYFUNCTION("IFNA(QUERY(transpose(AY331:BB331),""Select Col1 where Col1 is not null limit 1"",0))"),"Peter")</f>
        <v>Peter</v>
      </c>
      <c r="AR331" s="56"/>
      <c r="AS331" s="28" t="str">
        <f t="shared" ref="AS331:AV331" si="2901">IF(AK331=AS$3,"",AS$3)</f>
        <v>Thomas</v>
      </c>
      <c r="AT331" s="28" t="str">
        <f t="shared" si="2901"/>
        <v/>
      </c>
      <c r="AU331" s="28" t="str">
        <f t="shared" si="2901"/>
        <v>Janus</v>
      </c>
      <c r="AV331" s="28" t="str">
        <f t="shared" si="2901"/>
        <v/>
      </c>
      <c r="AW331" s="56">
        <f t="shared" si="28"/>
        <v>2</v>
      </c>
      <c r="AX331" s="28">
        <f t="shared" si="29"/>
        <v>16</v>
      </c>
      <c r="AY331" s="28" t="str">
        <f t="shared" ref="AY331:BB331" si="2902">IFNA(IFS(AY$3=$AP331,"",$AX331=U331,AY$3),"")</f>
        <v/>
      </c>
      <c r="AZ331" s="28" t="str">
        <f t="shared" si="2902"/>
        <v>Peter</v>
      </c>
      <c r="BA331" s="28" t="str">
        <f t="shared" si="2902"/>
        <v/>
      </c>
      <c r="BB331" s="28" t="str">
        <f t="shared" si="2902"/>
        <v/>
      </c>
      <c r="BC331" s="58">
        <f>OFFSET('00_Regnskab_01'!$A$1,MATCH(A331,'00_Regnskab_01'!$A$1:$A$25)-1,2)</f>
        <v>44618</v>
      </c>
      <c r="BE331" s="80">
        <f t="shared" ref="BE331:BH331" si="2903">if(U331&gt;0,1+BE330,0)</f>
        <v>0</v>
      </c>
      <c r="BF331" s="28">
        <f t="shared" si="2903"/>
        <v>1</v>
      </c>
      <c r="BG331" s="28">
        <f t="shared" si="2903"/>
        <v>0</v>
      </c>
      <c r="BH331" s="28">
        <f t="shared" si="2903"/>
        <v>1</v>
      </c>
      <c r="BJ331" s="28">
        <f t="shared" ref="BJ331:BM331" si="2904">if(U331&lt;0,1+BJ330,0)</f>
        <v>1</v>
      </c>
      <c r="BK331" s="28">
        <f t="shared" si="2904"/>
        <v>0</v>
      </c>
      <c r="BL331" s="28">
        <f t="shared" si="2904"/>
        <v>5</v>
      </c>
      <c r="BM331" s="28">
        <f t="shared" si="2904"/>
        <v>0</v>
      </c>
      <c r="BO331" s="74">
        <f t="shared" ref="BO331:BR331" si="2905">if(U331&gt;0,U331+BO330,0)</f>
        <v>0</v>
      </c>
      <c r="BP331" s="74">
        <f t="shared" si="2905"/>
        <v>16</v>
      </c>
      <c r="BQ331" s="74">
        <f t="shared" si="2905"/>
        <v>0</v>
      </c>
      <c r="BR331" s="74">
        <f t="shared" si="2905"/>
        <v>16</v>
      </c>
      <c r="BT331" s="28">
        <f t="shared" ref="BT331:BW331" si="2906">if(U331&lt;0,U331+BT330,0)</f>
        <v>-16</v>
      </c>
      <c r="BU331" s="28">
        <f t="shared" si="2906"/>
        <v>0</v>
      </c>
      <c r="BV331" s="28">
        <f t="shared" si="2906"/>
        <v>-124</v>
      </c>
      <c r="BW331" s="28">
        <f t="shared" si="2906"/>
        <v>0</v>
      </c>
    </row>
    <row r="332">
      <c r="A332" s="53">
        <v>18.0</v>
      </c>
      <c r="B332" s="28">
        <f>'18_26-02-2022'!A12</f>
        <v>10</v>
      </c>
      <c r="C332" s="28">
        <f>'18_26-02-2022'!E12</f>
        <v>202</v>
      </c>
      <c r="D332" s="28">
        <f>'18_26-02-2022'!H12</f>
        <v>-14</v>
      </c>
      <c r="E332" s="28">
        <f>'18_26-02-2022'!F12</f>
        <v>-126</v>
      </c>
      <c r="F332" s="28">
        <f>'18_26-02-2022'!G12</f>
        <v>-62</v>
      </c>
      <c r="G332" s="28">
        <f>'18_26-02-2022'!I12</f>
        <v>0</v>
      </c>
      <c r="H332" s="28" t="str">
        <f>'18_26-02-2022'!D12</f>
        <v>Thomas</v>
      </c>
      <c r="J332" s="76" t="str">
        <f>'18_26-02-2022'!B12</f>
        <v>Peter</v>
      </c>
      <c r="K332" s="28" t="str">
        <f>'18_26-02-2022'!C12</f>
        <v>10 alm</v>
      </c>
      <c r="L332" s="56"/>
      <c r="M332" s="25">
        <v>10.0</v>
      </c>
      <c r="N332" s="25" t="s">
        <v>100</v>
      </c>
      <c r="T332" s="56"/>
      <c r="U332" s="77">
        <f t="shared" ref="U332:X332" si="2907">C332-C331</f>
        <v>12</v>
      </c>
      <c r="V332" s="28">
        <f t="shared" si="2907"/>
        <v>12</v>
      </c>
      <c r="W332" s="28">
        <f t="shared" si="2907"/>
        <v>-12</v>
      </c>
      <c r="X332" s="28">
        <f t="shared" si="2907"/>
        <v>-12</v>
      </c>
      <c r="AB332" s="28">
        <f t="shared" ref="AB332:AE332" si="2908">IF(AB$3=$H332,U332,"")</f>
        <v>12</v>
      </c>
      <c r="AC332" s="28" t="str">
        <f t="shared" si="2908"/>
        <v/>
      </c>
      <c r="AD332" s="28" t="str">
        <f t="shared" si="2908"/>
        <v/>
      </c>
      <c r="AE332" s="28" t="str">
        <f t="shared" si="2908"/>
        <v/>
      </c>
      <c r="AH332" s="28">
        <f t="shared" si="22"/>
        <v>12</v>
      </c>
      <c r="AI332" s="28">
        <f t="shared" si="23"/>
        <v>0</v>
      </c>
      <c r="AK332" s="78" t="str">
        <f t="shared" ref="AK332:AN332" si="2909">IF(U332&gt;0,AK$3,"")</f>
        <v>Thomas</v>
      </c>
      <c r="AL332" s="78" t="str">
        <f t="shared" si="2909"/>
        <v>Peter</v>
      </c>
      <c r="AM332" s="78" t="str">
        <f t="shared" si="2909"/>
        <v/>
      </c>
      <c r="AN332" s="78" t="str">
        <f t="shared" si="2909"/>
        <v/>
      </c>
      <c r="AO332" s="56">
        <f t="shared" si="25"/>
        <v>2</v>
      </c>
      <c r="AP332" s="8" t="str">
        <f t="shared" si="26"/>
        <v>Thomas</v>
      </c>
      <c r="AQ332" s="73" t="str">
        <f>IFERROR(__xludf.DUMMYFUNCTION("IFNA(QUERY(transpose(AY332:BB332),""Select Col1 where Col1 is not null limit 1"",0))"),"Peter")</f>
        <v>Peter</v>
      </c>
      <c r="AR332" s="56"/>
      <c r="AS332" s="28" t="str">
        <f t="shared" ref="AS332:AV332" si="2910">IF(AK332=AS$3,"",AS$3)</f>
        <v/>
      </c>
      <c r="AT332" s="28" t="str">
        <f t="shared" si="2910"/>
        <v/>
      </c>
      <c r="AU332" s="28" t="str">
        <f t="shared" si="2910"/>
        <v>Janus</v>
      </c>
      <c r="AV332" s="28" t="str">
        <f t="shared" si="2910"/>
        <v>Christian</v>
      </c>
      <c r="AW332" s="56">
        <f t="shared" si="28"/>
        <v>2</v>
      </c>
      <c r="AX332" s="28">
        <f t="shared" si="29"/>
        <v>12</v>
      </c>
      <c r="AY332" s="28" t="str">
        <f t="shared" ref="AY332:BB332" si="2911">IFNA(IFS(AY$3=$AP332,"",$AX332=U332,AY$3),"")</f>
        <v/>
      </c>
      <c r="AZ332" s="28" t="str">
        <f t="shared" si="2911"/>
        <v>Peter</v>
      </c>
      <c r="BA332" s="28" t="str">
        <f t="shared" si="2911"/>
        <v/>
      </c>
      <c r="BB332" s="28" t="str">
        <f t="shared" si="2911"/>
        <v/>
      </c>
      <c r="BC332" s="58">
        <f>OFFSET('00_Regnskab_01'!$A$1,MATCH(A332,'00_Regnskab_01'!$A$1:$A$25)-1,2)</f>
        <v>44618</v>
      </c>
      <c r="BE332" s="80">
        <f t="shared" ref="BE332:BH332" si="2912">if(U332&gt;0,1+BE331,0)</f>
        <v>1</v>
      </c>
      <c r="BF332" s="28">
        <f t="shared" si="2912"/>
        <v>2</v>
      </c>
      <c r="BG332" s="28">
        <f t="shared" si="2912"/>
        <v>0</v>
      </c>
      <c r="BH332" s="28">
        <f t="shared" si="2912"/>
        <v>0</v>
      </c>
      <c r="BJ332" s="28">
        <f t="shared" ref="BJ332:BM332" si="2913">if(U332&lt;0,1+BJ331,0)</f>
        <v>0</v>
      </c>
      <c r="BK332" s="28">
        <f t="shared" si="2913"/>
        <v>0</v>
      </c>
      <c r="BL332" s="28">
        <f t="shared" si="2913"/>
        <v>6</v>
      </c>
      <c r="BM332" s="28">
        <f t="shared" si="2913"/>
        <v>1</v>
      </c>
      <c r="BO332" s="74">
        <f t="shared" ref="BO332:BR332" si="2914">if(U332&gt;0,U332+BO331,0)</f>
        <v>12</v>
      </c>
      <c r="BP332" s="74">
        <f t="shared" si="2914"/>
        <v>28</v>
      </c>
      <c r="BQ332" s="74">
        <f t="shared" si="2914"/>
        <v>0</v>
      </c>
      <c r="BR332" s="74">
        <f t="shared" si="2914"/>
        <v>0</v>
      </c>
      <c r="BT332" s="28">
        <f t="shared" ref="BT332:BW332" si="2915">if(U332&lt;0,U332+BT331,0)</f>
        <v>0</v>
      </c>
      <c r="BU332" s="28">
        <f t="shared" si="2915"/>
        <v>0</v>
      </c>
      <c r="BV332" s="28">
        <f t="shared" si="2915"/>
        <v>-136</v>
      </c>
      <c r="BW332" s="28">
        <f t="shared" si="2915"/>
        <v>-12</v>
      </c>
    </row>
    <row r="333">
      <c r="A333" s="53">
        <v>18.0</v>
      </c>
      <c r="B333" s="28">
        <f>'18_26-02-2022'!A13</f>
        <v>11</v>
      </c>
      <c r="C333" s="28">
        <f>'18_26-02-2022'!E13</f>
        <v>210</v>
      </c>
      <c r="D333" s="28">
        <f>'18_26-02-2022'!H13</f>
        <v>-6</v>
      </c>
      <c r="E333" s="28">
        <f>'18_26-02-2022'!F13</f>
        <v>-134</v>
      </c>
      <c r="F333" s="28">
        <f>'18_26-02-2022'!G13</f>
        <v>-70</v>
      </c>
      <c r="G333" s="28">
        <f>'18_26-02-2022'!I13</f>
        <v>0</v>
      </c>
      <c r="H333" s="28" t="str">
        <f>'18_26-02-2022'!D13</f>
        <v>Thomas</v>
      </c>
      <c r="J333" s="76" t="str">
        <f>'18_26-02-2022'!B13</f>
        <v>Thomas</v>
      </c>
      <c r="K333" s="28" t="str">
        <f>'18_26-02-2022'!C13</f>
        <v>9 vip 1</v>
      </c>
      <c r="L333" s="56"/>
      <c r="M333" s="25">
        <v>9.0</v>
      </c>
      <c r="N333" s="25" t="s">
        <v>86</v>
      </c>
      <c r="O333" s="25">
        <v>1.0</v>
      </c>
      <c r="T333" s="56"/>
      <c r="U333" s="77">
        <f t="shared" ref="U333:X333" si="2916">C333-C332</f>
        <v>8</v>
      </c>
      <c r="V333" s="28">
        <f t="shared" si="2916"/>
        <v>8</v>
      </c>
      <c r="W333" s="28">
        <f t="shared" si="2916"/>
        <v>-8</v>
      </c>
      <c r="X333" s="28">
        <f t="shared" si="2916"/>
        <v>-8</v>
      </c>
      <c r="AB333" s="28">
        <f t="shared" ref="AB333:AE333" si="2917">IF(AB$3=$H333,U333,"")</f>
        <v>8</v>
      </c>
      <c r="AC333" s="28" t="str">
        <f t="shared" si="2917"/>
        <v/>
      </c>
      <c r="AD333" s="28" t="str">
        <f t="shared" si="2917"/>
        <v/>
      </c>
      <c r="AE333" s="28" t="str">
        <f t="shared" si="2917"/>
        <v/>
      </c>
      <c r="AH333" s="28">
        <f t="shared" si="22"/>
        <v>8</v>
      </c>
      <c r="AI333" s="28">
        <f t="shared" si="23"/>
        <v>0</v>
      </c>
      <c r="AK333" s="78" t="str">
        <f t="shared" ref="AK333:AN333" si="2918">IF(U333&gt;0,AK$3,"")</f>
        <v>Thomas</v>
      </c>
      <c r="AL333" s="78" t="str">
        <f t="shared" si="2918"/>
        <v>Peter</v>
      </c>
      <c r="AM333" s="78" t="str">
        <f t="shared" si="2918"/>
        <v/>
      </c>
      <c r="AN333" s="78" t="str">
        <f t="shared" si="2918"/>
        <v/>
      </c>
      <c r="AO333" s="56">
        <f t="shared" si="25"/>
        <v>2</v>
      </c>
      <c r="AP333" s="8" t="str">
        <f t="shared" si="26"/>
        <v>Thomas</v>
      </c>
      <c r="AQ333" s="73" t="str">
        <f>IFERROR(__xludf.DUMMYFUNCTION("IFNA(QUERY(transpose(AY333:BB333),""Select Col1 where Col1 is not null limit 1"",0))"),"Peter")</f>
        <v>Peter</v>
      </c>
      <c r="AR333" s="56"/>
      <c r="AS333" s="28" t="str">
        <f t="shared" ref="AS333:AV333" si="2919">IF(AK333=AS$3,"",AS$3)</f>
        <v/>
      </c>
      <c r="AT333" s="28" t="str">
        <f t="shared" si="2919"/>
        <v/>
      </c>
      <c r="AU333" s="28" t="str">
        <f t="shared" si="2919"/>
        <v>Janus</v>
      </c>
      <c r="AV333" s="28" t="str">
        <f t="shared" si="2919"/>
        <v>Christian</v>
      </c>
      <c r="AW333" s="56">
        <f t="shared" si="28"/>
        <v>2</v>
      </c>
      <c r="AX333" s="28">
        <f t="shared" si="29"/>
        <v>8</v>
      </c>
      <c r="AY333" s="28" t="str">
        <f t="shared" ref="AY333:BB333" si="2920">IFNA(IFS(AY$3=$AP333,"",$AX333=U333,AY$3),"")</f>
        <v/>
      </c>
      <c r="AZ333" s="28" t="str">
        <f t="shared" si="2920"/>
        <v>Peter</v>
      </c>
      <c r="BA333" s="28" t="str">
        <f t="shared" si="2920"/>
        <v/>
      </c>
      <c r="BB333" s="28" t="str">
        <f t="shared" si="2920"/>
        <v/>
      </c>
      <c r="BC333" s="58">
        <f>OFFSET('00_Regnskab_01'!$A$1,MATCH(A333,'00_Regnskab_01'!$A$1:$A$25)-1,2)</f>
        <v>44618</v>
      </c>
      <c r="BE333" s="80">
        <f t="shared" ref="BE333:BH333" si="2921">if(U333&gt;0,1+BE332,0)</f>
        <v>2</v>
      </c>
      <c r="BF333" s="28">
        <f t="shared" si="2921"/>
        <v>3</v>
      </c>
      <c r="BG333" s="28">
        <f t="shared" si="2921"/>
        <v>0</v>
      </c>
      <c r="BH333" s="28">
        <f t="shared" si="2921"/>
        <v>0</v>
      </c>
      <c r="BJ333" s="28">
        <f t="shared" ref="BJ333:BM333" si="2922">if(U333&lt;0,1+BJ332,0)</f>
        <v>0</v>
      </c>
      <c r="BK333" s="28">
        <f t="shared" si="2922"/>
        <v>0</v>
      </c>
      <c r="BL333" s="28">
        <f t="shared" si="2922"/>
        <v>7</v>
      </c>
      <c r="BM333" s="28">
        <f t="shared" si="2922"/>
        <v>2</v>
      </c>
      <c r="BO333" s="74">
        <f t="shared" ref="BO333:BR333" si="2923">if(U333&gt;0,U333+BO332,0)</f>
        <v>20</v>
      </c>
      <c r="BP333" s="74">
        <f t="shared" si="2923"/>
        <v>36</v>
      </c>
      <c r="BQ333" s="74">
        <f t="shared" si="2923"/>
        <v>0</v>
      </c>
      <c r="BR333" s="74">
        <f t="shared" si="2923"/>
        <v>0</v>
      </c>
      <c r="BT333" s="28">
        <f t="shared" ref="BT333:BW333" si="2924">if(U333&lt;0,U333+BT332,0)</f>
        <v>0</v>
      </c>
      <c r="BU333" s="28">
        <f t="shared" si="2924"/>
        <v>0</v>
      </c>
      <c r="BV333" s="28">
        <f t="shared" si="2924"/>
        <v>-144</v>
      </c>
      <c r="BW333" s="28">
        <f t="shared" si="2924"/>
        <v>-20</v>
      </c>
    </row>
    <row r="334">
      <c r="A334" s="53">
        <v>18.0</v>
      </c>
      <c r="B334" s="28">
        <f>'18_26-02-2022'!A14</f>
        <v>12</v>
      </c>
      <c r="C334" s="28">
        <f>'18_26-02-2022'!E14</f>
        <v>194</v>
      </c>
      <c r="D334" s="28">
        <f>'18_26-02-2022'!H14</f>
        <v>10</v>
      </c>
      <c r="E334" s="28">
        <f>'18_26-02-2022'!F14</f>
        <v>-118</v>
      </c>
      <c r="F334" s="28">
        <f>'18_26-02-2022'!G14</f>
        <v>-86</v>
      </c>
      <c r="G334" s="28">
        <f>'18_26-02-2022'!I14</f>
        <v>0</v>
      </c>
      <c r="H334" s="28" t="str">
        <f>'18_26-02-2022'!D14</f>
        <v>Peter</v>
      </c>
      <c r="J334" s="76" t="str">
        <f>'18_26-02-2022'!B14</f>
        <v>Janus</v>
      </c>
      <c r="K334" s="28" t="str">
        <f>'18_26-02-2022'!C14</f>
        <v>9 sans</v>
      </c>
      <c r="L334" s="56"/>
      <c r="M334" s="25">
        <v>9.0</v>
      </c>
      <c r="N334" s="25" t="s">
        <v>98</v>
      </c>
      <c r="T334" s="56"/>
      <c r="U334" s="77">
        <f t="shared" ref="U334:X334" si="2925">C334-C333</f>
        <v>-16</v>
      </c>
      <c r="V334" s="28">
        <f t="shared" si="2925"/>
        <v>16</v>
      </c>
      <c r="W334" s="28">
        <f t="shared" si="2925"/>
        <v>16</v>
      </c>
      <c r="X334" s="28">
        <f t="shared" si="2925"/>
        <v>-16</v>
      </c>
      <c r="AB334" s="28" t="str">
        <f t="shared" ref="AB334:AE334" si="2926">IF(AB$3=$H334,U334,"")</f>
        <v/>
      </c>
      <c r="AC334" s="28">
        <f t="shared" si="2926"/>
        <v>16</v>
      </c>
      <c r="AD334" s="28" t="str">
        <f t="shared" si="2926"/>
        <v/>
      </c>
      <c r="AE334" s="28" t="str">
        <f t="shared" si="2926"/>
        <v/>
      </c>
      <c r="AH334" s="28">
        <f t="shared" si="22"/>
        <v>16</v>
      </c>
      <c r="AI334" s="28">
        <f t="shared" si="23"/>
        <v>0</v>
      </c>
      <c r="AK334" s="78" t="str">
        <f t="shared" ref="AK334:AN334" si="2927">IF(U334&gt;0,AK$3,"")</f>
        <v/>
      </c>
      <c r="AL334" s="78" t="str">
        <f t="shared" si="2927"/>
        <v>Peter</v>
      </c>
      <c r="AM334" s="78" t="str">
        <f t="shared" si="2927"/>
        <v>Janus</v>
      </c>
      <c r="AN334" s="78" t="str">
        <f t="shared" si="2927"/>
        <v/>
      </c>
      <c r="AO334" s="56">
        <f t="shared" si="25"/>
        <v>2</v>
      </c>
      <c r="AP334" s="8" t="str">
        <f t="shared" si="26"/>
        <v>Peter</v>
      </c>
      <c r="AQ334" s="73" t="str">
        <f>IFERROR(__xludf.DUMMYFUNCTION("IFNA(QUERY(transpose(AY334:BB334),""Select Col1 where Col1 is not null limit 1"",0))"),"Janus")</f>
        <v>Janus</v>
      </c>
      <c r="AR334" s="56"/>
      <c r="AS334" s="28" t="str">
        <f t="shared" ref="AS334:AV334" si="2928">IF(AK334=AS$3,"",AS$3)</f>
        <v>Thomas</v>
      </c>
      <c r="AT334" s="28" t="str">
        <f t="shared" si="2928"/>
        <v/>
      </c>
      <c r="AU334" s="28" t="str">
        <f t="shared" si="2928"/>
        <v/>
      </c>
      <c r="AV334" s="28" t="str">
        <f t="shared" si="2928"/>
        <v>Christian</v>
      </c>
      <c r="AW334" s="56">
        <f t="shared" si="28"/>
        <v>2</v>
      </c>
      <c r="AX334" s="28">
        <f t="shared" si="29"/>
        <v>16</v>
      </c>
      <c r="AY334" s="28" t="str">
        <f t="shared" ref="AY334:BB334" si="2929">IFNA(IFS(AY$3=$AP334,"",$AX334=U334,AY$3),"")</f>
        <v/>
      </c>
      <c r="AZ334" s="28" t="str">
        <f t="shared" si="2929"/>
        <v/>
      </c>
      <c r="BA334" s="28" t="str">
        <f t="shared" si="2929"/>
        <v>Janus</v>
      </c>
      <c r="BB334" s="28" t="str">
        <f t="shared" si="2929"/>
        <v/>
      </c>
      <c r="BC334" s="58">
        <f>OFFSET('00_Regnskab_01'!$A$1,MATCH(A334,'00_Regnskab_01'!$A$1:$A$25)-1,2)</f>
        <v>44618</v>
      </c>
      <c r="BE334" s="80">
        <f t="shared" ref="BE334:BH334" si="2930">if(U334&gt;0,1+BE333,0)</f>
        <v>0</v>
      </c>
      <c r="BF334" s="28">
        <f t="shared" si="2930"/>
        <v>4</v>
      </c>
      <c r="BG334" s="28">
        <f t="shared" si="2930"/>
        <v>1</v>
      </c>
      <c r="BH334" s="28">
        <f t="shared" si="2930"/>
        <v>0</v>
      </c>
      <c r="BJ334" s="28">
        <f t="shared" ref="BJ334:BM334" si="2931">if(U334&lt;0,1+BJ333,0)</f>
        <v>1</v>
      </c>
      <c r="BK334" s="28">
        <f t="shared" si="2931"/>
        <v>0</v>
      </c>
      <c r="BL334" s="28">
        <f t="shared" si="2931"/>
        <v>0</v>
      </c>
      <c r="BM334" s="28">
        <f t="shared" si="2931"/>
        <v>3</v>
      </c>
      <c r="BO334" s="74">
        <f t="shared" ref="BO334:BR334" si="2932">if(U334&gt;0,U334+BO333,0)</f>
        <v>0</v>
      </c>
      <c r="BP334" s="74">
        <f t="shared" si="2932"/>
        <v>52</v>
      </c>
      <c r="BQ334" s="74">
        <f t="shared" si="2932"/>
        <v>16</v>
      </c>
      <c r="BR334" s="74">
        <f t="shared" si="2932"/>
        <v>0</v>
      </c>
      <c r="BT334" s="28">
        <f t="shared" ref="BT334:BW334" si="2933">if(U334&lt;0,U334+BT333,0)</f>
        <v>-16</v>
      </c>
      <c r="BU334" s="28">
        <f t="shared" si="2933"/>
        <v>0</v>
      </c>
      <c r="BV334" s="28">
        <f t="shared" si="2933"/>
        <v>0</v>
      </c>
      <c r="BW334" s="28">
        <f t="shared" si="2933"/>
        <v>-36</v>
      </c>
    </row>
    <row r="335">
      <c r="A335" s="53">
        <v>18.0</v>
      </c>
      <c r="B335" s="28">
        <f>'18_26-02-2022'!A15</f>
        <v>13</v>
      </c>
      <c r="C335" s="28">
        <f>'18_26-02-2022'!E15</f>
        <v>206</v>
      </c>
      <c r="D335" s="28">
        <f>'18_26-02-2022'!H15</f>
        <v>-2</v>
      </c>
      <c r="E335" s="28">
        <f>'18_26-02-2022'!F15</f>
        <v>-106</v>
      </c>
      <c r="F335" s="28">
        <f>'18_26-02-2022'!G15</f>
        <v>-98</v>
      </c>
      <c r="G335" s="28">
        <f>'18_26-02-2022'!I15</f>
        <v>0</v>
      </c>
      <c r="H335" s="28" t="str">
        <f>'18_26-02-2022'!D15</f>
        <v>Thomas</v>
      </c>
      <c r="J335" s="76" t="str">
        <f>'18_26-02-2022'!B15</f>
        <v>Christian</v>
      </c>
      <c r="K335" s="28" t="str">
        <f>'18_26-02-2022'!C15</f>
        <v>8 vip 2.</v>
      </c>
      <c r="L335" s="56"/>
      <c r="M335" s="25">
        <v>8.0</v>
      </c>
      <c r="N335" s="25" t="s">
        <v>86</v>
      </c>
      <c r="O335" s="25">
        <v>2.0</v>
      </c>
      <c r="T335" s="56"/>
      <c r="U335" s="77">
        <f t="shared" ref="U335:X335" si="2934">C335-C334</f>
        <v>12</v>
      </c>
      <c r="V335" s="28">
        <f t="shared" si="2934"/>
        <v>-12</v>
      </c>
      <c r="W335" s="28">
        <f t="shared" si="2934"/>
        <v>12</v>
      </c>
      <c r="X335" s="28">
        <f t="shared" si="2934"/>
        <v>-12</v>
      </c>
      <c r="AB335" s="28">
        <f t="shared" ref="AB335:AE335" si="2935">IF(AB$3=$H335,U335,"")</f>
        <v>12</v>
      </c>
      <c r="AC335" s="28" t="str">
        <f t="shared" si="2935"/>
        <v/>
      </c>
      <c r="AD335" s="28" t="str">
        <f t="shared" si="2935"/>
        <v/>
      </c>
      <c r="AE335" s="28" t="str">
        <f t="shared" si="2935"/>
        <v/>
      </c>
      <c r="AH335" s="28">
        <f t="shared" si="22"/>
        <v>12</v>
      </c>
      <c r="AI335" s="28">
        <f t="shared" si="23"/>
        <v>0</v>
      </c>
      <c r="AK335" s="78" t="str">
        <f t="shared" ref="AK335:AN335" si="2936">IF(U335&gt;0,AK$3,"")</f>
        <v>Thomas</v>
      </c>
      <c r="AL335" s="78" t="str">
        <f t="shared" si="2936"/>
        <v/>
      </c>
      <c r="AM335" s="78" t="str">
        <f t="shared" si="2936"/>
        <v>Janus</v>
      </c>
      <c r="AN335" s="78" t="str">
        <f t="shared" si="2936"/>
        <v/>
      </c>
      <c r="AO335" s="56">
        <f t="shared" si="25"/>
        <v>2</v>
      </c>
      <c r="AP335" s="8" t="str">
        <f t="shared" si="26"/>
        <v>Thomas</v>
      </c>
      <c r="AQ335" s="73" t="str">
        <f>IFERROR(__xludf.DUMMYFUNCTION("IFNA(QUERY(transpose(AY335:BB335),""Select Col1 where Col1 is not null limit 1"",0))"),"Janus")</f>
        <v>Janus</v>
      </c>
      <c r="AR335" s="56"/>
      <c r="AS335" s="28" t="str">
        <f t="shared" ref="AS335:AV335" si="2937">IF(AK335=AS$3,"",AS$3)</f>
        <v/>
      </c>
      <c r="AT335" s="28" t="str">
        <f t="shared" si="2937"/>
        <v>Peter</v>
      </c>
      <c r="AU335" s="28" t="str">
        <f t="shared" si="2937"/>
        <v/>
      </c>
      <c r="AV335" s="28" t="str">
        <f t="shared" si="2937"/>
        <v>Christian</v>
      </c>
      <c r="AW335" s="56">
        <f t="shared" si="28"/>
        <v>2</v>
      </c>
      <c r="AX335" s="28">
        <f t="shared" si="29"/>
        <v>12</v>
      </c>
      <c r="AY335" s="28" t="str">
        <f t="shared" ref="AY335:BB335" si="2938">IFNA(IFS(AY$3=$AP335,"",$AX335=U335,AY$3),"")</f>
        <v/>
      </c>
      <c r="AZ335" s="28" t="str">
        <f t="shared" si="2938"/>
        <v/>
      </c>
      <c r="BA335" s="28" t="str">
        <f t="shared" si="2938"/>
        <v>Janus</v>
      </c>
      <c r="BB335" s="28" t="str">
        <f t="shared" si="2938"/>
        <v/>
      </c>
      <c r="BC335" s="58">
        <f>OFFSET('00_Regnskab_01'!$A$1,MATCH(A335,'00_Regnskab_01'!$A$1:$A$25)-1,2)</f>
        <v>44618</v>
      </c>
      <c r="BE335" s="80">
        <f t="shared" ref="BE335:BH335" si="2939">if(U335&gt;0,1+BE334,0)</f>
        <v>1</v>
      </c>
      <c r="BF335" s="28">
        <f t="shared" si="2939"/>
        <v>0</v>
      </c>
      <c r="BG335" s="28">
        <f t="shared" si="2939"/>
        <v>2</v>
      </c>
      <c r="BH335" s="28">
        <f t="shared" si="2939"/>
        <v>0</v>
      </c>
      <c r="BJ335" s="28">
        <f t="shared" ref="BJ335:BM335" si="2940">if(U335&lt;0,1+BJ334,0)</f>
        <v>0</v>
      </c>
      <c r="BK335" s="28">
        <f t="shared" si="2940"/>
        <v>1</v>
      </c>
      <c r="BL335" s="28">
        <f t="shared" si="2940"/>
        <v>0</v>
      </c>
      <c r="BM335" s="28">
        <f t="shared" si="2940"/>
        <v>4</v>
      </c>
      <c r="BO335" s="74">
        <f t="shared" ref="BO335:BR335" si="2941">if(U335&gt;0,U335+BO334,0)</f>
        <v>12</v>
      </c>
      <c r="BP335" s="74">
        <f t="shared" si="2941"/>
        <v>0</v>
      </c>
      <c r="BQ335" s="74">
        <f t="shared" si="2941"/>
        <v>28</v>
      </c>
      <c r="BR335" s="74">
        <f t="shared" si="2941"/>
        <v>0</v>
      </c>
      <c r="BT335" s="28">
        <f t="shared" ref="BT335:BW335" si="2942">if(U335&lt;0,U335+BT334,0)</f>
        <v>0</v>
      </c>
      <c r="BU335" s="28">
        <f t="shared" si="2942"/>
        <v>-12</v>
      </c>
      <c r="BV335" s="28">
        <f t="shared" si="2942"/>
        <v>0</v>
      </c>
      <c r="BW335" s="28">
        <f t="shared" si="2942"/>
        <v>-48</v>
      </c>
    </row>
    <row r="336">
      <c r="A336" s="53">
        <v>18.0</v>
      </c>
      <c r="B336" s="28">
        <f>'18_26-02-2022'!A16</f>
        <v>14</v>
      </c>
      <c r="C336" s="28">
        <f>'18_26-02-2022'!E16</f>
        <v>194</v>
      </c>
      <c r="D336" s="28">
        <f>'18_26-02-2022'!H16</f>
        <v>10</v>
      </c>
      <c r="E336" s="28">
        <f>'18_26-02-2022'!F16</f>
        <v>-94</v>
      </c>
      <c r="F336" s="28">
        <f>'18_26-02-2022'!G16</f>
        <v>-110</v>
      </c>
      <c r="G336" s="28">
        <f>'18_26-02-2022'!I16</f>
        <v>0</v>
      </c>
      <c r="H336" s="28" t="str">
        <f>'18_26-02-2022'!D16</f>
        <v>Thomas</v>
      </c>
      <c r="J336" s="76" t="str">
        <f>'18_26-02-2022'!B16</f>
        <v>Peter</v>
      </c>
      <c r="K336" s="28" t="str">
        <f>'18_26-02-2022'!C16</f>
        <v>9 halve</v>
      </c>
      <c r="L336" s="56"/>
      <c r="M336" s="25">
        <v>9.0</v>
      </c>
      <c r="N336" s="25" t="s">
        <v>94</v>
      </c>
      <c r="T336" s="56"/>
      <c r="U336" s="77">
        <f t="shared" ref="U336:X336" si="2943">C336-C335</f>
        <v>-12</v>
      </c>
      <c r="V336" s="28">
        <f t="shared" si="2943"/>
        <v>12</v>
      </c>
      <c r="W336" s="28">
        <f t="shared" si="2943"/>
        <v>12</v>
      </c>
      <c r="X336" s="28">
        <f t="shared" si="2943"/>
        <v>-12</v>
      </c>
      <c r="AB336" s="28">
        <f t="shared" ref="AB336:AE336" si="2944">IF(AB$3=$H336,U336,"")</f>
        <v>-12</v>
      </c>
      <c r="AC336" s="28" t="str">
        <f t="shared" si="2944"/>
        <v/>
      </c>
      <c r="AD336" s="28" t="str">
        <f t="shared" si="2944"/>
        <v/>
      </c>
      <c r="AE336" s="28" t="str">
        <f t="shared" si="2944"/>
        <v/>
      </c>
      <c r="AH336" s="28">
        <f t="shared" si="22"/>
        <v>0</v>
      </c>
      <c r="AI336" s="28">
        <f t="shared" si="23"/>
        <v>-12</v>
      </c>
      <c r="AK336" s="78" t="str">
        <f t="shared" ref="AK336:AN336" si="2945">IF(U336&gt;0,AK$3,"")</f>
        <v/>
      </c>
      <c r="AL336" s="78" t="str">
        <f t="shared" si="2945"/>
        <v>Peter</v>
      </c>
      <c r="AM336" s="78" t="str">
        <f t="shared" si="2945"/>
        <v>Janus</v>
      </c>
      <c r="AN336" s="78" t="str">
        <f t="shared" si="2945"/>
        <v/>
      </c>
      <c r="AO336" s="56">
        <f t="shared" si="25"/>
        <v>2</v>
      </c>
      <c r="AP336" s="8" t="str">
        <f t="shared" si="26"/>
        <v>Thomas</v>
      </c>
      <c r="AQ336" s="73" t="str">
        <f>IFERROR(__xludf.DUMMYFUNCTION("IFNA(QUERY(transpose(AY336:BB336),""Select Col1 where Col1 is not null limit 1"",0))"),"Christian")</f>
        <v>Christian</v>
      </c>
      <c r="AR336" s="56"/>
      <c r="AS336" s="28" t="str">
        <f t="shared" ref="AS336:AV336" si="2946">IF(AK336=AS$3,"",AS$3)</f>
        <v>Thomas</v>
      </c>
      <c r="AT336" s="28" t="str">
        <f t="shared" si="2946"/>
        <v/>
      </c>
      <c r="AU336" s="28" t="str">
        <f t="shared" si="2946"/>
        <v/>
      </c>
      <c r="AV336" s="28" t="str">
        <f t="shared" si="2946"/>
        <v>Christian</v>
      </c>
      <c r="AW336" s="56">
        <f t="shared" si="28"/>
        <v>2</v>
      </c>
      <c r="AX336" s="28">
        <f t="shared" si="29"/>
        <v>-12</v>
      </c>
      <c r="AY336" s="28" t="str">
        <f t="shared" ref="AY336:BB336" si="2947">IFNA(IFS(AY$3=$AP336,"",$AX336=U336,AY$3),"")</f>
        <v/>
      </c>
      <c r="AZ336" s="28" t="str">
        <f t="shared" si="2947"/>
        <v/>
      </c>
      <c r="BA336" s="28" t="str">
        <f t="shared" si="2947"/>
        <v/>
      </c>
      <c r="BB336" s="28" t="str">
        <f t="shared" si="2947"/>
        <v>Christian</v>
      </c>
      <c r="BC336" s="58">
        <f>OFFSET('00_Regnskab_01'!$A$1,MATCH(A336,'00_Regnskab_01'!$A$1:$A$25)-1,2)</f>
        <v>44618</v>
      </c>
      <c r="BE336" s="80">
        <f t="shared" ref="BE336:BH336" si="2948">if(U336&gt;0,1+BE335,0)</f>
        <v>0</v>
      </c>
      <c r="BF336" s="28">
        <f t="shared" si="2948"/>
        <v>1</v>
      </c>
      <c r="BG336" s="28">
        <f t="shared" si="2948"/>
        <v>3</v>
      </c>
      <c r="BH336" s="28">
        <f t="shared" si="2948"/>
        <v>0</v>
      </c>
      <c r="BJ336" s="28">
        <f t="shared" ref="BJ336:BM336" si="2949">if(U336&lt;0,1+BJ335,0)</f>
        <v>1</v>
      </c>
      <c r="BK336" s="28">
        <f t="shared" si="2949"/>
        <v>0</v>
      </c>
      <c r="BL336" s="28">
        <f t="shared" si="2949"/>
        <v>0</v>
      </c>
      <c r="BM336" s="28">
        <f t="shared" si="2949"/>
        <v>5</v>
      </c>
      <c r="BO336" s="74">
        <f t="shared" ref="BO336:BR336" si="2950">if(U336&gt;0,U336+BO335,0)</f>
        <v>0</v>
      </c>
      <c r="BP336" s="74">
        <f t="shared" si="2950"/>
        <v>12</v>
      </c>
      <c r="BQ336" s="74">
        <f t="shared" si="2950"/>
        <v>40</v>
      </c>
      <c r="BR336" s="74">
        <f t="shared" si="2950"/>
        <v>0</v>
      </c>
      <c r="BT336" s="28">
        <f t="shared" ref="BT336:BW336" si="2951">if(U336&lt;0,U336+BT335,0)</f>
        <v>-12</v>
      </c>
      <c r="BU336" s="28">
        <f t="shared" si="2951"/>
        <v>0</v>
      </c>
      <c r="BV336" s="28">
        <f t="shared" si="2951"/>
        <v>0</v>
      </c>
      <c r="BW336" s="28">
        <f t="shared" si="2951"/>
        <v>-60</v>
      </c>
    </row>
    <row r="337">
      <c r="A337" s="53">
        <v>18.0</v>
      </c>
      <c r="B337" s="28">
        <f>'18_26-02-2022'!A17</f>
        <v>15</v>
      </c>
      <c r="C337" s="28">
        <f>'18_26-02-2022'!E17</f>
        <v>218</v>
      </c>
      <c r="D337" s="28">
        <f>'18_26-02-2022'!H17</f>
        <v>-14</v>
      </c>
      <c r="E337" s="28">
        <f>'18_26-02-2022'!F17</f>
        <v>-118</v>
      </c>
      <c r="F337" s="28">
        <f>'18_26-02-2022'!G17</f>
        <v>-86</v>
      </c>
      <c r="G337" s="28">
        <f>'18_26-02-2022'!I17</f>
        <v>0</v>
      </c>
      <c r="H337" s="28" t="str">
        <f>'18_26-02-2022'!D17</f>
        <v>Thomas</v>
      </c>
      <c r="J337" s="76" t="str">
        <f>'18_26-02-2022'!B17</f>
        <v>Thomas</v>
      </c>
      <c r="K337" s="28" t="str">
        <f>'18_26-02-2022'!C17</f>
        <v>9 vip i 2</v>
      </c>
      <c r="L337" s="56"/>
      <c r="M337" s="25">
        <v>9.0</v>
      </c>
      <c r="N337" s="25" t="s">
        <v>86</v>
      </c>
      <c r="O337" s="25">
        <v>2.0</v>
      </c>
      <c r="T337" s="56"/>
      <c r="U337" s="77">
        <f t="shared" ref="U337:X337" si="2952">C337-C336</f>
        <v>24</v>
      </c>
      <c r="V337" s="28">
        <f t="shared" si="2952"/>
        <v>-24</v>
      </c>
      <c r="W337" s="28">
        <f t="shared" si="2952"/>
        <v>-24</v>
      </c>
      <c r="X337" s="28">
        <f t="shared" si="2952"/>
        <v>24</v>
      </c>
      <c r="AB337" s="28">
        <f t="shared" ref="AB337:AE337" si="2953">IF(AB$3=$H337,U337,"")</f>
        <v>24</v>
      </c>
      <c r="AC337" s="28" t="str">
        <f t="shared" si="2953"/>
        <v/>
      </c>
      <c r="AD337" s="28" t="str">
        <f t="shared" si="2953"/>
        <v/>
      </c>
      <c r="AE337" s="28" t="str">
        <f t="shared" si="2953"/>
        <v/>
      </c>
      <c r="AH337" s="28">
        <f t="shared" si="22"/>
        <v>24</v>
      </c>
      <c r="AI337" s="28">
        <f t="shared" si="23"/>
        <v>0</v>
      </c>
      <c r="AK337" s="78" t="str">
        <f t="shared" ref="AK337:AN337" si="2954">IF(U337&gt;0,AK$3,"")</f>
        <v>Thomas</v>
      </c>
      <c r="AL337" s="78" t="str">
        <f t="shared" si="2954"/>
        <v/>
      </c>
      <c r="AM337" s="78" t="str">
        <f t="shared" si="2954"/>
        <v/>
      </c>
      <c r="AN337" s="78" t="str">
        <f t="shared" si="2954"/>
        <v>Christian</v>
      </c>
      <c r="AO337" s="56">
        <f t="shared" si="25"/>
        <v>2</v>
      </c>
      <c r="AP337" s="8" t="str">
        <f t="shared" si="26"/>
        <v>Thomas</v>
      </c>
      <c r="AQ337" s="73" t="str">
        <f>IFERROR(__xludf.DUMMYFUNCTION("IFNA(QUERY(transpose(AY337:BB337),""Select Col1 where Col1 is not null limit 1"",0))"),"Christian")</f>
        <v>Christian</v>
      </c>
      <c r="AR337" s="56"/>
      <c r="AS337" s="28" t="str">
        <f t="shared" ref="AS337:AV337" si="2955">IF(AK337=AS$3,"",AS$3)</f>
        <v/>
      </c>
      <c r="AT337" s="28" t="str">
        <f t="shared" si="2955"/>
        <v>Peter</v>
      </c>
      <c r="AU337" s="28" t="str">
        <f t="shared" si="2955"/>
        <v>Janus</v>
      </c>
      <c r="AV337" s="28" t="str">
        <f t="shared" si="2955"/>
        <v/>
      </c>
      <c r="AW337" s="56">
        <f t="shared" si="28"/>
        <v>2</v>
      </c>
      <c r="AX337" s="28">
        <f t="shared" si="29"/>
        <v>24</v>
      </c>
      <c r="AY337" s="28" t="str">
        <f t="shared" ref="AY337:BB337" si="2956">IFNA(IFS(AY$3=$AP337,"",$AX337=U337,AY$3),"")</f>
        <v/>
      </c>
      <c r="AZ337" s="28" t="str">
        <f t="shared" si="2956"/>
        <v/>
      </c>
      <c r="BA337" s="28" t="str">
        <f t="shared" si="2956"/>
        <v/>
      </c>
      <c r="BB337" s="28" t="str">
        <f t="shared" si="2956"/>
        <v>Christian</v>
      </c>
      <c r="BC337" s="58">
        <f>OFFSET('00_Regnskab_01'!$A$1,MATCH(A337,'00_Regnskab_01'!$A$1:$A$25)-1,2)</f>
        <v>44618</v>
      </c>
      <c r="BE337" s="80">
        <f t="shared" ref="BE337:BH337" si="2957">if(U337&gt;0,1+BE336,0)</f>
        <v>1</v>
      </c>
      <c r="BF337" s="28">
        <f t="shared" si="2957"/>
        <v>0</v>
      </c>
      <c r="BG337" s="28">
        <f t="shared" si="2957"/>
        <v>0</v>
      </c>
      <c r="BH337" s="28">
        <f t="shared" si="2957"/>
        <v>1</v>
      </c>
      <c r="BJ337" s="28">
        <f t="shared" ref="BJ337:BM337" si="2958">if(U337&lt;0,1+BJ336,0)</f>
        <v>0</v>
      </c>
      <c r="BK337" s="28">
        <f t="shared" si="2958"/>
        <v>1</v>
      </c>
      <c r="BL337" s="28">
        <f t="shared" si="2958"/>
        <v>1</v>
      </c>
      <c r="BM337" s="28">
        <f t="shared" si="2958"/>
        <v>0</v>
      </c>
      <c r="BO337" s="74">
        <f t="shared" ref="BO337:BR337" si="2959">if(U337&gt;0,U337+BO336,0)</f>
        <v>24</v>
      </c>
      <c r="BP337" s="74">
        <f t="shared" si="2959"/>
        <v>0</v>
      </c>
      <c r="BQ337" s="74">
        <f t="shared" si="2959"/>
        <v>0</v>
      </c>
      <c r="BR337" s="74">
        <f t="shared" si="2959"/>
        <v>24</v>
      </c>
      <c r="BT337" s="28">
        <f t="shared" ref="BT337:BW337" si="2960">if(U337&lt;0,U337+BT336,0)</f>
        <v>0</v>
      </c>
      <c r="BU337" s="28">
        <f t="shared" si="2960"/>
        <v>-24</v>
      </c>
      <c r="BV337" s="28">
        <f t="shared" si="2960"/>
        <v>-24</v>
      </c>
      <c r="BW337" s="28">
        <f t="shared" si="2960"/>
        <v>0</v>
      </c>
    </row>
    <row r="338">
      <c r="A338" s="53">
        <v>18.0</v>
      </c>
      <c r="B338" s="28">
        <f>'18_26-02-2022'!A18</f>
        <v>16</v>
      </c>
      <c r="C338" s="28">
        <f>'18_26-02-2022'!E18</f>
        <v>226</v>
      </c>
      <c r="D338" s="28">
        <f>'18_26-02-2022'!H18</f>
        <v>-6</v>
      </c>
      <c r="E338" s="28">
        <f>'18_26-02-2022'!F18</f>
        <v>-142</v>
      </c>
      <c r="F338" s="28">
        <f>'18_26-02-2022'!G18</f>
        <v>-78</v>
      </c>
      <c r="G338" s="28">
        <f>'18_26-02-2022'!I18</f>
        <v>0</v>
      </c>
      <c r="H338" s="28" t="str">
        <f>'18_26-02-2022'!D18</f>
        <v>Janus</v>
      </c>
      <c r="J338" s="76" t="str">
        <f>'18_26-02-2022'!B18</f>
        <v>Janus</v>
      </c>
      <c r="K338" s="28" t="str">
        <f>'18_26-02-2022'!C18</f>
        <v>Ren Sol</v>
      </c>
      <c r="L338" s="56"/>
      <c r="N338" s="25" t="s">
        <v>97</v>
      </c>
      <c r="T338" s="56"/>
      <c r="U338" s="77">
        <f t="shared" ref="U338:X338" si="2961">C338-C337</f>
        <v>8</v>
      </c>
      <c r="V338" s="28">
        <f t="shared" si="2961"/>
        <v>8</v>
      </c>
      <c r="W338" s="28">
        <f t="shared" si="2961"/>
        <v>-24</v>
      </c>
      <c r="X338" s="28">
        <f t="shared" si="2961"/>
        <v>8</v>
      </c>
      <c r="AB338" s="28" t="str">
        <f t="shared" ref="AB338:AE338" si="2962">IF(AB$3=$H338,U338,"")</f>
        <v/>
      </c>
      <c r="AC338" s="28" t="str">
        <f t="shared" si="2962"/>
        <v/>
      </c>
      <c r="AD338" s="28">
        <f t="shared" si="2962"/>
        <v>-24</v>
      </c>
      <c r="AE338" s="28" t="str">
        <f t="shared" si="2962"/>
        <v/>
      </c>
      <c r="AH338" s="28">
        <f t="shared" si="22"/>
        <v>0</v>
      </c>
      <c r="AI338" s="28">
        <f t="shared" si="23"/>
        <v>-24</v>
      </c>
      <c r="AK338" s="78" t="str">
        <f t="shared" ref="AK338:AN338" si="2963">IF(U338&gt;0,AK$3,"")</f>
        <v>Thomas</v>
      </c>
      <c r="AL338" s="78" t="str">
        <f t="shared" si="2963"/>
        <v>Peter</v>
      </c>
      <c r="AM338" s="78" t="str">
        <f t="shared" si="2963"/>
        <v/>
      </c>
      <c r="AN338" s="78" t="str">
        <f t="shared" si="2963"/>
        <v>Christian</v>
      </c>
      <c r="AO338" s="56">
        <f t="shared" si="25"/>
        <v>3</v>
      </c>
      <c r="AP338" s="8" t="str">
        <f t="shared" si="26"/>
        <v>Janus</v>
      </c>
      <c r="AQ338" s="73" t="str">
        <f>IFERROR(__xludf.DUMMYFUNCTION("IFNA(QUERY(transpose(AY338:BB338),""Select Col1 where Col1 is not null limit 1"",0))"),"")</f>
        <v/>
      </c>
      <c r="AR338" s="56"/>
      <c r="AS338" s="28" t="str">
        <f t="shared" ref="AS338:AV338" si="2964">IF(AK338=AS$3,"",AS$3)</f>
        <v/>
      </c>
      <c r="AT338" s="28" t="str">
        <f t="shared" si="2964"/>
        <v/>
      </c>
      <c r="AU338" s="28" t="str">
        <f t="shared" si="2964"/>
        <v>Janus</v>
      </c>
      <c r="AV338" s="28" t="str">
        <f t="shared" si="2964"/>
        <v/>
      </c>
      <c r="AW338" s="56">
        <f t="shared" si="28"/>
        <v>1</v>
      </c>
      <c r="AX338" s="28">
        <f t="shared" si="29"/>
        <v>-24</v>
      </c>
      <c r="AY338" s="28" t="str">
        <f t="shared" ref="AY338:BB338" si="2965">IFNA(IFS(AY$3=$AP338,"",$AX338=U338,AY$3),"")</f>
        <v/>
      </c>
      <c r="AZ338" s="28" t="str">
        <f t="shared" si="2965"/>
        <v/>
      </c>
      <c r="BA338" s="28" t="str">
        <f t="shared" si="2965"/>
        <v/>
      </c>
      <c r="BB338" s="28" t="str">
        <f t="shared" si="2965"/>
        <v/>
      </c>
      <c r="BC338" s="58">
        <f>OFFSET('00_Regnskab_01'!$A$1,MATCH(A338,'00_Regnskab_01'!$A$1:$A$25)-1,2)</f>
        <v>44618</v>
      </c>
      <c r="BE338" s="80">
        <f t="shared" ref="BE338:BH338" si="2966">if(U338&gt;0,1+BE337,0)</f>
        <v>2</v>
      </c>
      <c r="BF338" s="28">
        <f t="shared" si="2966"/>
        <v>1</v>
      </c>
      <c r="BG338" s="28">
        <f t="shared" si="2966"/>
        <v>0</v>
      </c>
      <c r="BH338" s="28">
        <f t="shared" si="2966"/>
        <v>2</v>
      </c>
      <c r="BJ338" s="28">
        <f t="shared" ref="BJ338:BM338" si="2967">if(U338&lt;0,1+BJ337,0)</f>
        <v>0</v>
      </c>
      <c r="BK338" s="28">
        <f t="shared" si="2967"/>
        <v>0</v>
      </c>
      <c r="BL338" s="28">
        <f t="shared" si="2967"/>
        <v>2</v>
      </c>
      <c r="BM338" s="28">
        <f t="shared" si="2967"/>
        <v>0</v>
      </c>
      <c r="BO338" s="74">
        <f t="shared" ref="BO338:BR338" si="2968">if(U338&gt;0,U338+BO337,0)</f>
        <v>32</v>
      </c>
      <c r="BP338" s="74">
        <f t="shared" si="2968"/>
        <v>8</v>
      </c>
      <c r="BQ338" s="74">
        <f t="shared" si="2968"/>
        <v>0</v>
      </c>
      <c r="BR338" s="74">
        <f t="shared" si="2968"/>
        <v>32</v>
      </c>
      <c r="BT338" s="28">
        <f t="shared" ref="BT338:BW338" si="2969">if(U338&lt;0,U338+BT337,0)</f>
        <v>0</v>
      </c>
      <c r="BU338" s="28">
        <f t="shared" si="2969"/>
        <v>0</v>
      </c>
      <c r="BV338" s="28">
        <f t="shared" si="2969"/>
        <v>-48</v>
      </c>
      <c r="BW338" s="28">
        <f t="shared" si="2969"/>
        <v>0</v>
      </c>
    </row>
    <row r="339">
      <c r="A339" s="53">
        <v>18.0</v>
      </c>
      <c r="B339" s="28">
        <f>'18_26-02-2022'!A19</f>
        <v>17</v>
      </c>
      <c r="C339" s="28">
        <f>'18_26-02-2022'!E19</f>
        <v>238</v>
      </c>
      <c r="D339" s="28">
        <f>'18_26-02-2022'!H19</f>
        <v>-10</v>
      </c>
      <c r="E339" s="28">
        <f>'18_26-02-2022'!F19</f>
        <v>-146</v>
      </c>
      <c r="F339" s="28">
        <f>'18_26-02-2022'!G19</f>
        <v>-82</v>
      </c>
      <c r="G339" s="28">
        <f>'18_26-02-2022'!I19</f>
        <v>0</v>
      </c>
      <c r="H339" s="28" t="str">
        <f>'18_26-02-2022'!D19</f>
        <v>Thomas</v>
      </c>
      <c r="J339" s="76" t="str">
        <f>'18_26-02-2022'!B19</f>
        <v>Christian</v>
      </c>
      <c r="K339" s="28" t="str">
        <f>'18_26-02-2022'!C19</f>
        <v>Sol</v>
      </c>
      <c r="L339" s="56"/>
      <c r="N339" s="25" t="s">
        <v>99</v>
      </c>
      <c r="T339" s="56"/>
      <c r="U339" s="77">
        <f t="shared" ref="U339:X339" si="2970">C339-C338</f>
        <v>12</v>
      </c>
      <c r="V339" s="28">
        <f t="shared" si="2970"/>
        <v>-4</v>
      </c>
      <c r="W339" s="28">
        <f t="shared" si="2970"/>
        <v>-4</v>
      </c>
      <c r="X339" s="28">
        <f t="shared" si="2970"/>
        <v>-4</v>
      </c>
      <c r="AB339" s="28">
        <f t="shared" ref="AB339:AE339" si="2971">IF(AB$3=$H339,U339,"")</f>
        <v>12</v>
      </c>
      <c r="AC339" s="28" t="str">
        <f t="shared" si="2971"/>
        <v/>
      </c>
      <c r="AD339" s="28" t="str">
        <f t="shared" si="2971"/>
        <v/>
      </c>
      <c r="AE339" s="28" t="str">
        <f t="shared" si="2971"/>
        <v/>
      </c>
      <c r="AH339" s="28">
        <f t="shared" si="22"/>
        <v>12</v>
      </c>
      <c r="AI339" s="28">
        <f t="shared" si="23"/>
        <v>0</v>
      </c>
      <c r="AK339" s="78" t="str">
        <f t="shared" ref="AK339:AN339" si="2972">IF(U339&gt;0,AK$3,"")</f>
        <v>Thomas</v>
      </c>
      <c r="AL339" s="78" t="str">
        <f t="shared" si="2972"/>
        <v/>
      </c>
      <c r="AM339" s="78" t="str">
        <f t="shared" si="2972"/>
        <v/>
      </c>
      <c r="AN339" s="78" t="str">
        <f t="shared" si="2972"/>
        <v/>
      </c>
      <c r="AO339" s="56">
        <f t="shared" si="25"/>
        <v>1</v>
      </c>
      <c r="AP339" s="8" t="str">
        <f t="shared" si="26"/>
        <v>Thomas</v>
      </c>
      <c r="AQ339" s="73" t="str">
        <f>IFERROR(__xludf.DUMMYFUNCTION("IFNA(QUERY(transpose(AY339:BB339),""Select Col1 where Col1 is not null limit 1"",0))"),"")</f>
        <v/>
      </c>
      <c r="AR339" s="56"/>
      <c r="AS339" s="28" t="str">
        <f t="shared" ref="AS339:AV339" si="2973">IF(AK339=AS$3,"",AS$3)</f>
        <v/>
      </c>
      <c r="AT339" s="28" t="str">
        <f t="shared" si="2973"/>
        <v>Peter</v>
      </c>
      <c r="AU339" s="28" t="str">
        <f t="shared" si="2973"/>
        <v>Janus</v>
      </c>
      <c r="AV339" s="28" t="str">
        <f t="shared" si="2973"/>
        <v>Christian</v>
      </c>
      <c r="AW339" s="56">
        <f t="shared" si="28"/>
        <v>3</v>
      </c>
      <c r="AX339" s="28">
        <f t="shared" si="29"/>
        <v>12</v>
      </c>
      <c r="AY339" s="28" t="str">
        <f t="shared" ref="AY339:BB339" si="2974">IFNA(IFS(AY$3=$AP339,"",$AX339=U339,AY$3),"")</f>
        <v/>
      </c>
      <c r="AZ339" s="28" t="str">
        <f t="shared" si="2974"/>
        <v/>
      </c>
      <c r="BA339" s="28" t="str">
        <f t="shared" si="2974"/>
        <v/>
      </c>
      <c r="BB339" s="28" t="str">
        <f t="shared" si="2974"/>
        <v/>
      </c>
      <c r="BC339" s="58">
        <f>OFFSET('00_Regnskab_01'!$A$1,MATCH(A339,'00_Regnskab_01'!$A$1:$A$25)-1,2)</f>
        <v>44618</v>
      </c>
      <c r="BE339" s="80">
        <f t="shared" ref="BE339:BH339" si="2975">if(U339&gt;0,1+BE338,0)</f>
        <v>3</v>
      </c>
      <c r="BF339" s="28">
        <f t="shared" si="2975"/>
        <v>0</v>
      </c>
      <c r="BG339" s="28">
        <f t="shared" si="2975"/>
        <v>0</v>
      </c>
      <c r="BH339" s="28">
        <f t="shared" si="2975"/>
        <v>0</v>
      </c>
      <c r="BJ339" s="28">
        <f t="shared" ref="BJ339:BM339" si="2976">if(U339&lt;0,1+BJ338,0)</f>
        <v>0</v>
      </c>
      <c r="BK339" s="28">
        <f t="shared" si="2976"/>
        <v>1</v>
      </c>
      <c r="BL339" s="28">
        <f t="shared" si="2976"/>
        <v>3</v>
      </c>
      <c r="BM339" s="28">
        <f t="shared" si="2976"/>
        <v>1</v>
      </c>
      <c r="BO339" s="74">
        <f t="shared" ref="BO339:BR339" si="2977">if(U339&gt;0,U339+BO338,0)</f>
        <v>44</v>
      </c>
      <c r="BP339" s="74">
        <f t="shared" si="2977"/>
        <v>0</v>
      </c>
      <c r="BQ339" s="74">
        <f t="shared" si="2977"/>
        <v>0</v>
      </c>
      <c r="BR339" s="74">
        <f t="shared" si="2977"/>
        <v>0</v>
      </c>
      <c r="BT339" s="28">
        <f t="shared" ref="BT339:BW339" si="2978">if(U339&lt;0,U339+BT338,0)</f>
        <v>0</v>
      </c>
      <c r="BU339" s="28">
        <f t="shared" si="2978"/>
        <v>-4</v>
      </c>
      <c r="BV339" s="28">
        <f t="shared" si="2978"/>
        <v>-52</v>
      </c>
      <c r="BW339" s="28">
        <f t="shared" si="2978"/>
        <v>-4</v>
      </c>
    </row>
    <row r="340">
      <c r="A340" s="53">
        <v>18.0</v>
      </c>
      <c r="B340" s="28">
        <f>'18_26-02-2022'!A20</f>
        <v>18</v>
      </c>
      <c r="C340" s="28">
        <f>'18_26-02-2022'!E20</f>
        <v>286</v>
      </c>
      <c r="D340" s="28">
        <f>'18_26-02-2022'!H20</f>
        <v>38</v>
      </c>
      <c r="E340" s="28">
        <f>'18_26-02-2022'!F20</f>
        <v>-194</v>
      </c>
      <c r="F340" s="28">
        <f>'18_26-02-2022'!G20</f>
        <v>-130</v>
      </c>
      <c r="G340" s="28">
        <f>'18_26-02-2022'!I20</f>
        <v>0</v>
      </c>
      <c r="H340" s="28" t="str">
        <f>'18_26-02-2022'!D20</f>
        <v>Thomas</v>
      </c>
      <c r="J340" s="76" t="str">
        <f>'18_26-02-2022'!B20</f>
        <v>Peter</v>
      </c>
      <c r="K340" s="28" t="str">
        <f>'18_26-02-2022'!C20</f>
        <v>9 gode</v>
      </c>
      <c r="L340" s="56"/>
      <c r="M340" s="25">
        <v>9.0</v>
      </c>
      <c r="N340" s="25" t="s">
        <v>95</v>
      </c>
      <c r="T340" s="56"/>
      <c r="U340" s="77">
        <f t="shared" ref="U340:X340" si="2979">C340-C339</f>
        <v>48</v>
      </c>
      <c r="V340" s="28">
        <f t="shared" si="2979"/>
        <v>48</v>
      </c>
      <c r="W340" s="28">
        <f t="shared" si="2979"/>
        <v>-48</v>
      </c>
      <c r="X340" s="28">
        <f t="shared" si="2979"/>
        <v>-48</v>
      </c>
      <c r="AB340" s="28">
        <f t="shared" ref="AB340:AE340" si="2980">IF(AB$3=$H340,U340,"")</f>
        <v>48</v>
      </c>
      <c r="AC340" s="28" t="str">
        <f t="shared" si="2980"/>
        <v/>
      </c>
      <c r="AD340" s="28" t="str">
        <f t="shared" si="2980"/>
        <v/>
      </c>
      <c r="AE340" s="28" t="str">
        <f t="shared" si="2980"/>
        <v/>
      </c>
      <c r="AH340" s="28">
        <f t="shared" si="22"/>
        <v>48</v>
      </c>
      <c r="AI340" s="28">
        <f t="shared" si="23"/>
        <v>0</v>
      </c>
      <c r="AK340" s="78" t="str">
        <f t="shared" ref="AK340:AN340" si="2981">IF(U340&gt;0,AK$3,"")</f>
        <v>Thomas</v>
      </c>
      <c r="AL340" s="78" t="str">
        <f t="shared" si="2981"/>
        <v>Peter</v>
      </c>
      <c r="AM340" s="78" t="str">
        <f t="shared" si="2981"/>
        <v/>
      </c>
      <c r="AN340" s="78" t="str">
        <f t="shared" si="2981"/>
        <v/>
      </c>
      <c r="AO340" s="56">
        <f t="shared" si="25"/>
        <v>2</v>
      </c>
      <c r="AP340" s="8" t="str">
        <f t="shared" si="26"/>
        <v>Thomas</v>
      </c>
      <c r="AQ340" s="73" t="str">
        <f>IFERROR(__xludf.DUMMYFUNCTION("IFNA(QUERY(transpose(AY340:BB340),""Select Col1 where Col1 is not null limit 1"",0))"),"Peter")</f>
        <v>Peter</v>
      </c>
      <c r="AR340" s="56"/>
      <c r="AS340" s="28" t="str">
        <f t="shared" ref="AS340:AV340" si="2982">IF(AK340=AS$3,"",AS$3)</f>
        <v/>
      </c>
      <c r="AT340" s="28" t="str">
        <f t="shared" si="2982"/>
        <v/>
      </c>
      <c r="AU340" s="28" t="str">
        <f t="shared" si="2982"/>
        <v>Janus</v>
      </c>
      <c r="AV340" s="28" t="str">
        <f t="shared" si="2982"/>
        <v>Christian</v>
      </c>
      <c r="AW340" s="56">
        <f t="shared" si="28"/>
        <v>2</v>
      </c>
      <c r="AX340" s="28">
        <f t="shared" si="29"/>
        <v>48</v>
      </c>
      <c r="AY340" s="28" t="str">
        <f t="shared" ref="AY340:BB340" si="2983">IFNA(IFS(AY$3=$AP340,"",$AX340=U340,AY$3),"")</f>
        <v/>
      </c>
      <c r="AZ340" s="28" t="str">
        <f t="shared" si="2983"/>
        <v>Peter</v>
      </c>
      <c r="BA340" s="28" t="str">
        <f t="shared" si="2983"/>
        <v/>
      </c>
      <c r="BB340" s="28" t="str">
        <f t="shared" si="2983"/>
        <v/>
      </c>
      <c r="BC340" s="58">
        <f>OFFSET('00_Regnskab_01'!$A$1,MATCH(A340,'00_Regnskab_01'!$A$1:$A$25)-1,2)</f>
        <v>44618</v>
      </c>
      <c r="BE340" s="80">
        <f t="shared" ref="BE340:BH340" si="2984">if(U340&gt;0,1+BE339,0)</f>
        <v>4</v>
      </c>
      <c r="BF340" s="28">
        <f t="shared" si="2984"/>
        <v>1</v>
      </c>
      <c r="BG340" s="28">
        <f t="shared" si="2984"/>
        <v>0</v>
      </c>
      <c r="BH340" s="28">
        <f t="shared" si="2984"/>
        <v>0</v>
      </c>
      <c r="BJ340" s="28">
        <f t="shared" ref="BJ340:BM340" si="2985">if(U340&lt;0,1+BJ339,0)</f>
        <v>0</v>
      </c>
      <c r="BK340" s="28">
        <f t="shared" si="2985"/>
        <v>0</v>
      </c>
      <c r="BL340" s="28">
        <f t="shared" si="2985"/>
        <v>4</v>
      </c>
      <c r="BM340" s="28">
        <f t="shared" si="2985"/>
        <v>2</v>
      </c>
      <c r="BO340" s="74">
        <f t="shared" ref="BO340:BR340" si="2986">if(U340&gt;0,U340+BO339,0)</f>
        <v>92</v>
      </c>
      <c r="BP340" s="74">
        <f t="shared" si="2986"/>
        <v>48</v>
      </c>
      <c r="BQ340" s="74">
        <f t="shared" si="2986"/>
        <v>0</v>
      </c>
      <c r="BR340" s="74">
        <f t="shared" si="2986"/>
        <v>0</v>
      </c>
      <c r="BT340" s="28">
        <f t="shared" ref="BT340:BW340" si="2987">if(U340&lt;0,U340+BT339,0)</f>
        <v>0</v>
      </c>
      <c r="BU340" s="28">
        <f t="shared" si="2987"/>
        <v>0</v>
      </c>
      <c r="BV340" s="28">
        <f t="shared" si="2987"/>
        <v>-100</v>
      </c>
      <c r="BW340" s="28">
        <f t="shared" si="2987"/>
        <v>-52</v>
      </c>
    </row>
    <row r="341">
      <c r="A341" s="53">
        <v>18.0</v>
      </c>
      <c r="B341" s="28">
        <f>'18_26-02-2022'!A21</f>
        <v>19</v>
      </c>
      <c r="C341" s="28">
        <f>'18_26-02-2022'!E21</f>
        <v>294</v>
      </c>
      <c r="D341" s="28">
        <f>'18_26-02-2022'!H21</f>
        <v>46</v>
      </c>
      <c r="E341" s="28">
        <f>'18_26-02-2022'!F21</f>
        <v>-202</v>
      </c>
      <c r="F341" s="28">
        <f>'18_26-02-2022'!G21</f>
        <v>-138</v>
      </c>
      <c r="G341" s="28">
        <f>'18_26-02-2022'!I21</f>
        <v>0</v>
      </c>
      <c r="H341" s="28" t="str">
        <f>'18_26-02-2022'!D21</f>
        <v>Peter</v>
      </c>
      <c r="J341" s="76" t="str">
        <f>'18_26-02-2022'!B21</f>
        <v>Thomas</v>
      </c>
      <c r="K341" s="28" t="str">
        <f>'18_26-02-2022'!C21</f>
        <v>9 gode</v>
      </c>
      <c r="L341" s="56"/>
      <c r="M341" s="25">
        <v>9.0</v>
      </c>
      <c r="N341" s="25" t="s">
        <v>95</v>
      </c>
      <c r="T341" s="56"/>
      <c r="U341" s="77">
        <f t="shared" ref="U341:X341" si="2988">C341-C340</f>
        <v>8</v>
      </c>
      <c r="V341" s="28">
        <f t="shared" si="2988"/>
        <v>8</v>
      </c>
      <c r="W341" s="28">
        <f t="shared" si="2988"/>
        <v>-8</v>
      </c>
      <c r="X341" s="28">
        <f t="shared" si="2988"/>
        <v>-8</v>
      </c>
      <c r="AB341" s="28" t="str">
        <f t="shared" ref="AB341:AE341" si="2989">IF(AB$3=$H341,U341,"")</f>
        <v/>
      </c>
      <c r="AC341" s="28">
        <f t="shared" si="2989"/>
        <v>8</v>
      </c>
      <c r="AD341" s="28" t="str">
        <f t="shared" si="2989"/>
        <v/>
      </c>
      <c r="AE341" s="28" t="str">
        <f t="shared" si="2989"/>
        <v/>
      </c>
      <c r="AH341" s="28">
        <f t="shared" si="22"/>
        <v>8</v>
      </c>
      <c r="AI341" s="28">
        <f t="shared" si="23"/>
        <v>0</v>
      </c>
      <c r="AK341" s="78" t="str">
        <f t="shared" ref="AK341:AN341" si="2990">IF(U341&gt;0,AK$3,"")</f>
        <v>Thomas</v>
      </c>
      <c r="AL341" s="78" t="str">
        <f t="shared" si="2990"/>
        <v>Peter</v>
      </c>
      <c r="AM341" s="78" t="str">
        <f t="shared" si="2990"/>
        <v/>
      </c>
      <c r="AN341" s="78" t="str">
        <f t="shared" si="2990"/>
        <v/>
      </c>
      <c r="AO341" s="56">
        <f t="shared" si="25"/>
        <v>2</v>
      </c>
      <c r="AP341" s="8" t="str">
        <f t="shared" si="26"/>
        <v>Peter</v>
      </c>
      <c r="AQ341" s="73" t="str">
        <f>IFERROR(__xludf.DUMMYFUNCTION("IFNA(QUERY(transpose(AY341:BB341),""Select Col1 where Col1 is not null limit 1"",0))"),"Thomas")</f>
        <v>Thomas</v>
      </c>
      <c r="AR341" s="56"/>
      <c r="AS341" s="28" t="str">
        <f t="shared" ref="AS341:AV341" si="2991">IF(AK341=AS$3,"",AS$3)</f>
        <v/>
      </c>
      <c r="AT341" s="28" t="str">
        <f t="shared" si="2991"/>
        <v/>
      </c>
      <c r="AU341" s="28" t="str">
        <f t="shared" si="2991"/>
        <v>Janus</v>
      </c>
      <c r="AV341" s="28" t="str">
        <f t="shared" si="2991"/>
        <v>Christian</v>
      </c>
      <c r="AW341" s="56">
        <f t="shared" si="28"/>
        <v>2</v>
      </c>
      <c r="AX341" s="28">
        <f t="shared" si="29"/>
        <v>8</v>
      </c>
      <c r="AY341" s="28" t="str">
        <f t="shared" ref="AY341:BB341" si="2992">IFNA(IFS(AY$3=$AP341,"",$AX341=U341,AY$3),"")</f>
        <v>Thomas</v>
      </c>
      <c r="AZ341" s="28" t="str">
        <f t="shared" si="2992"/>
        <v/>
      </c>
      <c r="BA341" s="28" t="str">
        <f t="shared" si="2992"/>
        <v/>
      </c>
      <c r="BB341" s="28" t="str">
        <f t="shared" si="2992"/>
        <v/>
      </c>
      <c r="BC341" s="58">
        <f>OFFSET('00_Regnskab_01'!$A$1,MATCH(A341,'00_Regnskab_01'!$A$1:$A$25)-1,2)</f>
        <v>44618</v>
      </c>
      <c r="BE341" s="80">
        <f t="shared" ref="BE341:BH341" si="2993">if(U341&gt;0,1+BE340,0)</f>
        <v>5</v>
      </c>
      <c r="BF341" s="28">
        <f t="shared" si="2993"/>
        <v>2</v>
      </c>
      <c r="BG341" s="28">
        <f t="shared" si="2993"/>
        <v>0</v>
      </c>
      <c r="BH341" s="28">
        <f t="shared" si="2993"/>
        <v>0</v>
      </c>
      <c r="BJ341" s="28">
        <f t="shared" ref="BJ341:BM341" si="2994">if(U341&lt;0,1+BJ340,0)</f>
        <v>0</v>
      </c>
      <c r="BK341" s="28">
        <f t="shared" si="2994"/>
        <v>0</v>
      </c>
      <c r="BL341" s="28">
        <f t="shared" si="2994"/>
        <v>5</v>
      </c>
      <c r="BM341" s="28">
        <f t="shared" si="2994"/>
        <v>3</v>
      </c>
      <c r="BO341" s="74">
        <f t="shared" ref="BO341:BR341" si="2995">if(U341&gt;0,U341+BO340,0)</f>
        <v>100</v>
      </c>
      <c r="BP341" s="74">
        <f t="shared" si="2995"/>
        <v>56</v>
      </c>
      <c r="BQ341" s="74">
        <f t="shared" si="2995"/>
        <v>0</v>
      </c>
      <c r="BR341" s="74">
        <f t="shared" si="2995"/>
        <v>0</v>
      </c>
      <c r="BT341" s="28">
        <f t="shared" ref="BT341:BW341" si="2996">if(U341&lt;0,U341+BT340,0)</f>
        <v>0</v>
      </c>
      <c r="BU341" s="28">
        <f t="shared" si="2996"/>
        <v>0</v>
      </c>
      <c r="BV341" s="28">
        <f t="shared" si="2996"/>
        <v>-108</v>
      </c>
      <c r="BW341" s="28">
        <f t="shared" si="2996"/>
        <v>-60</v>
      </c>
    </row>
    <row r="342">
      <c r="A342" s="53">
        <v>18.0</v>
      </c>
      <c r="B342" s="28">
        <f>'18_26-02-2022'!A22</f>
        <v>20</v>
      </c>
      <c r="C342" s="28">
        <f>'18_26-02-2022'!E22</f>
        <v>302</v>
      </c>
      <c r="D342" s="28">
        <f>'18_26-02-2022'!H22</f>
        <v>54</v>
      </c>
      <c r="E342" s="28">
        <f>'18_26-02-2022'!F22</f>
        <v>-194</v>
      </c>
      <c r="F342" s="28">
        <f>'18_26-02-2022'!G22</f>
        <v>-162</v>
      </c>
      <c r="G342" s="28">
        <f>'18_26-02-2022'!I22</f>
        <v>0</v>
      </c>
      <c r="H342" s="28" t="str">
        <f>'18_26-02-2022'!D22</f>
        <v>Christian</v>
      </c>
      <c r="J342" s="76" t="str">
        <f>'18_26-02-2022'!B22</f>
        <v>Janus</v>
      </c>
      <c r="K342" s="28" t="str">
        <f>'18_26-02-2022'!C22</f>
        <v>ren sol</v>
      </c>
      <c r="L342" s="56"/>
      <c r="N342" s="25" t="s">
        <v>97</v>
      </c>
      <c r="T342" s="56"/>
      <c r="U342" s="77">
        <f t="shared" ref="U342:X342" si="2997">C342-C341</f>
        <v>8</v>
      </c>
      <c r="V342" s="28">
        <f t="shared" si="2997"/>
        <v>8</v>
      </c>
      <c r="W342" s="28">
        <f t="shared" si="2997"/>
        <v>8</v>
      </c>
      <c r="X342" s="28">
        <f t="shared" si="2997"/>
        <v>-24</v>
      </c>
      <c r="AB342" s="28" t="str">
        <f t="shared" ref="AB342:AE342" si="2998">IF(AB$3=$H342,U342,"")</f>
        <v/>
      </c>
      <c r="AC342" s="28" t="str">
        <f t="shared" si="2998"/>
        <v/>
      </c>
      <c r="AD342" s="28" t="str">
        <f t="shared" si="2998"/>
        <v/>
      </c>
      <c r="AE342" s="28">
        <f t="shared" si="2998"/>
        <v>-24</v>
      </c>
      <c r="AH342" s="28">
        <f t="shared" si="22"/>
        <v>0</v>
      </c>
      <c r="AI342" s="28">
        <f t="shared" si="23"/>
        <v>-24</v>
      </c>
      <c r="AK342" s="78" t="str">
        <f t="shared" ref="AK342:AN342" si="2999">IF(U342&gt;0,AK$3,"")</f>
        <v>Thomas</v>
      </c>
      <c r="AL342" s="78" t="str">
        <f t="shared" si="2999"/>
        <v>Peter</v>
      </c>
      <c r="AM342" s="78" t="str">
        <f t="shared" si="2999"/>
        <v>Janus</v>
      </c>
      <c r="AN342" s="78" t="str">
        <f t="shared" si="2999"/>
        <v/>
      </c>
      <c r="AO342" s="56">
        <f t="shared" si="25"/>
        <v>3</v>
      </c>
      <c r="AP342" s="8" t="str">
        <f t="shared" si="26"/>
        <v>Christian</v>
      </c>
      <c r="AQ342" s="73" t="str">
        <f>IFERROR(__xludf.DUMMYFUNCTION("IFNA(QUERY(transpose(AY342:BB342),""Select Col1 where Col1 is not null limit 1"",0))"),"")</f>
        <v/>
      </c>
      <c r="AR342" s="56"/>
      <c r="AS342" s="28" t="str">
        <f t="shared" ref="AS342:AV342" si="3000">IF(AK342=AS$3,"",AS$3)</f>
        <v/>
      </c>
      <c r="AT342" s="28" t="str">
        <f t="shared" si="3000"/>
        <v/>
      </c>
      <c r="AU342" s="28" t="str">
        <f t="shared" si="3000"/>
        <v/>
      </c>
      <c r="AV342" s="28" t="str">
        <f t="shared" si="3000"/>
        <v>Christian</v>
      </c>
      <c r="AW342" s="56">
        <f t="shared" si="28"/>
        <v>1</v>
      </c>
      <c r="AX342" s="28">
        <f t="shared" si="29"/>
        <v>-24</v>
      </c>
      <c r="AY342" s="28" t="str">
        <f t="shared" ref="AY342:BB342" si="3001">IFNA(IFS(AY$3=$AP342,"",$AX342=U342,AY$3),"")</f>
        <v/>
      </c>
      <c r="AZ342" s="28" t="str">
        <f t="shared" si="3001"/>
        <v/>
      </c>
      <c r="BA342" s="28" t="str">
        <f t="shared" si="3001"/>
        <v/>
      </c>
      <c r="BB342" s="28" t="str">
        <f t="shared" si="3001"/>
        <v/>
      </c>
      <c r="BC342" s="58">
        <f>OFFSET('00_Regnskab_01'!$A$1,MATCH(A342,'00_Regnskab_01'!$A$1:$A$25)-1,2)</f>
        <v>44618</v>
      </c>
      <c r="BE342" s="80">
        <f t="shared" ref="BE342:BH342" si="3002">if(U342&gt;0,1+BE341,0)</f>
        <v>6</v>
      </c>
      <c r="BF342" s="28">
        <f t="shared" si="3002"/>
        <v>3</v>
      </c>
      <c r="BG342" s="28">
        <f t="shared" si="3002"/>
        <v>1</v>
      </c>
      <c r="BH342" s="28">
        <f t="shared" si="3002"/>
        <v>0</v>
      </c>
      <c r="BJ342" s="28">
        <f t="shared" ref="BJ342:BM342" si="3003">if(U342&lt;0,1+BJ341,0)</f>
        <v>0</v>
      </c>
      <c r="BK342" s="28">
        <f t="shared" si="3003"/>
        <v>0</v>
      </c>
      <c r="BL342" s="28">
        <f t="shared" si="3003"/>
        <v>0</v>
      </c>
      <c r="BM342" s="28">
        <f t="shared" si="3003"/>
        <v>4</v>
      </c>
      <c r="BO342" s="74">
        <f t="shared" ref="BO342:BR342" si="3004">if(U342&gt;0,U342+BO341,0)</f>
        <v>108</v>
      </c>
      <c r="BP342" s="74">
        <f t="shared" si="3004"/>
        <v>64</v>
      </c>
      <c r="BQ342" s="74">
        <f t="shared" si="3004"/>
        <v>8</v>
      </c>
      <c r="BR342" s="74">
        <f t="shared" si="3004"/>
        <v>0</v>
      </c>
      <c r="BT342" s="28">
        <f t="shared" ref="BT342:BW342" si="3005">if(U342&lt;0,U342+BT341,0)</f>
        <v>0</v>
      </c>
      <c r="BU342" s="28">
        <f t="shared" si="3005"/>
        <v>0</v>
      </c>
      <c r="BV342" s="28">
        <f t="shared" si="3005"/>
        <v>0</v>
      </c>
      <c r="BW342" s="28">
        <f t="shared" si="3005"/>
        <v>-84</v>
      </c>
    </row>
    <row r="343">
      <c r="A343" s="53">
        <v>18.0</v>
      </c>
      <c r="B343" s="28">
        <f>'18_26-02-2022'!A23</f>
        <v>21</v>
      </c>
      <c r="C343" s="28">
        <f>'18_26-02-2022'!E23</f>
        <v>310</v>
      </c>
      <c r="D343" s="28">
        <f>'18_26-02-2022'!H23</f>
        <v>62</v>
      </c>
      <c r="E343" s="28">
        <f>'18_26-02-2022'!F23</f>
        <v>-202</v>
      </c>
      <c r="F343" s="28">
        <f>'18_26-02-2022'!G23</f>
        <v>-170</v>
      </c>
      <c r="G343" s="28">
        <f>'18_26-02-2022'!I23</f>
        <v>0</v>
      </c>
      <c r="H343" s="28" t="str">
        <f>'18_26-02-2022'!D23</f>
        <v>Janus</v>
      </c>
      <c r="J343" s="76" t="str">
        <f>'18_26-02-2022'!B23</f>
        <v>Christian</v>
      </c>
      <c r="K343" s="28" t="str">
        <f>'18_26-02-2022'!C23</f>
        <v>10 alm</v>
      </c>
      <c r="L343" s="56"/>
      <c r="M343" s="25">
        <v>10.0</v>
      </c>
      <c r="N343" s="25" t="s">
        <v>100</v>
      </c>
      <c r="T343" s="56"/>
      <c r="U343" s="77">
        <f t="shared" ref="U343:X343" si="3006">C343-C342</f>
        <v>8</v>
      </c>
      <c r="V343" s="28">
        <f t="shared" si="3006"/>
        <v>8</v>
      </c>
      <c r="W343" s="28">
        <f t="shared" si="3006"/>
        <v>-8</v>
      </c>
      <c r="X343" s="28">
        <f t="shared" si="3006"/>
        <v>-8</v>
      </c>
      <c r="AB343" s="28" t="str">
        <f t="shared" ref="AB343:AE343" si="3007">IF(AB$3=$H343,U343,"")</f>
        <v/>
      </c>
      <c r="AC343" s="28" t="str">
        <f t="shared" si="3007"/>
        <v/>
      </c>
      <c r="AD343" s="28">
        <f t="shared" si="3007"/>
        <v>-8</v>
      </c>
      <c r="AE343" s="28" t="str">
        <f t="shared" si="3007"/>
        <v/>
      </c>
      <c r="AH343" s="28">
        <f t="shared" si="22"/>
        <v>0</v>
      </c>
      <c r="AI343" s="28">
        <f t="shared" si="23"/>
        <v>-8</v>
      </c>
      <c r="AK343" s="78" t="str">
        <f t="shared" ref="AK343:AN343" si="3008">IF(U343&gt;0,AK$3,"")</f>
        <v>Thomas</v>
      </c>
      <c r="AL343" s="78" t="str">
        <f t="shared" si="3008"/>
        <v>Peter</v>
      </c>
      <c r="AM343" s="78" t="str">
        <f t="shared" si="3008"/>
        <v/>
      </c>
      <c r="AN343" s="78" t="str">
        <f t="shared" si="3008"/>
        <v/>
      </c>
      <c r="AO343" s="56">
        <f t="shared" si="25"/>
        <v>2</v>
      </c>
      <c r="AP343" s="8" t="str">
        <f t="shared" si="26"/>
        <v>Janus</v>
      </c>
      <c r="AQ343" s="73" t="str">
        <f>IFERROR(__xludf.DUMMYFUNCTION("IFNA(QUERY(transpose(AY343:BB343),""Select Col1 where Col1 is not null limit 1"",0))"),"Christian")</f>
        <v>Christian</v>
      </c>
      <c r="AR343" s="56"/>
      <c r="AS343" s="28" t="str">
        <f t="shared" ref="AS343:AV343" si="3009">IF(AK343=AS$3,"",AS$3)</f>
        <v/>
      </c>
      <c r="AT343" s="28" t="str">
        <f t="shared" si="3009"/>
        <v/>
      </c>
      <c r="AU343" s="28" t="str">
        <f t="shared" si="3009"/>
        <v>Janus</v>
      </c>
      <c r="AV343" s="28" t="str">
        <f t="shared" si="3009"/>
        <v>Christian</v>
      </c>
      <c r="AW343" s="56">
        <f t="shared" si="28"/>
        <v>2</v>
      </c>
      <c r="AX343" s="28">
        <f t="shared" si="29"/>
        <v>-8</v>
      </c>
      <c r="AY343" s="28" t="str">
        <f t="shared" ref="AY343:BB343" si="3010">IFNA(IFS(AY$3=$AP343,"",$AX343=U343,AY$3),"")</f>
        <v/>
      </c>
      <c r="AZ343" s="28" t="str">
        <f t="shared" si="3010"/>
        <v/>
      </c>
      <c r="BA343" s="28" t="str">
        <f t="shared" si="3010"/>
        <v/>
      </c>
      <c r="BB343" s="28" t="str">
        <f t="shared" si="3010"/>
        <v>Christian</v>
      </c>
      <c r="BC343" s="58">
        <f>OFFSET('00_Regnskab_01'!$A$1,MATCH(A343,'00_Regnskab_01'!$A$1:$A$25)-1,2)</f>
        <v>44618</v>
      </c>
      <c r="BE343" s="80">
        <f t="shared" ref="BE343:BH343" si="3011">if(U343&gt;0,1+BE342,0)</f>
        <v>7</v>
      </c>
      <c r="BF343" s="28">
        <f t="shared" si="3011"/>
        <v>4</v>
      </c>
      <c r="BG343" s="28">
        <f t="shared" si="3011"/>
        <v>0</v>
      </c>
      <c r="BH343" s="28">
        <f t="shared" si="3011"/>
        <v>0</v>
      </c>
      <c r="BJ343" s="28">
        <f t="shared" ref="BJ343:BM343" si="3012">if(U343&lt;0,1+BJ342,0)</f>
        <v>0</v>
      </c>
      <c r="BK343" s="28">
        <f t="shared" si="3012"/>
        <v>0</v>
      </c>
      <c r="BL343" s="28">
        <f t="shared" si="3012"/>
        <v>1</v>
      </c>
      <c r="BM343" s="28">
        <f t="shared" si="3012"/>
        <v>5</v>
      </c>
      <c r="BO343" s="74">
        <f t="shared" ref="BO343:BR343" si="3013">if(U343&gt;0,U343+BO342,0)</f>
        <v>116</v>
      </c>
      <c r="BP343" s="74">
        <f t="shared" si="3013"/>
        <v>72</v>
      </c>
      <c r="BQ343" s="74">
        <f t="shared" si="3013"/>
        <v>0</v>
      </c>
      <c r="BR343" s="74">
        <f t="shared" si="3013"/>
        <v>0</v>
      </c>
      <c r="BT343" s="28">
        <f t="shared" ref="BT343:BW343" si="3014">if(U343&lt;0,U343+BT342,0)</f>
        <v>0</v>
      </c>
      <c r="BU343" s="28">
        <f t="shared" si="3014"/>
        <v>0</v>
      </c>
      <c r="BV343" s="28">
        <f t="shared" si="3014"/>
        <v>-8</v>
      </c>
      <c r="BW343" s="28">
        <f t="shared" si="3014"/>
        <v>-92</v>
      </c>
    </row>
    <row r="344">
      <c r="A344" s="53">
        <v>18.0</v>
      </c>
      <c r="B344" s="28">
        <f>'18_26-02-2022'!A24</f>
        <v>22</v>
      </c>
      <c r="C344" s="28">
        <f>'18_26-02-2022'!E24</f>
        <v>326</v>
      </c>
      <c r="D344" s="28">
        <f>'18_26-02-2022'!H24</f>
        <v>78</v>
      </c>
      <c r="E344" s="28">
        <f>'18_26-02-2022'!F24</f>
        <v>-186</v>
      </c>
      <c r="F344" s="28">
        <f>'18_26-02-2022'!G24</f>
        <v>-218</v>
      </c>
      <c r="G344" s="28">
        <f>'18_26-02-2022'!I24</f>
        <v>0</v>
      </c>
      <c r="H344" s="28" t="str">
        <f>'18_26-02-2022'!D24</f>
        <v>Christian</v>
      </c>
      <c r="J344" s="76" t="str">
        <f>'18_26-02-2022'!B24</f>
        <v>Peter</v>
      </c>
      <c r="K344" s="28" t="str">
        <f>'18_26-02-2022'!C24</f>
        <v>Halv bordlægger</v>
      </c>
      <c r="L344" s="56"/>
      <c r="N344" s="25" t="s">
        <v>101</v>
      </c>
      <c r="T344" s="56"/>
      <c r="U344" s="77">
        <f t="shared" ref="U344:X344" si="3015">C344-C343</f>
        <v>16</v>
      </c>
      <c r="V344" s="28">
        <f t="shared" si="3015"/>
        <v>16</v>
      </c>
      <c r="W344" s="28">
        <f t="shared" si="3015"/>
        <v>16</v>
      </c>
      <c r="X344" s="28">
        <f t="shared" si="3015"/>
        <v>-48</v>
      </c>
      <c r="AB344" s="28" t="str">
        <f t="shared" ref="AB344:AE344" si="3016">IF(AB$3=$H344,U344,"")</f>
        <v/>
      </c>
      <c r="AC344" s="28" t="str">
        <f t="shared" si="3016"/>
        <v/>
      </c>
      <c r="AD344" s="28" t="str">
        <f t="shared" si="3016"/>
        <v/>
      </c>
      <c r="AE344" s="28">
        <f t="shared" si="3016"/>
        <v>-48</v>
      </c>
      <c r="AH344" s="28">
        <f t="shared" si="22"/>
        <v>0</v>
      </c>
      <c r="AI344" s="28">
        <f t="shared" si="23"/>
        <v>-48</v>
      </c>
      <c r="AK344" s="78" t="str">
        <f t="shared" ref="AK344:AN344" si="3017">IF(U344&gt;0,AK$3,"")</f>
        <v>Thomas</v>
      </c>
      <c r="AL344" s="78" t="str">
        <f t="shared" si="3017"/>
        <v>Peter</v>
      </c>
      <c r="AM344" s="78" t="str">
        <f t="shared" si="3017"/>
        <v>Janus</v>
      </c>
      <c r="AN344" s="78" t="str">
        <f t="shared" si="3017"/>
        <v/>
      </c>
      <c r="AO344" s="56">
        <f t="shared" si="25"/>
        <v>3</v>
      </c>
      <c r="AP344" s="8" t="str">
        <f t="shared" si="26"/>
        <v>Christian</v>
      </c>
      <c r="AQ344" s="73" t="str">
        <f>IFERROR(__xludf.DUMMYFUNCTION("IFNA(QUERY(transpose(AY344:BB344),""Select Col1 where Col1 is not null limit 1"",0))"),"")</f>
        <v/>
      </c>
      <c r="AR344" s="56"/>
      <c r="AS344" s="28" t="str">
        <f t="shared" ref="AS344:AV344" si="3018">IF(AK344=AS$3,"",AS$3)</f>
        <v/>
      </c>
      <c r="AT344" s="28" t="str">
        <f t="shared" si="3018"/>
        <v/>
      </c>
      <c r="AU344" s="28" t="str">
        <f t="shared" si="3018"/>
        <v/>
      </c>
      <c r="AV344" s="28" t="str">
        <f t="shared" si="3018"/>
        <v>Christian</v>
      </c>
      <c r="AW344" s="56">
        <f t="shared" si="28"/>
        <v>1</v>
      </c>
      <c r="AX344" s="28">
        <f t="shared" si="29"/>
        <v>-48</v>
      </c>
      <c r="AY344" s="28" t="str">
        <f t="shared" ref="AY344:BB344" si="3019">IFNA(IFS(AY$3=$AP344,"",$AX344=U344,AY$3),"")</f>
        <v/>
      </c>
      <c r="AZ344" s="28" t="str">
        <f t="shared" si="3019"/>
        <v/>
      </c>
      <c r="BA344" s="28" t="str">
        <f t="shared" si="3019"/>
        <v/>
      </c>
      <c r="BB344" s="28" t="str">
        <f t="shared" si="3019"/>
        <v/>
      </c>
      <c r="BC344" s="58">
        <f>OFFSET('00_Regnskab_01'!$A$1,MATCH(A344,'00_Regnskab_01'!$A$1:$A$25)-1,2)</f>
        <v>44618</v>
      </c>
      <c r="BE344" s="80">
        <f t="shared" ref="BE344:BH344" si="3020">if(U344&gt;0,1+BE343,0)</f>
        <v>8</v>
      </c>
      <c r="BF344" s="28">
        <f t="shared" si="3020"/>
        <v>5</v>
      </c>
      <c r="BG344" s="28">
        <f t="shared" si="3020"/>
        <v>1</v>
      </c>
      <c r="BH344" s="28">
        <f t="shared" si="3020"/>
        <v>0</v>
      </c>
      <c r="BJ344" s="28">
        <f t="shared" ref="BJ344:BM344" si="3021">if(U344&lt;0,1+BJ343,0)</f>
        <v>0</v>
      </c>
      <c r="BK344" s="28">
        <f t="shared" si="3021"/>
        <v>0</v>
      </c>
      <c r="BL344" s="28">
        <f t="shared" si="3021"/>
        <v>0</v>
      </c>
      <c r="BM344" s="28">
        <f t="shared" si="3021"/>
        <v>6</v>
      </c>
      <c r="BO344" s="74">
        <f t="shared" ref="BO344:BR344" si="3022">if(U344&gt;0,U344+BO343,0)</f>
        <v>132</v>
      </c>
      <c r="BP344" s="74">
        <f t="shared" si="3022"/>
        <v>88</v>
      </c>
      <c r="BQ344" s="74">
        <f t="shared" si="3022"/>
        <v>16</v>
      </c>
      <c r="BR344" s="74">
        <f t="shared" si="3022"/>
        <v>0</v>
      </c>
      <c r="BT344" s="28">
        <f t="shared" ref="BT344:BW344" si="3023">if(U344&lt;0,U344+BT343,0)</f>
        <v>0</v>
      </c>
      <c r="BU344" s="28">
        <f t="shared" si="3023"/>
        <v>0</v>
      </c>
      <c r="BV344" s="28">
        <f t="shared" si="3023"/>
        <v>0</v>
      </c>
      <c r="BW344" s="28">
        <f t="shared" si="3023"/>
        <v>-140</v>
      </c>
    </row>
    <row r="345">
      <c r="A345" s="53">
        <v>18.0</v>
      </c>
      <c r="B345" s="28">
        <f>'18_26-02-2022'!A25</f>
        <v>23</v>
      </c>
      <c r="C345" s="28">
        <f>'18_26-02-2022'!E25</f>
        <v>230</v>
      </c>
      <c r="D345" s="28">
        <f>'18_26-02-2022'!H25</f>
        <v>-18</v>
      </c>
      <c r="E345" s="28">
        <f>'18_26-02-2022'!F25</f>
        <v>-90</v>
      </c>
      <c r="F345" s="28">
        <f>'18_26-02-2022'!G25</f>
        <v>-122</v>
      </c>
      <c r="G345" s="28">
        <f>'18_26-02-2022'!I25</f>
        <v>0</v>
      </c>
      <c r="H345" s="28" t="str">
        <f>'18_26-02-2022'!D25</f>
        <v>Thomas</v>
      </c>
      <c r="J345" s="76" t="str">
        <f>'18_26-02-2022'!B25</f>
        <v>Thomas</v>
      </c>
      <c r="K345" s="28" t="str">
        <f>'18_26-02-2022'!C25</f>
        <v>9 vip i 3 gode</v>
      </c>
      <c r="L345" s="56"/>
      <c r="M345" s="25">
        <v>9.0</v>
      </c>
      <c r="N345" s="25" t="s">
        <v>86</v>
      </c>
      <c r="O345" s="25">
        <v>3.0</v>
      </c>
      <c r="R345" s="25" t="s">
        <v>15</v>
      </c>
      <c r="T345" s="56"/>
      <c r="U345" s="77">
        <f t="shared" ref="U345:X345" si="3024">C345-C344</f>
        <v>-96</v>
      </c>
      <c r="V345" s="28">
        <f t="shared" si="3024"/>
        <v>-96</v>
      </c>
      <c r="W345" s="28">
        <f t="shared" si="3024"/>
        <v>96</v>
      </c>
      <c r="X345" s="28">
        <f t="shared" si="3024"/>
        <v>96</v>
      </c>
      <c r="AB345" s="28">
        <f t="shared" ref="AB345:AE345" si="3025">IF(AB$3=$H345,U345,"")</f>
        <v>-96</v>
      </c>
      <c r="AC345" s="28" t="str">
        <f t="shared" si="3025"/>
        <v/>
      </c>
      <c r="AD345" s="28" t="str">
        <f t="shared" si="3025"/>
        <v/>
      </c>
      <c r="AE345" s="28" t="str">
        <f t="shared" si="3025"/>
        <v/>
      </c>
      <c r="AH345" s="28">
        <f t="shared" si="22"/>
        <v>0</v>
      </c>
      <c r="AI345" s="28">
        <f t="shared" si="23"/>
        <v>-96</v>
      </c>
      <c r="AK345" s="78" t="str">
        <f t="shared" ref="AK345:AN345" si="3026">IF(U345&gt;0,AK$3,"")</f>
        <v/>
      </c>
      <c r="AL345" s="78" t="str">
        <f t="shared" si="3026"/>
        <v/>
      </c>
      <c r="AM345" s="78" t="str">
        <f t="shared" si="3026"/>
        <v>Janus</v>
      </c>
      <c r="AN345" s="78" t="str">
        <f t="shared" si="3026"/>
        <v>Christian</v>
      </c>
      <c r="AO345" s="56">
        <f t="shared" si="25"/>
        <v>2</v>
      </c>
      <c r="AP345" s="8" t="str">
        <f t="shared" si="26"/>
        <v>Thomas</v>
      </c>
      <c r="AQ345" s="73" t="str">
        <f>IFERROR(__xludf.DUMMYFUNCTION("IFNA(QUERY(transpose(AY345:BB345),""Select Col1 where Col1 is not null limit 1"",0))"),"Peter")</f>
        <v>Peter</v>
      </c>
      <c r="AR345" s="56"/>
      <c r="AS345" s="28" t="str">
        <f t="shared" ref="AS345:AV345" si="3027">IF(AK345=AS$3,"",AS$3)</f>
        <v>Thomas</v>
      </c>
      <c r="AT345" s="28" t="str">
        <f t="shared" si="3027"/>
        <v>Peter</v>
      </c>
      <c r="AU345" s="28" t="str">
        <f t="shared" si="3027"/>
        <v/>
      </c>
      <c r="AV345" s="28" t="str">
        <f t="shared" si="3027"/>
        <v/>
      </c>
      <c r="AW345" s="56">
        <f t="shared" si="28"/>
        <v>2</v>
      </c>
      <c r="AX345" s="28">
        <f t="shared" si="29"/>
        <v>-96</v>
      </c>
      <c r="AY345" s="28" t="str">
        <f t="shared" ref="AY345:BB345" si="3028">IFNA(IFS(AY$3=$AP345,"",$AX345=U345,AY$3),"")</f>
        <v/>
      </c>
      <c r="AZ345" s="28" t="str">
        <f t="shared" si="3028"/>
        <v>Peter</v>
      </c>
      <c r="BA345" s="28" t="str">
        <f t="shared" si="3028"/>
        <v/>
      </c>
      <c r="BB345" s="28" t="str">
        <f t="shared" si="3028"/>
        <v/>
      </c>
      <c r="BC345" s="58">
        <f>OFFSET('00_Regnskab_01'!$A$1,MATCH(A345,'00_Regnskab_01'!$A$1:$A$25)-1,2)</f>
        <v>44618</v>
      </c>
      <c r="BE345" s="80">
        <f t="shared" ref="BE345:BH345" si="3029">if(U345&gt;0,1+BE344,0)</f>
        <v>0</v>
      </c>
      <c r="BF345" s="28">
        <f t="shared" si="3029"/>
        <v>0</v>
      </c>
      <c r="BG345" s="28">
        <f t="shared" si="3029"/>
        <v>2</v>
      </c>
      <c r="BH345" s="28">
        <f t="shared" si="3029"/>
        <v>1</v>
      </c>
      <c r="BJ345" s="28">
        <f t="shared" ref="BJ345:BM345" si="3030">if(U345&lt;0,1+BJ344,0)</f>
        <v>1</v>
      </c>
      <c r="BK345" s="28">
        <f t="shared" si="3030"/>
        <v>1</v>
      </c>
      <c r="BL345" s="28">
        <f t="shared" si="3030"/>
        <v>0</v>
      </c>
      <c r="BM345" s="28">
        <f t="shared" si="3030"/>
        <v>0</v>
      </c>
      <c r="BO345" s="74">
        <f t="shared" ref="BO345:BR345" si="3031">if(U345&gt;0,U345+BO344,0)</f>
        <v>0</v>
      </c>
      <c r="BP345" s="74">
        <f t="shared" si="3031"/>
        <v>0</v>
      </c>
      <c r="BQ345" s="74">
        <f t="shared" si="3031"/>
        <v>112</v>
      </c>
      <c r="BR345" s="74">
        <f t="shared" si="3031"/>
        <v>96</v>
      </c>
      <c r="BT345" s="28">
        <f t="shared" ref="BT345:BW345" si="3032">if(U345&lt;0,U345+BT344,0)</f>
        <v>-96</v>
      </c>
      <c r="BU345" s="28">
        <f t="shared" si="3032"/>
        <v>-96</v>
      </c>
      <c r="BV345" s="28">
        <f t="shared" si="3032"/>
        <v>0</v>
      </c>
      <c r="BW345" s="28">
        <f t="shared" si="3032"/>
        <v>0</v>
      </c>
    </row>
    <row r="346">
      <c r="A346" s="53">
        <v>18.0</v>
      </c>
      <c r="B346" s="28">
        <f>'18_26-02-2022'!A26</f>
        <v>24</v>
      </c>
      <c r="C346" s="28">
        <f>'18_26-02-2022'!E26</f>
        <v>222</v>
      </c>
      <c r="D346" s="28">
        <f>'18_26-02-2022'!H26</f>
        <v>6</v>
      </c>
      <c r="E346" s="28">
        <f>'18_26-02-2022'!F26</f>
        <v>-98</v>
      </c>
      <c r="F346" s="28">
        <f>'18_26-02-2022'!G26</f>
        <v>-130</v>
      </c>
      <c r="G346" s="28">
        <f>'18_26-02-2022'!I26</f>
        <v>0</v>
      </c>
      <c r="H346" s="28" t="str">
        <f>'18_26-02-2022'!D26</f>
        <v>Peter</v>
      </c>
      <c r="J346" s="76" t="str">
        <f>'18_26-02-2022'!B26</f>
        <v>Peter</v>
      </c>
      <c r="K346" s="28" t="str">
        <f>'18_26-02-2022'!C26</f>
        <v>Ren sol</v>
      </c>
      <c r="L346" s="56"/>
      <c r="N346" s="25" t="s">
        <v>97</v>
      </c>
      <c r="T346" s="56"/>
      <c r="U346" s="77">
        <f t="shared" ref="U346:X346" si="3033">C346-C345</f>
        <v>-8</v>
      </c>
      <c r="V346" s="28">
        <f t="shared" si="3033"/>
        <v>24</v>
      </c>
      <c r="W346" s="28">
        <f t="shared" si="3033"/>
        <v>-8</v>
      </c>
      <c r="X346" s="28">
        <f t="shared" si="3033"/>
        <v>-8</v>
      </c>
      <c r="AB346" s="28" t="str">
        <f t="shared" ref="AB346:AE346" si="3034">IF(AB$3=$H346,U346,"")</f>
        <v/>
      </c>
      <c r="AC346" s="28">
        <f t="shared" si="3034"/>
        <v>24</v>
      </c>
      <c r="AD346" s="28" t="str">
        <f t="shared" si="3034"/>
        <v/>
      </c>
      <c r="AE346" s="28" t="str">
        <f t="shared" si="3034"/>
        <v/>
      </c>
      <c r="AH346" s="28">
        <f t="shared" si="22"/>
        <v>24</v>
      </c>
      <c r="AI346" s="28">
        <f t="shared" si="23"/>
        <v>0</v>
      </c>
      <c r="AK346" s="78" t="str">
        <f t="shared" ref="AK346:AN346" si="3035">IF(U346&gt;0,AK$3,"")</f>
        <v/>
      </c>
      <c r="AL346" s="78" t="str">
        <f t="shared" si="3035"/>
        <v>Peter</v>
      </c>
      <c r="AM346" s="78" t="str">
        <f t="shared" si="3035"/>
        <v/>
      </c>
      <c r="AN346" s="78" t="str">
        <f t="shared" si="3035"/>
        <v/>
      </c>
      <c r="AO346" s="56">
        <f t="shared" si="25"/>
        <v>1</v>
      </c>
      <c r="AP346" s="8" t="str">
        <f t="shared" si="26"/>
        <v>Peter</v>
      </c>
      <c r="AQ346" s="73" t="str">
        <f>IFERROR(__xludf.DUMMYFUNCTION("IFNA(QUERY(transpose(AY346:BB346),""Select Col1 where Col1 is not null limit 1"",0))"),"")</f>
        <v/>
      </c>
      <c r="AR346" s="56"/>
      <c r="AS346" s="28" t="str">
        <f t="shared" ref="AS346:AV346" si="3036">IF(AK346=AS$3,"",AS$3)</f>
        <v>Thomas</v>
      </c>
      <c r="AT346" s="28" t="str">
        <f t="shared" si="3036"/>
        <v/>
      </c>
      <c r="AU346" s="28" t="str">
        <f t="shared" si="3036"/>
        <v>Janus</v>
      </c>
      <c r="AV346" s="28" t="str">
        <f t="shared" si="3036"/>
        <v>Christian</v>
      </c>
      <c r="AW346" s="56">
        <f t="shared" si="28"/>
        <v>3</v>
      </c>
      <c r="AX346" s="28">
        <f t="shared" si="29"/>
        <v>24</v>
      </c>
      <c r="AY346" s="28" t="str">
        <f t="shared" ref="AY346:BB346" si="3037">IFNA(IFS(AY$3=$AP346,"",$AX346=U346,AY$3),"")</f>
        <v/>
      </c>
      <c r="AZ346" s="28" t="str">
        <f t="shared" si="3037"/>
        <v/>
      </c>
      <c r="BA346" s="28" t="str">
        <f t="shared" si="3037"/>
        <v/>
      </c>
      <c r="BB346" s="28" t="str">
        <f t="shared" si="3037"/>
        <v/>
      </c>
      <c r="BC346" s="58">
        <f>OFFSET('00_Regnskab_01'!$A$1,MATCH(A346,'00_Regnskab_01'!$A$1:$A$25)-1,2)</f>
        <v>44618</v>
      </c>
      <c r="BE346" s="80">
        <f t="shared" ref="BE346:BH346" si="3038">if(U346&gt;0,1+BE345,0)</f>
        <v>0</v>
      </c>
      <c r="BF346" s="28">
        <f t="shared" si="3038"/>
        <v>1</v>
      </c>
      <c r="BG346" s="28">
        <f t="shared" si="3038"/>
        <v>0</v>
      </c>
      <c r="BH346" s="28">
        <f t="shared" si="3038"/>
        <v>0</v>
      </c>
      <c r="BJ346" s="28">
        <f t="shared" ref="BJ346:BM346" si="3039">if(U346&lt;0,1+BJ345,0)</f>
        <v>2</v>
      </c>
      <c r="BK346" s="28">
        <f t="shared" si="3039"/>
        <v>0</v>
      </c>
      <c r="BL346" s="28">
        <f t="shared" si="3039"/>
        <v>1</v>
      </c>
      <c r="BM346" s="28">
        <f t="shared" si="3039"/>
        <v>1</v>
      </c>
      <c r="BO346" s="74">
        <f t="shared" ref="BO346:BR346" si="3040">if(U346&gt;0,U346+BO345,0)</f>
        <v>0</v>
      </c>
      <c r="BP346" s="74">
        <f t="shared" si="3040"/>
        <v>24</v>
      </c>
      <c r="BQ346" s="74">
        <f t="shared" si="3040"/>
        <v>0</v>
      </c>
      <c r="BR346" s="74">
        <f t="shared" si="3040"/>
        <v>0</v>
      </c>
      <c r="BT346" s="28">
        <f t="shared" ref="BT346:BW346" si="3041">if(U346&lt;0,U346+BT345,0)</f>
        <v>-104</v>
      </c>
      <c r="BU346" s="28">
        <f t="shared" si="3041"/>
        <v>0</v>
      </c>
      <c r="BV346" s="28">
        <f t="shared" si="3041"/>
        <v>-8</v>
      </c>
      <c r="BW346" s="28">
        <f t="shared" si="3041"/>
        <v>-8</v>
      </c>
    </row>
    <row r="347">
      <c r="A347" s="53">
        <v>18.0</v>
      </c>
      <c r="B347" s="28">
        <f>'18_26-02-2022'!A27</f>
        <v>25</v>
      </c>
      <c r="C347" s="28">
        <f>'18_26-02-2022'!E27</f>
        <v>234</v>
      </c>
      <c r="D347" s="28">
        <f>'18_26-02-2022'!H27</f>
        <v>-6</v>
      </c>
      <c r="E347" s="28">
        <f>'18_26-02-2022'!F27</f>
        <v>-110</v>
      </c>
      <c r="F347" s="28">
        <f>'18_26-02-2022'!G27</f>
        <v>-118</v>
      </c>
      <c r="G347" s="28">
        <f>'18_26-02-2022'!I27</f>
        <v>0</v>
      </c>
      <c r="H347" s="28" t="str">
        <f>'18_26-02-2022'!D27</f>
        <v>Peter</v>
      </c>
      <c r="J347" s="76" t="str">
        <f>'18_26-02-2022'!B27</f>
        <v>Christian</v>
      </c>
      <c r="K347" s="28" t="str">
        <f>'18_26-02-2022'!C27</f>
        <v>9 halve</v>
      </c>
      <c r="L347" s="56"/>
      <c r="M347" s="25">
        <v>9.0</v>
      </c>
      <c r="N347" s="25" t="s">
        <v>94</v>
      </c>
      <c r="T347" s="56"/>
      <c r="U347" s="77">
        <f t="shared" ref="U347:X347" si="3042">C347-C346</f>
        <v>12</v>
      </c>
      <c r="V347" s="28">
        <f t="shared" si="3042"/>
        <v>-12</v>
      </c>
      <c r="W347" s="28">
        <f t="shared" si="3042"/>
        <v>-12</v>
      </c>
      <c r="X347" s="28">
        <f t="shared" si="3042"/>
        <v>12</v>
      </c>
      <c r="AB347" s="28" t="str">
        <f t="shared" ref="AB347:AE347" si="3043">IF(AB$3=$H347,U347,"")</f>
        <v/>
      </c>
      <c r="AC347" s="28">
        <f t="shared" si="3043"/>
        <v>-12</v>
      </c>
      <c r="AD347" s="28" t="str">
        <f t="shared" si="3043"/>
        <v/>
      </c>
      <c r="AE347" s="28" t="str">
        <f t="shared" si="3043"/>
        <v/>
      </c>
      <c r="AH347" s="28">
        <f t="shared" si="22"/>
        <v>0</v>
      </c>
      <c r="AI347" s="28">
        <f t="shared" si="23"/>
        <v>-12</v>
      </c>
      <c r="AK347" s="78" t="str">
        <f t="shared" ref="AK347:AN347" si="3044">IF(U347&gt;0,AK$3,"")</f>
        <v>Thomas</v>
      </c>
      <c r="AL347" s="78" t="str">
        <f t="shared" si="3044"/>
        <v/>
      </c>
      <c r="AM347" s="78" t="str">
        <f t="shared" si="3044"/>
        <v/>
      </c>
      <c r="AN347" s="78" t="str">
        <f t="shared" si="3044"/>
        <v>Christian</v>
      </c>
      <c r="AO347" s="56">
        <f t="shared" si="25"/>
        <v>2</v>
      </c>
      <c r="AP347" s="8" t="str">
        <f t="shared" si="26"/>
        <v>Peter</v>
      </c>
      <c r="AQ347" s="73" t="str">
        <f>IFERROR(__xludf.DUMMYFUNCTION("IFNA(QUERY(transpose(AY347:BB347),""Select Col1 where Col1 is not null limit 1"",0))"),"Janus")</f>
        <v>Janus</v>
      </c>
      <c r="AR347" s="56"/>
      <c r="AS347" s="28" t="str">
        <f t="shared" ref="AS347:AV347" si="3045">IF(AK347=AS$3,"",AS$3)</f>
        <v/>
      </c>
      <c r="AT347" s="28" t="str">
        <f t="shared" si="3045"/>
        <v>Peter</v>
      </c>
      <c r="AU347" s="28" t="str">
        <f t="shared" si="3045"/>
        <v>Janus</v>
      </c>
      <c r="AV347" s="28" t="str">
        <f t="shared" si="3045"/>
        <v/>
      </c>
      <c r="AW347" s="56">
        <f t="shared" si="28"/>
        <v>2</v>
      </c>
      <c r="AX347" s="28">
        <f t="shared" si="29"/>
        <v>-12</v>
      </c>
      <c r="AY347" s="28" t="str">
        <f t="shared" ref="AY347:BB347" si="3046">IFNA(IFS(AY$3=$AP347,"",$AX347=U347,AY$3),"")</f>
        <v/>
      </c>
      <c r="AZ347" s="28" t="str">
        <f t="shared" si="3046"/>
        <v/>
      </c>
      <c r="BA347" s="28" t="str">
        <f t="shared" si="3046"/>
        <v>Janus</v>
      </c>
      <c r="BB347" s="28" t="str">
        <f t="shared" si="3046"/>
        <v/>
      </c>
      <c r="BC347" s="58">
        <f>OFFSET('00_Regnskab_01'!$A$1,MATCH(A347,'00_Regnskab_01'!$A$1:$A$25)-1,2)</f>
        <v>44618</v>
      </c>
      <c r="BE347" s="80">
        <f t="shared" ref="BE347:BH347" si="3047">if(U347&gt;0,1+BE346,0)</f>
        <v>1</v>
      </c>
      <c r="BF347" s="28">
        <f t="shared" si="3047"/>
        <v>0</v>
      </c>
      <c r="BG347" s="28">
        <f t="shared" si="3047"/>
        <v>0</v>
      </c>
      <c r="BH347" s="28">
        <f t="shared" si="3047"/>
        <v>1</v>
      </c>
      <c r="BJ347" s="28">
        <f t="shared" ref="BJ347:BM347" si="3048">if(U347&lt;0,1+BJ346,0)</f>
        <v>0</v>
      </c>
      <c r="BK347" s="28">
        <f t="shared" si="3048"/>
        <v>1</v>
      </c>
      <c r="BL347" s="28">
        <f t="shared" si="3048"/>
        <v>2</v>
      </c>
      <c r="BM347" s="28">
        <f t="shared" si="3048"/>
        <v>0</v>
      </c>
      <c r="BO347" s="74">
        <f t="shared" ref="BO347:BR347" si="3049">if(U347&gt;0,U347+BO346,0)</f>
        <v>12</v>
      </c>
      <c r="BP347" s="74">
        <f t="shared" si="3049"/>
        <v>0</v>
      </c>
      <c r="BQ347" s="74">
        <f t="shared" si="3049"/>
        <v>0</v>
      </c>
      <c r="BR347" s="74">
        <f t="shared" si="3049"/>
        <v>12</v>
      </c>
      <c r="BT347" s="28">
        <f t="shared" ref="BT347:BW347" si="3050">if(U347&lt;0,U347+BT346,0)</f>
        <v>0</v>
      </c>
      <c r="BU347" s="28">
        <f t="shared" si="3050"/>
        <v>-12</v>
      </c>
      <c r="BV347" s="28">
        <f t="shared" si="3050"/>
        <v>-20</v>
      </c>
      <c r="BW347" s="28">
        <f t="shared" si="3050"/>
        <v>0</v>
      </c>
    </row>
    <row r="348">
      <c r="A348" s="53">
        <v>18.0</v>
      </c>
      <c r="B348" s="28">
        <f>'18_26-02-2022'!A28</f>
        <v>26</v>
      </c>
      <c r="C348" s="28">
        <f>'18_26-02-2022'!E28</f>
        <v>250</v>
      </c>
      <c r="D348" s="28">
        <f>'18_26-02-2022'!H28</f>
        <v>10</v>
      </c>
      <c r="E348" s="28">
        <f>'18_26-02-2022'!F28</f>
        <v>-126</v>
      </c>
      <c r="F348" s="28">
        <f>'18_26-02-2022'!G28</f>
        <v>-134</v>
      </c>
      <c r="G348" s="28">
        <f>'18_26-02-2022'!I28</f>
        <v>0</v>
      </c>
      <c r="H348" s="28" t="str">
        <f>'18_26-02-2022'!D28</f>
        <v>Thomas</v>
      </c>
      <c r="J348" s="76" t="str">
        <f>'18_26-02-2022'!B28</f>
        <v>Janus</v>
      </c>
      <c r="K348" s="28" t="str">
        <f>'18_26-02-2022'!C28</f>
        <v>9 Vip 1</v>
      </c>
      <c r="L348" s="56"/>
      <c r="M348" s="25">
        <v>9.0</v>
      </c>
      <c r="N348" s="25" t="s">
        <v>86</v>
      </c>
      <c r="O348" s="25">
        <v>1.0</v>
      </c>
      <c r="T348" s="56"/>
      <c r="U348" s="77">
        <f t="shared" ref="U348:X348" si="3051">C348-C347</f>
        <v>16</v>
      </c>
      <c r="V348" s="28">
        <f t="shared" si="3051"/>
        <v>16</v>
      </c>
      <c r="W348" s="28">
        <f t="shared" si="3051"/>
        <v>-16</v>
      </c>
      <c r="X348" s="28">
        <f t="shared" si="3051"/>
        <v>-16</v>
      </c>
      <c r="AB348" s="28">
        <f t="shared" ref="AB348:AE348" si="3052">IF(AB$3=$H348,U348,"")</f>
        <v>16</v>
      </c>
      <c r="AC348" s="28" t="str">
        <f t="shared" si="3052"/>
        <v/>
      </c>
      <c r="AD348" s="28" t="str">
        <f t="shared" si="3052"/>
        <v/>
      </c>
      <c r="AE348" s="28" t="str">
        <f t="shared" si="3052"/>
        <v/>
      </c>
      <c r="AH348" s="28">
        <f t="shared" si="22"/>
        <v>16</v>
      </c>
      <c r="AI348" s="28">
        <f t="shared" si="23"/>
        <v>0</v>
      </c>
      <c r="AK348" s="78" t="str">
        <f t="shared" ref="AK348:AN348" si="3053">IF(U348&gt;0,AK$3,"")</f>
        <v>Thomas</v>
      </c>
      <c r="AL348" s="78" t="str">
        <f t="shared" si="3053"/>
        <v>Peter</v>
      </c>
      <c r="AM348" s="78" t="str">
        <f t="shared" si="3053"/>
        <v/>
      </c>
      <c r="AN348" s="78" t="str">
        <f t="shared" si="3053"/>
        <v/>
      </c>
      <c r="AO348" s="56">
        <f t="shared" si="25"/>
        <v>2</v>
      </c>
      <c r="AP348" s="8" t="str">
        <f t="shared" si="26"/>
        <v>Thomas</v>
      </c>
      <c r="AQ348" s="73" t="str">
        <f>IFERROR(__xludf.DUMMYFUNCTION("IFNA(QUERY(transpose(AY348:BB348),""Select Col1 where Col1 is not null limit 1"",0))"),"Peter")</f>
        <v>Peter</v>
      </c>
      <c r="AR348" s="56"/>
      <c r="AS348" s="28" t="str">
        <f t="shared" ref="AS348:AV348" si="3054">IF(AK348=AS$3,"",AS$3)</f>
        <v/>
      </c>
      <c r="AT348" s="28" t="str">
        <f t="shared" si="3054"/>
        <v/>
      </c>
      <c r="AU348" s="28" t="str">
        <f t="shared" si="3054"/>
        <v>Janus</v>
      </c>
      <c r="AV348" s="28" t="str">
        <f t="shared" si="3054"/>
        <v>Christian</v>
      </c>
      <c r="AW348" s="56">
        <f t="shared" si="28"/>
        <v>2</v>
      </c>
      <c r="AX348" s="28">
        <f t="shared" si="29"/>
        <v>16</v>
      </c>
      <c r="AY348" s="28" t="str">
        <f t="shared" ref="AY348:BB348" si="3055">IFNA(IFS(AY$3=$AP348,"",$AX348=U348,AY$3),"")</f>
        <v/>
      </c>
      <c r="AZ348" s="28" t="str">
        <f t="shared" si="3055"/>
        <v>Peter</v>
      </c>
      <c r="BA348" s="28" t="str">
        <f t="shared" si="3055"/>
        <v/>
      </c>
      <c r="BB348" s="28" t="str">
        <f t="shared" si="3055"/>
        <v/>
      </c>
      <c r="BC348" s="58">
        <f>OFFSET('00_Regnskab_01'!$A$1,MATCH(A348,'00_Regnskab_01'!$A$1:$A$25)-1,2)</f>
        <v>44618</v>
      </c>
      <c r="BE348" s="80">
        <f t="shared" ref="BE348:BH348" si="3056">if(U348&gt;0,1+BE347,0)</f>
        <v>2</v>
      </c>
      <c r="BF348" s="28">
        <f t="shared" si="3056"/>
        <v>1</v>
      </c>
      <c r="BG348" s="28">
        <f t="shared" si="3056"/>
        <v>0</v>
      </c>
      <c r="BH348" s="28">
        <f t="shared" si="3056"/>
        <v>0</v>
      </c>
      <c r="BJ348" s="28">
        <f t="shared" ref="BJ348:BM348" si="3057">if(U348&lt;0,1+BJ347,0)</f>
        <v>0</v>
      </c>
      <c r="BK348" s="28">
        <f t="shared" si="3057"/>
        <v>0</v>
      </c>
      <c r="BL348" s="28">
        <f t="shared" si="3057"/>
        <v>3</v>
      </c>
      <c r="BM348" s="28">
        <f t="shared" si="3057"/>
        <v>1</v>
      </c>
      <c r="BO348" s="74">
        <f t="shared" ref="BO348:BR348" si="3058">if(U348&gt;0,U348+BO347,0)</f>
        <v>28</v>
      </c>
      <c r="BP348" s="74">
        <f t="shared" si="3058"/>
        <v>16</v>
      </c>
      <c r="BQ348" s="74">
        <f t="shared" si="3058"/>
        <v>0</v>
      </c>
      <c r="BR348" s="74">
        <f t="shared" si="3058"/>
        <v>0</v>
      </c>
      <c r="BT348" s="28">
        <f t="shared" ref="BT348:BW348" si="3059">if(U348&lt;0,U348+BT347,0)</f>
        <v>0</v>
      </c>
      <c r="BU348" s="28">
        <f t="shared" si="3059"/>
        <v>0</v>
      </c>
      <c r="BV348" s="28">
        <f t="shared" si="3059"/>
        <v>-36</v>
      </c>
      <c r="BW348" s="28">
        <f t="shared" si="3059"/>
        <v>-16</v>
      </c>
    </row>
    <row r="349">
      <c r="A349" s="53">
        <v>18.0</v>
      </c>
      <c r="B349" s="28">
        <f>'18_26-02-2022'!A29</f>
        <v>27</v>
      </c>
      <c r="C349" s="28">
        <f>'18_26-02-2022'!E29</f>
        <v>242</v>
      </c>
      <c r="D349" s="28">
        <f>'18_26-02-2022'!H29</f>
        <v>34</v>
      </c>
      <c r="E349" s="28">
        <f>'18_26-02-2022'!F29</f>
        <v>-134</v>
      </c>
      <c r="F349" s="28">
        <f>'18_26-02-2022'!G29</f>
        <v>-142</v>
      </c>
      <c r="G349" s="28">
        <f>'18_26-02-2022'!I29</f>
        <v>0</v>
      </c>
      <c r="H349" s="28" t="str">
        <f>'18_26-02-2022'!D29</f>
        <v>Peter</v>
      </c>
      <c r="J349" s="76" t="str">
        <f>'18_26-02-2022'!B29</f>
        <v>Thomas</v>
      </c>
      <c r="K349" s="28" t="str">
        <f>'18_26-02-2022'!C29</f>
        <v>Ren Sol</v>
      </c>
      <c r="L349" s="56"/>
      <c r="N349" s="25" t="s">
        <v>97</v>
      </c>
      <c r="T349" s="56"/>
      <c r="U349" s="77">
        <f t="shared" ref="U349:X349" si="3060">C349-C348</f>
        <v>-8</v>
      </c>
      <c r="V349" s="28">
        <f t="shared" si="3060"/>
        <v>24</v>
      </c>
      <c r="W349" s="28">
        <f t="shared" si="3060"/>
        <v>-8</v>
      </c>
      <c r="X349" s="28">
        <f t="shared" si="3060"/>
        <v>-8</v>
      </c>
      <c r="AB349" s="28" t="str">
        <f t="shared" ref="AB349:AE349" si="3061">IF(AB$3=$H349,U349,"")</f>
        <v/>
      </c>
      <c r="AC349" s="28">
        <f t="shared" si="3061"/>
        <v>24</v>
      </c>
      <c r="AD349" s="28" t="str">
        <f t="shared" si="3061"/>
        <v/>
      </c>
      <c r="AE349" s="28" t="str">
        <f t="shared" si="3061"/>
        <v/>
      </c>
      <c r="AH349" s="28">
        <f t="shared" si="22"/>
        <v>24</v>
      </c>
      <c r="AI349" s="28">
        <f t="shared" si="23"/>
        <v>0</v>
      </c>
      <c r="AK349" s="78" t="str">
        <f t="shared" ref="AK349:AN349" si="3062">IF(U349&gt;0,AK$3,"")</f>
        <v/>
      </c>
      <c r="AL349" s="78" t="str">
        <f t="shared" si="3062"/>
        <v>Peter</v>
      </c>
      <c r="AM349" s="78" t="str">
        <f t="shared" si="3062"/>
        <v/>
      </c>
      <c r="AN349" s="78" t="str">
        <f t="shared" si="3062"/>
        <v/>
      </c>
      <c r="AO349" s="56">
        <f t="shared" si="25"/>
        <v>1</v>
      </c>
      <c r="AP349" s="8" t="str">
        <f t="shared" si="26"/>
        <v>Peter</v>
      </c>
      <c r="AQ349" s="73" t="str">
        <f>IFERROR(__xludf.DUMMYFUNCTION("IFNA(QUERY(transpose(AY349:BB349),""Select Col1 where Col1 is not null limit 1"",0))"),"")</f>
        <v/>
      </c>
      <c r="AR349" s="56"/>
      <c r="AS349" s="28" t="str">
        <f t="shared" ref="AS349:AV349" si="3063">IF(AK349=AS$3,"",AS$3)</f>
        <v>Thomas</v>
      </c>
      <c r="AT349" s="28" t="str">
        <f t="shared" si="3063"/>
        <v/>
      </c>
      <c r="AU349" s="28" t="str">
        <f t="shared" si="3063"/>
        <v>Janus</v>
      </c>
      <c r="AV349" s="28" t="str">
        <f t="shared" si="3063"/>
        <v>Christian</v>
      </c>
      <c r="AW349" s="56">
        <f t="shared" si="28"/>
        <v>3</v>
      </c>
      <c r="AX349" s="28">
        <f t="shared" si="29"/>
        <v>24</v>
      </c>
      <c r="AY349" s="28" t="str">
        <f t="shared" ref="AY349:BB349" si="3064">IFNA(IFS(AY$3=$AP349,"",$AX349=U349,AY$3),"")</f>
        <v/>
      </c>
      <c r="AZ349" s="28" t="str">
        <f t="shared" si="3064"/>
        <v/>
      </c>
      <c r="BA349" s="28" t="str">
        <f t="shared" si="3064"/>
        <v/>
      </c>
      <c r="BB349" s="28" t="str">
        <f t="shared" si="3064"/>
        <v/>
      </c>
      <c r="BC349" s="58">
        <f>OFFSET('00_Regnskab_01'!$A$1,MATCH(A349,'00_Regnskab_01'!$A$1:$A$25)-1,2)</f>
        <v>44618</v>
      </c>
      <c r="BE349" s="80">
        <f t="shared" ref="BE349:BH349" si="3065">if(U349&gt;0,1+BE348,0)</f>
        <v>0</v>
      </c>
      <c r="BF349" s="28">
        <f t="shared" si="3065"/>
        <v>2</v>
      </c>
      <c r="BG349" s="28">
        <f t="shared" si="3065"/>
        <v>0</v>
      </c>
      <c r="BH349" s="28">
        <f t="shared" si="3065"/>
        <v>0</v>
      </c>
      <c r="BJ349" s="28">
        <f t="shared" ref="BJ349:BM349" si="3066">if(U349&lt;0,1+BJ348,0)</f>
        <v>1</v>
      </c>
      <c r="BK349" s="28">
        <f t="shared" si="3066"/>
        <v>0</v>
      </c>
      <c r="BL349" s="28">
        <f t="shared" si="3066"/>
        <v>4</v>
      </c>
      <c r="BM349" s="28">
        <f t="shared" si="3066"/>
        <v>2</v>
      </c>
      <c r="BO349" s="74">
        <f t="shared" ref="BO349:BR349" si="3067">if(U349&gt;0,U349+BO348,0)</f>
        <v>0</v>
      </c>
      <c r="BP349" s="74">
        <f t="shared" si="3067"/>
        <v>40</v>
      </c>
      <c r="BQ349" s="74">
        <f t="shared" si="3067"/>
        <v>0</v>
      </c>
      <c r="BR349" s="74">
        <f t="shared" si="3067"/>
        <v>0</v>
      </c>
      <c r="BT349" s="28">
        <f t="shared" ref="BT349:BW349" si="3068">if(U349&lt;0,U349+BT348,0)</f>
        <v>-8</v>
      </c>
      <c r="BU349" s="28">
        <f t="shared" si="3068"/>
        <v>0</v>
      </c>
      <c r="BV349" s="28">
        <f t="shared" si="3068"/>
        <v>-44</v>
      </c>
      <c r="BW349" s="28">
        <f t="shared" si="3068"/>
        <v>-24</v>
      </c>
    </row>
    <row r="350">
      <c r="A350" s="53">
        <v>18.0</v>
      </c>
      <c r="B350" s="28">
        <f>'18_26-02-2022'!A30</f>
        <v>28</v>
      </c>
      <c r="C350" s="28">
        <f>'18_26-02-2022'!E30</f>
        <v>258</v>
      </c>
      <c r="D350" s="28">
        <f>'18_26-02-2022'!H30</f>
        <v>-14</v>
      </c>
      <c r="E350" s="28">
        <f>'18_26-02-2022'!F30</f>
        <v>-118</v>
      </c>
      <c r="F350" s="28">
        <f>'18_26-02-2022'!G30</f>
        <v>-126</v>
      </c>
      <c r="G350" s="28">
        <f>'18_26-02-2022'!I30</f>
        <v>0</v>
      </c>
      <c r="H350" s="28" t="str">
        <f>'18_26-02-2022'!D30</f>
        <v>Peter</v>
      </c>
      <c r="J350" s="76" t="str">
        <f>'18_26-02-2022'!B30</f>
        <v>Peter</v>
      </c>
      <c r="K350" s="28" t="str">
        <f>'18_26-02-2022'!C30</f>
        <v>10 alm</v>
      </c>
      <c r="L350" s="56"/>
      <c r="M350" s="25">
        <v>10.0</v>
      </c>
      <c r="N350" s="25" t="s">
        <v>100</v>
      </c>
      <c r="T350" s="56"/>
      <c r="U350" s="77">
        <f t="shared" ref="U350:X350" si="3069">C350-C349</f>
        <v>16</v>
      </c>
      <c r="V350" s="28">
        <f t="shared" si="3069"/>
        <v>-48</v>
      </c>
      <c r="W350" s="28">
        <f t="shared" si="3069"/>
        <v>16</v>
      </c>
      <c r="X350" s="28">
        <f t="shared" si="3069"/>
        <v>16</v>
      </c>
      <c r="AB350" s="28" t="str">
        <f t="shared" ref="AB350:AE350" si="3070">IF(AB$3=$H350,U350,"")</f>
        <v/>
      </c>
      <c r="AC350" s="28">
        <f t="shared" si="3070"/>
        <v>-48</v>
      </c>
      <c r="AD350" s="28" t="str">
        <f t="shared" si="3070"/>
        <v/>
      </c>
      <c r="AE350" s="28" t="str">
        <f t="shared" si="3070"/>
        <v/>
      </c>
      <c r="AH350" s="28">
        <f t="shared" si="22"/>
        <v>0</v>
      </c>
      <c r="AI350" s="28">
        <f t="shared" si="23"/>
        <v>-48</v>
      </c>
      <c r="AK350" s="78" t="str">
        <f t="shared" ref="AK350:AN350" si="3071">IF(U350&gt;0,AK$3,"")</f>
        <v>Thomas</v>
      </c>
      <c r="AL350" s="78" t="str">
        <f t="shared" si="3071"/>
        <v/>
      </c>
      <c r="AM350" s="78" t="str">
        <f t="shared" si="3071"/>
        <v>Janus</v>
      </c>
      <c r="AN350" s="78" t="str">
        <f t="shared" si="3071"/>
        <v>Christian</v>
      </c>
      <c r="AO350" s="56">
        <f t="shared" si="25"/>
        <v>3</v>
      </c>
      <c r="AP350" s="8" t="str">
        <f t="shared" si="26"/>
        <v>Peter</v>
      </c>
      <c r="AQ350" s="73" t="str">
        <f>IFERROR(__xludf.DUMMYFUNCTION("IFNA(QUERY(transpose(AY350:BB350),""Select Col1 where Col1 is not null limit 1"",0))"),"")</f>
        <v/>
      </c>
      <c r="AR350" s="56"/>
      <c r="AS350" s="28" t="str">
        <f t="shared" ref="AS350:AV350" si="3072">IF(AK350=AS$3,"",AS$3)</f>
        <v/>
      </c>
      <c r="AT350" s="28" t="str">
        <f t="shared" si="3072"/>
        <v>Peter</v>
      </c>
      <c r="AU350" s="28" t="str">
        <f t="shared" si="3072"/>
        <v/>
      </c>
      <c r="AV350" s="28" t="str">
        <f t="shared" si="3072"/>
        <v/>
      </c>
      <c r="AW350" s="56">
        <f t="shared" si="28"/>
        <v>1</v>
      </c>
      <c r="AX350" s="28">
        <f t="shared" si="29"/>
        <v>-48</v>
      </c>
      <c r="AY350" s="28" t="str">
        <f t="shared" ref="AY350:BB350" si="3073">IFNA(IFS(AY$3=$AP350,"",$AX350=U350,AY$3),"")</f>
        <v/>
      </c>
      <c r="AZ350" s="28" t="str">
        <f t="shared" si="3073"/>
        <v/>
      </c>
      <c r="BA350" s="28" t="str">
        <f t="shared" si="3073"/>
        <v/>
      </c>
      <c r="BB350" s="28" t="str">
        <f t="shared" si="3073"/>
        <v/>
      </c>
      <c r="BC350" s="58">
        <f>OFFSET('00_Regnskab_01'!$A$1,MATCH(A350,'00_Regnskab_01'!$A$1:$A$25)-1,2)</f>
        <v>44618</v>
      </c>
      <c r="BE350" s="80">
        <f t="shared" ref="BE350:BH350" si="3074">if(U350&gt;0,1+BE349,0)</f>
        <v>1</v>
      </c>
      <c r="BF350" s="28">
        <f t="shared" si="3074"/>
        <v>0</v>
      </c>
      <c r="BG350" s="28">
        <f t="shared" si="3074"/>
        <v>1</v>
      </c>
      <c r="BH350" s="28">
        <f t="shared" si="3074"/>
        <v>1</v>
      </c>
      <c r="BJ350" s="28">
        <f t="shared" ref="BJ350:BM350" si="3075">if(U350&lt;0,1+BJ349,0)</f>
        <v>0</v>
      </c>
      <c r="BK350" s="28">
        <f t="shared" si="3075"/>
        <v>1</v>
      </c>
      <c r="BL350" s="28">
        <f t="shared" si="3075"/>
        <v>0</v>
      </c>
      <c r="BM350" s="28">
        <f t="shared" si="3075"/>
        <v>0</v>
      </c>
      <c r="BO350" s="74">
        <f t="shared" ref="BO350:BR350" si="3076">if(U350&gt;0,U350+BO349,0)</f>
        <v>16</v>
      </c>
      <c r="BP350" s="74">
        <f t="shared" si="3076"/>
        <v>0</v>
      </c>
      <c r="BQ350" s="74">
        <f t="shared" si="3076"/>
        <v>16</v>
      </c>
      <c r="BR350" s="74">
        <f t="shared" si="3076"/>
        <v>16</v>
      </c>
      <c r="BT350" s="28">
        <f t="shared" ref="BT350:BW350" si="3077">if(U350&lt;0,U350+BT349,0)</f>
        <v>0</v>
      </c>
      <c r="BU350" s="28">
        <f t="shared" si="3077"/>
        <v>-48</v>
      </c>
      <c r="BV350" s="28">
        <f t="shared" si="3077"/>
        <v>0</v>
      </c>
      <c r="BW350" s="28">
        <f t="shared" si="3077"/>
        <v>0</v>
      </c>
    </row>
    <row r="351">
      <c r="A351" s="53">
        <v>18.0</v>
      </c>
      <c r="B351" s="28">
        <f>'18_26-02-2022'!A31</f>
        <v>29</v>
      </c>
      <c r="C351" s="28">
        <f>'18_26-02-2022'!E31</f>
        <v>266</v>
      </c>
      <c r="D351" s="28">
        <f>'18_26-02-2022'!H31</f>
        <v>-6</v>
      </c>
      <c r="E351" s="28">
        <f>'18_26-02-2022'!F31</f>
        <v>-110</v>
      </c>
      <c r="F351" s="28">
        <f>'18_26-02-2022'!G31</f>
        <v>-150</v>
      </c>
      <c r="G351" s="28">
        <f>'18_26-02-2022'!I31</f>
        <v>0</v>
      </c>
      <c r="H351" s="28" t="str">
        <f>'18_26-02-2022'!D31</f>
        <v>Christian</v>
      </c>
      <c r="J351" s="76" t="str">
        <f>'18_26-02-2022'!B31</f>
        <v>Christian</v>
      </c>
      <c r="K351" s="28" t="str">
        <f>'18_26-02-2022'!C31</f>
        <v>9 vip (Due fejl)</v>
      </c>
      <c r="L351" s="56"/>
      <c r="M351" s="25">
        <v>9.0</v>
      </c>
      <c r="N351" s="25" t="s">
        <v>86</v>
      </c>
      <c r="T351" s="46" t="s">
        <v>19</v>
      </c>
      <c r="U351" s="77">
        <f t="shared" ref="U351:X351" si="3078">C351-C350</f>
        <v>8</v>
      </c>
      <c r="V351" s="28">
        <f t="shared" si="3078"/>
        <v>8</v>
      </c>
      <c r="W351" s="28">
        <f t="shared" si="3078"/>
        <v>8</v>
      </c>
      <c r="X351" s="28">
        <f t="shared" si="3078"/>
        <v>-24</v>
      </c>
      <c r="AB351" s="28" t="str">
        <f t="shared" ref="AB351:AE351" si="3079">IF(AB$3=$H351,U351,"")</f>
        <v/>
      </c>
      <c r="AC351" s="28" t="str">
        <f t="shared" si="3079"/>
        <v/>
      </c>
      <c r="AD351" s="28" t="str">
        <f t="shared" si="3079"/>
        <v/>
      </c>
      <c r="AE351" s="28">
        <f t="shared" si="3079"/>
        <v>-24</v>
      </c>
      <c r="AH351" s="28">
        <f t="shared" si="22"/>
        <v>0</v>
      </c>
      <c r="AI351" s="28">
        <f t="shared" si="23"/>
        <v>-24</v>
      </c>
      <c r="AK351" s="78" t="str">
        <f t="shared" ref="AK351:AN351" si="3080">IF(U351&gt;0,AK$3,"")</f>
        <v>Thomas</v>
      </c>
      <c r="AL351" s="78" t="str">
        <f t="shared" si="3080"/>
        <v>Peter</v>
      </c>
      <c r="AM351" s="78" t="str">
        <f t="shared" si="3080"/>
        <v>Janus</v>
      </c>
      <c r="AN351" s="78" t="str">
        <f t="shared" si="3080"/>
        <v/>
      </c>
      <c r="AO351" s="56">
        <f t="shared" si="25"/>
        <v>3</v>
      </c>
      <c r="AP351" s="8" t="str">
        <f t="shared" si="26"/>
        <v>Christian</v>
      </c>
      <c r="AQ351" s="73" t="str">
        <f>IFERROR(__xludf.DUMMYFUNCTION("IFNA(QUERY(transpose(AY351:BB351),""Select Col1 where Col1 is not null limit 1"",0))"),"")</f>
        <v/>
      </c>
      <c r="AR351" s="56"/>
      <c r="AS351" s="28" t="str">
        <f t="shared" ref="AS351:AV351" si="3081">IF(AK351=AS$3,"",AS$3)</f>
        <v/>
      </c>
      <c r="AT351" s="28" t="str">
        <f t="shared" si="3081"/>
        <v/>
      </c>
      <c r="AU351" s="28" t="str">
        <f t="shared" si="3081"/>
        <v/>
      </c>
      <c r="AV351" s="28" t="str">
        <f t="shared" si="3081"/>
        <v>Christian</v>
      </c>
      <c r="AW351" s="56">
        <f t="shared" si="28"/>
        <v>1</v>
      </c>
      <c r="AX351" s="28">
        <f t="shared" si="29"/>
        <v>-24</v>
      </c>
      <c r="AY351" s="28" t="str">
        <f t="shared" ref="AY351:BB351" si="3082">IFNA(IFS(AY$3=$AP351,"",$AX351=U351,AY$3),"")</f>
        <v/>
      </c>
      <c r="AZ351" s="28" t="str">
        <f t="shared" si="3082"/>
        <v/>
      </c>
      <c r="BA351" s="28" t="str">
        <f t="shared" si="3082"/>
        <v/>
      </c>
      <c r="BB351" s="28" t="str">
        <f t="shared" si="3082"/>
        <v/>
      </c>
      <c r="BC351" s="58">
        <f>OFFSET('00_Regnskab_01'!$A$1,MATCH(A351,'00_Regnskab_01'!$A$1:$A$25)-1,2)</f>
        <v>44618</v>
      </c>
      <c r="BE351" s="80">
        <f t="shared" ref="BE351:BH351" si="3083">if(U351&gt;0,1+BE350,0)</f>
        <v>2</v>
      </c>
      <c r="BF351" s="28">
        <f t="shared" si="3083"/>
        <v>1</v>
      </c>
      <c r="BG351" s="28">
        <f t="shared" si="3083"/>
        <v>2</v>
      </c>
      <c r="BH351" s="28">
        <f t="shared" si="3083"/>
        <v>0</v>
      </c>
      <c r="BJ351" s="28">
        <f t="shared" ref="BJ351:BM351" si="3084">if(U351&lt;0,1+BJ350,0)</f>
        <v>0</v>
      </c>
      <c r="BK351" s="28">
        <f t="shared" si="3084"/>
        <v>0</v>
      </c>
      <c r="BL351" s="28">
        <f t="shared" si="3084"/>
        <v>0</v>
      </c>
      <c r="BM351" s="28">
        <f t="shared" si="3084"/>
        <v>1</v>
      </c>
      <c r="BO351" s="74">
        <f t="shared" ref="BO351:BR351" si="3085">if(U351&gt;0,U351+BO350,0)</f>
        <v>24</v>
      </c>
      <c r="BP351" s="74">
        <f t="shared" si="3085"/>
        <v>8</v>
      </c>
      <c r="BQ351" s="74">
        <f t="shared" si="3085"/>
        <v>24</v>
      </c>
      <c r="BR351" s="74">
        <f t="shared" si="3085"/>
        <v>0</v>
      </c>
      <c r="BT351" s="28">
        <f t="shared" ref="BT351:BW351" si="3086">if(U351&lt;0,U351+BT350,0)</f>
        <v>0</v>
      </c>
      <c r="BU351" s="28">
        <f t="shared" si="3086"/>
        <v>0</v>
      </c>
      <c r="BV351" s="28">
        <f t="shared" si="3086"/>
        <v>0</v>
      </c>
      <c r="BW351" s="28">
        <f t="shared" si="3086"/>
        <v>-24</v>
      </c>
    </row>
    <row r="352">
      <c r="A352" s="53">
        <v>18.0</v>
      </c>
      <c r="B352" s="28">
        <f>'18_26-02-2022'!A32</f>
        <v>30</v>
      </c>
      <c r="C352" s="28">
        <f>'18_26-02-2022'!E32</f>
        <v>234</v>
      </c>
      <c r="D352" s="28">
        <f>'18_26-02-2022'!H32</f>
        <v>-38</v>
      </c>
      <c r="E352" s="28">
        <f>'18_26-02-2022'!F32</f>
        <v>-78</v>
      </c>
      <c r="F352" s="28">
        <f>'18_26-02-2022'!G32</f>
        <v>-118</v>
      </c>
      <c r="G352" s="28">
        <f>'18_26-02-2022'!I32</f>
        <v>0</v>
      </c>
      <c r="H352" s="28" t="str">
        <f>'18_26-02-2022'!D32</f>
        <v>Peter</v>
      </c>
      <c r="J352" s="76" t="str">
        <f>'18_26-02-2022'!B32</f>
        <v>Janus</v>
      </c>
      <c r="K352" s="28" t="str">
        <f>'18_26-02-2022'!C32</f>
        <v>9 vip i 3</v>
      </c>
      <c r="L352" s="56"/>
      <c r="M352" s="25">
        <v>9.0</v>
      </c>
      <c r="N352" s="25" t="s">
        <v>86</v>
      </c>
      <c r="O352" s="25">
        <v>3.0</v>
      </c>
      <c r="T352" s="56"/>
      <c r="U352" s="77">
        <f t="shared" ref="U352:X352" si="3087">C352-C351</f>
        <v>-32</v>
      </c>
      <c r="V352" s="28">
        <f t="shared" si="3087"/>
        <v>-32</v>
      </c>
      <c r="W352" s="28">
        <f t="shared" si="3087"/>
        <v>32</v>
      </c>
      <c r="X352" s="28">
        <f t="shared" si="3087"/>
        <v>32</v>
      </c>
      <c r="AB352" s="28" t="str">
        <f t="shared" ref="AB352:AE352" si="3088">IF(AB$3=$H352,U352,"")</f>
        <v/>
      </c>
      <c r="AC352" s="28">
        <f t="shared" si="3088"/>
        <v>-32</v>
      </c>
      <c r="AD352" s="28" t="str">
        <f t="shared" si="3088"/>
        <v/>
      </c>
      <c r="AE352" s="28" t="str">
        <f t="shared" si="3088"/>
        <v/>
      </c>
      <c r="AH352" s="28">
        <f t="shared" si="22"/>
        <v>0</v>
      </c>
      <c r="AI352" s="28">
        <f t="shared" si="23"/>
        <v>-32</v>
      </c>
      <c r="AK352" s="78" t="str">
        <f t="shared" ref="AK352:AN352" si="3089">IF(U352&gt;0,AK$3,"")</f>
        <v/>
      </c>
      <c r="AL352" s="78" t="str">
        <f t="shared" si="3089"/>
        <v/>
      </c>
      <c r="AM352" s="78" t="str">
        <f t="shared" si="3089"/>
        <v>Janus</v>
      </c>
      <c r="AN352" s="78" t="str">
        <f t="shared" si="3089"/>
        <v>Christian</v>
      </c>
      <c r="AO352" s="56">
        <f t="shared" si="25"/>
        <v>2</v>
      </c>
      <c r="AP352" s="8" t="str">
        <f t="shared" si="26"/>
        <v>Peter</v>
      </c>
      <c r="AQ352" s="73" t="str">
        <f>IFERROR(__xludf.DUMMYFUNCTION("IFNA(QUERY(transpose(AY352:BB352),""Select Col1 where Col1 is not null limit 1"",0))"),"Thomas")</f>
        <v>Thomas</v>
      </c>
      <c r="AR352" s="56"/>
      <c r="AS352" s="28" t="str">
        <f t="shared" ref="AS352:AV352" si="3090">IF(AK352=AS$3,"",AS$3)</f>
        <v>Thomas</v>
      </c>
      <c r="AT352" s="28" t="str">
        <f t="shared" si="3090"/>
        <v>Peter</v>
      </c>
      <c r="AU352" s="28" t="str">
        <f t="shared" si="3090"/>
        <v/>
      </c>
      <c r="AV352" s="28" t="str">
        <f t="shared" si="3090"/>
        <v/>
      </c>
      <c r="AW352" s="56">
        <f t="shared" si="28"/>
        <v>2</v>
      </c>
      <c r="AX352" s="28">
        <f t="shared" si="29"/>
        <v>-32</v>
      </c>
      <c r="AY352" s="28" t="str">
        <f t="shared" ref="AY352:BB352" si="3091">IFNA(IFS(AY$3=$AP352,"",$AX352=U352,AY$3),"")</f>
        <v>Thomas</v>
      </c>
      <c r="AZ352" s="28" t="str">
        <f t="shared" si="3091"/>
        <v/>
      </c>
      <c r="BA352" s="28" t="str">
        <f t="shared" si="3091"/>
        <v/>
      </c>
      <c r="BB352" s="28" t="str">
        <f t="shared" si="3091"/>
        <v/>
      </c>
      <c r="BC352" s="58">
        <f>OFFSET('00_Regnskab_01'!$A$1,MATCH(A352,'00_Regnskab_01'!$A$1:$A$25)-1,2)</f>
        <v>44618</v>
      </c>
      <c r="BE352" s="80">
        <f t="shared" ref="BE352:BH352" si="3092">if(U352&gt;0,1+BE351,0)</f>
        <v>0</v>
      </c>
      <c r="BF352" s="28">
        <f t="shared" si="3092"/>
        <v>0</v>
      </c>
      <c r="BG352" s="28">
        <f t="shared" si="3092"/>
        <v>3</v>
      </c>
      <c r="BH352" s="28">
        <f t="shared" si="3092"/>
        <v>1</v>
      </c>
      <c r="BJ352" s="28">
        <f t="shared" ref="BJ352:BM352" si="3093">if(U352&lt;0,1+BJ351,0)</f>
        <v>1</v>
      </c>
      <c r="BK352" s="28">
        <f t="shared" si="3093"/>
        <v>1</v>
      </c>
      <c r="BL352" s="28">
        <f t="shared" si="3093"/>
        <v>0</v>
      </c>
      <c r="BM352" s="28">
        <f t="shared" si="3093"/>
        <v>0</v>
      </c>
      <c r="BO352" s="74">
        <f t="shared" ref="BO352:BR352" si="3094">if(U352&gt;0,U352+BO351,0)</f>
        <v>0</v>
      </c>
      <c r="BP352" s="74">
        <f t="shared" si="3094"/>
        <v>0</v>
      </c>
      <c r="BQ352" s="74">
        <f t="shared" si="3094"/>
        <v>56</v>
      </c>
      <c r="BR352" s="74">
        <f t="shared" si="3094"/>
        <v>32</v>
      </c>
      <c r="BT352" s="28">
        <f t="shared" ref="BT352:BW352" si="3095">if(U352&lt;0,U352+BT351,0)</f>
        <v>-32</v>
      </c>
      <c r="BU352" s="28">
        <f t="shared" si="3095"/>
        <v>-32</v>
      </c>
      <c r="BV352" s="28">
        <f t="shared" si="3095"/>
        <v>0</v>
      </c>
      <c r="BW352" s="28">
        <f t="shared" si="3095"/>
        <v>0</v>
      </c>
    </row>
    <row r="353">
      <c r="A353" s="53">
        <v>18.0</v>
      </c>
      <c r="B353" s="28">
        <f>'18_26-02-2022'!A33</f>
        <v>31</v>
      </c>
      <c r="C353" s="28">
        <f>'18_26-02-2022'!E33</f>
        <v>186</v>
      </c>
      <c r="D353" s="28">
        <f>'18_26-02-2022'!H33</f>
        <v>-86</v>
      </c>
      <c r="E353" s="28">
        <f>'18_26-02-2022'!F33</f>
        <v>-30</v>
      </c>
      <c r="F353" s="28">
        <f>'18_26-02-2022'!G33</f>
        <v>-70</v>
      </c>
      <c r="G353" s="28">
        <f>'18_26-02-2022'!I33</f>
        <v>0</v>
      </c>
      <c r="H353" s="28" t="str">
        <f>'18_26-02-2022'!D33</f>
        <v>Thomas</v>
      </c>
      <c r="J353" s="76" t="str">
        <f>'18_26-02-2022'!B33</f>
        <v>Thomas</v>
      </c>
      <c r="K353" s="28" t="str">
        <f>'18_26-02-2022'!C33</f>
        <v>9 vip i 3</v>
      </c>
      <c r="L353" s="56"/>
      <c r="M353" s="25">
        <v>9.0</v>
      </c>
      <c r="N353" s="25" t="s">
        <v>86</v>
      </c>
      <c r="O353" s="25">
        <v>3.0</v>
      </c>
      <c r="T353" s="56"/>
      <c r="U353" s="77">
        <f t="shared" ref="U353:X353" si="3096">C353-C352</f>
        <v>-48</v>
      </c>
      <c r="V353" s="28">
        <f t="shared" si="3096"/>
        <v>-48</v>
      </c>
      <c r="W353" s="28">
        <f t="shared" si="3096"/>
        <v>48</v>
      </c>
      <c r="X353" s="28">
        <f t="shared" si="3096"/>
        <v>48</v>
      </c>
      <c r="AB353" s="28">
        <f t="shared" ref="AB353:AE353" si="3097">IF(AB$3=$H353,U353,"")</f>
        <v>-48</v>
      </c>
      <c r="AC353" s="28" t="str">
        <f t="shared" si="3097"/>
        <v/>
      </c>
      <c r="AD353" s="28" t="str">
        <f t="shared" si="3097"/>
        <v/>
      </c>
      <c r="AE353" s="28" t="str">
        <f t="shared" si="3097"/>
        <v/>
      </c>
      <c r="AH353" s="28">
        <f t="shared" si="22"/>
        <v>0</v>
      </c>
      <c r="AI353" s="28">
        <f t="shared" si="23"/>
        <v>-48</v>
      </c>
      <c r="AK353" s="78" t="str">
        <f t="shared" ref="AK353:AN353" si="3098">IF(U353&gt;0,AK$3,"")</f>
        <v/>
      </c>
      <c r="AL353" s="78" t="str">
        <f t="shared" si="3098"/>
        <v/>
      </c>
      <c r="AM353" s="78" t="str">
        <f t="shared" si="3098"/>
        <v>Janus</v>
      </c>
      <c r="AN353" s="78" t="str">
        <f t="shared" si="3098"/>
        <v>Christian</v>
      </c>
      <c r="AO353" s="56">
        <f t="shared" si="25"/>
        <v>2</v>
      </c>
      <c r="AP353" s="8" t="str">
        <f t="shared" si="26"/>
        <v>Thomas</v>
      </c>
      <c r="AQ353" s="73" t="str">
        <f>IFERROR(__xludf.DUMMYFUNCTION("IFNA(QUERY(transpose(AY353:BB353),""Select Col1 where Col1 is not null limit 1"",0))"),"Peter")</f>
        <v>Peter</v>
      </c>
      <c r="AR353" s="56"/>
      <c r="AS353" s="28" t="str">
        <f t="shared" ref="AS353:AV353" si="3099">IF(AK353=AS$3,"",AS$3)</f>
        <v>Thomas</v>
      </c>
      <c r="AT353" s="28" t="str">
        <f t="shared" si="3099"/>
        <v>Peter</v>
      </c>
      <c r="AU353" s="28" t="str">
        <f t="shared" si="3099"/>
        <v/>
      </c>
      <c r="AV353" s="28" t="str">
        <f t="shared" si="3099"/>
        <v/>
      </c>
      <c r="AW353" s="56">
        <f t="shared" si="28"/>
        <v>2</v>
      </c>
      <c r="AX353" s="28">
        <f t="shared" si="29"/>
        <v>-48</v>
      </c>
      <c r="AY353" s="28" t="str">
        <f t="shared" ref="AY353:BB353" si="3100">IFNA(IFS(AY$3=$AP353,"",$AX353=U353,AY$3),"")</f>
        <v/>
      </c>
      <c r="AZ353" s="28" t="str">
        <f t="shared" si="3100"/>
        <v>Peter</v>
      </c>
      <c r="BA353" s="28" t="str">
        <f t="shared" si="3100"/>
        <v/>
      </c>
      <c r="BB353" s="28" t="str">
        <f t="shared" si="3100"/>
        <v/>
      </c>
      <c r="BC353" s="58">
        <f>OFFSET('00_Regnskab_01'!$A$1,MATCH(A353,'00_Regnskab_01'!$A$1:$A$25)-1,2)</f>
        <v>44618</v>
      </c>
      <c r="BE353" s="80">
        <f t="shared" ref="BE353:BH353" si="3101">if(U353&gt;0,1+BE352,0)</f>
        <v>0</v>
      </c>
      <c r="BF353" s="28">
        <f t="shared" si="3101"/>
        <v>0</v>
      </c>
      <c r="BG353" s="28">
        <f t="shared" si="3101"/>
        <v>4</v>
      </c>
      <c r="BH353" s="28">
        <f t="shared" si="3101"/>
        <v>2</v>
      </c>
      <c r="BJ353" s="28">
        <f t="shared" ref="BJ353:BM353" si="3102">if(U353&lt;0,1+BJ352,0)</f>
        <v>2</v>
      </c>
      <c r="BK353" s="28">
        <f t="shared" si="3102"/>
        <v>2</v>
      </c>
      <c r="BL353" s="28">
        <f t="shared" si="3102"/>
        <v>0</v>
      </c>
      <c r="BM353" s="28">
        <f t="shared" si="3102"/>
        <v>0</v>
      </c>
      <c r="BO353" s="74">
        <f t="shared" ref="BO353:BR353" si="3103">if(U353&gt;0,U353+BO352,0)</f>
        <v>0</v>
      </c>
      <c r="BP353" s="74">
        <f t="shared" si="3103"/>
        <v>0</v>
      </c>
      <c r="BQ353" s="74">
        <f t="shared" si="3103"/>
        <v>104</v>
      </c>
      <c r="BR353" s="74">
        <f t="shared" si="3103"/>
        <v>80</v>
      </c>
      <c r="BT353" s="28">
        <f t="shared" ref="BT353:BW353" si="3104">if(U353&lt;0,U353+BT352,0)</f>
        <v>-80</v>
      </c>
      <c r="BU353" s="28">
        <f t="shared" si="3104"/>
        <v>-80</v>
      </c>
      <c r="BV353" s="28">
        <f t="shared" si="3104"/>
        <v>0</v>
      </c>
      <c r="BW353" s="28">
        <f t="shared" si="3104"/>
        <v>0</v>
      </c>
    </row>
    <row r="354">
      <c r="A354" s="53">
        <v>18.0</v>
      </c>
      <c r="B354" s="28">
        <f>'18_26-02-2022'!A34</f>
        <v>32</v>
      </c>
      <c r="C354" s="28">
        <f>'18_26-02-2022'!E34</f>
        <v>194</v>
      </c>
      <c r="D354" s="28">
        <f>'18_26-02-2022'!H34</f>
        <v>-94</v>
      </c>
      <c r="E354" s="28">
        <f>'18_26-02-2022'!F34</f>
        <v>-38</v>
      </c>
      <c r="F354" s="28">
        <f>'18_26-02-2022'!G34</f>
        <v>-62</v>
      </c>
      <c r="G354" s="28">
        <f>'18_26-02-2022'!I34</f>
        <v>0</v>
      </c>
      <c r="H354" s="28" t="str">
        <f>'18_26-02-2022'!D34</f>
        <v>Thomas</v>
      </c>
      <c r="J354" s="76" t="str">
        <f>'18_26-02-2022'!B34</f>
        <v>Peter</v>
      </c>
      <c r="K354" s="28" t="str">
        <f>'18_26-02-2022'!C34</f>
        <v>9 alm</v>
      </c>
      <c r="L354" s="56"/>
      <c r="M354" s="25">
        <v>9.0</v>
      </c>
      <c r="N354" s="25" t="s">
        <v>100</v>
      </c>
      <c r="T354" s="56"/>
      <c r="U354" s="77">
        <f t="shared" ref="U354:X354" si="3105">C354-C353</f>
        <v>8</v>
      </c>
      <c r="V354" s="28">
        <f t="shared" si="3105"/>
        <v>-8</v>
      </c>
      <c r="W354" s="28">
        <f t="shared" si="3105"/>
        <v>-8</v>
      </c>
      <c r="X354" s="28">
        <f t="shared" si="3105"/>
        <v>8</v>
      </c>
      <c r="AB354" s="28">
        <f t="shared" ref="AB354:AE354" si="3106">IF(AB$3=$H354,U354,"")</f>
        <v>8</v>
      </c>
      <c r="AC354" s="28" t="str">
        <f t="shared" si="3106"/>
        <v/>
      </c>
      <c r="AD354" s="28" t="str">
        <f t="shared" si="3106"/>
        <v/>
      </c>
      <c r="AE354" s="28" t="str">
        <f t="shared" si="3106"/>
        <v/>
      </c>
      <c r="AH354" s="28">
        <f t="shared" si="22"/>
        <v>8</v>
      </c>
      <c r="AI354" s="28">
        <f t="shared" si="23"/>
        <v>0</v>
      </c>
      <c r="AK354" s="78" t="str">
        <f t="shared" ref="AK354:AN354" si="3107">IF(U354&gt;0,AK$3,"")</f>
        <v>Thomas</v>
      </c>
      <c r="AL354" s="78" t="str">
        <f t="shared" si="3107"/>
        <v/>
      </c>
      <c r="AM354" s="78" t="str">
        <f t="shared" si="3107"/>
        <v/>
      </c>
      <c r="AN354" s="78" t="str">
        <f t="shared" si="3107"/>
        <v>Christian</v>
      </c>
      <c r="AO354" s="56">
        <f t="shared" si="25"/>
        <v>2</v>
      </c>
      <c r="AP354" s="8" t="str">
        <f t="shared" si="26"/>
        <v>Thomas</v>
      </c>
      <c r="AQ354" s="73" t="str">
        <f>IFERROR(__xludf.DUMMYFUNCTION("IFNA(QUERY(transpose(AY354:BB354),""Select Col1 where Col1 is not null limit 1"",0))"),"Christian")</f>
        <v>Christian</v>
      </c>
      <c r="AR354" s="56"/>
      <c r="AS354" s="28" t="str">
        <f t="shared" ref="AS354:AV354" si="3108">IF(AK354=AS$3,"",AS$3)</f>
        <v/>
      </c>
      <c r="AT354" s="28" t="str">
        <f t="shared" si="3108"/>
        <v>Peter</v>
      </c>
      <c r="AU354" s="28" t="str">
        <f t="shared" si="3108"/>
        <v>Janus</v>
      </c>
      <c r="AV354" s="28" t="str">
        <f t="shared" si="3108"/>
        <v/>
      </c>
      <c r="AW354" s="56">
        <f t="shared" si="28"/>
        <v>2</v>
      </c>
      <c r="AX354" s="28">
        <f t="shared" si="29"/>
        <v>8</v>
      </c>
      <c r="AY354" s="28" t="str">
        <f t="shared" ref="AY354:BB354" si="3109">IFNA(IFS(AY$3=$AP354,"",$AX354=U354,AY$3),"")</f>
        <v/>
      </c>
      <c r="AZ354" s="28" t="str">
        <f t="shared" si="3109"/>
        <v/>
      </c>
      <c r="BA354" s="28" t="str">
        <f t="shared" si="3109"/>
        <v/>
      </c>
      <c r="BB354" s="28" t="str">
        <f t="shared" si="3109"/>
        <v>Christian</v>
      </c>
      <c r="BC354" s="58">
        <f>OFFSET('00_Regnskab_01'!$A$1,MATCH(A354,'00_Regnskab_01'!$A$1:$A$25)-1,2)</f>
        <v>44618</v>
      </c>
      <c r="BE354" s="80">
        <f t="shared" ref="BE354:BH354" si="3110">if(U354&gt;0,1+BE353,0)</f>
        <v>1</v>
      </c>
      <c r="BF354" s="28">
        <f t="shared" si="3110"/>
        <v>0</v>
      </c>
      <c r="BG354" s="28">
        <f t="shared" si="3110"/>
        <v>0</v>
      </c>
      <c r="BH354" s="28">
        <f t="shared" si="3110"/>
        <v>3</v>
      </c>
      <c r="BJ354" s="28">
        <f t="shared" ref="BJ354:BM354" si="3111">if(U354&lt;0,1+BJ353,0)</f>
        <v>0</v>
      </c>
      <c r="BK354" s="28">
        <f t="shared" si="3111"/>
        <v>3</v>
      </c>
      <c r="BL354" s="28">
        <f t="shared" si="3111"/>
        <v>1</v>
      </c>
      <c r="BM354" s="28">
        <f t="shared" si="3111"/>
        <v>0</v>
      </c>
      <c r="BO354" s="74">
        <f t="shared" ref="BO354:BR354" si="3112">if(U354&gt;0,U354+BO353,0)</f>
        <v>8</v>
      </c>
      <c r="BP354" s="74">
        <f t="shared" si="3112"/>
        <v>0</v>
      </c>
      <c r="BQ354" s="74">
        <f t="shared" si="3112"/>
        <v>0</v>
      </c>
      <c r="BR354" s="74">
        <f t="shared" si="3112"/>
        <v>88</v>
      </c>
      <c r="BT354" s="28">
        <f t="shared" ref="BT354:BW354" si="3113">if(U354&lt;0,U354+BT353,0)</f>
        <v>0</v>
      </c>
      <c r="BU354" s="28">
        <f t="shared" si="3113"/>
        <v>-88</v>
      </c>
      <c r="BV354" s="28">
        <f t="shared" si="3113"/>
        <v>-8</v>
      </c>
      <c r="BW354" s="28">
        <f t="shared" si="3113"/>
        <v>0</v>
      </c>
    </row>
    <row r="355">
      <c r="A355" s="53">
        <v>18.0</v>
      </c>
      <c r="B355" s="28">
        <f>'18_26-02-2022'!A35</f>
        <v>33</v>
      </c>
      <c r="C355" s="28">
        <f>'18_26-02-2022'!E35</f>
        <v>214</v>
      </c>
      <c r="D355" s="28">
        <f>'18_26-02-2022'!H35</f>
        <v>-114</v>
      </c>
      <c r="E355" s="28">
        <f>'18_26-02-2022'!F35</f>
        <v>-18</v>
      </c>
      <c r="F355" s="28">
        <f>'18_26-02-2022'!G35</f>
        <v>-82</v>
      </c>
      <c r="G355" s="28">
        <f>'18_26-02-2022'!I35</f>
        <v>0</v>
      </c>
      <c r="H355" s="28" t="str">
        <f>'18_26-02-2022'!D35</f>
        <v>Thomas</v>
      </c>
      <c r="J355" s="76" t="str">
        <f>'18_26-02-2022'!B35</f>
        <v>Christian</v>
      </c>
      <c r="K355" s="28" t="str">
        <f>'18_26-02-2022'!C35</f>
        <v>9 gode</v>
      </c>
      <c r="L355" s="56"/>
      <c r="M355" s="25">
        <v>9.0</v>
      </c>
      <c r="N355" s="25" t="s">
        <v>95</v>
      </c>
      <c r="T355" s="56"/>
      <c r="U355" s="77">
        <f t="shared" ref="U355:X355" si="3114">C355-C354</f>
        <v>20</v>
      </c>
      <c r="V355" s="28">
        <f t="shared" si="3114"/>
        <v>-20</v>
      </c>
      <c r="W355" s="28">
        <f t="shared" si="3114"/>
        <v>20</v>
      </c>
      <c r="X355" s="28">
        <f t="shared" si="3114"/>
        <v>-20</v>
      </c>
      <c r="AB355" s="28">
        <f t="shared" ref="AB355:AE355" si="3115">IF(AB$3=$H355,U355,"")</f>
        <v>20</v>
      </c>
      <c r="AC355" s="28" t="str">
        <f t="shared" si="3115"/>
        <v/>
      </c>
      <c r="AD355" s="28" t="str">
        <f t="shared" si="3115"/>
        <v/>
      </c>
      <c r="AE355" s="28" t="str">
        <f t="shared" si="3115"/>
        <v/>
      </c>
      <c r="AH355" s="28">
        <f t="shared" si="22"/>
        <v>20</v>
      </c>
      <c r="AI355" s="28">
        <f t="shared" si="23"/>
        <v>0</v>
      </c>
      <c r="AK355" s="78" t="str">
        <f t="shared" ref="AK355:AN355" si="3116">IF(U355&gt;0,AK$3,"")</f>
        <v>Thomas</v>
      </c>
      <c r="AL355" s="78" t="str">
        <f t="shared" si="3116"/>
        <v/>
      </c>
      <c r="AM355" s="78" t="str">
        <f t="shared" si="3116"/>
        <v>Janus</v>
      </c>
      <c r="AN355" s="78" t="str">
        <f t="shared" si="3116"/>
        <v/>
      </c>
      <c r="AO355" s="56">
        <f t="shared" si="25"/>
        <v>2</v>
      </c>
      <c r="AP355" s="8" t="str">
        <f t="shared" si="26"/>
        <v>Thomas</v>
      </c>
      <c r="AQ355" s="73" t="str">
        <f>IFERROR(__xludf.DUMMYFUNCTION("IFNA(QUERY(transpose(AY355:BB355),""Select Col1 where Col1 is not null limit 1"",0))"),"Janus")</f>
        <v>Janus</v>
      </c>
      <c r="AR355" s="56"/>
      <c r="AS355" s="28" t="str">
        <f t="shared" ref="AS355:AV355" si="3117">IF(AK355=AS$3,"",AS$3)</f>
        <v/>
      </c>
      <c r="AT355" s="28" t="str">
        <f t="shared" si="3117"/>
        <v>Peter</v>
      </c>
      <c r="AU355" s="28" t="str">
        <f t="shared" si="3117"/>
        <v/>
      </c>
      <c r="AV355" s="28" t="str">
        <f t="shared" si="3117"/>
        <v>Christian</v>
      </c>
      <c r="AW355" s="56">
        <f t="shared" si="28"/>
        <v>2</v>
      </c>
      <c r="AX355" s="28">
        <f t="shared" si="29"/>
        <v>20</v>
      </c>
      <c r="AY355" s="28" t="str">
        <f t="shared" ref="AY355:BB355" si="3118">IFNA(IFS(AY$3=$AP355,"",$AX355=U355,AY$3),"")</f>
        <v/>
      </c>
      <c r="AZ355" s="28" t="str">
        <f t="shared" si="3118"/>
        <v/>
      </c>
      <c r="BA355" s="28" t="str">
        <f t="shared" si="3118"/>
        <v>Janus</v>
      </c>
      <c r="BB355" s="28" t="str">
        <f t="shared" si="3118"/>
        <v/>
      </c>
      <c r="BC355" s="58">
        <f>OFFSET('00_Regnskab_01'!$A$1,MATCH(A355,'00_Regnskab_01'!$A$1:$A$25)-1,2)</f>
        <v>44618</v>
      </c>
      <c r="BE355" s="80">
        <f t="shared" ref="BE355:BH355" si="3119">if(U355&gt;0,1+BE354,0)</f>
        <v>2</v>
      </c>
      <c r="BF355" s="28">
        <f t="shared" si="3119"/>
        <v>0</v>
      </c>
      <c r="BG355" s="28">
        <f t="shared" si="3119"/>
        <v>1</v>
      </c>
      <c r="BH355" s="28">
        <f t="shared" si="3119"/>
        <v>0</v>
      </c>
      <c r="BJ355" s="28">
        <f t="shared" ref="BJ355:BM355" si="3120">if(U355&lt;0,1+BJ354,0)</f>
        <v>0</v>
      </c>
      <c r="BK355" s="28">
        <f t="shared" si="3120"/>
        <v>4</v>
      </c>
      <c r="BL355" s="28">
        <f t="shared" si="3120"/>
        <v>0</v>
      </c>
      <c r="BM355" s="28">
        <f t="shared" si="3120"/>
        <v>1</v>
      </c>
      <c r="BO355" s="74">
        <f t="shared" ref="BO355:BR355" si="3121">if(U355&gt;0,U355+BO354,0)</f>
        <v>28</v>
      </c>
      <c r="BP355" s="74">
        <f t="shared" si="3121"/>
        <v>0</v>
      </c>
      <c r="BQ355" s="74">
        <f t="shared" si="3121"/>
        <v>20</v>
      </c>
      <c r="BR355" s="74">
        <f t="shared" si="3121"/>
        <v>0</v>
      </c>
      <c r="BT355" s="28">
        <f t="shared" ref="BT355:BW355" si="3122">if(U355&lt;0,U355+BT354,0)</f>
        <v>0</v>
      </c>
      <c r="BU355" s="28">
        <f t="shared" si="3122"/>
        <v>-108</v>
      </c>
      <c r="BV355" s="28">
        <f t="shared" si="3122"/>
        <v>0</v>
      </c>
      <c r="BW355" s="28">
        <f t="shared" si="3122"/>
        <v>-20</v>
      </c>
    </row>
    <row r="356">
      <c r="A356" s="53">
        <v>18.0</v>
      </c>
      <c r="B356" s="28">
        <f>'18_26-02-2022'!A36</f>
        <v>34</v>
      </c>
      <c r="C356" s="28">
        <f>'18_26-02-2022'!E36</f>
        <v>238</v>
      </c>
      <c r="D356" s="28">
        <f>'18_26-02-2022'!H36</f>
        <v>-138</v>
      </c>
      <c r="E356" s="28">
        <f>'18_26-02-2022'!F36</f>
        <v>6</v>
      </c>
      <c r="F356" s="28">
        <f>'18_26-02-2022'!G36</f>
        <v>-106</v>
      </c>
      <c r="G356" s="28">
        <f>'18_26-02-2022'!I36</f>
        <v>0</v>
      </c>
      <c r="H356" s="28" t="str">
        <f>'18_26-02-2022'!D36</f>
        <v>Peter</v>
      </c>
      <c r="J356" s="76" t="str">
        <f>'18_26-02-2022'!B36</f>
        <v>Janus</v>
      </c>
      <c r="K356" s="28" t="str">
        <f>'18_26-02-2022'!C36</f>
        <v>9 vip i 2</v>
      </c>
      <c r="L356" s="56"/>
      <c r="M356" s="25">
        <v>9.0</v>
      </c>
      <c r="N356" s="25" t="s">
        <v>86</v>
      </c>
      <c r="O356" s="25">
        <v>2.0</v>
      </c>
      <c r="T356" s="56"/>
      <c r="U356" s="77">
        <f t="shared" ref="U356:X356" si="3123">C356-C355</f>
        <v>24</v>
      </c>
      <c r="V356" s="28">
        <f t="shared" si="3123"/>
        <v>-24</v>
      </c>
      <c r="W356" s="28">
        <f t="shared" si="3123"/>
        <v>24</v>
      </c>
      <c r="X356" s="28">
        <f t="shared" si="3123"/>
        <v>-24</v>
      </c>
      <c r="AB356" s="28" t="str">
        <f t="shared" ref="AB356:AE356" si="3124">IF(AB$3=$H356,U356,"")</f>
        <v/>
      </c>
      <c r="AC356" s="28">
        <f t="shared" si="3124"/>
        <v>-24</v>
      </c>
      <c r="AD356" s="28" t="str">
        <f t="shared" si="3124"/>
        <v/>
      </c>
      <c r="AE356" s="28" t="str">
        <f t="shared" si="3124"/>
        <v/>
      </c>
      <c r="AH356" s="28">
        <f t="shared" si="22"/>
        <v>0</v>
      </c>
      <c r="AI356" s="28">
        <f t="shared" si="23"/>
        <v>-24</v>
      </c>
      <c r="AK356" s="78" t="str">
        <f t="shared" ref="AK356:AN356" si="3125">IF(U356&gt;0,AK$3,"")</f>
        <v>Thomas</v>
      </c>
      <c r="AL356" s="78" t="str">
        <f t="shared" si="3125"/>
        <v/>
      </c>
      <c r="AM356" s="78" t="str">
        <f t="shared" si="3125"/>
        <v>Janus</v>
      </c>
      <c r="AN356" s="78" t="str">
        <f t="shared" si="3125"/>
        <v/>
      </c>
      <c r="AO356" s="56">
        <f t="shared" si="25"/>
        <v>2</v>
      </c>
      <c r="AP356" s="8" t="str">
        <f t="shared" si="26"/>
        <v>Peter</v>
      </c>
      <c r="AQ356" s="73" t="str">
        <f>IFERROR(__xludf.DUMMYFUNCTION("IFNA(QUERY(transpose(AY356:BB356),""Select Col1 where Col1 is not null limit 1"",0))"),"Christian")</f>
        <v>Christian</v>
      </c>
      <c r="AR356" s="56"/>
      <c r="AS356" s="28" t="str">
        <f t="shared" ref="AS356:AV356" si="3126">IF(AK356=AS$3,"",AS$3)</f>
        <v/>
      </c>
      <c r="AT356" s="28" t="str">
        <f t="shared" si="3126"/>
        <v>Peter</v>
      </c>
      <c r="AU356" s="28" t="str">
        <f t="shared" si="3126"/>
        <v/>
      </c>
      <c r="AV356" s="28" t="str">
        <f t="shared" si="3126"/>
        <v>Christian</v>
      </c>
      <c r="AW356" s="56">
        <f t="shared" si="28"/>
        <v>2</v>
      </c>
      <c r="AX356" s="28">
        <f t="shared" si="29"/>
        <v>-24</v>
      </c>
      <c r="AY356" s="28" t="str">
        <f t="shared" ref="AY356:BB356" si="3127">IFNA(IFS(AY$3=$AP356,"",$AX356=U356,AY$3),"")</f>
        <v/>
      </c>
      <c r="AZ356" s="28" t="str">
        <f t="shared" si="3127"/>
        <v/>
      </c>
      <c r="BA356" s="28" t="str">
        <f t="shared" si="3127"/>
        <v/>
      </c>
      <c r="BB356" s="28" t="str">
        <f t="shared" si="3127"/>
        <v>Christian</v>
      </c>
      <c r="BC356" s="58">
        <f>OFFSET('00_Regnskab_01'!$A$1,MATCH(A356,'00_Regnskab_01'!$A$1:$A$25)-1,2)</f>
        <v>44618</v>
      </c>
      <c r="BE356" s="80">
        <f t="shared" ref="BE356:BH356" si="3128">if(U356&gt;0,1+BE355,0)</f>
        <v>3</v>
      </c>
      <c r="BF356" s="28">
        <f t="shared" si="3128"/>
        <v>0</v>
      </c>
      <c r="BG356" s="28">
        <f t="shared" si="3128"/>
        <v>2</v>
      </c>
      <c r="BH356" s="28">
        <f t="shared" si="3128"/>
        <v>0</v>
      </c>
      <c r="BJ356" s="28">
        <f t="shared" ref="BJ356:BM356" si="3129">if(U356&lt;0,1+BJ355,0)</f>
        <v>0</v>
      </c>
      <c r="BK356" s="28">
        <f t="shared" si="3129"/>
        <v>5</v>
      </c>
      <c r="BL356" s="28">
        <f t="shared" si="3129"/>
        <v>0</v>
      </c>
      <c r="BM356" s="28">
        <f t="shared" si="3129"/>
        <v>2</v>
      </c>
      <c r="BO356" s="74">
        <f t="shared" ref="BO356:BR356" si="3130">if(U356&gt;0,U356+BO355,0)</f>
        <v>52</v>
      </c>
      <c r="BP356" s="74">
        <f t="shared" si="3130"/>
        <v>0</v>
      </c>
      <c r="BQ356" s="74">
        <f t="shared" si="3130"/>
        <v>44</v>
      </c>
      <c r="BR356" s="74">
        <f t="shared" si="3130"/>
        <v>0</v>
      </c>
      <c r="BT356" s="28">
        <f t="shared" ref="BT356:BW356" si="3131">if(U356&lt;0,U356+BT355,0)</f>
        <v>0</v>
      </c>
      <c r="BU356" s="28">
        <f t="shared" si="3131"/>
        <v>-132</v>
      </c>
      <c r="BV356" s="28">
        <f t="shared" si="3131"/>
        <v>0</v>
      </c>
      <c r="BW356" s="28">
        <f t="shared" si="3131"/>
        <v>-44</v>
      </c>
    </row>
    <row r="357">
      <c r="A357" s="53">
        <v>18.0</v>
      </c>
      <c r="B357" s="28">
        <f>'18_26-02-2022'!A37</f>
        <v>35</v>
      </c>
      <c r="C357" s="28">
        <f>'18_26-02-2022'!E37</f>
        <v>230</v>
      </c>
      <c r="D357" s="28">
        <f>'18_26-02-2022'!H37</f>
        <v>-146</v>
      </c>
      <c r="E357" s="28">
        <f>'18_26-02-2022'!F37</f>
        <v>-2</v>
      </c>
      <c r="F357" s="28">
        <f>'18_26-02-2022'!G37</f>
        <v>-82</v>
      </c>
      <c r="G357" s="28">
        <f>'18_26-02-2022'!I37</f>
        <v>0</v>
      </c>
      <c r="H357" s="28" t="str">
        <f>'18_26-02-2022'!D37</f>
        <v>Christian</v>
      </c>
      <c r="J357" s="76" t="str">
        <f>'18_26-02-2022'!B37</f>
        <v>Thomas</v>
      </c>
      <c r="K357" s="28" t="str">
        <f>'18_26-02-2022'!C37</f>
        <v>Ren Sol </v>
      </c>
      <c r="L357" s="56"/>
      <c r="N357" s="25" t="s">
        <v>97</v>
      </c>
      <c r="T357" s="56"/>
      <c r="U357" s="77">
        <f t="shared" ref="U357:X357" si="3132">C357-C356</f>
        <v>-8</v>
      </c>
      <c r="V357" s="28">
        <f t="shared" si="3132"/>
        <v>-8</v>
      </c>
      <c r="W357" s="28">
        <f t="shared" si="3132"/>
        <v>-8</v>
      </c>
      <c r="X357" s="28">
        <f t="shared" si="3132"/>
        <v>24</v>
      </c>
      <c r="AB357" s="28" t="str">
        <f t="shared" ref="AB357:AE357" si="3133">IF(AB$3=$H357,U357,"")</f>
        <v/>
      </c>
      <c r="AC357" s="28" t="str">
        <f t="shared" si="3133"/>
        <v/>
      </c>
      <c r="AD357" s="28" t="str">
        <f t="shared" si="3133"/>
        <v/>
      </c>
      <c r="AE357" s="28">
        <f t="shared" si="3133"/>
        <v>24</v>
      </c>
      <c r="AH357" s="28">
        <f t="shared" si="22"/>
        <v>24</v>
      </c>
      <c r="AI357" s="28">
        <f t="shared" si="23"/>
        <v>0</v>
      </c>
      <c r="AK357" s="78" t="str">
        <f t="shared" ref="AK357:AN357" si="3134">IF(U357&gt;0,AK$3,"")</f>
        <v/>
      </c>
      <c r="AL357" s="78" t="str">
        <f t="shared" si="3134"/>
        <v/>
      </c>
      <c r="AM357" s="78" t="str">
        <f t="shared" si="3134"/>
        <v/>
      </c>
      <c r="AN357" s="78" t="str">
        <f t="shared" si="3134"/>
        <v>Christian</v>
      </c>
      <c r="AO357" s="56">
        <f t="shared" si="25"/>
        <v>1</v>
      </c>
      <c r="AP357" s="8" t="str">
        <f t="shared" si="26"/>
        <v>Christian</v>
      </c>
      <c r="AQ357" s="73" t="str">
        <f>IFERROR(__xludf.DUMMYFUNCTION("IFNA(QUERY(transpose(AY357:BB357),""Select Col1 where Col1 is not null limit 1"",0))"),"")</f>
        <v/>
      </c>
      <c r="AR357" s="56"/>
      <c r="AS357" s="28" t="str">
        <f t="shared" ref="AS357:AV357" si="3135">IF(AK357=AS$3,"",AS$3)</f>
        <v>Thomas</v>
      </c>
      <c r="AT357" s="28" t="str">
        <f t="shared" si="3135"/>
        <v>Peter</v>
      </c>
      <c r="AU357" s="28" t="str">
        <f t="shared" si="3135"/>
        <v>Janus</v>
      </c>
      <c r="AV357" s="28" t="str">
        <f t="shared" si="3135"/>
        <v/>
      </c>
      <c r="AW357" s="56">
        <f t="shared" si="28"/>
        <v>3</v>
      </c>
      <c r="AX357" s="28">
        <f t="shared" si="29"/>
        <v>24</v>
      </c>
      <c r="AY357" s="28" t="str">
        <f t="shared" ref="AY357:BB357" si="3136">IFNA(IFS(AY$3=$AP357,"",$AX357=U357,AY$3),"")</f>
        <v/>
      </c>
      <c r="AZ357" s="28" t="str">
        <f t="shared" si="3136"/>
        <v/>
      </c>
      <c r="BA357" s="28" t="str">
        <f t="shared" si="3136"/>
        <v/>
      </c>
      <c r="BB357" s="28" t="str">
        <f t="shared" si="3136"/>
        <v/>
      </c>
      <c r="BC357" s="58">
        <f>OFFSET('00_Regnskab_01'!$A$1,MATCH(A357,'00_Regnskab_01'!$A$1:$A$25)-1,2)</f>
        <v>44618</v>
      </c>
      <c r="BE357" s="80">
        <f t="shared" ref="BE357:BH357" si="3137">if(U357&gt;0,1+BE356,0)</f>
        <v>0</v>
      </c>
      <c r="BF357" s="28">
        <f t="shared" si="3137"/>
        <v>0</v>
      </c>
      <c r="BG357" s="28">
        <f t="shared" si="3137"/>
        <v>0</v>
      </c>
      <c r="BH357" s="28">
        <f t="shared" si="3137"/>
        <v>1</v>
      </c>
      <c r="BJ357" s="28">
        <f t="shared" ref="BJ357:BM357" si="3138">if(U357&lt;0,1+BJ356,0)</f>
        <v>1</v>
      </c>
      <c r="BK357" s="28">
        <f t="shared" si="3138"/>
        <v>6</v>
      </c>
      <c r="BL357" s="28">
        <f t="shared" si="3138"/>
        <v>1</v>
      </c>
      <c r="BM357" s="28">
        <f t="shared" si="3138"/>
        <v>0</v>
      </c>
      <c r="BO357" s="74">
        <f t="shared" ref="BO357:BR357" si="3139">if(U357&gt;0,U357+BO356,0)</f>
        <v>0</v>
      </c>
      <c r="BP357" s="74">
        <f t="shared" si="3139"/>
        <v>0</v>
      </c>
      <c r="BQ357" s="74">
        <f t="shared" si="3139"/>
        <v>0</v>
      </c>
      <c r="BR357" s="74">
        <f t="shared" si="3139"/>
        <v>24</v>
      </c>
      <c r="BT357" s="28">
        <f t="shared" ref="BT357:BW357" si="3140">if(U357&lt;0,U357+BT356,0)</f>
        <v>-8</v>
      </c>
      <c r="BU357" s="28">
        <f t="shared" si="3140"/>
        <v>-140</v>
      </c>
      <c r="BV357" s="28">
        <f t="shared" si="3140"/>
        <v>-8</v>
      </c>
      <c r="BW357" s="28">
        <f t="shared" si="3140"/>
        <v>0</v>
      </c>
    </row>
    <row r="358">
      <c r="A358" s="53">
        <v>18.0</v>
      </c>
      <c r="B358" s="28">
        <f>'18_26-02-2022'!A38</f>
        <v>36</v>
      </c>
      <c r="C358" s="28">
        <f>'18_26-02-2022'!E38</f>
        <v>246</v>
      </c>
      <c r="D358" s="28">
        <f>'18_26-02-2022'!H38</f>
        <v>-162</v>
      </c>
      <c r="E358" s="28">
        <f>'18_26-02-2022'!F38</f>
        <v>14</v>
      </c>
      <c r="F358" s="28">
        <f>'18_26-02-2022'!G38</f>
        <v>-98</v>
      </c>
      <c r="G358" s="28">
        <f>'18_26-02-2022'!I38</f>
        <v>0</v>
      </c>
      <c r="H358" s="28" t="str">
        <f>'18_26-02-2022'!D38</f>
        <v>Thomas</v>
      </c>
      <c r="J358" s="76" t="str">
        <f>'18_26-02-2022'!B38</f>
        <v>Peter</v>
      </c>
      <c r="K358" s="28" t="str">
        <f>'18_26-02-2022'!C38</f>
        <v>9 vip i 2</v>
      </c>
      <c r="L358" s="56"/>
      <c r="M358" s="25">
        <v>9.0</v>
      </c>
      <c r="N358" s="25" t="s">
        <v>86</v>
      </c>
      <c r="O358" s="25">
        <v>2.0</v>
      </c>
      <c r="T358" s="56"/>
      <c r="U358" s="77">
        <f t="shared" ref="U358:X358" si="3141">C358-C357</f>
        <v>16</v>
      </c>
      <c r="V358" s="28">
        <f t="shared" si="3141"/>
        <v>-16</v>
      </c>
      <c r="W358" s="28">
        <f t="shared" si="3141"/>
        <v>16</v>
      </c>
      <c r="X358" s="28">
        <f t="shared" si="3141"/>
        <v>-16</v>
      </c>
      <c r="AB358" s="28">
        <f t="shared" ref="AB358:AE358" si="3142">IF(AB$3=$H358,U358,"")</f>
        <v>16</v>
      </c>
      <c r="AC358" s="28" t="str">
        <f t="shared" si="3142"/>
        <v/>
      </c>
      <c r="AD358" s="28" t="str">
        <f t="shared" si="3142"/>
        <v/>
      </c>
      <c r="AE358" s="28" t="str">
        <f t="shared" si="3142"/>
        <v/>
      </c>
      <c r="AH358" s="28">
        <f t="shared" si="22"/>
        <v>16</v>
      </c>
      <c r="AI358" s="28">
        <f t="shared" si="23"/>
        <v>0</v>
      </c>
      <c r="AK358" s="78" t="str">
        <f t="shared" ref="AK358:AN358" si="3143">IF(U358&gt;0,AK$3,"")</f>
        <v>Thomas</v>
      </c>
      <c r="AL358" s="78" t="str">
        <f t="shared" si="3143"/>
        <v/>
      </c>
      <c r="AM358" s="78" t="str">
        <f t="shared" si="3143"/>
        <v>Janus</v>
      </c>
      <c r="AN358" s="78" t="str">
        <f t="shared" si="3143"/>
        <v/>
      </c>
      <c r="AO358" s="56">
        <f t="shared" si="25"/>
        <v>2</v>
      </c>
      <c r="AP358" s="8" t="str">
        <f t="shared" si="26"/>
        <v>Thomas</v>
      </c>
      <c r="AQ358" s="73" t="str">
        <f>IFERROR(__xludf.DUMMYFUNCTION("IFNA(QUERY(transpose(AY358:BB358),""Select Col1 where Col1 is not null limit 1"",0))"),"Janus")</f>
        <v>Janus</v>
      </c>
      <c r="AR358" s="56"/>
      <c r="AS358" s="28" t="str">
        <f t="shared" ref="AS358:AV358" si="3144">IF(AK358=AS$3,"",AS$3)</f>
        <v/>
      </c>
      <c r="AT358" s="28" t="str">
        <f t="shared" si="3144"/>
        <v>Peter</v>
      </c>
      <c r="AU358" s="28" t="str">
        <f t="shared" si="3144"/>
        <v/>
      </c>
      <c r="AV358" s="28" t="str">
        <f t="shared" si="3144"/>
        <v>Christian</v>
      </c>
      <c r="AW358" s="56">
        <f t="shared" si="28"/>
        <v>2</v>
      </c>
      <c r="AX358" s="28">
        <f t="shared" si="29"/>
        <v>16</v>
      </c>
      <c r="AY358" s="28" t="str">
        <f t="shared" ref="AY358:BB358" si="3145">IFNA(IFS(AY$3=$AP358,"",$AX358=U358,AY$3),"")</f>
        <v/>
      </c>
      <c r="AZ358" s="28" t="str">
        <f t="shared" si="3145"/>
        <v/>
      </c>
      <c r="BA358" s="28" t="str">
        <f t="shared" si="3145"/>
        <v>Janus</v>
      </c>
      <c r="BB358" s="28" t="str">
        <f t="shared" si="3145"/>
        <v/>
      </c>
      <c r="BC358" s="58">
        <f>OFFSET('00_Regnskab_01'!$A$1,MATCH(A358,'00_Regnskab_01'!$A$1:$A$25)-1,2)</f>
        <v>44618</v>
      </c>
      <c r="BE358" s="80">
        <f t="shared" ref="BE358:BH358" si="3146">if(U358&gt;0,1+BE357,0)</f>
        <v>1</v>
      </c>
      <c r="BF358" s="28">
        <f t="shared" si="3146"/>
        <v>0</v>
      </c>
      <c r="BG358" s="28">
        <f t="shared" si="3146"/>
        <v>1</v>
      </c>
      <c r="BH358" s="28">
        <f t="shared" si="3146"/>
        <v>0</v>
      </c>
      <c r="BJ358" s="28">
        <f t="shared" ref="BJ358:BM358" si="3147">if(U358&lt;0,1+BJ357,0)</f>
        <v>0</v>
      </c>
      <c r="BK358" s="28">
        <f t="shared" si="3147"/>
        <v>7</v>
      </c>
      <c r="BL358" s="28">
        <f t="shared" si="3147"/>
        <v>0</v>
      </c>
      <c r="BM358" s="28">
        <f t="shared" si="3147"/>
        <v>1</v>
      </c>
      <c r="BO358" s="74">
        <f t="shared" ref="BO358:BR358" si="3148">if(U358&gt;0,U358+BO357,0)</f>
        <v>16</v>
      </c>
      <c r="BP358" s="74">
        <f t="shared" si="3148"/>
        <v>0</v>
      </c>
      <c r="BQ358" s="74">
        <f t="shared" si="3148"/>
        <v>16</v>
      </c>
      <c r="BR358" s="74">
        <f t="shared" si="3148"/>
        <v>0</v>
      </c>
      <c r="BT358" s="28">
        <f t="shared" ref="BT358:BW358" si="3149">if(U358&lt;0,U358+BT357,0)</f>
        <v>0</v>
      </c>
      <c r="BU358" s="28">
        <f t="shared" si="3149"/>
        <v>-156</v>
      </c>
      <c r="BV358" s="28">
        <f t="shared" si="3149"/>
        <v>0</v>
      </c>
      <c r="BW358" s="28">
        <f t="shared" si="3149"/>
        <v>-16</v>
      </c>
    </row>
    <row r="359">
      <c r="A359" s="53">
        <v>18.0</v>
      </c>
      <c r="B359" s="28">
        <f>'18_26-02-2022'!A39</f>
        <v>37</v>
      </c>
      <c r="C359" s="28">
        <f>'18_26-02-2022'!E39</f>
        <v>238</v>
      </c>
      <c r="D359" s="28">
        <f>'18_26-02-2022'!H39</f>
        <v>-170</v>
      </c>
      <c r="E359" s="28">
        <f>'18_26-02-2022'!F39</f>
        <v>6</v>
      </c>
      <c r="F359" s="28">
        <f>'18_26-02-2022'!G39</f>
        <v>-74</v>
      </c>
      <c r="G359" s="28">
        <f>'18_26-02-2022'!I39</f>
        <v>0</v>
      </c>
      <c r="H359" s="28" t="str">
        <f>'18_26-02-2022'!D39</f>
        <v>Christian</v>
      </c>
      <c r="J359" s="76" t="str">
        <f>'18_26-02-2022'!B39</f>
        <v>Christian</v>
      </c>
      <c r="K359" s="28" t="str">
        <f>'18_26-02-2022'!C39</f>
        <v>9 alm</v>
      </c>
      <c r="L359" s="56"/>
      <c r="M359" s="25">
        <v>9.0</v>
      </c>
      <c r="N359" s="25" t="s">
        <v>100</v>
      </c>
      <c r="T359" s="56"/>
      <c r="U359" s="77">
        <f t="shared" ref="U359:X359" si="3150">C359-C358</f>
        <v>-8</v>
      </c>
      <c r="V359" s="28">
        <f t="shared" si="3150"/>
        <v>-8</v>
      </c>
      <c r="W359" s="28">
        <f t="shared" si="3150"/>
        <v>-8</v>
      </c>
      <c r="X359" s="28">
        <f t="shared" si="3150"/>
        <v>24</v>
      </c>
      <c r="AB359" s="28" t="str">
        <f t="shared" ref="AB359:AE359" si="3151">IF(AB$3=$H359,U359,"")</f>
        <v/>
      </c>
      <c r="AC359" s="28" t="str">
        <f t="shared" si="3151"/>
        <v/>
      </c>
      <c r="AD359" s="28" t="str">
        <f t="shared" si="3151"/>
        <v/>
      </c>
      <c r="AE359" s="28">
        <f t="shared" si="3151"/>
        <v>24</v>
      </c>
      <c r="AH359" s="28">
        <f t="shared" si="22"/>
        <v>24</v>
      </c>
      <c r="AI359" s="28">
        <f t="shared" si="23"/>
        <v>0</v>
      </c>
      <c r="AK359" s="78" t="str">
        <f t="shared" ref="AK359:AN359" si="3152">IF(U359&gt;0,AK$3,"")</f>
        <v/>
      </c>
      <c r="AL359" s="78" t="str">
        <f t="shared" si="3152"/>
        <v/>
      </c>
      <c r="AM359" s="78" t="str">
        <f t="shared" si="3152"/>
        <v/>
      </c>
      <c r="AN359" s="78" t="str">
        <f t="shared" si="3152"/>
        <v>Christian</v>
      </c>
      <c r="AO359" s="56">
        <f t="shared" si="25"/>
        <v>1</v>
      </c>
      <c r="AP359" s="8" t="str">
        <f t="shared" si="26"/>
        <v>Christian</v>
      </c>
      <c r="AQ359" s="73" t="str">
        <f>IFERROR(__xludf.DUMMYFUNCTION("IFNA(QUERY(transpose(AY359:BB359),""Select Col1 where Col1 is not null limit 1"",0))"),"")</f>
        <v/>
      </c>
      <c r="AR359" s="56"/>
      <c r="AS359" s="28" t="str">
        <f t="shared" ref="AS359:AV359" si="3153">IF(AK359=AS$3,"",AS$3)</f>
        <v>Thomas</v>
      </c>
      <c r="AT359" s="28" t="str">
        <f t="shared" si="3153"/>
        <v>Peter</v>
      </c>
      <c r="AU359" s="28" t="str">
        <f t="shared" si="3153"/>
        <v>Janus</v>
      </c>
      <c r="AV359" s="28" t="str">
        <f t="shared" si="3153"/>
        <v/>
      </c>
      <c r="AW359" s="56">
        <f t="shared" si="28"/>
        <v>3</v>
      </c>
      <c r="AX359" s="28">
        <f t="shared" si="29"/>
        <v>24</v>
      </c>
      <c r="AY359" s="28" t="str">
        <f t="shared" ref="AY359:BB359" si="3154">IFNA(IFS(AY$3=$AP359,"",$AX359=U359,AY$3),"")</f>
        <v/>
      </c>
      <c r="AZ359" s="28" t="str">
        <f t="shared" si="3154"/>
        <v/>
      </c>
      <c r="BA359" s="28" t="str">
        <f t="shared" si="3154"/>
        <v/>
      </c>
      <c r="BB359" s="28" t="str">
        <f t="shared" si="3154"/>
        <v/>
      </c>
      <c r="BC359" s="58">
        <f>OFFSET('00_Regnskab_01'!$A$1,MATCH(A359,'00_Regnskab_01'!$A$1:$A$25)-1,2)</f>
        <v>44618</v>
      </c>
      <c r="BE359" s="80">
        <f t="shared" ref="BE359:BH359" si="3155">if(U359&gt;0,1+BE358,0)</f>
        <v>0</v>
      </c>
      <c r="BF359" s="28">
        <f t="shared" si="3155"/>
        <v>0</v>
      </c>
      <c r="BG359" s="28">
        <f t="shared" si="3155"/>
        <v>0</v>
      </c>
      <c r="BH359" s="28">
        <f t="shared" si="3155"/>
        <v>1</v>
      </c>
      <c r="BJ359" s="28">
        <f t="shared" ref="BJ359:BM359" si="3156">if(U359&lt;0,1+BJ358,0)</f>
        <v>1</v>
      </c>
      <c r="BK359" s="28">
        <f t="shared" si="3156"/>
        <v>8</v>
      </c>
      <c r="BL359" s="28">
        <f t="shared" si="3156"/>
        <v>1</v>
      </c>
      <c r="BM359" s="28">
        <f t="shared" si="3156"/>
        <v>0</v>
      </c>
      <c r="BO359" s="74">
        <f t="shared" ref="BO359:BR359" si="3157">if(U359&gt;0,U359+BO358,0)</f>
        <v>0</v>
      </c>
      <c r="BP359" s="74">
        <f t="shared" si="3157"/>
        <v>0</v>
      </c>
      <c r="BQ359" s="74">
        <f t="shared" si="3157"/>
        <v>0</v>
      </c>
      <c r="BR359" s="74">
        <f t="shared" si="3157"/>
        <v>24</v>
      </c>
      <c r="BT359" s="28">
        <f t="shared" ref="BT359:BW359" si="3158">if(U359&lt;0,U359+BT358,0)</f>
        <v>-8</v>
      </c>
      <c r="BU359" s="28">
        <f t="shared" si="3158"/>
        <v>-164</v>
      </c>
      <c r="BV359" s="28">
        <f t="shared" si="3158"/>
        <v>-8</v>
      </c>
      <c r="BW359" s="28">
        <f t="shared" si="3158"/>
        <v>0</v>
      </c>
    </row>
    <row r="360">
      <c r="A360" s="53">
        <v>18.0</v>
      </c>
      <c r="B360" s="28">
        <f>'18_26-02-2022'!A40</f>
        <v>38</v>
      </c>
      <c r="C360" s="28">
        <f>'18_26-02-2022'!E40</f>
        <v>250</v>
      </c>
      <c r="D360" s="28">
        <f>'18_26-02-2022'!H40</f>
        <v>-158</v>
      </c>
      <c r="E360" s="28">
        <f>'18_26-02-2022'!F40</f>
        <v>-6</v>
      </c>
      <c r="F360" s="28">
        <f>'18_26-02-2022'!G40</f>
        <v>-86</v>
      </c>
      <c r="G360" s="28">
        <f>'18_26-02-2022'!I40</f>
        <v>0</v>
      </c>
      <c r="H360" s="28" t="str">
        <f>'18_26-02-2022'!D40</f>
        <v>Christian</v>
      </c>
      <c r="J360" s="76" t="str">
        <f>'18_26-02-2022'!B40</f>
        <v>Janus</v>
      </c>
      <c r="K360" s="28" t="str">
        <f>'18_26-02-2022'!C40</f>
        <v>9 halve</v>
      </c>
      <c r="L360" s="56"/>
      <c r="M360" s="25">
        <v>9.0</v>
      </c>
      <c r="N360" s="25" t="s">
        <v>94</v>
      </c>
      <c r="T360" s="56"/>
      <c r="U360" s="77">
        <f t="shared" ref="U360:X360" si="3159">C360-C359</f>
        <v>12</v>
      </c>
      <c r="V360" s="28">
        <f t="shared" si="3159"/>
        <v>12</v>
      </c>
      <c r="W360" s="28">
        <f t="shared" si="3159"/>
        <v>-12</v>
      </c>
      <c r="X360" s="28">
        <f t="shared" si="3159"/>
        <v>-12</v>
      </c>
      <c r="AB360" s="28" t="str">
        <f t="shared" ref="AB360:AE360" si="3160">IF(AB$3=$H360,U360,"")</f>
        <v/>
      </c>
      <c r="AC360" s="28" t="str">
        <f t="shared" si="3160"/>
        <v/>
      </c>
      <c r="AD360" s="28" t="str">
        <f t="shared" si="3160"/>
        <v/>
      </c>
      <c r="AE360" s="28">
        <f t="shared" si="3160"/>
        <v>-12</v>
      </c>
      <c r="AH360" s="28">
        <f t="shared" si="22"/>
        <v>0</v>
      </c>
      <c r="AI360" s="28">
        <f t="shared" si="23"/>
        <v>-12</v>
      </c>
      <c r="AK360" s="78" t="str">
        <f t="shared" ref="AK360:AN360" si="3161">IF(U360&gt;0,AK$3,"")</f>
        <v>Thomas</v>
      </c>
      <c r="AL360" s="78" t="str">
        <f t="shared" si="3161"/>
        <v>Peter</v>
      </c>
      <c r="AM360" s="78" t="str">
        <f t="shared" si="3161"/>
        <v/>
      </c>
      <c r="AN360" s="78" t="str">
        <f t="shared" si="3161"/>
        <v/>
      </c>
      <c r="AO360" s="56">
        <f t="shared" si="25"/>
        <v>2</v>
      </c>
      <c r="AP360" s="8" t="str">
        <f t="shared" si="26"/>
        <v>Christian</v>
      </c>
      <c r="AQ360" s="73" t="str">
        <f>IFERROR(__xludf.DUMMYFUNCTION("IFNA(QUERY(transpose(AY360:BB360),""Select Col1 where Col1 is not null limit 1"",0))"),"Janus")</f>
        <v>Janus</v>
      </c>
      <c r="AR360" s="56"/>
      <c r="AS360" s="28" t="str">
        <f t="shared" ref="AS360:AV360" si="3162">IF(AK360=AS$3,"",AS$3)</f>
        <v/>
      </c>
      <c r="AT360" s="28" t="str">
        <f t="shared" si="3162"/>
        <v/>
      </c>
      <c r="AU360" s="28" t="str">
        <f t="shared" si="3162"/>
        <v>Janus</v>
      </c>
      <c r="AV360" s="28" t="str">
        <f t="shared" si="3162"/>
        <v>Christian</v>
      </c>
      <c r="AW360" s="56">
        <f t="shared" si="28"/>
        <v>2</v>
      </c>
      <c r="AX360" s="28">
        <f t="shared" si="29"/>
        <v>-12</v>
      </c>
      <c r="AY360" s="28" t="str">
        <f t="shared" ref="AY360:BB360" si="3163">IFNA(IFS(AY$3=$AP360,"",$AX360=U360,AY$3),"")</f>
        <v/>
      </c>
      <c r="AZ360" s="28" t="str">
        <f t="shared" si="3163"/>
        <v/>
      </c>
      <c r="BA360" s="28" t="str">
        <f t="shared" si="3163"/>
        <v>Janus</v>
      </c>
      <c r="BB360" s="28" t="str">
        <f t="shared" si="3163"/>
        <v/>
      </c>
      <c r="BC360" s="58">
        <f>OFFSET('00_Regnskab_01'!$A$1,MATCH(A360,'00_Regnskab_01'!$A$1:$A$25)-1,2)</f>
        <v>44618</v>
      </c>
      <c r="BE360" s="80">
        <f t="shared" ref="BE360:BH360" si="3164">if(U360&gt;0,1+BE359,0)</f>
        <v>1</v>
      </c>
      <c r="BF360" s="28">
        <f t="shared" si="3164"/>
        <v>1</v>
      </c>
      <c r="BG360" s="28">
        <f t="shared" si="3164"/>
        <v>0</v>
      </c>
      <c r="BH360" s="28">
        <f t="shared" si="3164"/>
        <v>0</v>
      </c>
      <c r="BJ360" s="28">
        <f t="shared" ref="BJ360:BM360" si="3165">if(U360&lt;0,1+BJ359,0)</f>
        <v>0</v>
      </c>
      <c r="BK360" s="28">
        <f t="shared" si="3165"/>
        <v>0</v>
      </c>
      <c r="BL360" s="28">
        <f t="shared" si="3165"/>
        <v>2</v>
      </c>
      <c r="BM360" s="28">
        <f t="shared" si="3165"/>
        <v>1</v>
      </c>
      <c r="BO360" s="74">
        <f t="shared" ref="BO360:BR360" si="3166">if(U360&gt;0,U360+BO359,0)</f>
        <v>12</v>
      </c>
      <c r="BP360" s="74">
        <f t="shared" si="3166"/>
        <v>12</v>
      </c>
      <c r="BQ360" s="74">
        <f t="shared" si="3166"/>
        <v>0</v>
      </c>
      <c r="BR360" s="74">
        <f t="shared" si="3166"/>
        <v>0</v>
      </c>
      <c r="BT360" s="28">
        <f t="shared" ref="BT360:BW360" si="3167">if(U360&lt;0,U360+BT359,0)</f>
        <v>0</v>
      </c>
      <c r="BU360" s="28">
        <f t="shared" si="3167"/>
        <v>0</v>
      </c>
      <c r="BV360" s="28">
        <f t="shared" si="3167"/>
        <v>-20</v>
      </c>
      <c r="BW360" s="28">
        <f t="shared" si="3167"/>
        <v>-12</v>
      </c>
    </row>
    <row r="361">
      <c r="A361" s="53">
        <v>18.0</v>
      </c>
      <c r="B361" s="28">
        <f>'18_26-02-2022'!A41</f>
        <v>39</v>
      </c>
      <c r="C361" s="28">
        <f>'18_26-02-2022'!E41</f>
        <v>290</v>
      </c>
      <c r="D361" s="28">
        <f>'18_26-02-2022'!H41</f>
        <v>-278</v>
      </c>
      <c r="E361" s="28">
        <f>'18_26-02-2022'!F41</f>
        <v>34</v>
      </c>
      <c r="F361" s="28">
        <f>'18_26-02-2022'!G41</f>
        <v>-46</v>
      </c>
      <c r="G361" s="28">
        <f>'18_26-02-2022'!I41</f>
        <v>0</v>
      </c>
      <c r="H361" s="28" t="str">
        <f>'18_26-02-2022'!D41</f>
        <v>Peter</v>
      </c>
      <c r="J361" s="76" t="str">
        <f>'18_26-02-2022'!B41</f>
        <v>Thomas</v>
      </c>
      <c r="K361" s="28" t="str">
        <f>'18_26-02-2022'!C41</f>
        <v>9 vip 2</v>
      </c>
      <c r="L361" s="56"/>
      <c r="M361" s="25">
        <v>9.0</v>
      </c>
      <c r="N361" s="25" t="s">
        <v>86</v>
      </c>
      <c r="O361" s="25">
        <v>2.0</v>
      </c>
      <c r="T361" s="56"/>
      <c r="U361" s="77">
        <f t="shared" ref="U361:X361" si="3168">C361-C360</f>
        <v>40</v>
      </c>
      <c r="V361" s="28">
        <f t="shared" si="3168"/>
        <v>-120</v>
      </c>
      <c r="W361" s="28">
        <f t="shared" si="3168"/>
        <v>40</v>
      </c>
      <c r="X361" s="28">
        <f t="shared" si="3168"/>
        <v>40</v>
      </c>
      <c r="AB361" s="28" t="str">
        <f t="shared" ref="AB361:AE361" si="3169">IF(AB$3=$H361,U361,"")</f>
        <v/>
      </c>
      <c r="AC361" s="28">
        <f t="shared" si="3169"/>
        <v>-120</v>
      </c>
      <c r="AD361" s="28" t="str">
        <f t="shared" si="3169"/>
        <v/>
      </c>
      <c r="AE361" s="28" t="str">
        <f t="shared" si="3169"/>
        <v/>
      </c>
      <c r="AH361" s="28">
        <f t="shared" si="22"/>
        <v>0</v>
      </c>
      <c r="AI361" s="28">
        <f t="shared" si="23"/>
        <v>-120</v>
      </c>
      <c r="AK361" s="78" t="str">
        <f t="shared" ref="AK361:AN361" si="3170">IF(U361&gt;0,AK$3,"")</f>
        <v>Thomas</v>
      </c>
      <c r="AL361" s="78" t="str">
        <f t="shared" si="3170"/>
        <v/>
      </c>
      <c r="AM361" s="78" t="str">
        <f t="shared" si="3170"/>
        <v>Janus</v>
      </c>
      <c r="AN361" s="78" t="str">
        <f t="shared" si="3170"/>
        <v>Christian</v>
      </c>
      <c r="AO361" s="56">
        <f t="shared" si="25"/>
        <v>3</v>
      </c>
      <c r="AP361" s="8" t="str">
        <f t="shared" si="26"/>
        <v>Peter</v>
      </c>
      <c r="AQ361" s="73" t="str">
        <f>IFERROR(__xludf.DUMMYFUNCTION("IFNA(QUERY(transpose(AY361:BB361),""Select Col1 where Col1 is not null limit 1"",0))"),"")</f>
        <v/>
      </c>
      <c r="AR361" s="56"/>
      <c r="AS361" s="28" t="str">
        <f t="shared" ref="AS361:AV361" si="3171">IF(AK361=AS$3,"",AS$3)</f>
        <v/>
      </c>
      <c r="AT361" s="28" t="str">
        <f t="shared" si="3171"/>
        <v>Peter</v>
      </c>
      <c r="AU361" s="28" t="str">
        <f t="shared" si="3171"/>
        <v/>
      </c>
      <c r="AV361" s="28" t="str">
        <f t="shared" si="3171"/>
        <v/>
      </c>
      <c r="AW361" s="56">
        <f t="shared" si="28"/>
        <v>1</v>
      </c>
      <c r="AX361" s="28">
        <f t="shared" si="29"/>
        <v>-120</v>
      </c>
      <c r="AY361" s="28" t="str">
        <f t="shared" ref="AY361:BB361" si="3172">IFNA(IFS(AY$3=$AP361,"",$AX361=U361,AY$3),"")</f>
        <v/>
      </c>
      <c r="AZ361" s="28" t="str">
        <f t="shared" si="3172"/>
        <v/>
      </c>
      <c r="BA361" s="28" t="str">
        <f t="shared" si="3172"/>
        <v/>
      </c>
      <c r="BB361" s="28" t="str">
        <f t="shared" si="3172"/>
        <v/>
      </c>
      <c r="BC361" s="58">
        <f>OFFSET('00_Regnskab_01'!$A$1,MATCH(A361,'00_Regnskab_01'!$A$1:$A$25)-1,2)</f>
        <v>44618</v>
      </c>
      <c r="BE361" s="80">
        <f t="shared" ref="BE361:BH361" si="3173">if(U361&gt;0,1+BE360,0)</f>
        <v>2</v>
      </c>
      <c r="BF361" s="28">
        <f t="shared" si="3173"/>
        <v>0</v>
      </c>
      <c r="BG361" s="28">
        <f t="shared" si="3173"/>
        <v>1</v>
      </c>
      <c r="BH361" s="28">
        <f t="shared" si="3173"/>
        <v>1</v>
      </c>
      <c r="BJ361" s="28">
        <f t="shared" ref="BJ361:BM361" si="3174">if(U361&lt;0,1+BJ360,0)</f>
        <v>0</v>
      </c>
      <c r="BK361" s="28">
        <f t="shared" si="3174"/>
        <v>1</v>
      </c>
      <c r="BL361" s="28">
        <f t="shared" si="3174"/>
        <v>0</v>
      </c>
      <c r="BM361" s="28">
        <f t="shared" si="3174"/>
        <v>0</v>
      </c>
      <c r="BO361" s="74">
        <f t="shared" ref="BO361:BR361" si="3175">if(U361&gt;0,U361+BO360,0)</f>
        <v>52</v>
      </c>
      <c r="BP361" s="74">
        <f t="shared" si="3175"/>
        <v>0</v>
      </c>
      <c r="BQ361" s="74">
        <f t="shared" si="3175"/>
        <v>40</v>
      </c>
      <c r="BR361" s="74">
        <f t="shared" si="3175"/>
        <v>40</v>
      </c>
      <c r="BT361" s="28">
        <f t="shared" ref="BT361:BW361" si="3176">if(U361&lt;0,U361+BT360,0)</f>
        <v>0</v>
      </c>
      <c r="BU361" s="28">
        <f t="shared" si="3176"/>
        <v>-120</v>
      </c>
      <c r="BV361" s="28">
        <f t="shared" si="3176"/>
        <v>0</v>
      </c>
      <c r="BW361" s="28">
        <f t="shared" si="3176"/>
        <v>0</v>
      </c>
    </row>
    <row r="362">
      <c r="A362" s="83">
        <v>18.0</v>
      </c>
      <c r="B362" s="84">
        <f>'18_26-02-2022'!A42</f>
        <v>40</v>
      </c>
      <c r="C362" s="84">
        <f>'18_26-02-2022'!E42</f>
        <v>286</v>
      </c>
      <c r="D362" s="84">
        <f>'18_26-02-2022'!H42</f>
        <v>-282</v>
      </c>
      <c r="E362" s="84">
        <f>'18_26-02-2022'!F42</f>
        <v>30</v>
      </c>
      <c r="F362" s="84">
        <f>'18_26-02-2022'!G42</f>
        <v>-34</v>
      </c>
      <c r="G362" s="84">
        <f>'18_26-02-2022'!I42</f>
        <v>0</v>
      </c>
      <c r="H362" s="84" t="str">
        <f>'18_26-02-2022'!D42</f>
        <v>Christian</v>
      </c>
      <c r="I362" s="84"/>
      <c r="J362" s="86" t="str">
        <f>'18_26-02-2022'!B42</f>
        <v>Peter</v>
      </c>
      <c r="K362" s="84" t="str">
        <f>'18_26-02-2022'!C42</f>
        <v>Sol</v>
      </c>
      <c r="L362" s="84"/>
      <c r="M362" s="84"/>
      <c r="N362" s="87" t="s">
        <v>99</v>
      </c>
      <c r="O362" s="84"/>
      <c r="P362" s="84"/>
      <c r="Q362" s="84"/>
      <c r="R362" s="84"/>
      <c r="S362" s="84"/>
      <c r="T362" s="84"/>
      <c r="U362" s="88">
        <f t="shared" ref="U362:X362" si="3177">C362-C361</f>
        <v>-4</v>
      </c>
      <c r="V362" s="84">
        <f t="shared" si="3177"/>
        <v>-4</v>
      </c>
      <c r="W362" s="84">
        <f t="shared" si="3177"/>
        <v>-4</v>
      </c>
      <c r="X362" s="84">
        <f t="shared" si="3177"/>
        <v>12</v>
      </c>
      <c r="Y362" s="84"/>
      <c r="Z362" s="84"/>
      <c r="AA362" s="84"/>
      <c r="AB362" s="84" t="str">
        <f t="shared" ref="AB362:AE362" si="3178">IF(AB$3=$H362,U362,"")</f>
        <v/>
      </c>
      <c r="AC362" s="84" t="str">
        <f t="shared" si="3178"/>
        <v/>
      </c>
      <c r="AD362" s="84" t="str">
        <f t="shared" si="3178"/>
        <v/>
      </c>
      <c r="AE362" s="84">
        <f t="shared" si="3178"/>
        <v>12</v>
      </c>
      <c r="AF362" s="84"/>
      <c r="AG362" s="84"/>
      <c r="AH362" s="84">
        <f t="shared" si="22"/>
        <v>12</v>
      </c>
      <c r="AI362" s="84">
        <f t="shared" si="23"/>
        <v>0</v>
      </c>
      <c r="AJ362" s="84"/>
      <c r="AK362" s="93" t="str">
        <f t="shared" ref="AK362:AN362" si="3179">IF(U362&gt;0,AK$3,"")</f>
        <v/>
      </c>
      <c r="AL362" s="93" t="str">
        <f t="shared" si="3179"/>
        <v/>
      </c>
      <c r="AM362" s="93" t="str">
        <f t="shared" si="3179"/>
        <v/>
      </c>
      <c r="AN362" s="93" t="str">
        <f t="shared" si="3179"/>
        <v>Christian</v>
      </c>
      <c r="AO362" s="84">
        <f t="shared" si="25"/>
        <v>1</v>
      </c>
      <c r="AP362" s="94" t="str">
        <f t="shared" si="26"/>
        <v>Christian</v>
      </c>
      <c r="AQ362" s="95" t="str">
        <f>IFERROR(__xludf.DUMMYFUNCTION("IFNA(QUERY(transpose(AY362:BB362),""Select Col1 where Col1 is not null limit 1"",0))"),"")</f>
        <v/>
      </c>
      <c r="AR362" s="84"/>
      <c r="AS362" s="84" t="str">
        <f t="shared" ref="AS362:AV362" si="3180">IF(AK362=AS$3,"",AS$3)</f>
        <v>Thomas</v>
      </c>
      <c r="AT362" s="84" t="str">
        <f t="shared" si="3180"/>
        <v>Peter</v>
      </c>
      <c r="AU362" s="84" t="str">
        <f t="shared" si="3180"/>
        <v>Janus</v>
      </c>
      <c r="AV362" s="84" t="str">
        <f t="shared" si="3180"/>
        <v/>
      </c>
      <c r="AW362" s="84">
        <f t="shared" si="28"/>
        <v>3</v>
      </c>
      <c r="AX362" s="84">
        <f t="shared" si="29"/>
        <v>12</v>
      </c>
      <c r="AY362" s="84" t="str">
        <f t="shared" ref="AY362:BB362" si="3181">IFNA(IFS(AY$3=$AP362,"",$AX362=U362,AY$3),"")</f>
        <v/>
      </c>
      <c r="AZ362" s="84" t="str">
        <f t="shared" si="3181"/>
        <v/>
      </c>
      <c r="BA362" s="84" t="str">
        <f t="shared" si="3181"/>
        <v/>
      </c>
      <c r="BB362" s="84" t="str">
        <f t="shared" si="3181"/>
        <v/>
      </c>
      <c r="BC362" s="96">
        <f>OFFSET('00_Regnskab_01'!$A$1,MATCH(A362,'00_Regnskab_01'!$A$1:$A$25)-1,2)</f>
        <v>44618</v>
      </c>
      <c r="BD362" s="84"/>
      <c r="BE362" s="97">
        <f t="shared" ref="BE362:BH362" si="3182">if(U362&gt;0,1+BE361,0)</f>
        <v>0</v>
      </c>
      <c r="BF362" s="84">
        <f t="shared" si="3182"/>
        <v>0</v>
      </c>
      <c r="BG362" s="84">
        <f t="shared" si="3182"/>
        <v>0</v>
      </c>
      <c r="BH362" s="84">
        <f t="shared" si="3182"/>
        <v>2</v>
      </c>
      <c r="BI362" s="84"/>
      <c r="BJ362" s="28">
        <f t="shared" ref="BJ362:BM362" si="3183">if(U362&lt;0,1+BJ361,0)</f>
        <v>1</v>
      </c>
      <c r="BK362" s="28">
        <f t="shared" si="3183"/>
        <v>2</v>
      </c>
      <c r="BL362" s="28">
        <f t="shared" si="3183"/>
        <v>1</v>
      </c>
      <c r="BM362" s="28">
        <f t="shared" si="3183"/>
        <v>0</v>
      </c>
      <c r="BN362" s="84"/>
      <c r="BO362" s="98">
        <f t="shared" ref="BO362:BR362" si="3184">if(U362&gt;0,U362+BO361,0)</f>
        <v>0</v>
      </c>
      <c r="BP362" s="98">
        <f t="shared" si="3184"/>
        <v>0</v>
      </c>
      <c r="BQ362" s="98">
        <f t="shared" si="3184"/>
        <v>0</v>
      </c>
      <c r="BR362" s="98">
        <f t="shared" si="3184"/>
        <v>52</v>
      </c>
      <c r="BS362" s="84"/>
      <c r="BT362" s="84">
        <f t="shared" ref="BT362:BW362" si="3185">if(U362&lt;0,U362+BT361,0)</f>
        <v>-4</v>
      </c>
      <c r="BU362" s="84">
        <f t="shared" si="3185"/>
        <v>-124</v>
      </c>
      <c r="BV362" s="84">
        <f t="shared" si="3185"/>
        <v>-4</v>
      </c>
      <c r="BW362" s="84">
        <f t="shared" si="3185"/>
        <v>0</v>
      </c>
      <c r="BX362" s="84"/>
      <c r="BY362" s="84"/>
    </row>
    <row r="363">
      <c r="A363" s="51">
        <v>19.0</v>
      </c>
      <c r="B363" s="32">
        <f>'19a_13-01-2023_Fredag'!A3</f>
        <v>1</v>
      </c>
      <c r="C363" s="32">
        <f>'19a_13-01-2023_Fredag'!E3</f>
        <v>-160</v>
      </c>
      <c r="D363" s="32">
        <f>'19a_13-01-2023_Fredag'!C3</f>
        <v>160</v>
      </c>
      <c r="E363" s="32">
        <f>'19a_13-01-2023_Fredag'!D3</f>
        <v>160</v>
      </c>
      <c r="F363" s="32">
        <f>'19a_13-01-2023_Fredag'!B3</f>
        <v>-160</v>
      </c>
      <c r="G363" s="32">
        <f>'19a_13-01-2023_Fredag'!F3</f>
        <v>0</v>
      </c>
      <c r="H363" s="32" t="str">
        <f>'19a_13-01-2023_Fredag'!H3</f>
        <v>Thomas</v>
      </c>
      <c r="I363" s="32" t="str">
        <f>'19a_13-01-2023_Fredag'!I3</f>
        <v>Christian</v>
      </c>
      <c r="J363" s="70" t="str">
        <f>'19a_13-01-2023_Fredag'!J3</f>
        <v>Christian</v>
      </c>
      <c r="K363" s="32" t="str">
        <f>'19a_13-01-2023_Fredag'!G3</f>
        <v>9 vip i 3 - gode</v>
      </c>
      <c r="L363" s="32"/>
      <c r="M363" s="48">
        <v>9.0</v>
      </c>
      <c r="N363" s="25" t="s">
        <v>86</v>
      </c>
      <c r="O363" s="48">
        <v>3.0</v>
      </c>
      <c r="P363" s="32"/>
      <c r="Q363" s="32"/>
      <c r="R363" s="48" t="s">
        <v>15</v>
      </c>
      <c r="S363" s="32"/>
      <c r="T363" s="32"/>
      <c r="U363" s="71">
        <f t="shared" ref="U363:X363" si="3186">C363</f>
        <v>-160</v>
      </c>
      <c r="V363" s="32">
        <f t="shared" si="3186"/>
        <v>160</v>
      </c>
      <c r="W363" s="32">
        <f t="shared" si="3186"/>
        <v>160</v>
      </c>
      <c r="X363" s="32">
        <f t="shared" si="3186"/>
        <v>-160</v>
      </c>
      <c r="Y363" s="32"/>
      <c r="Z363" s="32"/>
      <c r="AA363" s="32"/>
      <c r="AB363" s="28">
        <f t="shared" ref="AB363:AE363" si="3187">IF(AB$3=$H363,U363,"")</f>
        <v>-160</v>
      </c>
      <c r="AC363" s="28" t="str">
        <f t="shared" si="3187"/>
        <v/>
      </c>
      <c r="AD363" s="28" t="str">
        <f t="shared" si="3187"/>
        <v/>
      </c>
      <c r="AE363" s="28" t="str">
        <f t="shared" si="3187"/>
        <v/>
      </c>
      <c r="AH363" s="28">
        <f t="shared" si="22"/>
        <v>0</v>
      </c>
      <c r="AI363" s="28">
        <f t="shared" si="23"/>
        <v>-160</v>
      </c>
      <c r="AJ363" s="32"/>
      <c r="AK363" s="78" t="str">
        <f t="shared" ref="AK363:AN363" si="3188">IF(U363&gt;0,AK$3,"")</f>
        <v/>
      </c>
      <c r="AL363" s="78" t="str">
        <f t="shared" si="3188"/>
        <v>Peter</v>
      </c>
      <c r="AM363" s="78" t="str">
        <f t="shared" si="3188"/>
        <v>Janus</v>
      </c>
      <c r="AN363" s="78" t="str">
        <f t="shared" si="3188"/>
        <v/>
      </c>
      <c r="AO363" s="56">
        <f t="shared" si="25"/>
        <v>2</v>
      </c>
      <c r="AP363" s="8" t="str">
        <f t="shared" si="26"/>
        <v>Thomas</v>
      </c>
      <c r="AQ363" s="73" t="str">
        <f>IFERROR(__xludf.DUMMYFUNCTION("IFNA(QUERY(transpose(AY363:BB363),""Select Col1 where Col1 is not null limit 1"",0))"),"Christian")</f>
        <v>Christian</v>
      </c>
      <c r="AR363" s="56"/>
      <c r="AS363" s="28" t="str">
        <f t="shared" ref="AS363:AV363" si="3189">IF(AK363=AS$3,"",AS$3)</f>
        <v>Thomas</v>
      </c>
      <c r="AT363" s="28" t="str">
        <f t="shared" si="3189"/>
        <v/>
      </c>
      <c r="AU363" s="28" t="str">
        <f t="shared" si="3189"/>
        <v/>
      </c>
      <c r="AV363" s="28" t="str">
        <f t="shared" si="3189"/>
        <v>Christian</v>
      </c>
      <c r="AW363" s="56">
        <f t="shared" si="28"/>
        <v>2</v>
      </c>
      <c r="AX363" s="28">
        <f t="shared" si="29"/>
        <v>-160</v>
      </c>
      <c r="AY363" s="28" t="str">
        <f t="shared" ref="AY363:BB363" si="3190">IFNA(IFS(AY$3=$AP363,"",$AX363=U363,AY$3),"")</f>
        <v/>
      </c>
      <c r="AZ363" s="28" t="str">
        <f t="shared" si="3190"/>
        <v/>
      </c>
      <c r="BA363" s="28" t="str">
        <f t="shared" si="3190"/>
        <v/>
      </c>
      <c r="BB363" s="28" t="str">
        <f t="shared" si="3190"/>
        <v>Christian</v>
      </c>
      <c r="BC363" s="58">
        <f>OFFSET('00_Regnskab_01'!$A$1,MATCH(A363,'00_Regnskab_01'!$A$1:$A$25)-1,2)</f>
        <v>44939</v>
      </c>
      <c r="BD363" s="32"/>
      <c r="BE363" s="80">
        <f t="shared" ref="BE363:BH363" si="3191">if(U363&gt;0,1+BE362,0)</f>
        <v>0</v>
      </c>
      <c r="BF363" s="28">
        <f t="shared" si="3191"/>
        <v>1</v>
      </c>
      <c r="BG363" s="28">
        <f t="shared" si="3191"/>
        <v>1</v>
      </c>
      <c r="BH363" s="28">
        <f t="shared" si="3191"/>
        <v>0</v>
      </c>
      <c r="BI363" s="32"/>
      <c r="BJ363" s="28">
        <f t="shared" ref="BJ363:BM363" si="3192">if(U363&lt;0,1+BJ362,0)</f>
        <v>2</v>
      </c>
      <c r="BK363" s="28">
        <f t="shared" si="3192"/>
        <v>0</v>
      </c>
      <c r="BL363" s="28">
        <f t="shared" si="3192"/>
        <v>0</v>
      </c>
      <c r="BM363" s="28">
        <f t="shared" si="3192"/>
        <v>1</v>
      </c>
      <c r="BO363" s="74">
        <f t="shared" ref="BO363:BR363" si="3193">if(U363&gt;0,U363+BO362,0)</f>
        <v>0</v>
      </c>
      <c r="BP363" s="74">
        <f t="shared" si="3193"/>
        <v>160</v>
      </c>
      <c r="BQ363" s="74">
        <f t="shared" si="3193"/>
        <v>160</v>
      </c>
      <c r="BR363" s="74">
        <f t="shared" si="3193"/>
        <v>0</v>
      </c>
      <c r="BT363" s="28">
        <f t="shared" ref="BT363:BW363" si="3194">if(U363&lt;0,U363+BT362,0)</f>
        <v>-164</v>
      </c>
      <c r="BU363" s="28">
        <f t="shared" si="3194"/>
        <v>0</v>
      </c>
      <c r="BV363" s="28">
        <f t="shared" si="3194"/>
        <v>0</v>
      </c>
      <c r="BW363" s="28">
        <f t="shared" si="3194"/>
        <v>-160</v>
      </c>
      <c r="BX363" s="32"/>
      <c r="BY363" s="32"/>
    </row>
    <row r="364">
      <c r="A364" s="53">
        <v>19.0</v>
      </c>
      <c r="B364" s="28">
        <f>'19a_13-01-2023_Fredag'!A4</f>
        <v>2</v>
      </c>
      <c r="C364" s="28">
        <f>'19a_13-01-2023_Fredag'!E4</f>
        <v>-164</v>
      </c>
      <c r="D364" s="28">
        <f>'19a_13-01-2023_Fredag'!C4</f>
        <v>156</v>
      </c>
      <c r="E364" s="28">
        <f>'19a_13-01-2023_Fredag'!D4</f>
        <v>172</v>
      </c>
      <c r="F364" s="28">
        <f>'19a_13-01-2023_Fredag'!B4</f>
        <v>-164</v>
      </c>
      <c r="G364" s="28">
        <f>'19a_13-01-2023_Fredag'!F4</f>
        <v>0</v>
      </c>
      <c r="H364" s="28" t="str">
        <f>'19a_13-01-2023_Fredag'!H4</f>
        <v>Janus</v>
      </c>
      <c r="I364" s="28" t="str">
        <f>'19a_13-01-2023_Fredag'!I4</f>
        <v>Janus</v>
      </c>
      <c r="J364" s="76" t="str">
        <f>'19a_13-01-2023_Fredag'!J4</f>
        <v>Peter</v>
      </c>
      <c r="K364" s="28" t="str">
        <f>'19a_13-01-2023_Fredag'!G4</f>
        <v>sol</v>
      </c>
      <c r="L364" s="56"/>
      <c r="N364" s="25" t="s">
        <v>99</v>
      </c>
      <c r="T364" s="56"/>
      <c r="U364" s="77">
        <f t="shared" ref="U364:X364" si="3195">C364-C363</f>
        <v>-4</v>
      </c>
      <c r="V364" s="28">
        <f t="shared" si="3195"/>
        <v>-4</v>
      </c>
      <c r="W364" s="28">
        <f t="shared" si="3195"/>
        <v>12</v>
      </c>
      <c r="X364" s="28">
        <f t="shared" si="3195"/>
        <v>-4</v>
      </c>
      <c r="AB364" s="28" t="str">
        <f t="shared" ref="AB364:AE364" si="3196">IF(AB$3=$H364,U364,"")</f>
        <v/>
      </c>
      <c r="AC364" s="28" t="str">
        <f t="shared" si="3196"/>
        <v/>
      </c>
      <c r="AD364" s="28">
        <f t="shared" si="3196"/>
        <v>12</v>
      </c>
      <c r="AE364" s="28" t="str">
        <f t="shared" si="3196"/>
        <v/>
      </c>
      <c r="AH364" s="28">
        <f t="shared" si="22"/>
        <v>12</v>
      </c>
      <c r="AI364" s="28">
        <f t="shared" si="23"/>
        <v>0</v>
      </c>
      <c r="AK364" s="78" t="str">
        <f t="shared" ref="AK364:AN364" si="3197">IF(U364&gt;0,AK$3,"")</f>
        <v/>
      </c>
      <c r="AL364" s="78" t="str">
        <f t="shared" si="3197"/>
        <v/>
      </c>
      <c r="AM364" s="78" t="str">
        <f t="shared" si="3197"/>
        <v>Janus</v>
      </c>
      <c r="AN364" s="78" t="str">
        <f t="shared" si="3197"/>
        <v/>
      </c>
      <c r="AO364" s="56">
        <f t="shared" si="25"/>
        <v>1</v>
      </c>
      <c r="AP364" s="8" t="str">
        <f t="shared" si="26"/>
        <v>Janus</v>
      </c>
      <c r="AQ364" s="73" t="str">
        <f>IFERROR(__xludf.DUMMYFUNCTION("IFNA(QUERY(transpose(AY364:BB364),""Select Col1 where Col1 is not null limit 1"",0))"),"")</f>
        <v/>
      </c>
      <c r="AR364" s="56"/>
      <c r="AS364" s="28" t="str">
        <f t="shared" ref="AS364:AV364" si="3198">IF(AK364=AS$3,"",AS$3)</f>
        <v>Thomas</v>
      </c>
      <c r="AT364" s="28" t="str">
        <f t="shared" si="3198"/>
        <v>Peter</v>
      </c>
      <c r="AU364" s="28" t="str">
        <f t="shared" si="3198"/>
        <v/>
      </c>
      <c r="AV364" s="28" t="str">
        <f t="shared" si="3198"/>
        <v>Christian</v>
      </c>
      <c r="AW364" s="56">
        <f t="shared" si="28"/>
        <v>3</v>
      </c>
      <c r="AX364" s="28">
        <f t="shared" si="29"/>
        <v>12</v>
      </c>
      <c r="AY364" s="28" t="str">
        <f t="shared" ref="AY364:BB364" si="3199">IFNA(IFS(AY$3=$AP364,"",$AX364=U364,AY$3),"")</f>
        <v/>
      </c>
      <c r="AZ364" s="28" t="str">
        <f t="shared" si="3199"/>
        <v/>
      </c>
      <c r="BA364" s="28" t="str">
        <f t="shared" si="3199"/>
        <v/>
      </c>
      <c r="BB364" s="28" t="str">
        <f t="shared" si="3199"/>
        <v/>
      </c>
      <c r="BC364" s="58">
        <f>OFFSET('00_Regnskab_01'!$A$1,MATCH(A364,'00_Regnskab_01'!$A$1:$A$25)-1,2)</f>
        <v>44939</v>
      </c>
      <c r="BE364" s="80">
        <f t="shared" ref="BE364:BH364" si="3200">if(U364&gt;0,1+BE363,0)</f>
        <v>0</v>
      </c>
      <c r="BF364" s="28">
        <f t="shared" si="3200"/>
        <v>0</v>
      </c>
      <c r="BG364" s="28">
        <f t="shared" si="3200"/>
        <v>2</v>
      </c>
      <c r="BH364" s="28">
        <f t="shared" si="3200"/>
        <v>0</v>
      </c>
      <c r="BJ364" s="28">
        <f t="shared" ref="BJ364:BM364" si="3201">if(U364&lt;0,1+BJ363,0)</f>
        <v>3</v>
      </c>
      <c r="BK364" s="28">
        <f t="shared" si="3201"/>
        <v>1</v>
      </c>
      <c r="BL364" s="28">
        <f t="shared" si="3201"/>
        <v>0</v>
      </c>
      <c r="BM364" s="28">
        <f t="shared" si="3201"/>
        <v>2</v>
      </c>
      <c r="BO364" s="74">
        <f t="shared" ref="BO364:BR364" si="3202">if(U364&gt;0,U364+BO363,0)</f>
        <v>0</v>
      </c>
      <c r="BP364" s="74">
        <f t="shared" si="3202"/>
        <v>0</v>
      </c>
      <c r="BQ364" s="74">
        <f t="shared" si="3202"/>
        <v>172</v>
      </c>
      <c r="BR364" s="74">
        <f t="shared" si="3202"/>
        <v>0</v>
      </c>
      <c r="BT364" s="28">
        <f t="shared" ref="BT364:BW364" si="3203">if(U364&lt;0,U364+BT363,0)</f>
        <v>-168</v>
      </c>
      <c r="BU364" s="28">
        <f t="shared" si="3203"/>
        <v>-4</v>
      </c>
      <c r="BV364" s="28">
        <f t="shared" si="3203"/>
        <v>0</v>
      </c>
      <c r="BW364" s="28">
        <f t="shared" si="3203"/>
        <v>-164</v>
      </c>
    </row>
    <row r="365">
      <c r="A365" s="53">
        <v>19.0</v>
      </c>
      <c r="B365" s="28">
        <f>'19a_13-01-2023_Fredag'!A5</f>
        <v>3</v>
      </c>
      <c r="C365" s="28">
        <f>'19a_13-01-2023_Fredag'!E5</f>
        <v>-168</v>
      </c>
      <c r="D365" s="28">
        <f>'19a_13-01-2023_Fredag'!C5</f>
        <v>152</v>
      </c>
      <c r="E365" s="28">
        <f>'19a_13-01-2023_Fredag'!D5</f>
        <v>184</v>
      </c>
      <c r="F365" s="28">
        <f>'19a_13-01-2023_Fredag'!B5</f>
        <v>-168</v>
      </c>
      <c r="G365" s="28">
        <f>'19a_13-01-2023_Fredag'!F5</f>
        <v>0</v>
      </c>
      <c r="H365" s="28" t="str">
        <f>'19a_13-01-2023_Fredag'!H5</f>
        <v>Janus</v>
      </c>
      <c r="I365" s="28" t="str">
        <f>'19a_13-01-2023_Fredag'!I5</f>
        <v>Janus</v>
      </c>
      <c r="J365" s="76" t="str">
        <f>'19a_13-01-2023_Fredag'!J5</f>
        <v>Janus</v>
      </c>
      <c r="K365" s="28" t="str">
        <f>'19a_13-01-2023_Fredag'!G5</f>
        <v>sol</v>
      </c>
      <c r="L365" s="56"/>
      <c r="N365" s="25" t="s">
        <v>99</v>
      </c>
      <c r="T365" s="56"/>
      <c r="U365" s="77">
        <f t="shared" ref="U365:X365" si="3204">C365-C364</f>
        <v>-4</v>
      </c>
      <c r="V365" s="28">
        <f t="shared" si="3204"/>
        <v>-4</v>
      </c>
      <c r="W365" s="28">
        <f t="shared" si="3204"/>
        <v>12</v>
      </c>
      <c r="X365" s="28">
        <f t="shared" si="3204"/>
        <v>-4</v>
      </c>
      <c r="AB365" s="28" t="str">
        <f t="shared" ref="AB365:AE365" si="3205">IF(AB$3=$H365,U365,"")</f>
        <v/>
      </c>
      <c r="AC365" s="28" t="str">
        <f t="shared" si="3205"/>
        <v/>
      </c>
      <c r="AD365" s="28">
        <f t="shared" si="3205"/>
        <v>12</v>
      </c>
      <c r="AE365" s="28" t="str">
        <f t="shared" si="3205"/>
        <v/>
      </c>
      <c r="AH365" s="28">
        <f t="shared" si="22"/>
        <v>12</v>
      </c>
      <c r="AI365" s="28">
        <f t="shared" si="23"/>
        <v>0</v>
      </c>
      <c r="AK365" s="78" t="str">
        <f t="shared" ref="AK365:AN365" si="3206">IF(U365&gt;0,AK$3,"")</f>
        <v/>
      </c>
      <c r="AL365" s="78" t="str">
        <f t="shared" si="3206"/>
        <v/>
      </c>
      <c r="AM365" s="78" t="str">
        <f t="shared" si="3206"/>
        <v>Janus</v>
      </c>
      <c r="AN365" s="78" t="str">
        <f t="shared" si="3206"/>
        <v/>
      </c>
      <c r="AO365" s="56">
        <f t="shared" si="25"/>
        <v>1</v>
      </c>
      <c r="AP365" s="8" t="str">
        <f t="shared" si="26"/>
        <v>Janus</v>
      </c>
      <c r="AQ365" s="73" t="str">
        <f>IFERROR(__xludf.DUMMYFUNCTION("IFNA(QUERY(transpose(AY365:BB365),""Select Col1 where Col1 is not null limit 1"",0))"),"")</f>
        <v/>
      </c>
      <c r="AR365" s="56"/>
      <c r="AS365" s="28" t="str">
        <f t="shared" ref="AS365:AV365" si="3207">IF(AK365=AS$3,"",AS$3)</f>
        <v>Thomas</v>
      </c>
      <c r="AT365" s="28" t="str">
        <f t="shared" si="3207"/>
        <v>Peter</v>
      </c>
      <c r="AU365" s="28" t="str">
        <f t="shared" si="3207"/>
        <v/>
      </c>
      <c r="AV365" s="28" t="str">
        <f t="shared" si="3207"/>
        <v>Christian</v>
      </c>
      <c r="AW365" s="56">
        <f t="shared" si="28"/>
        <v>3</v>
      </c>
      <c r="AX365" s="28">
        <f t="shared" si="29"/>
        <v>12</v>
      </c>
      <c r="AY365" s="28" t="str">
        <f t="shared" ref="AY365:BB365" si="3208">IFNA(IFS(AY$3=$AP365,"",$AX365=U365,AY$3),"")</f>
        <v/>
      </c>
      <c r="AZ365" s="28" t="str">
        <f t="shared" si="3208"/>
        <v/>
      </c>
      <c r="BA365" s="28" t="str">
        <f t="shared" si="3208"/>
        <v/>
      </c>
      <c r="BB365" s="28" t="str">
        <f t="shared" si="3208"/>
        <v/>
      </c>
      <c r="BC365" s="58">
        <f>OFFSET('00_Regnskab_01'!$A$1,MATCH(A365,'00_Regnskab_01'!$A$1:$A$25)-1,2)</f>
        <v>44939</v>
      </c>
      <c r="BE365" s="80">
        <f t="shared" ref="BE365:BH365" si="3209">if(U365&gt;0,1+BE364,0)</f>
        <v>0</v>
      </c>
      <c r="BF365" s="28">
        <f t="shared" si="3209"/>
        <v>0</v>
      </c>
      <c r="BG365" s="28">
        <f t="shared" si="3209"/>
        <v>3</v>
      </c>
      <c r="BH365" s="28">
        <f t="shared" si="3209"/>
        <v>0</v>
      </c>
      <c r="BJ365" s="28">
        <f t="shared" ref="BJ365:BM365" si="3210">if(U365&lt;0,1+BJ364,0)</f>
        <v>4</v>
      </c>
      <c r="BK365" s="28">
        <f t="shared" si="3210"/>
        <v>2</v>
      </c>
      <c r="BL365" s="28">
        <f t="shared" si="3210"/>
        <v>0</v>
      </c>
      <c r="BM365" s="28">
        <f t="shared" si="3210"/>
        <v>3</v>
      </c>
      <c r="BO365" s="74">
        <f t="shared" ref="BO365:BR365" si="3211">if(U365&gt;0,U365+BO364,0)</f>
        <v>0</v>
      </c>
      <c r="BP365" s="74">
        <f t="shared" si="3211"/>
        <v>0</v>
      </c>
      <c r="BQ365" s="74">
        <f t="shared" si="3211"/>
        <v>184</v>
      </c>
      <c r="BR365" s="74">
        <f t="shared" si="3211"/>
        <v>0</v>
      </c>
      <c r="BT365" s="28">
        <f t="shared" ref="BT365:BW365" si="3212">if(U365&lt;0,U365+BT364,0)</f>
        <v>-172</v>
      </c>
      <c r="BU365" s="28">
        <f t="shared" si="3212"/>
        <v>-8</v>
      </c>
      <c r="BV365" s="28">
        <f t="shared" si="3212"/>
        <v>0</v>
      </c>
      <c r="BW365" s="28">
        <f t="shared" si="3212"/>
        <v>-168</v>
      </c>
    </row>
    <row r="366">
      <c r="A366" s="53">
        <v>19.0</v>
      </c>
      <c r="B366" s="28">
        <f>'19a_13-01-2023_Fredag'!A6</f>
        <v>4</v>
      </c>
      <c r="C366" s="28">
        <f>'19a_13-01-2023_Fredag'!E6</f>
        <v>-160</v>
      </c>
      <c r="D366" s="28">
        <f>'19a_13-01-2023_Fredag'!C6</f>
        <v>128</v>
      </c>
      <c r="E366" s="28">
        <f>'19a_13-01-2023_Fredag'!D6</f>
        <v>192</v>
      </c>
      <c r="F366" s="28">
        <f>'19a_13-01-2023_Fredag'!B6</f>
        <v>-160</v>
      </c>
      <c r="G366" s="28">
        <f>'19a_13-01-2023_Fredag'!F6</f>
        <v>0</v>
      </c>
      <c r="H366" s="28" t="str">
        <f>'19a_13-01-2023_Fredag'!H6</f>
        <v>Peter</v>
      </c>
      <c r="I366" s="28" t="str">
        <f>'19a_13-01-2023_Fredag'!I6</f>
        <v>Peter</v>
      </c>
      <c r="J366" s="76" t="str">
        <f>'19a_13-01-2023_Fredag'!J6</f>
        <v>Thomas</v>
      </c>
      <c r="K366" s="28" t="str">
        <f>'19a_13-01-2023_Fredag'!G6</f>
        <v>Ren Sol</v>
      </c>
      <c r="L366" s="56"/>
      <c r="N366" s="25" t="s">
        <v>97</v>
      </c>
      <c r="T366" s="56"/>
      <c r="U366" s="77">
        <f t="shared" ref="U366:X366" si="3213">C366-C365</f>
        <v>8</v>
      </c>
      <c r="V366" s="28">
        <f t="shared" si="3213"/>
        <v>-24</v>
      </c>
      <c r="W366" s="28">
        <f t="shared" si="3213"/>
        <v>8</v>
      </c>
      <c r="X366" s="28">
        <f t="shared" si="3213"/>
        <v>8</v>
      </c>
      <c r="AB366" s="28" t="str">
        <f t="shared" ref="AB366:AE366" si="3214">IF(AB$3=$H366,U366,"")</f>
        <v/>
      </c>
      <c r="AC366" s="28">
        <f t="shared" si="3214"/>
        <v>-24</v>
      </c>
      <c r="AD366" s="28" t="str">
        <f t="shared" si="3214"/>
        <v/>
      </c>
      <c r="AE366" s="28" t="str">
        <f t="shared" si="3214"/>
        <v/>
      </c>
      <c r="AH366" s="28">
        <f t="shared" si="22"/>
        <v>0</v>
      </c>
      <c r="AI366" s="28">
        <f t="shared" si="23"/>
        <v>-24</v>
      </c>
      <c r="AK366" s="78" t="str">
        <f t="shared" ref="AK366:AN366" si="3215">IF(U366&gt;0,AK$3,"")</f>
        <v>Thomas</v>
      </c>
      <c r="AL366" s="78" t="str">
        <f t="shared" si="3215"/>
        <v/>
      </c>
      <c r="AM366" s="78" t="str">
        <f t="shared" si="3215"/>
        <v>Janus</v>
      </c>
      <c r="AN366" s="78" t="str">
        <f t="shared" si="3215"/>
        <v>Christian</v>
      </c>
      <c r="AO366" s="56">
        <f t="shared" si="25"/>
        <v>3</v>
      </c>
      <c r="AP366" s="8" t="str">
        <f t="shared" si="26"/>
        <v>Peter</v>
      </c>
      <c r="AQ366" s="73" t="str">
        <f>IFERROR(__xludf.DUMMYFUNCTION("IFNA(QUERY(transpose(AY366:BB366),""Select Col1 where Col1 is not null limit 1"",0))"),"")</f>
        <v/>
      </c>
      <c r="AR366" s="56"/>
      <c r="AS366" s="28" t="str">
        <f t="shared" ref="AS366:AV366" si="3216">IF(AK366=AS$3,"",AS$3)</f>
        <v/>
      </c>
      <c r="AT366" s="28" t="str">
        <f t="shared" si="3216"/>
        <v>Peter</v>
      </c>
      <c r="AU366" s="28" t="str">
        <f t="shared" si="3216"/>
        <v/>
      </c>
      <c r="AV366" s="28" t="str">
        <f t="shared" si="3216"/>
        <v/>
      </c>
      <c r="AW366" s="56">
        <f t="shared" si="28"/>
        <v>1</v>
      </c>
      <c r="AX366" s="28">
        <f t="shared" si="29"/>
        <v>-24</v>
      </c>
      <c r="AY366" s="28" t="str">
        <f t="shared" ref="AY366:BB366" si="3217">IFNA(IFS(AY$3=$AP366,"",$AX366=U366,AY$3),"")</f>
        <v/>
      </c>
      <c r="AZ366" s="28" t="str">
        <f t="shared" si="3217"/>
        <v/>
      </c>
      <c r="BA366" s="28" t="str">
        <f t="shared" si="3217"/>
        <v/>
      </c>
      <c r="BB366" s="28" t="str">
        <f t="shared" si="3217"/>
        <v/>
      </c>
      <c r="BC366" s="58">
        <f>OFFSET('00_Regnskab_01'!$A$1,MATCH(A366,'00_Regnskab_01'!$A$1:$A$25)-1,2)</f>
        <v>44939</v>
      </c>
      <c r="BE366" s="80">
        <f t="shared" ref="BE366:BH366" si="3218">if(U366&gt;0,1+BE365,0)</f>
        <v>1</v>
      </c>
      <c r="BF366" s="28">
        <f t="shared" si="3218"/>
        <v>0</v>
      </c>
      <c r="BG366" s="28">
        <f t="shared" si="3218"/>
        <v>4</v>
      </c>
      <c r="BH366" s="28">
        <f t="shared" si="3218"/>
        <v>1</v>
      </c>
      <c r="BJ366" s="28">
        <f t="shared" ref="BJ366:BM366" si="3219">if(U366&lt;0,1+BJ365,0)</f>
        <v>0</v>
      </c>
      <c r="BK366" s="28">
        <f t="shared" si="3219"/>
        <v>3</v>
      </c>
      <c r="BL366" s="28">
        <f t="shared" si="3219"/>
        <v>0</v>
      </c>
      <c r="BM366" s="28">
        <f t="shared" si="3219"/>
        <v>0</v>
      </c>
      <c r="BO366" s="74">
        <f t="shared" ref="BO366:BR366" si="3220">if(U366&gt;0,U366+BO365,0)</f>
        <v>8</v>
      </c>
      <c r="BP366" s="74">
        <f t="shared" si="3220"/>
        <v>0</v>
      </c>
      <c r="BQ366" s="74">
        <f t="shared" si="3220"/>
        <v>192</v>
      </c>
      <c r="BR366" s="74">
        <f t="shared" si="3220"/>
        <v>8</v>
      </c>
      <c r="BT366" s="28">
        <f t="shared" ref="BT366:BW366" si="3221">if(U366&lt;0,U366+BT365,0)</f>
        <v>0</v>
      </c>
      <c r="BU366" s="28">
        <f t="shared" si="3221"/>
        <v>-32</v>
      </c>
      <c r="BV366" s="28">
        <f t="shared" si="3221"/>
        <v>0</v>
      </c>
      <c r="BW366" s="28">
        <f t="shared" si="3221"/>
        <v>0</v>
      </c>
    </row>
    <row r="367">
      <c r="A367" s="53">
        <v>19.0</v>
      </c>
      <c r="B367" s="28">
        <f>'19a_13-01-2023_Fredag'!A7</f>
        <v>5</v>
      </c>
      <c r="C367" s="28">
        <f>'19a_13-01-2023_Fredag'!E7</f>
        <v>-168</v>
      </c>
      <c r="D367" s="28">
        <f>'19a_13-01-2023_Fredag'!C7</f>
        <v>136</v>
      </c>
      <c r="E367" s="28">
        <f>'19a_13-01-2023_Fredag'!D7</f>
        <v>200</v>
      </c>
      <c r="F367" s="28">
        <f>'19a_13-01-2023_Fredag'!B7</f>
        <v>-168</v>
      </c>
      <c r="G367" s="28">
        <f>'19a_13-01-2023_Fredag'!F7</f>
        <v>0</v>
      </c>
      <c r="H367" s="28" t="str">
        <f>'19a_13-01-2023_Fredag'!H7</f>
        <v>Janus</v>
      </c>
      <c r="I367" s="28" t="str">
        <f>'19a_13-01-2023_Fredag'!I7</f>
        <v>Peter</v>
      </c>
      <c r="J367" s="76" t="str">
        <f>'19a_13-01-2023_Fredag'!J7</f>
        <v>Christian</v>
      </c>
      <c r="K367" s="28" t="str">
        <f>'19a_13-01-2023_Fredag'!G7</f>
        <v>9 alm</v>
      </c>
      <c r="L367" s="56"/>
      <c r="M367" s="25">
        <v>9.0</v>
      </c>
      <c r="N367" s="25" t="s">
        <v>100</v>
      </c>
      <c r="T367" s="56"/>
      <c r="U367" s="77">
        <f t="shared" ref="U367:X367" si="3222">C367-C366</f>
        <v>-8</v>
      </c>
      <c r="V367" s="28">
        <f t="shared" si="3222"/>
        <v>8</v>
      </c>
      <c r="W367" s="28">
        <f t="shared" si="3222"/>
        <v>8</v>
      </c>
      <c r="X367" s="28">
        <f t="shared" si="3222"/>
        <v>-8</v>
      </c>
      <c r="AB367" s="28" t="str">
        <f t="shared" ref="AB367:AE367" si="3223">IF(AB$3=$H367,U367,"")</f>
        <v/>
      </c>
      <c r="AC367" s="28" t="str">
        <f t="shared" si="3223"/>
        <v/>
      </c>
      <c r="AD367" s="28">
        <f t="shared" si="3223"/>
        <v>8</v>
      </c>
      <c r="AE367" s="28" t="str">
        <f t="shared" si="3223"/>
        <v/>
      </c>
      <c r="AH367" s="28">
        <f t="shared" si="22"/>
        <v>8</v>
      </c>
      <c r="AI367" s="28">
        <f t="shared" si="23"/>
        <v>0</v>
      </c>
      <c r="AK367" s="78" t="str">
        <f t="shared" ref="AK367:AN367" si="3224">IF(U367&gt;0,AK$3,"")</f>
        <v/>
      </c>
      <c r="AL367" s="78" t="str">
        <f t="shared" si="3224"/>
        <v>Peter</v>
      </c>
      <c r="AM367" s="78" t="str">
        <f t="shared" si="3224"/>
        <v>Janus</v>
      </c>
      <c r="AN367" s="78" t="str">
        <f t="shared" si="3224"/>
        <v/>
      </c>
      <c r="AO367" s="56">
        <f t="shared" si="25"/>
        <v>2</v>
      </c>
      <c r="AP367" s="8" t="str">
        <f t="shared" si="26"/>
        <v>Janus</v>
      </c>
      <c r="AQ367" s="73" t="str">
        <f>IFERROR(__xludf.DUMMYFUNCTION("IFNA(QUERY(transpose(AY367:BB367),""Select Col1 where Col1 is not null limit 1"",0))"),"Peter")</f>
        <v>Peter</v>
      </c>
      <c r="AR367" s="56"/>
      <c r="AS367" s="28" t="str">
        <f t="shared" ref="AS367:AV367" si="3225">IF(AK367=AS$3,"",AS$3)</f>
        <v>Thomas</v>
      </c>
      <c r="AT367" s="28" t="str">
        <f t="shared" si="3225"/>
        <v/>
      </c>
      <c r="AU367" s="28" t="str">
        <f t="shared" si="3225"/>
        <v/>
      </c>
      <c r="AV367" s="28" t="str">
        <f t="shared" si="3225"/>
        <v>Christian</v>
      </c>
      <c r="AW367" s="56">
        <f t="shared" si="28"/>
        <v>2</v>
      </c>
      <c r="AX367" s="28">
        <f t="shared" si="29"/>
        <v>8</v>
      </c>
      <c r="AY367" s="28" t="str">
        <f t="shared" ref="AY367:BB367" si="3226">IFNA(IFS(AY$3=$AP367,"",$AX367=U367,AY$3),"")</f>
        <v/>
      </c>
      <c r="AZ367" s="28" t="str">
        <f t="shared" si="3226"/>
        <v>Peter</v>
      </c>
      <c r="BA367" s="28" t="str">
        <f t="shared" si="3226"/>
        <v/>
      </c>
      <c r="BB367" s="28" t="str">
        <f t="shared" si="3226"/>
        <v/>
      </c>
      <c r="BC367" s="58">
        <f>OFFSET('00_Regnskab_01'!$A$1,MATCH(A367,'00_Regnskab_01'!$A$1:$A$25)-1,2)</f>
        <v>44939</v>
      </c>
      <c r="BE367" s="80">
        <f t="shared" ref="BE367:BH367" si="3227">if(U367&gt;0,1+BE366,0)</f>
        <v>0</v>
      </c>
      <c r="BF367" s="28">
        <f t="shared" si="3227"/>
        <v>1</v>
      </c>
      <c r="BG367" s="28">
        <f t="shared" si="3227"/>
        <v>5</v>
      </c>
      <c r="BH367" s="28">
        <f t="shared" si="3227"/>
        <v>0</v>
      </c>
      <c r="BJ367" s="28">
        <f t="shared" ref="BJ367:BM367" si="3228">if(U367&lt;0,1+BJ366,0)</f>
        <v>1</v>
      </c>
      <c r="BK367" s="28">
        <f t="shared" si="3228"/>
        <v>0</v>
      </c>
      <c r="BL367" s="28">
        <f t="shared" si="3228"/>
        <v>0</v>
      </c>
      <c r="BM367" s="28">
        <f t="shared" si="3228"/>
        <v>1</v>
      </c>
      <c r="BO367" s="74">
        <f t="shared" ref="BO367:BR367" si="3229">if(U367&gt;0,U367+BO366,0)</f>
        <v>0</v>
      </c>
      <c r="BP367" s="74">
        <f t="shared" si="3229"/>
        <v>8</v>
      </c>
      <c r="BQ367" s="74">
        <f t="shared" si="3229"/>
        <v>200</v>
      </c>
      <c r="BR367" s="74">
        <f t="shared" si="3229"/>
        <v>0</v>
      </c>
      <c r="BT367" s="28">
        <f t="shared" ref="BT367:BW367" si="3230">if(U367&lt;0,U367+BT366,0)</f>
        <v>-8</v>
      </c>
      <c r="BU367" s="28">
        <f t="shared" si="3230"/>
        <v>0</v>
      </c>
      <c r="BV367" s="28">
        <f t="shared" si="3230"/>
        <v>0</v>
      </c>
      <c r="BW367" s="28">
        <f t="shared" si="3230"/>
        <v>-8</v>
      </c>
    </row>
    <row r="368">
      <c r="A368" s="53">
        <v>19.0</v>
      </c>
      <c r="B368" s="28">
        <f>'19a_13-01-2023_Fredag'!A8</f>
        <v>6</v>
      </c>
      <c r="C368" s="28">
        <f>'19a_13-01-2023_Fredag'!E8</f>
        <v>-180</v>
      </c>
      <c r="D368" s="28">
        <f>'19a_13-01-2023_Fredag'!C8</f>
        <v>124</v>
      </c>
      <c r="E368" s="28">
        <f>'19a_13-01-2023_Fredag'!D8</f>
        <v>212</v>
      </c>
      <c r="F368" s="28">
        <f>'19a_13-01-2023_Fredag'!B8</f>
        <v>-156</v>
      </c>
      <c r="G368" s="28">
        <f>'19a_13-01-2023_Fredag'!F8</f>
        <v>0</v>
      </c>
      <c r="H368" s="28" t="str">
        <f>'19a_13-01-2023_Fredag'!H8</f>
        <v>Christian</v>
      </c>
      <c r="I368" s="28" t="str">
        <f>'19a_13-01-2023_Fredag'!I8</f>
        <v>Janus</v>
      </c>
      <c r="J368" s="76" t="str">
        <f>'19a_13-01-2023_Fredag'!J8</f>
        <v>Peter</v>
      </c>
      <c r="K368" s="28" t="str">
        <f>'19a_13-01-2023_Fredag'!G8</f>
        <v>9 gode</v>
      </c>
      <c r="L368" s="56"/>
      <c r="M368" s="25">
        <v>9.0</v>
      </c>
      <c r="N368" s="25" t="s">
        <v>95</v>
      </c>
      <c r="T368" s="56"/>
      <c r="U368" s="77">
        <f t="shared" ref="U368:X368" si="3231">C368-C367</f>
        <v>-12</v>
      </c>
      <c r="V368" s="28">
        <f t="shared" si="3231"/>
        <v>-12</v>
      </c>
      <c r="W368" s="28">
        <f t="shared" si="3231"/>
        <v>12</v>
      </c>
      <c r="X368" s="28">
        <f t="shared" si="3231"/>
        <v>12</v>
      </c>
      <c r="AB368" s="28" t="str">
        <f t="shared" ref="AB368:AE368" si="3232">IF(AB$3=$H368,U368,"")</f>
        <v/>
      </c>
      <c r="AC368" s="28" t="str">
        <f t="shared" si="3232"/>
        <v/>
      </c>
      <c r="AD368" s="28" t="str">
        <f t="shared" si="3232"/>
        <v/>
      </c>
      <c r="AE368" s="28">
        <f t="shared" si="3232"/>
        <v>12</v>
      </c>
      <c r="AH368" s="28">
        <f t="shared" si="22"/>
        <v>12</v>
      </c>
      <c r="AI368" s="28">
        <f t="shared" si="23"/>
        <v>0</v>
      </c>
      <c r="AK368" s="78" t="str">
        <f t="shared" ref="AK368:AN368" si="3233">IF(U368&gt;0,AK$3,"")</f>
        <v/>
      </c>
      <c r="AL368" s="78" t="str">
        <f t="shared" si="3233"/>
        <v/>
      </c>
      <c r="AM368" s="78" t="str">
        <f t="shared" si="3233"/>
        <v>Janus</v>
      </c>
      <c r="AN368" s="78" t="str">
        <f t="shared" si="3233"/>
        <v>Christian</v>
      </c>
      <c r="AO368" s="56">
        <f t="shared" si="25"/>
        <v>2</v>
      </c>
      <c r="AP368" s="8" t="str">
        <f t="shared" si="26"/>
        <v>Christian</v>
      </c>
      <c r="AQ368" s="73" t="str">
        <f>IFERROR(__xludf.DUMMYFUNCTION("IFNA(QUERY(transpose(AY368:BB368),""Select Col1 where Col1 is not null limit 1"",0))"),"Janus")</f>
        <v>Janus</v>
      </c>
      <c r="AR368" s="56"/>
      <c r="AS368" s="28" t="str">
        <f t="shared" ref="AS368:AV368" si="3234">IF(AK368=AS$3,"",AS$3)</f>
        <v>Thomas</v>
      </c>
      <c r="AT368" s="28" t="str">
        <f t="shared" si="3234"/>
        <v>Peter</v>
      </c>
      <c r="AU368" s="28" t="str">
        <f t="shared" si="3234"/>
        <v/>
      </c>
      <c r="AV368" s="28" t="str">
        <f t="shared" si="3234"/>
        <v/>
      </c>
      <c r="AW368" s="56">
        <f t="shared" si="28"/>
        <v>2</v>
      </c>
      <c r="AX368" s="28">
        <f t="shared" si="29"/>
        <v>12</v>
      </c>
      <c r="AY368" s="28" t="str">
        <f t="shared" ref="AY368:BB368" si="3235">IFNA(IFS(AY$3=$AP368,"",$AX368=U368,AY$3),"")</f>
        <v/>
      </c>
      <c r="AZ368" s="28" t="str">
        <f t="shared" si="3235"/>
        <v/>
      </c>
      <c r="BA368" s="28" t="str">
        <f t="shared" si="3235"/>
        <v>Janus</v>
      </c>
      <c r="BB368" s="28" t="str">
        <f t="shared" si="3235"/>
        <v/>
      </c>
      <c r="BC368" s="58">
        <f>OFFSET('00_Regnskab_01'!$A$1,MATCH(A368,'00_Regnskab_01'!$A$1:$A$25)-1,2)</f>
        <v>44939</v>
      </c>
      <c r="BE368" s="80">
        <f t="shared" ref="BE368:BH368" si="3236">if(U368&gt;0,1+BE367,0)</f>
        <v>0</v>
      </c>
      <c r="BF368" s="28">
        <f t="shared" si="3236"/>
        <v>0</v>
      </c>
      <c r="BG368" s="28">
        <f t="shared" si="3236"/>
        <v>6</v>
      </c>
      <c r="BH368" s="28">
        <f t="shared" si="3236"/>
        <v>1</v>
      </c>
      <c r="BJ368" s="28">
        <f t="shared" ref="BJ368:BM368" si="3237">if(U368&lt;0,1+BJ367,0)</f>
        <v>2</v>
      </c>
      <c r="BK368" s="28">
        <f t="shared" si="3237"/>
        <v>1</v>
      </c>
      <c r="BL368" s="28">
        <f t="shared" si="3237"/>
        <v>0</v>
      </c>
      <c r="BM368" s="28">
        <f t="shared" si="3237"/>
        <v>0</v>
      </c>
      <c r="BO368" s="74">
        <f t="shared" ref="BO368:BR368" si="3238">if(U368&gt;0,U368+BO367,0)</f>
        <v>0</v>
      </c>
      <c r="BP368" s="74">
        <f t="shared" si="3238"/>
        <v>0</v>
      </c>
      <c r="BQ368" s="74">
        <f t="shared" si="3238"/>
        <v>212</v>
      </c>
      <c r="BR368" s="74">
        <f t="shared" si="3238"/>
        <v>12</v>
      </c>
      <c r="BT368" s="28">
        <f t="shared" ref="BT368:BW368" si="3239">if(U368&lt;0,U368+BT367,0)</f>
        <v>-20</v>
      </c>
      <c r="BU368" s="28">
        <f t="shared" si="3239"/>
        <v>-12</v>
      </c>
      <c r="BV368" s="28">
        <f t="shared" si="3239"/>
        <v>0</v>
      </c>
      <c r="BW368" s="28">
        <f t="shared" si="3239"/>
        <v>0</v>
      </c>
    </row>
    <row r="369">
      <c r="A369" s="53">
        <v>19.0</v>
      </c>
      <c r="B369" s="28">
        <f>'19a_13-01-2023_Fredag'!A9</f>
        <v>7</v>
      </c>
      <c r="C369" s="28">
        <f>'19a_13-01-2023_Fredag'!E9</f>
        <v>-164</v>
      </c>
      <c r="D369" s="28">
        <f>'19a_13-01-2023_Fredag'!C9</f>
        <v>76</v>
      </c>
      <c r="E369" s="28">
        <f>'19a_13-01-2023_Fredag'!D9</f>
        <v>228</v>
      </c>
      <c r="F369" s="28">
        <f>'19a_13-01-2023_Fredag'!B9</f>
        <v>-140</v>
      </c>
      <c r="G369" s="28">
        <f>'19a_13-01-2023_Fredag'!F9</f>
        <v>0</v>
      </c>
      <c r="H369" s="28" t="str">
        <f>'19a_13-01-2023_Fredag'!H9</f>
        <v>Peter</v>
      </c>
      <c r="I369" s="28" t="str">
        <f>'19a_13-01-2023_Fredag'!I9</f>
        <v>Peter</v>
      </c>
      <c r="J369" s="76" t="str">
        <f>'19a_13-01-2023_Fredag'!J9</f>
        <v>Janus</v>
      </c>
      <c r="K369" s="28" t="str">
        <f>'19a_13-01-2023_Fredag'!G9</f>
        <v>halv bordlægger </v>
      </c>
      <c r="L369" s="56"/>
      <c r="N369" s="25" t="s">
        <v>101</v>
      </c>
      <c r="T369" s="56"/>
      <c r="U369" s="77">
        <f t="shared" ref="U369:X369" si="3240">C369-C368</f>
        <v>16</v>
      </c>
      <c r="V369" s="28">
        <f t="shared" si="3240"/>
        <v>-48</v>
      </c>
      <c r="W369" s="28">
        <f t="shared" si="3240"/>
        <v>16</v>
      </c>
      <c r="X369" s="28">
        <f t="shared" si="3240"/>
        <v>16</v>
      </c>
      <c r="AB369" s="28" t="str">
        <f t="shared" ref="AB369:AE369" si="3241">IF(AB$3=$H369,U369,"")</f>
        <v/>
      </c>
      <c r="AC369" s="28">
        <f t="shared" si="3241"/>
        <v>-48</v>
      </c>
      <c r="AD369" s="28" t="str">
        <f t="shared" si="3241"/>
        <v/>
      </c>
      <c r="AE369" s="28" t="str">
        <f t="shared" si="3241"/>
        <v/>
      </c>
      <c r="AH369" s="28">
        <f t="shared" si="22"/>
        <v>0</v>
      </c>
      <c r="AI369" s="28">
        <f t="shared" si="23"/>
        <v>-48</v>
      </c>
      <c r="AK369" s="78" t="str">
        <f t="shared" ref="AK369:AN369" si="3242">IF(U369&gt;0,AK$3,"")</f>
        <v>Thomas</v>
      </c>
      <c r="AL369" s="78" t="str">
        <f t="shared" si="3242"/>
        <v/>
      </c>
      <c r="AM369" s="78" t="str">
        <f t="shared" si="3242"/>
        <v>Janus</v>
      </c>
      <c r="AN369" s="78" t="str">
        <f t="shared" si="3242"/>
        <v>Christian</v>
      </c>
      <c r="AO369" s="56">
        <f t="shared" si="25"/>
        <v>3</v>
      </c>
      <c r="AP369" s="8" t="str">
        <f t="shared" si="26"/>
        <v>Peter</v>
      </c>
      <c r="AQ369" s="73" t="str">
        <f>IFERROR(__xludf.DUMMYFUNCTION("IFNA(QUERY(transpose(AY369:BB369),""Select Col1 where Col1 is not null limit 1"",0))"),"")</f>
        <v/>
      </c>
      <c r="AR369" s="56"/>
      <c r="AS369" s="28" t="str">
        <f t="shared" ref="AS369:AV369" si="3243">IF(AK369=AS$3,"",AS$3)</f>
        <v/>
      </c>
      <c r="AT369" s="28" t="str">
        <f t="shared" si="3243"/>
        <v>Peter</v>
      </c>
      <c r="AU369" s="28" t="str">
        <f t="shared" si="3243"/>
        <v/>
      </c>
      <c r="AV369" s="28" t="str">
        <f t="shared" si="3243"/>
        <v/>
      </c>
      <c r="AW369" s="56">
        <f t="shared" si="28"/>
        <v>1</v>
      </c>
      <c r="AX369" s="28">
        <f t="shared" si="29"/>
        <v>-48</v>
      </c>
      <c r="AY369" s="28" t="str">
        <f t="shared" ref="AY369:BB369" si="3244">IFNA(IFS(AY$3=$AP369,"",$AX369=U369,AY$3),"")</f>
        <v/>
      </c>
      <c r="AZ369" s="28" t="str">
        <f t="shared" si="3244"/>
        <v/>
      </c>
      <c r="BA369" s="28" t="str">
        <f t="shared" si="3244"/>
        <v/>
      </c>
      <c r="BB369" s="28" t="str">
        <f t="shared" si="3244"/>
        <v/>
      </c>
      <c r="BC369" s="58">
        <f>OFFSET('00_Regnskab_01'!$A$1,MATCH(A369,'00_Regnskab_01'!$A$1:$A$25)-1,2)</f>
        <v>44939</v>
      </c>
      <c r="BE369" s="80">
        <f t="shared" ref="BE369:BH369" si="3245">if(U369&gt;0,1+BE368,0)</f>
        <v>1</v>
      </c>
      <c r="BF369" s="28">
        <f t="shared" si="3245"/>
        <v>0</v>
      </c>
      <c r="BG369" s="28">
        <f t="shared" si="3245"/>
        <v>7</v>
      </c>
      <c r="BH369" s="28">
        <f t="shared" si="3245"/>
        <v>2</v>
      </c>
      <c r="BJ369" s="28">
        <f t="shared" ref="BJ369:BM369" si="3246">if(U369&lt;0,1+BJ368,0)</f>
        <v>0</v>
      </c>
      <c r="BK369" s="28">
        <f t="shared" si="3246"/>
        <v>2</v>
      </c>
      <c r="BL369" s="28">
        <f t="shared" si="3246"/>
        <v>0</v>
      </c>
      <c r="BM369" s="28">
        <f t="shared" si="3246"/>
        <v>0</v>
      </c>
      <c r="BO369" s="74">
        <f t="shared" ref="BO369:BR369" si="3247">if(U369&gt;0,U369+BO368,0)</f>
        <v>16</v>
      </c>
      <c r="BP369" s="74">
        <f t="shared" si="3247"/>
        <v>0</v>
      </c>
      <c r="BQ369" s="74">
        <f t="shared" si="3247"/>
        <v>228</v>
      </c>
      <c r="BR369" s="74">
        <f t="shared" si="3247"/>
        <v>28</v>
      </c>
      <c r="BT369" s="28">
        <f t="shared" ref="BT369:BW369" si="3248">if(U369&lt;0,U369+BT368,0)</f>
        <v>0</v>
      </c>
      <c r="BU369" s="28">
        <f t="shared" si="3248"/>
        <v>-60</v>
      </c>
      <c r="BV369" s="28">
        <f t="shared" si="3248"/>
        <v>0</v>
      </c>
      <c r="BW369" s="28">
        <f t="shared" si="3248"/>
        <v>0</v>
      </c>
    </row>
    <row r="370">
      <c r="A370" s="53">
        <v>19.0</v>
      </c>
      <c r="B370" s="28">
        <f>'19a_13-01-2023_Fredag'!A10</f>
        <v>8</v>
      </c>
      <c r="C370" s="28">
        <f>'19a_13-01-2023_Fredag'!E10</f>
        <v>-156</v>
      </c>
      <c r="D370" s="28">
        <f>'19a_13-01-2023_Fredag'!C10</f>
        <v>84</v>
      </c>
      <c r="E370" s="28">
        <f>'19a_13-01-2023_Fredag'!D10</f>
        <v>236</v>
      </c>
      <c r="F370" s="28">
        <f>'19a_13-01-2023_Fredag'!B10</f>
        <v>-164</v>
      </c>
      <c r="G370" s="28">
        <f>'19a_13-01-2023_Fredag'!F10</f>
        <v>0</v>
      </c>
      <c r="H370" s="28" t="str">
        <f>'19a_13-01-2023_Fredag'!H10</f>
        <v>Christian</v>
      </c>
      <c r="I370" s="28" t="str">
        <f>'19a_13-01-2023_Fredag'!I10</f>
        <v/>
      </c>
      <c r="J370" s="76" t="str">
        <f>'19a_13-01-2023_Fredag'!J10</f>
        <v>Thomas</v>
      </c>
      <c r="K370" s="28" t="str">
        <f>'19a_13-01-2023_Fredag'!G10</f>
        <v>ren sol</v>
      </c>
      <c r="L370" s="56"/>
      <c r="N370" s="25" t="s">
        <v>97</v>
      </c>
      <c r="T370" s="56"/>
      <c r="U370" s="77">
        <f t="shared" ref="U370:X370" si="3249">C370-C369</f>
        <v>8</v>
      </c>
      <c r="V370" s="28">
        <f t="shared" si="3249"/>
        <v>8</v>
      </c>
      <c r="W370" s="28">
        <f t="shared" si="3249"/>
        <v>8</v>
      </c>
      <c r="X370" s="28">
        <f t="shared" si="3249"/>
        <v>-24</v>
      </c>
      <c r="AB370" s="28" t="str">
        <f t="shared" ref="AB370:AE370" si="3250">IF(AB$3=$H370,U370,"")</f>
        <v/>
      </c>
      <c r="AC370" s="28" t="str">
        <f t="shared" si="3250"/>
        <v/>
      </c>
      <c r="AD370" s="28" t="str">
        <f t="shared" si="3250"/>
        <v/>
      </c>
      <c r="AE370" s="28">
        <f t="shared" si="3250"/>
        <v>-24</v>
      </c>
      <c r="AH370" s="28">
        <f t="shared" si="22"/>
        <v>0</v>
      </c>
      <c r="AI370" s="28">
        <f t="shared" si="23"/>
        <v>-24</v>
      </c>
      <c r="AK370" s="78" t="str">
        <f t="shared" ref="AK370:AN370" si="3251">IF(U370&gt;0,AK$3,"")</f>
        <v>Thomas</v>
      </c>
      <c r="AL370" s="78" t="str">
        <f t="shared" si="3251"/>
        <v>Peter</v>
      </c>
      <c r="AM370" s="78" t="str">
        <f t="shared" si="3251"/>
        <v>Janus</v>
      </c>
      <c r="AN370" s="78" t="str">
        <f t="shared" si="3251"/>
        <v/>
      </c>
      <c r="AO370" s="56">
        <f t="shared" si="25"/>
        <v>3</v>
      </c>
      <c r="AP370" s="8" t="str">
        <f t="shared" si="26"/>
        <v>Christian</v>
      </c>
      <c r="AQ370" s="73" t="str">
        <f>IFERROR(__xludf.DUMMYFUNCTION("IFNA(QUERY(transpose(AY370:BB370),""Select Col1 where Col1 is not null limit 1"",0))"),"")</f>
        <v/>
      </c>
      <c r="AR370" s="56"/>
      <c r="AS370" s="28" t="str">
        <f t="shared" ref="AS370:AV370" si="3252">IF(AK370=AS$3,"",AS$3)</f>
        <v/>
      </c>
      <c r="AT370" s="28" t="str">
        <f t="shared" si="3252"/>
        <v/>
      </c>
      <c r="AU370" s="28" t="str">
        <f t="shared" si="3252"/>
        <v/>
      </c>
      <c r="AV370" s="28" t="str">
        <f t="shared" si="3252"/>
        <v>Christian</v>
      </c>
      <c r="AW370" s="56">
        <f t="shared" si="28"/>
        <v>1</v>
      </c>
      <c r="AX370" s="28">
        <f t="shared" si="29"/>
        <v>-24</v>
      </c>
      <c r="AY370" s="28" t="str">
        <f t="shared" ref="AY370:BB370" si="3253">IFNA(IFS(AY$3=$AP370,"",$AX370=U370,AY$3),"")</f>
        <v/>
      </c>
      <c r="AZ370" s="28" t="str">
        <f t="shared" si="3253"/>
        <v/>
      </c>
      <c r="BA370" s="28" t="str">
        <f t="shared" si="3253"/>
        <v/>
      </c>
      <c r="BB370" s="28" t="str">
        <f t="shared" si="3253"/>
        <v/>
      </c>
      <c r="BC370" s="58">
        <f>OFFSET('00_Regnskab_01'!$A$1,MATCH(A370,'00_Regnskab_01'!$A$1:$A$25)-1,2)</f>
        <v>44939</v>
      </c>
      <c r="BE370" s="80">
        <f t="shared" ref="BE370:BH370" si="3254">if(U370&gt;0,1+BE369,0)</f>
        <v>2</v>
      </c>
      <c r="BF370" s="28">
        <f t="shared" si="3254"/>
        <v>1</v>
      </c>
      <c r="BG370" s="28">
        <f t="shared" si="3254"/>
        <v>8</v>
      </c>
      <c r="BH370" s="28">
        <f t="shared" si="3254"/>
        <v>0</v>
      </c>
      <c r="BJ370" s="28">
        <f t="shared" ref="BJ370:BM370" si="3255">if(U370&lt;0,1+BJ369,0)</f>
        <v>0</v>
      </c>
      <c r="BK370" s="28">
        <f t="shared" si="3255"/>
        <v>0</v>
      </c>
      <c r="BL370" s="28">
        <f t="shared" si="3255"/>
        <v>0</v>
      </c>
      <c r="BM370" s="28">
        <f t="shared" si="3255"/>
        <v>1</v>
      </c>
      <c r="BO370" s="74">
        <f t="shared" ref="BO370:BR370" si="3256">if(U370&gt;0,U370+BO369,0)</f>
        <v>24</v>
      </c>
      <c r="BP370" s="74">
        <f t="shared" si="3256"/>
        <v>8</v>
      </c>
      <c r="BQ370" s="74">
        <f t="shared" si="3256"/>
        <v>236</v>
      </c>
      <c r="BR370" s="74">
        <f t="shared" si="3256"/>
        <v>0</v>
      </c>
      <c r="BT370" s="28">
        <f t="shared" ref="BT370:BW370" si="3257">if(U370&lt;0,U370+BT369,0)</f>
        <v>0</v>
      </c>
      <c r="BU370" s="28">
        <f t="shared" si="3257"/>
        <v>0</v>
      </c>
      <c r="BV370" s="28">
        <f t="shared" si="3257"/>
        <v>0</v>
      </c>
      <c r="BW370" s="28">
        <f t="shared" si="3257"/>
        <v>-24</v>
      </c>
    </row>
    <row r="371">
      <c r="A371" s="53">
        <v>19.0</v>
      </c>
      <c r="B371" s="28">
        <f>'19a_13-01-2023_Fredag'!A11</f>
        <v>9</v>
      </c>
      <c r="C371" s="28">
        <f>'19a_13-01-2023_Fredag'!E11</f>
        <v>-160</v>
      </c>
      <c r="D371" s="28">
        <f>'19a_13-01-2023_Fredag'!C11</f>
        <v>80</v>
      </c>
      <c r="E371" s="28">
        <f>'19a_13-01-2023_Fredag'!D11</f>
        <v>248</v>
      </c>
      <c r="F371" s="28">
        <f>'19a_13-01-2023_Fredag'!B11</f>
        <v>-168</v>
      </c>
      <c r="G371" s="28">
        <f>'19a_13-01-2023_Fredag'!F11</f>
        <v>0</v>
      </c>
      <c r="H371" s="28" t="str">
        <f>'19a_13-01-2023_Fredag'!H11</f>
        <v>Janus</v>
      </c>
      <c r="I371" s="28" t="str">
        <f>'19a_13-01-2023_Fredag'!I11</f>
        <v>janus</v>
      </c>
      <c r="J371" s="76" t="str">
        <f>'19a_13-01-2023_Fredag'!J11</f>
        <v>Christian</v>
      </c>
      <c r="K371" s="28" t="str">
        <f>'19a_13-01-2023_Fredag'!G11</f>
        <v>sol</v>
      </c>
      <c r="L371" s="56"/>
      <c r="N371" s="25" t="s">
        <v>99</v>
      </c>
      <c r="T371" s="56"/>
      <c r="U371" s="77">
        <f t="shared" ref="U371:X371" si="3258">C371-C370</f>
        <v>-4</v>
      </c>
      <c r="V371" s="28">
        <f t="shared" si="3258"/>
        <v>-4</v>
      </c>
      <c r="W371" s="28">
        <f t="shared" si="3258"/>
        <v>12</v>
      </c>
      <c r="X371" s="28">
        <f t="shared" si="3258"/>
        <v>-4</v>
      </c>
      <c r="AB371" s="28" t="str">
        <f t="shared" ref="AB371:AE371" si="3259">IF(AB$3=$H371,U371,"")</f>
        <v/>
      </c>
      <c r="AC371" s="28" t="str">
        <f t="shared" si="3259"/>
        <v/>
      </c>
      <c r="AD371" s="28">
        <f t="shared" si="3259"/>
        <v>12</v>
      </c>
      <c r="AE371" s="28" t="str">
        <f t="shared" si="3259"/>
        <v/>
      </c>
      <c r="AH371" s="28">
        <f t="shared" si="22"/>
        <v>12</v>
      </c>
      <c r="AI371" s="28">
        <f t="shared" si="23"/>
        <v>0</v>
      </c>
      <c r="AK371" s="78" t="str">
        <f t="shared" ref="AK371:AN371" si="3260">IF(U371&gt;0,AK$3,"")</f>
        <v/>
      </c>
      <c r="AL371" s="78" t="str">
        <f t="shared" si="3260"/>
        <v/>
      </c>
      <c r="AM371" s="78" t="str">
        <f t="shared" si="3260"/>
        <v>Janus</v>
      </c>
      <c r="AN371" s="78" t="str">
        <f t="shared" si="3260"/>
        <v/>
      </c>
      <c r="AO371" s="56">
        <f t="shared" si="25"/>
        <v>1</v>
      </c>
      <c r="AP371" s="8" t="str">
        <f t="shared" si="26"/>
        <v>Janus</v>
      </c>
      <c r="AQ371" s="73" t="str">
        <f>IFERROR(__xludf.DUMMYFUNCTION("IFNA(QUERY(transpose(AY371:BB371),""Select Col1 where Col1 is not null limit 1"",0))"),"")</f>
        <v/>
      </c>
      <c r="AR371" s="56"/>
      <c r="AS371" s="28" t="str">
        <f t="shared" ref="AS371:AV371" si="3261">IF(AK371=AS$3,"",AS$3)</f>
        <v>Thomas</v>
      </c>
      <c r="AT371" s="28" t="str">
        <f t="shared" si="3261"/>
        <v>Peter</v>
      </c>
      <c r="AU371" s="28" t="str">
        <f t="shared" si="3261"/>
        <v/>
      </c>
      <c r="AV371" s="28" t="str">
        <f t="shared" si="3261"/>
        <v>Christian</v>
      </c>
      <c r="AW371" s="56">
        <f t="shared" si="28"/>
        <v>3</v>
      </c>
      <c r="AX371" s="28">
        <f t="shared" si="29"/>
        <v>12</v>
      </c>
      <c r="AY371" s="28" t="str">
        <f t="shared" ref="AY371:BB371" si="3262">IFNA(IFS(AY$3=$AP371,"",$AX371=U371,AY$3),"")</f>
        <v/>
      </c>
      <c r="AZ371" s="28" t="str">
        <f t="shared" si="3262"/>
        <v/>
      </c>
      <c r="BA371" s="28" t="str">
        <f t="shared" si="3262"/>
        <v/>
      </c>
      <c r="BB371" s="28" t="str">
        <f t="shared" si="3262"/>
        <v/>
      </c>
      <c r="BC371" s="58">
        <f>OFFSET('00_Regnskab_01'!$A$1,MATCH(A371,'00_Regnskab_01'!$A$1:$A$25)-1,2)</f>
        <v>44939</v>
      </c>
      <c r="BE371" s="80">
        <f t="shared" ref="BE371:BH371" si="3263">if(U371&gt;0,1+BE370,0)</f>
        <v>0</v>
      </c>
      <c r="BF371" s="28">
        <f t="shared" si="3263"/>
        <v>0</v>
      </c>
      <c r="BG371" s="28">
        <f t="shared" si="3263"/>
        <v>9</v>
      </c>
      <c r="BH371" s="28">
        <f t="shared" si="3263"/>
        <v>0</v>
      </c>
      <c r="BJ371" s="28">
        <f t="shared" ref="BJ371:BM371" si="3264">if(U371&lt;0,1+BJ370,0)</f>
        <v>1</v>
      </c>
      <c r="BK371" s="28">
        <f t="shared" si="3264"/>
        <v>1</v>
      </c>
      <c r="BL371" s="28">
        <f t="shared" si="3264"/>
        <v>0</v>
      </c>
      <c r="BM371" s="28">
        <f t="shared" si="3264"/>
        <v>2</v>
      </c>
      <c r="BO371" s="74">
        <f t="shared" ref="BO371:BR371" si="3265">if(U371&gt;0,U371+BO370,0)</f>
        <v>0</v>
      </c>
      <c r="BP371" s="74">
        <f t="shared" si="3265"/>
        <v>0</v>
      </c>
      <c r="BQ371" s="74">
        <f t="shared" si="3265"/>
        <v>248</v>
      </c>
      <c r="BR371" s="74">
        <f t="shared" si="3265"/>
        <v>0</v>
      </c>
      <c r="BT371" s="28">
        <f t="shared" ref="BT371:BW371" si="3266">if(U371&lt;0,U371+BT370,0)</f>
        <v>-4</v>
      </c>
      <c r="BU371" s="28">
        <f t="shared" si="3266"/>
        <v>-4</v>
      </c>
      <c r="BV371" s="28">
        <f t="shared" si="3266"/>
        <v>0</v>
      </c>
      <c r="BW371" s="28">
        <f t="shared" si="3266"/>
        <v>-28</v>
      </c>
    </row>
    <row r="372">
      <c r="A372" s="53">
        <v>19.0</v>
      </c>
      <c r="B372" s="28">
        <f>'19a_13-01-2023_Fredag'!A12</f>
        <v>10</v>
      </c>
      <c r="C372" s="28">
        <f>'19a_13-01-2023_Fredag'!E12</f>
        <v>-152</v>
      </c>
      <c r="D372" s="28">
        <f>'19a_13-01-2023_Fredag'!C12</f>
        <v>88</v>
      </c>
      <c r="E372" s="28">
        <f>'19a_13-01-2023_Fredag'!D12</f>
        <v>240</v>
      </c>
      <c r="F372" s="28">
        <f>'19a_13-01-2023_Fredag'!B12</f>
        <v>-176</v>
      </c>
      <c r="G372" s="28">
        <f>'19a_13-01-2023_Fredag'!F12</f>
        <v>0</v>
      </c>
      <c r="H372" s="28" t="str">
        <f>'19a_13-01-2023_Fredag'!H12</f>
        <v>Thomas</v>
      </c>
      <c r="I372" s="28" t="str">
        <f>'19a_13-01-2023_Fredag'!I12</f>
        <v>Peter</v>
      </c>
      <c r="J372" s="76" t="str">
        <f>'19a_13-01-2023_Fredag'!J12</f>
        <v>Peter</v>
      </c>
      <c r="K372" s="28" t="str">
        <f>'19a_13-01-2023_Fredag'!G12</f>
        <v>8 vip i 2 - ruder</v>
      </c>
      <c r="L372" s="56"/>
      <c r="M372" s="25">
        <v>8.0</v>
      </c>
      <c r="N372" s="25" t="s">
        <v>86</v>
      </c>
      <c r="O372" s="25">
        <v>2.0</v>
      </c>
      <c r="T372" s="56"/>
      <c r="U372" s="77">
        <f t="shared" ref="U372:X372" si="3267">C372-C371</f>
        <v>8</v>
      </c>
      <c r="V372" s="28">
        <f t="shared" si="3267"/>
        <v>8</v>
      </c>
      <c r="W372" s="28">
        <f t="shared" si="3267"/>
        <v>-8</v>
      </c>
      <c r="X372" s="28">
        <f t="shared" si="3267"/>
        <v>-8</v>
      </c>
      <c r="AB372" s="28">
        <f t="shared" ref="AB372:AE372" si="3268">IF(AB$3=$H372,U372,"")</f>
        <v>8</v>
      </c>
      <c r="AC372" s="28" t="str">
        <f t="shared" si="3268"/>
        <v/>
      </c>
      <c r="AD372" s="28" t="str">
        <f t="shared" si="3268"/>
        <v/>
      </c>
      <c r="AE372" s="28" t="str">
        <f t="shared" si="3268"/>
        <v/>
      </c>
      <c r="AH372" s="28">
        <f t="shared" si="22"/>
        <v>8</v>
      </c>
      <c r="AI372" s="28">
        <f t="shared" si="23"/>
        <v>0</v>
      </c>
      <c r="AK372" s="78" t="str">
        <f t="shared" ref="AK372:AN372" si="3269">IF(U372&gt;0,AK$3,"")</f>
        <v>Thomas</v>
      </c>
      <c r="AL372" s="78" t="str">
        <f t="shared" si="3269"/>
        <v>Peter</v>
      </c>
      <c r="AM372" s="78" t="str">
        <f t="shared" si="3269"/>
        <v/>
      </c>
      <c r="AN372" s="78" t="str">
        <f t="shared" si="3269"/>
        <v/>
      </c>
      <c r="AO372" s="56">
        <f t="shared" si="25"/>
        <v>2</v>
      </c>
      <c r="AP372" s="8" t="str">
        <f t="shared" si="26"/>
        <v>Thomas</v>
      </c>
      <c r="AQ372" s="73" t="str">
        <f>IFERROR(__xludf.DUMMYFUNCTION("IFNA(QUERY(transpose(AY372:BB372),""Select Col1 where Col1 is not null limit 1"",0))"),"Peter")</f>
        <v>Peter</v>
      </c>
      <c r="AR372" s="56"/>
      <c r="AS372" s="28" t="str">
        <f t="shared" ref="AS372:AV372" si="3270">IF(AK372=AS$3,"",AS$3)</f>
        <v/>
      </c>
      <c r="AT372" s="28" t="str">
        <f t="shared" si="3270"/>
        <v/>
      </c>
      <c r="AU372" s="28" t="str">
        <f t="shared" si="3270"/>
        <v>Janus</v>
      </c>
      <c r="AV372" s="28" t="str">
        <f t="shared" si="3270"/>
        <v>Christian</v>
      </c>
      <c r="AW372" s="56">
        <f t="shared" si="28"/>
        <v>2</v>
      </c>
      <c r="AX372" s="28">
        <f t="shared" si="29"/>
        <v>8</v>
      </c>
      <c r="AY372" s="28" t="str">
        <f t="shared" ref="AY372:BB372" si="3271">IFNA(IFS(AY$3=$AP372,"",$AX372=U372,AY$3),"")</f>
        <v/>
      </c>
      <c r="AZ372" s="28" t="str">
        <f t="shared" si="3271"/>
        <v>Peter</v>
      </c>
      <c r="BA372" s="28" t="str">
        <f t="shared" si="3271"/>
        <v/>
      </c>
      <c r="BB372" s="28" t="str">
        <f t="shared" si="3271"/>
        <v/>
      </c>
      <c r="BC372" s="58">
        <f>OFFSET('00_Regnskab_01'!$A$1,MATCH(A372,'00_Regnskab_01'!$A$1:$A$25)-1,2)</f>
        <v>44939</v>
      </c>
      <c r="BE372" s="80">
        <f t="shared" ref="BE372:BH372" si="3272">if(U372&gt;0,1+BE371,0)</f>
        <v>1</v>
      </c>
      <c r="BF372" s="28">
        <f t="shared" si="3272"/>
        <v>1</v>
      </c>
      <c r="BG372" s="28">
        <f t="shared" si="3272"/>
        <v>0</v>
      </c>
      <c r="BH372" s="28">
        <f t="shared" si="3272"/>
        <v>0</v>
      </c>
      <c r="BJ372" s="28">
        <f t="shared" ref="BJ372:BM372" si="3273">if(U372&lt;0,1+BJ371,0)</f>
        <v>0</v>
      </c>
      <c r="BK372" s="28">
        <f t="shared" si="3273"/>
        <v>0</v>
      </c>
      <c r="BL372" s="28">
        <f t="shared" si="3273"/>
        <v>1</v>
      </c>
      <c r="BM372" s="28">
        <f t="shared" si="3273"/>
        <v>3</v>
      </c>
      <c r="BO372" s="74">
        <f t="shared" ref="BO372:BR372" si="3274">if(U372&gt;0,U372+BO371,0)</f>
        <v>8</v>
      </c>
      <c r="BP372" s="74">
        <f t="shared" si="3274"/>
        <v>8</v>
      </c>
      <c r="BQ372" s="74">
        <f t="shared" si="3274"/>
        <v>0</v>
      </c>
      <c r="BR372" s="74">
        <f t="shared" si="3274"/>
        <v>0</v>
      </c>
      <c r="BT372" s="28">
        <f t="shared" ref="BT372:BW372" si="3275">if(U372&lt;0,U372+BT371,0)</f>
        <v>0</v>
      </c>
      <c r="BU372" s="28">
        <f t="shared" si="3275"/>
        <v>0</v>
      </c>
      <c r="BV372" s="28">
        <f t="shared" si="3275"/>
        <v>-8</v>
      </c>
      <c r="BW372" s="28">
        <f t="shared" si="3275"/>
        <v>-36</v>
      </c>
    </row>
    <row r="373">
      <c r="A373" s="53">
        <v>19.0</v>
      </c>
      <c r="B373" s="28">
        <f>'19a_13-01-2023_Fredag'!A13</f>
        <v>11</v>
      </c>
      <c r="C373" s="28">
        <f>'19a_13-01-2023_Fredag'!E13</f>
        <v>-144</v>
      </c>
      <c r="D373" s="28">
        <f>'19a_13-01-2023_Fredag'!C13</f>
        <v>96</v>
      </c>
      <c r="E373" s="28">
        <f>'19a_13-01-2023_Fredag'!D13</f>
        <v>232</v>
      </c>
      <c r="F373" s="28">
        <f>'19a_13-01-2023_Fredag'!B13</f>
        <v>-184</v>
      </c>
      <c r="G373" s="28">
        <f>'19a_13-01-2023_Fredag'!F13</f>
        <v>0</v>
      </c>
      <c r="H373" s="28" t="str">
        <f>'19a_13-01-2023_Fredag'!H13</f>
        <v>Thomas</v>
      </c>
      <c r="I373" s="28" t="str">
        <f>'19a_13-01-2023_Fredag'!I13</f>
        <v>Peter</v>
      </c>
      <c r="J373" s="76" t="str">
        <f>'19a_13-01-2023_Fredag'!J13</f>
        <v>Janus</v>
      </c>
      <c r="K373" s="28" t="str">
        <f>'19a_13-01-2023_Fredag'!G13</f>
        <v>9 vip i 2 - spar</v>
      </c>
      <c r="L373" s="56"/>
      <c r="M373" s="25">
        <v>9.0</v>
      </c>
      <c r="N373" s="25" t="s">
        <v>86</v>
      </c>
      <c r="O373" s="25">
        <v>2.0</v>
      </c>
      <c r="T373" s="56"/>
      <c r="U373" s="77">
        <f t="shared" ref="U373:X373" si="3276">C373-C372</f>
        <v>8</v>
      </c>
      <c r="V373" s="28">
        <f t="shared" si="3276"/>
        <v>8</v>
      </c>
      <c r="W373" s="28">
        <f t="shared" si="3276"/>
        <v>-8</v>
      </c>
      <c r="X373" s="28">
        <f t="shared" si="3276"/>
        <v>-8</v>
      </c>
      <c r="AB373" s="28">
        <f t="shared" ref="AB373:AE373" si="3277">IF(AB$3=$H373,U373,"")</f>
        <v>8</v>
      </c>
      <c r="AC373" s="28" t="str">
        <f t="shared" si="3277"/>
        <v/>
      </c>
      <c r="AD373" s="28" t="str">
        <f t="shared" si="3277"/>
        <v/>
      </c>
      <c r="AE373" s="28" t="str">
        <f t="shared" si="3277"/>
        <v/>
      </c>
      <c r="AH373" s="28">
        <f t="shared" si="22"/>
        <v>8</v>
      </c>
      <c r="AI373" s="28">
        <f t="shared" si="23"/>
        <v>0</v>
      </c>
      <c r="AK373" s="78" t="str">
        <f t="shared" ref="AK373:AN373" si="3278">IF(U373&gt;0,AK$3,"")</f>
        <v>Thomas</v>
      </c>
      <c r="AL373" s="78" t="str">
        <f t="shared" si="3278"/>
        <v>Peter</v>
      </c>
      <c r="AM373" s="78" t="str">
        <f t="shared" si="3278"/>
        <v/>
      </c>
      <c r="AN373" s="78" t="str">
        <f t="shared" si="3278"/>
        <v/>
      </c>
      <c r="AO373" s="56">
        <f t="shared" si="25"/>
        <v>2</v>
      </c>
      <c r="AP373" s="8" t="str">
        <f t="shared" si="26"/>
        <v>Thomas</v>
      </c>
      <c r="AQ373" s="73" t="str">
        <f>IFERROR(__xludf.DUMMYFUNCTION("IFNA(QUERY(transpose(AY373:BB373),""Select Col1 where Col1 is not null limit 1"",0))"),"Peter")</f>
        <v>Peter</v>
      </c>
      <c r="AR373" s="56"/>
      <c r="AS373" s="28" t="str">
        <f t="shared" ref="AS373:AV373" si="3279">IF(AK373=AS$3,"",AS$3)</f>
        <v/>
      </c>
      <c r="AT373" s="28" t="str">
        <f t="shared" si="3279"/>
        <v/>
      </c>
      <c r="AU373" s="28" t="str">
        <f t="shared" si="3279"/>
        <v>Janus</v>
      </c>
      <c r="AV373" s="28" t="str">
        <f t="shared" si="3279"/>
        <v>Christian</v>
      </c>
      <c r="AW373" s="56">
        <f t="shared" si="28"/>
        <v>2</v>
      </c>
      <c r="AX373" s="28">
        <f t="shared" si="29"/>
        <v>8</v>
      </c>
      <c r="AY373" s="28" t="str">
        <f t="shared" ref="AY373:BB373" si="3280">IFNA(IFS(AY$3=$AP373,"",$AX373=U373,AY$3),"")</f>
        <v/>
      </c>
      <c r="AZ373" s="28" t="str">
        <f t="shared" si="3280"/>
        <v>Peter</v>
      </c>
      <c r="BA373" s="28" t="str">
        <f t="shared" si="3280"/>
        <v/>
      </c>
      <c r="BB373" s="28" t="str">
        <f t="shared" si="3280"/>
        <v/>
      </c>
      <c r="BC373" s="58">
        <f>OFFSET('00_Regnskab_01'!$A$1,MATCH(A373,'00_Regnskab_01'!$A$1:$A$25)-1,2)</f>
        <v>44939</v>
      </c>
      <c r="BE373" s="80">
        <f t="shared" ref="BE373:BH373" si="3281">if(U373&gt;0,1+BE372,0)</f>
        <v>2</v>
      </c>
      <c r="BF373" s="28">
        <f t="shared" si="3281"/>
        <v>2</v>
      </c>
      <c r="BG373" s="28">
        <f t="shared" si="3281"/>
        <v>0</v>
      </c>
      <c r="BH373" s="28">
        <f t="shared" si="3281"/>
        <v>0</v>
      </c>
      <c r="BJ373" s="28">
        <f t="shared" ref="BJ373:BM373" si="3282">if(U373&lt;0,1+BJ372,0)</f>
        <v>0</v>
      </c>
      <c r="BK373" s="28">
        <f t="shared" si="3282"/>
        <v>0</v>
      </c>
      <c r="BL373" s="28">
        <f t="shared" si="3282"/>
        <v>2</v>
      </c>
      <c r="BM373" s="28">
        <f t="shared" si="3282"/>
        <v>4</v>
      </c>
      <c r="BO373" s="74">
        <f t="shared" ref="BO373:BR373" si="3283">if(U373&gt;0,U373+BO372,0)</f>
        <v>16</v>
      </c>
      <c r="BP373" s="74">
        <f t="shared" si="3283"/>
        <v>16</v>
      </c>
      <c r="BQ373" s="74">
        <f t="shared" si="3283"/>
        <v>0</v>
      </c>
      <c r="BR373" s="74">
        <f t="shared" si="3283"/>
        <v>0</v>
      </c>
      <c r="BT373" s="28">
        <f t="shared" ref="BT373:BW373" si="3284">if(U373&lt;0,U373+BT372,0)</f>
        <v>0</v>
      </c>
      <c r="BU373" s="28">
        <f t="shared" si="3284"/>
        <v>0</v>
      </c>
      <c r="BV373" s="28">
        <f t="shared" si="3284"/>
        <v>-16</v>
      </c>
      <c r="BW373" s="28">
        <f t="shared" si="3284"/>
        <v>-44</v>
      </c>
    </row>
    <row r="374">
      <c r="A374" s="53">
        <v>19.0</v>
      </c>
      <c r="B374" s="28">
        <f>'19a_13-01-2023_Fredag'!A14</f>
        <v>12</v>
      </c>
      <c r="C374" s="28">
        <f>'19a_13-01-2023_Fredag'!E14</f>
        <v>-152</v>
      </c>
      <c r="D374" s="28">
        <f>'19a_13-01-2023_Fredag'!C14</f>
        <v>104</v>
      </c>
      <c r="E374" s="28">
        <f>'19a_13-01-2023_Fredag'!D14</f>
        <v>240</v>
      </c>
      <c r="F374" s="28">
        <f>'19a_13-01-2023_Fredag'!B14</f>
        <v>-192</v>
      </c>
      <c r="G374" s="28">
        <f>'19a_13-01-2023_Fredag'!F14</f>
        <v>0</v>
      </c>
      <c r="H374" s="28" t="str">
        <f>'19a_13-01-2023_Fredag'!H14</f>
        <v>Christian</v>
      </c>
      <c r="I374" s="28" t="str">
        <f>'19a_13-01-2023_Fredag'!I14</f>
        <v>Thomas</v>
      </c>
      <c r="J374" s="76" t="str">
        <f>'19a_13-01-2023_Fredag'!J14</f>
        <v>Thomas</v>
      </c>
      <c r="K374" s="28" t="str">
        <f>'19a_13-01-2023_Fredag'!G14</f>
        <v>9 halve</v>
      </c>
      <c r="L374" s="56"/>
      <c r="M374" s="25">
        <v>9.0</v>
      </c>
      <c r="N374" s="25" t="s">
        <v>94</v>
      </c>
      <c r="T374" s="56"/>
      <c r="U374" s="77">
        <f t="shared" ref="U374:X374" si="3285">C374-C373</f>
        <v>-8</v>
      </c>
      <c r="V374" s="28">
        <f t="shared" si="3285"/>
        <v>8</v>
      </c>
      <c r="W374" s="28">
        <f t="shared" si="3285"/>
        <v>8</v>
      </c>
      <c r="X374" s="28">
        <f t="shared" si="3285"/>
        <v>-8</v>
      </c>
      <c r="AB374" s="28" t="str">
        <f t="shared" ref="AB374:AE374" si="3286">IF(AB$3=$H374,U374,"")</f>
        <v/>
      </c>
      <c r="AC374" s="28" t="str">
        <f t="shared" si="3286"/>
        <v/>
      </c>
      <c r="AD374" s="28" t="str">
        <f t="shared" si="3286"/>
        <v/>
      </c>
      <c r="AE374" s="28">
        <f t="shared" si="3286"/>
        <v>-8</v>
      </c>
      <c r="AH374" s="28">
        <f t="shared" si="22"/>
        <v>0</v>
      </c>
      <c r="AI374" s="28">
        <f t="shared" si="23"/>
        <v>-8</v>
      </c>
      <c r="AK374" s="78" t="str">
        <f t="shared" ref="AK374:AN374" si="3287">IF(U374&gt;0,AK$3,"")</f>
        <v/>
      </c>
      <c r="AL374" s="78" t="str">
        <f t="shared" si="3287"/>
        <v>Peter</v>
      </c>
      <c r="AM374" s="78" t="str">
        <f t="shared" si="3287"/>
        <v>Janus</v>
      </c>
      <c r="AN374" s="78" t="str">
        <f t="shared" si="3287"/>
        <v/>
      </c>
      <c r="AO374" s="56">
        <f t="shared" si="25"/>
        <v>2</v>
      </c>
      <c r="AP374" s="8" t="str">
        <f t="shared" si="26"/>
        <v>Christian</v>
      </c>
      <c r="AQ374" s="73" t="str">
        <f>IFERROR(__xludf.DUMMYFUNCTION("IFNA(QUERY(transpose(AY374:BB374),""Select Col1 where Col1 is not null limit 1"",0))"),"Thomas")</f>
        <v>Thomas</v>
      </c>
      <c r="AR374" s="56"/>
      <c r="AS374" s="28" t="str">
        <f t="shared" ref="AS374:AV374" si="3288">IF(AK374=AS$3,"",AS$3)</f>
        <v>Thomas</v>
      </c>
      <c r="AT374" s="28" t="str">
        <f t="shared" si="3288"/>
        <v/>
      </c>
      <c r="AU374" s="28" t="str">
        <f t="shared" si="3288"/>
        <v/>
      </c>
      <c r="AV374" s="28" t="str">
        <f t="shared" si="3288"/>
        <v>Christian</v>
      </c>
      <c r="AW374" s="56">
        <f t="shared" si="28"/>
        <v>2</v>
      </c>
      <c r="AX374" s="28">
        <f t="shared" si="29"/>
        <v>-8</v>
      </c>
      <c r="AY374" s="28" t="str">
        <f t="shared" ref="AY374:BB374" si="3289">IFNA(IFS(AY$3=$AP374,"",$AX374=U374,AY$3),"")</f>
        <v>Thomas</v>
      </c>
      <c r="AZ374" s="28" t="str">
        <f t="shared" si="3289"/>
        <v/>
      </c>
      <c r="BA374" s="28" t="str">
        <f t="shared" si="3289"/>
        <v/>
      </c>
      <c r="BB374" s="28" t="str">
        <f t="shared" si="3289"/>
        <v/>
      </c>
      <c r="BC374" s="58">
        <f>OFFSET('00_Regnskab_01'!$A$1,MATCH(A374,'00_Regnskab_01'!$A$1:$A$25)-1,2)</f>
        <v>44939</v>
      </c>
      <c r="BE374" s="80">
        <f t="shared" ref="BE374:BH374" si="3290">if(U374&gt;0,1+BE373,0)</f>
        <v>0</v>
      </c>
      <c r="BF374" s="28">
        <f t="shared" si="3290"/>
        <v>3</v>
      </c>
      <c r="BG374" s="28">
        <f t="shared" si="3290"/>
        <v>1</v>
      </c>
      <c r="BH374" s="28">
        <f t="shared" si="3290"/>
        <v>0</v>
      </c>
      <c r="BJ374" s="28">
        <f t="shared" ref="BJ374:BM374" si="3291">if(U374&lt;0,1+BJ373,0)</f>
        <v>1</v>
      </c>
      <c r="BK374" s="28">
        <f t="shared" si="3291"/>
        <v>0</v>
      </c>
      <c r="BL374" s="28">
        <f t="shared" si="3291"/>
        <v>0</v>
      </c>
      <c r="BM374" s="28">
        <f t="shared" si="3291"/>
        <v>5</v>
      </c>
      <c r="BO374" s="74">
        <f t="shared" ref="BO374:BR374" si="3292">if(U374&gt;0,U374+BO373,0)</f>
        <v>0</v>
      </c>
      <c r="BP374" s="74">
        <f t="shared" si="3292"/>
        <v>24</v>
      </c>
      <c r="BQ374" s="74">
        <f t="shared" si="3292"/>
        <v>8</v>
      </c>
      <c r="BR374" s="74">
        <f t="shared" si="3292"/>
        <v>0</v>
      </c>
      <c r="BT374" s="28">
        <f t="shared" ref="BT374:BW374" si="3293">if(U374&lt;0,U374+BT373,0)</f>
        <v>-8</v>
      </c>
      <c r="BU374" s="28">
        <f t="shared" si="3293"/>
        <v>0</v>
      </c>
      <c r="BV374" s="28">
        <f t="shared" si="3293"/>
        <v>0</v>
      </c>
      <c r="BW374" s="28">
        <f t="shared" si="3293"/>
        <v>-52</v>
      </c>
    </row>
    <row r="375">
      <c r="A375" s="53">
        <v>19.0</v>
      </c>
      <c r="B375" s="28">
        <f>'19a_13-01-2023_Fredag'!A15</f>
        <v>13</v>
      </c>
      <c r="C375" s="28">
        <f>'19a_13-01-2023_Fredag'!E15</f>
        <v>-144</v>
      </c>
      <c r="D375" s="28">
        <f>'19a_13-01-2023_Fredag'!C15</f>
        <v>80</v>
      </c>
      <c r="E375" s="28">
        <f>'19a_13-01-2023_Fredag'!D15</f>
        <v>248</v>
      </c>
      <c r="F375" s="28">
        <f>'19a_13-01-2023_Fredag'!B15</f>
        <v>-184</v>
      </c>
      <c r="G375" s="28">
        <f>'19a_13-01-2023_Fredag'!F15</f>
        <v>0</v>
      </c>
      <c r="H375" s="28" t="str">
        <f>'19a_13-01-2023_Fredag'!H15</f>
        <v>Peter</v>
      </c>
      <c r="I375" s="28" t="str">
        <f>'19a_13-01-2023_Fredag'!I15</f>
        <v>Peter</v>
      </c>
      <c r="J375" s="76" t="str">
        <f>'19a_13-01-2023_Fredag'!J15</f>
        <v>Christian</v>
      </c>
      <c r="K375" s="28" t="str">
        <f>'19a_13-01-2023_Fredag'!G15</f>
        <v>Ren Sol</v>
      </c>
      <c r="L375" s="56"/>
      <c r="N375" s="25" t="s">
        <v>97</v>
      </c>
      <c r="T375" s="56"/>
      <c r="U375" s="77">
        <f t="shared" ref="U375:X375" si="3294">C375-C374</f>
        <v>8</v>
      </c>
      <c r="V375" s="28">
        <f t="shared" si="3294"/>
        <v>-24</v>
      </c>
      <c r="W375" s="28">
        <f t="shared" si="3294"/>
        <v>8</v>
      </c>
      <c r="X375" s="28">
        <f t="shared" si="3294"/>
        <v>8</v>
      </c>
      <c r="AB375" s="28" t="str">
        <f t="shared" ref="AB375:AE375" si="3295">IF(AB$3=$H375,U375,"")</f>
        <v/>
      </c>
      <c r="AC375" s="28">
        <f t="shared" si="3295"/>
        <v>-24</v>
      </c>
      <c r="AD375" s="28" t="str">
        <f t="shared" si="3295"/>
        <v/>
      </c>
      <c r="AE375" s="28" t="str">
        <f t="shared" si="3295"/>
        <v/>
      </c>
      <c r="AH375" s="28">
        <f t="shared" si="22"/>
        <v>0</v>
      </c>
      <c r="AI375" s="28">
        <f t="shared" si="23"/>
        <v>-24</v>
      </c>
      <c r="AK375" s="78" t="str">
        <f t="shared" ref="AK375:AN375" si="3296">IF(U375&gt;0,AK$3,"")</f>
        <v>Thomas</v>
      </c>
      <c r="AL375" s="78" t="str">
        <f t="shared" si="3296"/>
        <v/>
      </c>
      <c r="AM375" s="78" t="str">
        <f t="shared" si="3296"/>
        <v>Janus</v>
      </c>
      <c r="AN375" s="78" t="str">
        <f t="shared" si="3296"/>
        <v>Christian</v>
      </c>
      <c r="AO375" s="56">
        <f t="shared" si="25"/>
        <v>3</v>
      </c>
      <c r="AP375" s="8" t="str">
        <f t="shared" si="26"/>
        <v>Peter</v>
      </c>
      <c r="AQ375" s="73" t="str">
        <f>IFERROR(__xludf.DUMMYFUNCTION("IFNA(QUERY(transpose(AY375:BB375),""Select Col1 where Col1 is not null limit 1"",0))"),"")</f>
        <v/>
      </c>
      <c r="AR375" s="56"/>
      <c r="AS375" s="28" t="str">
        <f t="shared" ref="AS375:AV375" si="3297">IF(AK375=AS$3,"",AS$3)</f>
        <v/>
      </c>
      <c r="AT375" s="28" t="str">
        <f t="shared" si="3297"/>
        <v>Peter</v>
      </c>
      <c r="AU375" s="28" t="str">
        <f t="shared" si="3297"/>
        <v/>
      </c>
      <c r="AV375" s="28" t="str">
        <f t="shared" si="3297"/>
        <v/>
      </c>
      <c r="AW375" s="56">
        <f t="shared" si="28"/>
        <v>1</v>
      </c>
      <c r="AX375" s="28">
        <f t="shared" si="29"/>
        <v>-24</v>
      </c>
      <c r="AY375" s="28" t="str">
        <f t="shared" ref="AY375:BB375" si="3298">IFNA(IFS(AY$3=$AP375,"",$AX375=U375,AY$3),"")</f>
        <v/>
      </c>
      <c r="AZ375" s="28" t="str">
        <f t="shared" si="3298"/>
        <v/>
      </c>
      <c r="BA375" s="28" t="str">
        <f t="shared" si="3298"/>
        <v/>
      </c>
      <c r="BB375" s="28" t="str">
        <f t="shared" si="3298"/>
        <v/>
      </c>
      <c r="BC375" s="58">
        <f>OFFSET('00_Regnskab_01'!$A$1,MATCH(A375,'00_Regnskab_01'!$A$1:$A$25)-1,2)</f>
        <v>44939</v>
      </c>
      <c r="BE375" s="80">
        <f t="shared" ref="BE375:BH375" si="3299">if(U375&gt;0,1+BE374,0)</f>
        <v>1</v>
      </c>
      <c r="BF375" s="28">
        <f t="shared" si="3299"/>
        <v>0</v>
      </c>
      <c r="BG375" s="28">
        <f t="shared" si="3299"/>
        <v>2</v>
      </c>
      <c r="BH375" s="28">
        <f t="shared" si="3299"/>
        <v>1</v>
      </c>
      <c r="BJ375" s="28">
        <f t="shared" ref="BJ375:BM375" si="3300">if(U375&lt;0,1+BJ374,0)</f>
        <v>0</v>
      </c>
      <c r="BK375" s="28">
        <f t="shared" si="3300"/>
        <v>1</v>
      </c>
      <c r="BL375" s="28">
        <f t="shared" si="3300"/>
        <v>0</v>
      </c>
      <c r="BM375" s="28">
        <f t="shared" si="3300"/>
        <v>0</v>
      </c>
      <c r="BO375" s="74">
        <f t="shared" ref="BO375:BR375" si="3301">if(U375&gt;0,U375+BO374,0)</f>
        <v>8</v>
      </c>
      <c r="BP375" s="74">
        <f t="shared" si="3301"/>
        <v>0</v>
      </c>
      <c r="BQ375" s="74">
        <f t="shared" si="3301"/>
        <v>16</v>
      </c>
      <c r="BR375" s="74">
        <f t="shared" si="3301"/>
        <v>8</v>
      </c>
      <c r="BT375" s="28">
        <f t="shared" ref="BT375:BW375" si="3302">if(U375&lt;0,U375+BT374,0)</f>
        <v>0</v>
      </c>
      <c r="BU375" s="28">
        <f t="shared" si="3302"/>
        <v>-24</v>
      </c>
      <c r="BV375" s="28">
        <f t="shared" si="3302"/>
        <v>0</v>
      </c>
      <c r="BW375" s="28">
        <f t="shared" si="3302"/>
        <v>0</v>
      </c>
    </row>
    <row r="376">
      <c r="A376" s="53">
        <v>19.0</v>
      </c>
      <c r="B376" s="28">
        <f>'19a_13-01-2023_Fredag'!A16</f>
        <v>14</v>
      </c>
      <c r="C376" s="28">
        <f>'19a_13-01-2023_Fredag'!E16</f>
        <v>-168</v>
      </c>
      <c r="D376" s="28">
        <f>'19a_13-01-2023_Fredag'!C16</f>
        <v>104</v>
      </c>
      <c r="E376" s="28">
        <f>'19a_13-01-2023_Fredag'!D16</f>
        <v>224</v>
      </c>
      <c r="F376" s="28">
        <f>'19a_13-01-2023_Fredag'!B16</f>
        <v>-160</v>
      </c>
      <c r="G376" s="28">
        <f>'19a_13-01-2023_Fredag'!F16</f>
        <v>0</v>
      </c>
      <c r="H376" s="28" t="str">
        <f>'19a_13-01-2023_Fredag'!H16</f>
        <v>Christian</v>
      </c>
      <c r="I376" s="28" t="str">
        <f>'19a_13-01-2023_Fredag'!I16</f>
        <v>Peter</v>
      </c>
      <c r="J376" s="76" t="str">
        <f>'19a_13-01-2023_Fredag'!J16</f>
        <v>Peter</v>
      </c>
      <c r="K376" s="28" t="str">
        <f>'19a_13-01-2023_Fredag'!G16</f>
        <v>10 gode</v>
      </c>
      <c r="L376" s="56"/>
      <c r="M376" s="25">
        <v>10.0</v>
      </c>
      <c r="N376" s="25" t="s">
        <v>95</v>
      </c>
      <c r="T376" s="56"/>
      <c r="U376" s="77">
        <f t="shared" ref="U376:X376" si="3303">C376-C375</f>
        <v>-24</v>
      </c>
      <c r="V376" s="28">
        <f t="shared" si="3303"/>
        <v>24</v>
      </c>
      <c r="W376" s="28">
        <f t="shared" si="3303"/>
        <v>-24</v>
      </c>
      <c r="X376" s="28">
        <f t="shared" si="3303"/>
        <v>24</v>
      </c>
      <c r="AB376" s="28" t="str">
        <f t="shared" ref="AB376:AE376" si="3304">IF(AB$3=$H376,U376,"")</f>
        <v/>
      </c>
      <c r="AC376" s="28" t="str">
        <f t="shared" si="3304"/>
        <v/>
      </c>
      <c r="AD376" s="28" t="str">
        <f t="shared" si="3304"/>
        <v/>
      </c>
      <c r="AE376" s="28">
        <f t="shared" si="3304"/>
        <v>24</v>
      </c>
      <c r="AH376" s="28">
        <f t="shared" si="22"/>
        <v>24</v>
      </c>
      <c r="AI376" s="28">
        <f t="shared" si="23"/>
        <v>0</v>
      </c>
      <c r="AK376" s="78" t="str">
        <f t="shared" ref="AK376:AN376" si="3305">IF(U376&gt;0,AK$3,"")</f>
        <v/>
      </c>
      <c r="AL376" s="78" t="str">
        <f t="shared" si="3305"/>
        <v>Peter</v>
      </c>
      <c r="AM376" s="78" t="str">
        <f t="shared" si="3305"/>
        <v/>
      </c>
      <c r="AN376" s="78" t="str">
        <f t="shared" si="3305"/>
        <v>Christian</v>
      </c>
      <c r="AO376" s="56">
        <f t="shared" si="25"/>
        <v>2</v>
      </c>
      <c r="AP376" s="8" t="str">
        <f t="shared" si="26"/>
        <v>Christian</v>
      </c>
      <c r="AQ376" s="73" t="str">
        <f>IFERROR(__xludf.DUMMYFUNCTION("IFNA(QUERY(transpose(AY376:BB376),""Select Col1 where Col1 is not null limit 1"",0))"),"Peter")</f>
        <v>Peter</v>
      </c>
      <c r="AR376" s="56"/>
      <c r="AS376" s="28" t="str">
        <f t="shared" ref="AS376:AV376" si="3306">IF(AK376=AS$3,"",AS$3)</f>
        <v>Thomas</v>
      </c>
      <c r="AT376" s="28" t="str">
        <f t="shared" si="3306"/>
        <v/>
      </c>
      <c r="AU376" s="28" t="str">
        <f t="shared" si="3306"/>
        <v>Janus</v>
      </c>
      <c r="AV376" s="28" t="str">
        <f t="shared" si="3306"/>
        <v/>
      </c>
      <c r="AW376" s="56">
        <f t="shared" si="28"/>
        <v>2</v>
      </c>
      <c r="AX376" s="28">
        <f t="shared" si="29"/>
        <v>24</v>
      </c>
      <c r="AY376" s="28" t="str">
        <f t="shared" ref="AY376:BB376" si="3307">IFNA(IFS(AY$3=$AP376,"",$AX376=U376,AY$3),"")</f>
        <v/>
      </c>
      <c r="AZ376" s="28" t="str">
        <f t="shared" si="3307"/>
        <v>Peter</v>
      </c>
      <c r="BA376" s="28" t="str">
        <f t="shared" si="3307"/>
        <v/>
      </c>
      <c r="BB376" s="28" t="str">
        <f t="shared" si="3307"/>
        <v/>
      </c>
      <c r="BC376" s="58">
        <f>OFFSET('00_Regnskab_01'!$A$1,MATCH(A376,'00_Regnskab_01'!$A$1:$A$25)-1,2)</f>
        <v>44939</v>
      </c>
      <c r="BE376" s="80">
        <f t="shared" ref="BE376:BH376" si="3308">if(U376&gt;0,1+BE375,0)</f>
        <v>0</v>
      </c>
      <c r="BF376" s="28">
        <f t="shared" si="3308"/>
        <v>1</v>
      </c>
      <c r="BG376" s="28">
        <f t="shared" si="3308"/>
        <v>0</v>
      </c>
      <c r="BH376" s="28">
        <f t="shared" si="3308"/>
        <v>2</v>
      </c>
      <c r="BJ376" s="28">
        <f t="shared" ref="BJ376:BM376" si="3309">if(U376&lt;0,1+BJ375,0)</f>
        <v>1</v>
      </c>
      <c r="BK376" s="28">
        <f t="shared" si="3309"/>
        <v>0</v>
      </c>
      <c r="BL376" s="28">
        <f t="shared" si="3309"/>
        <v>1</v>
      </c>
      <c r="BM376" s="28">
        <f t="shared" si="3309"/>
        <v>0</v>
      </c>
      <c r="BO376" s="74">
        <f t="shared" ref="BO376:BR376" si="3310">if(U376&gt;0,U376+BO375,0)</f>
        <v>0</v>
      </c>
      <c r="BP376" s="74">
        <f t="shared" si="3310"/>
        <v>24</v>
      </c>
      <c r="BQ376" s="74">
        <f t="shared" si="3310"/>
        <v>0</v>
      </c>
      <c r="BR376" s="74">
        <f t="shared" si="3310"/>
        <v>32</v>
      </c>
      <c r="BT376" s="28">
        <f t="shared" ref="BT376:BW376" si="3311">if(U376&lt;0,U376+BT375,0)</f>
        <v>-24</v>
      </c>
      <c r="BU376" s="28">
        <f t="shared" si="3311"/>
        <v>0</v>
      </c>
      <c r="BV376" s="28">
        <f t="shared" si="3311"/>
        <v>-24</v>
      </c>
      <c r="BW376" s="28">
        <f t="shared" si="3311"/>
        <v>0</v>
      </c>
    </row>
    <row r="377">
      <c r="A377" s="53">
        <v>19.0</v>
      </c>
      <c r="B377" s="28">
        <f>'19a_13-01-2023_Fredag'!A17</f>
        <v>15</v>
      </c>
      <c r="C377" s="28">
        <f>'19a_13-01-2023_Fredag'!E17</f>
        <v>-160</v>
      </c>
      <c r="D377" s="28">
        <f>'19a_13-01-2023_Fredag'!C17</f>
        <v>112</v>
      </c>
      <c r="E377" s="28">
        <f>'19a_13-01-2023_Fredag'!D17</f>
        <v>232</v>
      </c>
      <c r="F377" s="28">
        <f>'19a_13-01-2023_Fredag'!B17</f>
        <v>-184</v>
      </c>
      <c r="G377" s="28">
        <f>'19a_13-01-2023_Fredag'!F17</f>
        <v>0</v>
      </c>
      <c r="H377" s="28" t="str">
        <f>'19a_13-01-2023_Fredag'!H17</f>
        <v>Christian</v>
      </c>
      <c r="I377" s="28" t="str">
        <f>'19a_13-01-2023_Fredag'!I17</f>
        <v/>
      </c>
      <c r="J377" s="76" t="str">
        <f>'19a_13-01-2023_Fredag'!J17</f>
        <v>Janus</v>
      </c>
      <c r="K377" s="28" t="str">
        <f>'19a_13-01-2023_Fredag'!G17</f>
        <v>Ren Sol</v>
      </c>
      <c r="L377" s="56"/>
      <c r="N377" s="25" t="s">
        <v>97</v>
      </c>
      <c r="T377" s="56"/>
      <c r="U377" s="77">
        <f t="shared" ref="U377:X377" si="3312">C377-C376</f>
        <v>8</v>
      </c>
      <c r="V377" s="28">
        <f t="shared" si="3312"/>
        <v>8</v>
      </c>
      <c r="W377" s="28">
        <f t="shared" si="3312"/>
        <v>8</v>
      </c>
      <c r="X377" s="28">
        <f t="shared" si="3312"/>
        <v>-24</v>
      </c>
      <c r="AB377" s="28" t="str">
        <f t="shared" ref="AB377:AE377" si="3313">IF(AB$3=$H377,U377,"")</f>
        <v/>
      </c>
      <c r="AC377" s="28" t="str">
        <f t="shared" si="3313"/>
        <v/>
      </c>
      <c r="AD377" s="28" t="str">
        <f t="shared" si="3313"/>
        <v/>
      </c>
      <c r="AE377" s="28">
        <f t="shared" si="3313"/>
        <v>-24</v>
      </c>
      <c r="AH377" s="28">
        <f t="shared" si="22"/>
        <v>0</v>
      </c>
      <c r="AI377" s="28">
        <f t="shared" si="23"/>
        <v>-24</v>
      </c>
      <c r="AK377" s="78" t="str">
        <f t="shared" ref="AK377:AN377" si="3314">IF(U377&gt;0,AK$3,"")</f>
        <v>Thomas</v>
      </c>
      <c r="AL377" s="78" t="str">
        <f t="shared" si="3314"/>
        <v>Peter</v>
      </c>
      <c r="AM377" s="78" t="str">
        <f t="shared" si="3314"/>
        <v>Janus</v>
      </c>
      <c r="AN377" s="78" t="str">
        <f t="shared" si="3314"/>
        <v/>
      </c>
      <c r="AO377" s="56">
        <f t="shared" si="25"/>
        <v>3</v>
      </c>
      <c r="AP377" s="8" t="str">
        <f t="shared" si="26"/>
        <v>Christian</v>
      </c>
      <c r="AQ377" s="73" t="str">
        <f>IFERROR(__xludf.DUMMYFUNCTION("IFNA(QUERY(transpose(AY377:BB377),""Select Col1 where Col1 is not null limit 1"",0))"),"")</f>
        <v/>
      </c>
      <c r="AR377" s="56"/>
      <c r="AS377" s="28" t="str">
        <f t="shared" ref="AS377:AV377" si="3315">IF(AK377=AS$3,"",AS$3)</f>
        <v/>
      </c>
      <c r="AT377" s="28" t="str">
        <f t="shared" si="3315"/>
        <v/>
      </c>
      <c r="AU377" s="28" t="str">
        <f t="shared" si="3315"/>
        <v/>
      </c>
      <c r="AV377" s="28" t="str">
        <f t="shared" si="3315"/>
        <v>Christian</v>
      </c>
      <c r="AW377" s="56">
        <f t="shared" si="28"/>
        <v>1</v>
      </c>
      <c r="AX377" s="28">
        <f t="shared" si="29"/>
        <v>-24</v>
      </c>
      <c r="AY377" s="28" t="str">
        <f t="shared" ref="AY377:BB377" si="3316">IFNA(IFS(AY$3=$AP377,"",$AX377=U377,AY$3),"")</f>
        <v/>
      </c>
      <c r="AZ377" s="28" t="str">
        <f t="shared" si="3316"/>
        <v/>
      </c>
      <c r="BA377" s="28" t="str">
        <f t="shared" si="3316"/>
        <v/>
      </c>
      <c r="BB377" s="28" t="str">
        <f t="shared" si="3316"/>
        <v/>
      </c>
      <c r="BC377" s="58">
        <f>OFFSET('00_Regnskab_01'!$A$1,MATCH(A377,'00_Regnskab_01'!$A$1:$A$25)-1,2)</f>
        <v>44939</v>
      </c>
      <c r="BE377" s="80">
        <f t="shared" ref="BE377:BH377" si="3317">if(U377&gt;0,1+BE376,0)</f>
        <v>1</v>
      </c>
      <c r="BF377" s="28">
        <f t="shared" si="3317"/>
        <v>2</v>
      </c>
      <c r="BG377" s="28">
        <f t="shared" si="3317"/>
        <v>1</v>
      </c>
      <c r="BH377" s="28">
        <f t="shared" si="3317"/>
        <v>0</v>
      </c>
      <c r="BJ377" s="28">
        <f t="shared" ref="BJ377:BM377" si="3318">if(U377&lt;0,1+BJ376,0)</f>
        <v>0</v>
      </c>
      <c r="BK377" s="28">
        <f t="shared" si="3318"/>
        <v>0</v>
      </c>
      <c r="BL377" s="28">
        <f t="shared" si="3318"/>
        <v>0</v>
      </c>
      <c r="BM377" s="28">
        <f t="shared" si="3318"/>
        <v>1</v>
      </c>
      <c r="BO377" s="74">
        <f t="shared" ref="BO377:BR377" si="3319">if(U377&gt;0,U377+BO376,0)</f>
        <v>8</v>
      </c>
      <c r="BP377" s="74">
        <f t="shared" si="3319"/>
        <v>32</v>
      </c>
      <c r="BQ377" s="74">
        <f t="shared" si="3319"/>
        <v>8</v>
      </c>
      <c r="BR377" s="74">
        <f t="shared" si="3319"/>
        <v>0</v>
      </c>
      <c r="BT377" s="28">
        <f t="shared" ref="BT377:BW377" si="3320">if(U377&lt;0,U377+BT376,0)</f>
        <v>0</v>
      </c>
      <c r="BU377" s="28">
        <f t="shared" si="3320"/>
        <v>0</v>
      </c>
      <c r="BV377" s="28">
        <f t="shared" si="3320"/>
        <v>0</v>
      </c>
      <c r="BW377" s="28">
        <f t="shared" si="3320"/>
        <v>-24</v>
      </c>
    </row>
    <row r="378">
      <c r="A378" s="53">
        <v>19.0</v>
      </c>
      <c r="B378" s="28">
        <f>'19a_13-01-2023_Fredag'!A18</f>
        <v>16</v>
      </c>
      <c r="C378" s="28">
        <f>'19a_13-01-2023_Fredag'!E18</f>
        <v>-156</v>
      </c>
      <c r="D378" s="28">
        <f>'19a_13-01-2023_Fredag'!C18</f>
        <v>108</v>
      </c>
      <c r="E378" s="28">
        <f>'19a_13-01-2023_Fredag'!D18</f>
        <v>236</v>
      </c>
      <c r="F378" s="28">
        <f>'19a_13-01-2023_Fredag'!B18</f>
        <v>-188</v>
      </c>
      <c r="G378" s="28">
        <f>'19a_13-01-2023_Fredag'!F18</f>
        <v>0</v>
      </c>
      <c r="H378" s="28" t="str">
        <f>'19a_13-01-2023_Fredag'!H18</f>
        <v>Peter</v>
      </c>
      <c r="I378" s="28" t="str">
        <f>'19a_13-01-2023_Fredag'!I18</f>
        <v>Christian</v>
      </c>
      <c r="J378" s="76" t="str">
        <f>'19a_13-01-2023_Fredag'!J18</f>
        <v>Thomas</v>
      </c>
      <c r="K378" s="28" t="str">
        <f>'19a_13-01-2023_Fredag'!G18</f>
        <v>9 alm</v>
      </c>
      <c r="L378" s="56"/>
      <c r="M378" s="25">
        <v>9.0</v>
      </c>
      <c r="N378" s="25" t="s">
        <v>100</v>
      </c>
      <c r="T378" s="56"/>
      <c r="U378" s="77">
        <f t="shared" ref="U378:X378" si="3321">C378-C377</f>
        <v>4</v>
      </c>
      <c r="V378" s="28">
        <f t="shared" si="3321"/>
        <v>-4</v>
      </c>
      <c r="W378" s="28">
        <f t="shared" si="3321"/>
        <v>4</v>
      </c>
      <c r="X378" s="28">
        <f t="shared" si="3321"/>
        <v>-4</v>
      </c>
      <c r="AB378" s="28" t="str">
        <f t="shared" ref="AB378:AE378" si="3322">IF(AB$3=$H378,U378,"")</f>
        <v/>
      </c>
      <c r="AC378" s="28">
        <f t="shared" si="3322"/>
        <v>-4</v>
      </c>
      <c r="AD378" s="28" t="str">
        <f t="shared" si="3322"/>
        <v/>
      </c>
      <c r="AE378" s="28" t="str">
        <f t="shared" si="3322"/>
        <v/>
      </c>
      <c r="AH378" s="28">
        <f t="shared" si="22"/>
        <v>0</v>
      </c>
      <c r="AI378" s="28">
        <f t="shared" si="23"/>
        <v>-4</v>
      </c>
      <c r="AK378" s="78" t="str">
        <f t="shared" ref="AK378:AN378" si="3323">IF(U378&gt;0,AK$3,"")</f>
        <v>Thomas</v>
      </c>
      <c r="AL378" s="78" t="str">
        <f t="shared" si="3323"/>
        <v/>
      </c>
      <c r="AM378" s="78" t="str">
        <f t="shared" si="3323"/>
        <v>Janus</v>
      </c>
      <c r="AN378" s="78" t="str">
        <f t="shared" si="3323"/>
        <v/>
      </c>
      <c r="AO378" s="56">
        <f t="shared" si="25"/>
        <v>2</v>
      </c>
      <c r="AP378" s="8" t="str">
        <f t="shared" si="26"/>
        <v>Peter</v>
      </c>
      <c r="AQ378" s="73" t="str">
        <f>IFERROR(__xludf.DUMMYFUNCTION("IFNA(QUERY(transpose(AY378:BB378),""Select Col1 where Col1 is not null limit 1"",0))"),"Christian")</f>
        <v>Christian</v>
      </c>
      <c r="AR378" s="56"/>
      <c r="AS378" s="28" t="str">
        <f t="shared" ref="AS378:AV378" si="3324">IF(AK378=AS$3,"",AS$3)</f>
        <v/>
      </c>
      <c r="AT378" s="28" t="str">
        <f t="shared" si="3324"/>
        <v>Peter</v>
      </c>
      <c r="AU378" s="28" t="str">
        <f t="shared" si="3324"/>
        <v/>
      </c>
      <c r="AV378" s="28" t="str">
        <f t="shared" si="3324"/>
        <v>Christian</v>
      </c>
      <c r="AW378" s="56">
        <f t="shared" si="28"/>
        <v>2</v>
      </c>
      <c r="AX378" s="28">
        <f t="shared" si="29"/>
        <v>-4</v>
      </c>
      <c r="AY378" s="28" t="str">
        <f t="shared" ref="AY378:BB378" si="3325">IFNA(IFS(AY$3=$AP378,"",$AX378=U378,AY$3),"")</f>
        <v/>
      </c>
      <c r="AZ378" s="28" t="str">
        <f t="shared" si="3325"/>
        <v/>
      </c>
      <c r="BA378" s="28" t="str">
        <f t="shared" si="3325"/>
        <v/>
      </c>
      <c r="BB378" s="28" t="str">
        <f t="shared" si="3325"/>
        <v>Christian</v>
      </c>
      <c r="BC378" s="58">
        <f>OFFSET('00_Regnskab_01'!$A$1,MATCH(A378,'00_Regnskab_01'!$A$1:$A$25)-1,2)</f>
        <v>44939</v>
      </c>
      <c r="BE378" s="80">
        <f t="shared" ref="BE378:BH378" si="3326">if(U378&gt;0,1+BE377,0)</f>
        <v>2</v>
      </c>
      <c r="BF378" s="28">
        <f t="shared" si="3326"/>
        <v>0</v>
      </c>
      <c r="BG378" s="28">
        <f t="shared" si="3326"/>
        <v>2</v>
      </c>
      <c r="BH378" s="28">
        <f t="shared" si="3326"/>
        <v>0</v>
      </c>
      <c r="BJ378" s="28">
        <f t="shared" ref="BJ378:BM378" si="3327">if(U378&lt;0,1+BJ377,0)</f>
        <v>0</v>
      </c>
      <c r="BK378" s="28">
        <f t="shared" si="3327"/>
        <v>1</v>
      </c>
      <c r="BL378" s="28">
        <f t="shared" si="3327"/>
        <v>0</v>
      </c>
      <c r="BM378" s="28">
        <f t="shared" si="3327"/>
        <v>2</v>
      </c>
      <c r="BO378" s="74">
        <f t="shared" ref="BO378:BR378" si="3328">if(U378&gt;0,U378+BO377,0)</f>
        <v>12</v>
      </c>
      <c r="BP378" s="74">
        <f t="shared" si="3328"/>
        <v>0</v>
      </c>
      <c r="BQ378" s="74">
        <f t="shared" si="3328"/>
        <v>12</v>
      </c>
      <c r="BR378" s="74">
        <f t="shared" si="3328"/>
        <v>0</v>
      </c>
      <c r="BT378" s="28">
        <f t="shared" ref="BT378:BW378" si="3329">if(U378&lt;0,U378+BT377,0)</f>
        <v>0</v>
      </c>
      <c r="BU378" s="28">
        <f t="shared" si="3329"/>
        <v>-4</v>
      </c>
      <c r="BV378" s="28">
        <f t="shared" si="3329"/>
        <v>0</v>
      </c>
      <c r="BW378" s="28">
        <f t="shared" si="3329"/>
        <v>-28</v>
      </c>
    </row>
    <row r="379">
      <c r="A379" s="53">
        <v>19.0</v>
      </c>
      <c r="B379" s="28">
        <f>'19a_13-01-2023_Fredag'!A19</f>
        <v>17</v>
      </c>
      <c r="C379" s="28">
        <f>'19a_13-01-2023_Fredag'!E19</f>
        <v>-136</v>
      </c>
      <c r="D379" s="28">
        <f>'19a_13-01-2023_Fredag'!C19</f>
        <v>88</v>
      </c>
      <c r="E379" s="28">
        <f>'19a_13-01-2023_Fredag'!D19</f>
        <v>256</v>
      </c>
      <c r="F379" s="28">
        <f>'19a_13-01-2023_Fredag'!B19</f>
        <v>-208</v>
      </c>
      <c r="G379" s="28">
        <f>'19a_13-01-2023_Fredag'!F19</f>
        <v>0</v>
      </c>
      <c r="H379" s="28" t="str">
        <f>'19a_13-01-2023_Fredag'!H19</f>
        <v>Thomas</v>
      </c>
      <c r="I379" s="28" t="str">
        <f>'19a_13-01-2023_Fredag'!I19</f>
        <v>Janus</v>
      </c>
      <c r="J379" s="76" t="str">
        <f>'19a_13-01-2023_Fredag'!J19</f>
        <v>Christian</v>
      </c>
      <c r="K379" s="28" t="str">
        <f>'19a_13-01-2023_Fredag'!G19</f>
        <v>9 alm</v>
      </c>
      <c r="L379" s="56"/>
      <c r="M379" s="25">
        <v>9.0</v>
      </c>
      <c r="N379" s="25" t="s">
        <v>100</v>
      </c>
      <c r="T379" s="56"/>
      <c r="U379" s="77">
        <f t="shared" ref="U379:X379" si="3330">C379-C378</f>
        <v>20</v>
      </c>
      <c r="V379" s="28">
        <f t="shared" si="3330"/>
        <v>-20</v>
      </c>
      <c r="W379" s="28">
        <f t="shared" si="3330"/>
        <v>20</v>
      </c>
      <c r="X379" s="28">
        <f t="shared" si="3330"/>
        <v>-20</v>
      </c>
      <c r="AB379" s="28">
        <f t="shared" ref="AB379:AE379" si="3331">IF(AB$3=$H379,U379,"")</f>
        <v>20</v>
      </c>
      <c r="AC379" s="28" t="str">
        <f t="shared" si="3331"/>
        <v/>
      </c>
      <c r="AD379" s="28" t="str">
        <f t="shared" si="3331"/>
        <v/>
      </c>
      <c r="AE379" s="28" t="str">
        <f t="shared" si="3331"/>
        <v/>
      </c>
      <c r="AH379" s="28">
        <f t="shared" si="22"/>
        <v>20</v>
      </c>
      <c r="AI379" s="28">
        <f t="shared" si="23"/>
        <v>0</v>
      </c>
      <c r="AK379" s="78" t="str">
        <f t="shared" ref="AK379:AN379" si="3332">IF(U379&gt;0,AK$3,"")</f>
        <v>Thomas</v>
      </c>
      <c r="AL379" s="78" t="str">
        <f t="shared" si="3332"/>
        <v/>
      </c>
      <c r="AM379" s="78" t="str">
        <f t="shared" si="3332"/>
        <v>Janus</v>
      </c>
      <c r="AN379" s="78" t="str">
        <f t="shared" si="3332"/>
        <v/>
      </c>
      <c r="AO379" s="56">
        <f t="shared" si="25"/>
        <v>2</v>
      </c>
      <c r="AP379" s="8" t="str">
        <f t="shared" si="26"/>
        <v>Thomas</v>
      </c>
      <c r="AQ379" s="73" t="str">
        <f>IFERROR(__xludf.DUMMYFUNCTION("IFNA(QUERY(transpose(AY379:BB379),""Select Col1 where Col1 is not null limit 1"",0))"),"Janus")</f>
        <v>Janus</v>
      </c>
      <c r="AR379" s="56"/>
      <c r="AS379" s="28" t="str">
        <f t="shared" ref="AS379:AV379" si="3333">IF(AK379=AS$3,"",AS$3)</f>
        <v/>
      </c>
      <c r="AT379" s="28" t="str">
        <f t="shared" si="3333"/>
        <v>Peter</v>
      </c>
      <c r="AU379" s="28" t="str">
        <f t="shared" si="3333"/>
        <v/>
      </c>
      <c r="AV379" s="28" t="str">
        <f t="shared" si="3333"/>
        <v>Christian</v>
      </c>
      <c r="AW379" s="56">
        <f t="shared" si="28"/>
        <v>2</v>
      </c>
      <c r="AX379" s="28">
        <f t="shared" si="29"/>
        <v>20</v>
      </c>
      <c r="AY379" s="28" t="str">
        <f t="shared" ref="AY379:BB379" si="3334">IFNA(IFS(AY$3=$AP379,"",$AX379=U379,AY$3),"")</f>
        <v/>
      </c>
      <c r="AZ379" s="28" t="str">
        <f t="shared" si="3334"/>
        <v/>
      </c>
      <c r="BA379" s="28" t="str">
        <f t="shared" si="3334"/>
        <v>Janus</v>
      </c>
      <c r="BB379" s="28" t="str">
        <f t="shared" si="3334"/>
        <v/>
      </c>
      <c r="BC379" s="58">
        <f>OFFSET('00_Regnskab_01'!$A$1,MATCH(A379,'00_Regnskab_01'!$A$1:$A$25)-1,2)</f>
        <v>44939</v>
      </c>
      <c r="BE379" s="80">
        <f t="shared" ref="BE379:BH379" si="3335">if(U379&gt;0,1+BE378,0)</f>
        <v>3</v>
      </c>
      <c r="BF379" s="28">
        <f t="shared" si="3335"/>
        <v>0</v>
      </c>
      <c r="BG379" s="28">
        <f t="shared" si="3335"/>
        <v>3</v>
      </c>
      <c r="BH379" s="28">
        <f t="shared" si="3335"/>
        <v>0</v>
      </c>
      <c r="BJ379" s="28">
        <f t="shared" ref="BJ379:BM379" si="3336">if(U379&lt;0,1+BJ378,0)</f>
        <v>0</v>
      </c>
      <c r="BK379" s="28">
        <f t="shared" si="3336"/>
        <v>2</v>
      </c>
      <c r="BL379" s="28">
        <f t="shared" si="3336"/>
        <v>0</v>
      </c>
      <c r="BM379" s="28">
        <f t="shared" si="3336"/>
        <v>3</v>
      </c>
      <c r="BO379" s="74">
        <f t="shared" ref="BO379:BR379" si="3337">if(U379&gt;0,U379+BO378,0)</f>
        <v>32</v>
      </c>
      <c r="BP379" s="74">
        <f t="shared" si="3337"/>
        <v>0</v>
      </c>
      <c r="BQ379" s="74">
        <f t="shared" si="3337"/>
        <v>32</v>
      </c>
      <c r="BR379" s="74">
        <f t="shared" si="3337"/>
        <v>0</v>
      </c>
      <c r="BT379" s="28">
        <f t="shared" ref="BT379:BW379" si="3338">if(U379&lt;0,U379+BT378,0)</f>
        <v>0</v>
      </c>
      <c r="BU379" s="28">
        <f t="shared" si="3338"/>
        <v>-24</v>
      </c>
      <c r="BV379" s="28">
        <f t="shared" si="3338"/>
        <v>0</v>
      </c>
      <c r="BW379" s="28">
        <f t="shared" si="3338"/>
        <v>-48</v>
      </c>
    </row>
    <row r="380">
      <c r="A380" s="53">
        <v>19.0</v>
      </c>
      <c r="B380" s="28">
        <f>'19a_13-01-2023_Fredag'!A20</f>
        <v>18</v>
      </c>
      <c r="C380" s="28">
        <f>'19a_13-01-2023_Fredag'!E20</f>
        <v>-148</v>
      </c>
      <c r="D380" s="28">
        <f>'19a_13-01-2023_Fredag'!C20</f>
        <v>76</v>
      </c>
      <c r="E380" s="28">
        <f>'19a_13-01-2023_Fredag'!D20</f>
        <v>268</v>
      </c>
      <c r="F380" s="28">
        <f>'19a_13-01-2023_Fredag'!B20</f>
        <v>-196</v>
      </c>
      <c r="G380" s="28">
        <f>'19a_13-01-2023_Fredag'!F20</f>
        <v>0</v>
      </c>
      <c r="H380" s="28" t="str">
        <f>'19a_13-01-2023_Fredag'!H20</f>
        <v>Christian</v>
      </c>
      <c r="I380" s="28" t="str">
        <f>'19a_13-01-2023_Fredag'!I20</f>
        <v>Janus</v>
      </c>
      <c r="J380" s="76" t="str">
        <f>'19a_13-01-2023_Fredag'!J20</f>
        <v>Peter</v>
      </c>
      <c r="K380" s="28" t="str">
        <f>'19a_13-01-2023_Fredag'!G20</f>
        <v>9 gode</v>
      </c>
      <c r="L380" s="56"/>
      <c r="M380" s="25">
        <v>9.0</v>
      </c>
      <c r="N380" s="25" t="s">
        <v>95</v>
      </c>
      <c r="T380" s="56"/>
      <c r="U380" s="77">
        <f t="shared" ref="U380:X380" si="3339">C380-C379</f>
        <v>-12</v>
      </c>
      <c r="V380" s="28">
        <f t="shared" si="3339"/>
        <v>-12</v>
      </c>
      <c r="W380" s="28">
        <f t="shared" si="3339"/>
        <v>12</v>
      </c>
      <c r="X380" s="28">
        <f t="shared" si="3339"/>
        <v>12</v>
      </c>
      <c r="AB380" s="28" t="str">
        <f t="shared" ref="AB380:AE380" si="3340">IF(AB$3=$H380,U380,"")</f>
        <v/>
      </c>
      <c r="AC380" s="28" t="str">
        <f t="shared" si="3340"/>
        <v/>
      </c>
      <c r="AD380" s="28" t="str">
        <f t="shared" si="3340"/>
        <v/>
      </c>
      <c r="AE380" s="28">
        <f t="shared" si="3340"/>
        <v>12</v>
      </c>
      <c r="AH380" s="28">
        <f t="shared" si="22"/>
        <v>12</v>
      </c>
      <c r="AI380" s="28">
        <f t="shared" si="23"/>
        <v>0</v>
      </c>
      <c r="AK380" s="78" t="str">
        <f t="shared" ref="AK380:AN380" si="3341">IF(U380&gt;0,AK$3,"")</f>
        <v/>
      </c>
      <c r="AL380" s="78" t="str">
        <f t="shared" si="3341"/>
        <v/>
      </c>
      <c r="AM380" s="78" t="str">
        <f t="shared" si="3341"/>
        <v>Janus</v>
      </c>
      <c r="AN380" s="78" t="str">
        <f t="shared" si="3341"/>
        <v>Christian</v>
      </c>
      <c r="AO380" s="56">
        <f t="shared" si="25"/>
        <v>2</v>
      </c>
      <c r="AP380" s="8" t="str">
        <f t="shared" si="26"/>
        <v>Christian</v>
      </c>
      <c r="AQ380" s="73" t="str">
        <f>IFERROR(__xludf.DUMMYFUNCTION("IFNA(QUERY(transpose(AY380:BB380),""Select Col1 where Col1 is not null limit 1"",0))"),"Janus")</f>
        <v>Janus</v>
      </c>
      <c r="AR380" s="56"/>
      <c r="AS380" s="28" t="str">
        <f t="shared" ref="AS380:AV380" si="3342">IF(AK380=AS$3,"",AS$3)</f>
        <v>Thomas</v>
      </c>
      <c r="AT380" s="28" t="str">
        <f t="shared" si="3342"/>
        <v>Peter</v>
      </c>
      <c r="AU380" s="28" t="str">
        <f t="shared" si="3342"/>
        <v/>
      </c>
      <c r="AV380" s="28" t="str">
        <f t="shared" si="3342"/>
        <v/>
      </c>
      <c r="AW380" s="56">
        <f t="shared" si="28"/>
        <v>2</v>
      </c>
      <c r="AX380" s="28">
        <f t="shared" si="29"/>
        <v>12</v>
      </c>
      <c r="AY380" s="28" t="str">
        <f t="shared" ref="AY380:BB380" si="3343">IFNA(IFS(AY$3=$AP380,"",$AX380=U380,AY$3),"")</f>
        <v/>
      </c>
      <c r="AZ380" s="28" t="str">
        <f t="shared" si="3343"/>
        <v/>
      </c>
      <c r="BA380" s="28" t="str">
        <f t="shared" si="3343"/>
        <v>Janus</v>
      </c>
      <c r="BB380" s="28" t="str">
        <f t="shared" si="3343"/>
        <v/>
      </c>
      <c r="BC380" s="58">
        <f>OFFSET('00_Regnskab_01'!$A$1,MATCH(A380,'00_Regnskab_01'!$A$1:$A$25)-1,2)</f>
        <v>44939</v>
      </c>
      <c r="BE380" s="80">
        <f t="shared" ref="BE380:BH380" si="3344">if(U380&gt;0,1+BE379,0)</f>
        <v>0</v>
      </c>
      <c r="BF380" s="28">
        <f t="shared" si="3344"/>
        <v>0</v>
      </c>
      <c r="BG380" s="28">
        <f t="shared" si="3344"/>
        <v>4</v>
      </c>
      <c r="BH380" s="28">
        <f t="shared" si="3344"/>
        <v>1</v>
      </c>
      <c r="BJ380" s="28">
        <f t="shared" ref="BJ380:BM380" si="3345">if(U380&lt;0,1+BJ379,0)</f>
        <v>1</v>
      </c>
      <c r="BK380" s="28">
        <f t="shared" si="3345"/>
        <v>3</v>
      </c>
      <c r="BL380" s="28">
        <f t="shared" si="3345"/>
        <v>0</v>
      </c>
      <c r="BM380" s="28">
        <f t="shared" si="3345"/>
        <v>0</v>
      </c>
      <c r="BO380" s="74">
        <f t="shared" ref="BO380:BR380" si="3346">if(U380&gt;0,U380+BO379,0)</f>
        <v>0</v>
      </c>
      <c r="BP380" s="74">
        <f t="shared" si="3346"/>
        <v>0</v>
      </c>
      <c r="BQ380" s="74">
        <f t="shared" si="3346"/>
        <v>44</v>
      </c>
      <c r="BR380" s="74">
        <f t="shared" si="3346"/>
        <v>12</v>
      </c>
      <c r="BT380" s="28">
        <f t="shared" ref="BT380:BW380" si="3347">if(U380&lt;0,U380+BT379,0)</f>
        <v>-12</v>
      </c>
      <c r="BU380" s="28">
        <f t="shared" si="3347"/>
        <v>-36</v>
      </c>
      <c r="BV380" s="28">
        <f t="shared" si="3347"/>
        <v>0</v>
      </c>
      <c r="BW380" s="28">
        <f t="shared" si="3347"/>
        <v>0</v>
      </c>
    </row>
    <row r="381">
      <c r="A381" s="53">
        <v>19.0</v>
      </c>
      <c r="B381" s="28">
        <f>'19a_13-01-2023_Fredag'!A21</f>
        <v>19</v>
      </c>
      <c r="C381" s="28">
        <f>'19a_13-01-2023_Fredag'!E21</f>
        <v>-158</v>
      </c>
      <c r="D381" s="28">
        <f>'19a_13-01-2023_Fredag'!C21</f>
        <v>86</v>
      </c>
      <c r="E381" s="28">
        <f>'19a_13-01-2023_Fredag'!D21</f>
        <v>278</v>
      </c>
      <c r="F381" s="28">
        <f>'19a_13-01-2023_Fredag'!B21</f>
        <v>-206</v>
      </c>
      <c r="G381" s="28">
        <f>'19a_13-01-2023_Fredag'!F21</f>
        <v>0</v>
      </c>
      <c r="H381" s="28" t="str">
        <f>'19a_13-01-2023_Fredag'!H21</f>
        <v>Peter</v>
      </c>
      <c r="I381" s="28" t="str">
        <f>'19a_13-01-2023_Fredag'!I21</f>
        <v>Janus</v>
      </c>
      <c r="J381" s="76" t="str">
        <f>'19a_13-01-2023_Fredag'!J21</f>
        <v>Janus</v>
      </c>
      <c r="K381" s="28" t="str">
        <f>'19a_13-01-2023_Fredag'!G21</f>
        <v>9 alm</v>
      </c>
      <c r="L381" s="56"/>
      <c r="M381" s="25">
        <v>9.0</v>
      </c>
      <c r="N381" s="25" t="s">
        <v>100</v>
      </c>
      <c r="T381" s="56"/>
      <c r="U381" s="77">
        <f t="shared" ref="U381:X381" si="3348">C381-C380</f>
        <v>-10</v>
      </c>
      <c r="V381" s="28">
        <f t="shared" si="3348"/>
        <v>10</v>
      </c>
      <c r="W381" s="28">
        <f t="shared" si="3348"/>
        <v>10</v>
      </c>
      <c r="X381" s="28">
        <f t="shared" si="3348"/>
        <v>-10</v>
      </c>
      <c r="AB381" s="28" t="str">
        <f t="shared" ref="AB381:AE381" si="3349">IF(AB$3=$H381,U381,"")</f>
        <v/>
      </c>
      <c r="AC381" s="28">
        <f t="shared" si="3349"/>
        <v>10</v>
      </c>
      <c r="AD381" s="28" t="str">
        <f t="shared" si="3349"/>
        <v/>
      </c>
      <c r="AE381" s="28" t="str">
        <f t="shared" si="3349"/>
        <v/>
      </c>
      <c r="AH381" s="28">
        <f t="shared" si="22"/>
        <v>10</v>
      </c>
      <c r="AI381" s="28">
        <f t="shared" si="23"/>
        <v>0</v>
      </c>
      <c r="AK381" s="78" t="str">
        <f t="shared" ref="AK381:AN381" si="3350">IF(U381&gt;0,AK$3,"")</f>
        <v/>
      </c>
      <c r="AL381" s="78" t="str">
        <f t="shared" si="3350"/>
        <v>Peter</v>
      </c>
      <c r="AM381" s="78" t="str">
        <f t="shared" si="3350"/>
        <v>Janus</v>
      </c>
      <c r="AN381" s="78" t="str">
        <f t="shared" si="3350"/>
        <v/>
      </c>
      <c r="AO381" s="56">
        <f t="shared" si="25"/>
        <v>2</v>
      </c>
      <c r="AP381" s="8" t="str">
        <f t="shared" si="26"/>
        <v>Peter</v>
      </c>
      <c r="AQ381" s="73" t="str">
        <f>IFERROR(__xludf.DUMMYFUNCTION("IFNA(QUERY(transpose(AY381:BB381),""Select Col1 where Col1 is not null limit 1"",0))"),"Janus")</f>
        <v>Janus</v>
      </c>
      <c r="AR381" s="56"/>
      <c r="AS381" s="28" t="str">
        <f t="shared" ref="AS381:AV381" si="3351">IF(AK381=AS$3,"",AS$3)</f>
        <v>Thomas</v>
      </c>
      <c r="AT381" s="28" t="str">
        <f t="shared" si="3351"/>
        <v/>
      </c>
      <c r="AU381" s="28" t="str">
        <f t="shared" si="3351"/>
        <v/>
      </c>
      <c r="AV381" s="28" t="str">
        <f t="shared" si="3351"/>
        <v>Christian</v>
      </c>
      <c r="AW381" s="56">
        <f t="shared" si="28"/>
        <v>2</v>
      </c>
      <c r="AX381" s="28">
        <f t="shared" si="29"/>
        <v>10</v>
      </c>
      <c r="AY381" s="28" t="str">
        <f t="shared" ref="AY381:BB381" si="3352">IFNA(IFS(AY$3=$AP381,"",$AX381=U381,AY$3),"")</f>
        <v/>
      </c>
      <c r="AZ381" s="28" t="str">
        <f t="shared" si="3352"/>
        <v/>
      </c>
      <c r="BA381" s="28" t="str">
        <f t="shared" si="3352"/>
        <v>Janus</v>
      </c>
      <c r="BB381" s="28" t="str">
        <f t="shared" si="3352"/>
        <v/>
      </c>
      <c r="BC381" s="58">
        <f>OFFSET('00_Regnskab_01'!$A$1,MATCH(A381,'00_Regnskab_01'!$A$1:$A$25)-1,2)</f>
        <v>44939</v>
      </c>
      <c r="BE381" s="80">
        <f t="shared" ref="BE381:BH381" si="3353">if(U381&gt;0,1+BE380,0)</f>
        <v>0</v>
      </c>
      <c r="BF381" s="28">
        <f t="shared" si="3353"/>
        <v>1</v>
      </c>
      <c r="BG381" s="28">
        <f t="shared" si="3353"/>
        <v>5</v>
      </c>
      <c r="BH381" s="28">
        <f t="shared" si="3353"/>
        <v>0</v>
      </c>
      <c r="BJ381" s="28">
        <f t="shared" ref="BJ381:BM381" si="3354">if(U381&lt;0,1+BJ380,0)</f>
        <v>2</v>
      </c>
      <c r="BK381" s="28">
        <f t="shared" si="3354"/>
        <v>0</v>
      </c>
      <c r="BL381" s="28">
        <f t="shared" si="3354"/>
        <v>0</v>
      </c>
      <c r="BM381" s="28">
        <f t="shared" si="3354"/>
        <v>1</v>
      </c>
      <c r="BO381" s="74">
        <f t="shared" ref="BO381:BR381" si="3355">if(U381&gt;0,U381+BO380,0)</f>
        <v>0</v>
      </c>
      <c r="BP381" s="74">
        <f t="shared" si="3355"/>
        <v>10</v>
      </c>
      <c r="BQ381" s="74">
        <f t="shared" si="3355"/>
        <v>54</v>
      </c>
      <c r="BR381" s="74">
        <f t="shared" si="3355"/>
        <v>0</v>
      </c>
      <c r="BT381" s="28">
        <f t="shared" ref="BT381:BW381" si="3356">if(U381&lt;0,U381+BT380,0)</f>
        <v>-22</v>
      </c>
      <c r="BU381" s="28">
        <f t="shared" si="3356"/>
        <v>0</v>
      </c>
      <c r="BV381" s="28">
        <f t="shared" si="3356"/>
        <v>0</v>
      </c>
      <c r="BW381" s="28">
        <f t="shared" si="3356"/>
        <v>-10</v>
      </c>
    </row>
    <row r="382">
      <c r="A382" s="53">
        <v>19.0</v>
      </c>
      <c r="B382" s="28">
        <f>'19a_13-01-2023_Fredag'!A22</f>
        <v>20</v>
      </c>
      <c r="C382" s="28">
        <f>'19a_13-01-2023_Fredag'!E22</f>
        <v>-78</v>
      </c>
      <c r="D382" s="28">
        <f>'19a_13-01-2023_Fredag'!C22</f>
        <v>6</v>
      </c>
      <c r="E382" s="28">
        <f>'19a_13-01-2023_Fredag'!D22</f>
        <v>198</v>
      </c>
      <c r="F382" s="28">
        <f>'19a_13-01-2023_Fredag'!B22</f>
        <v>-126</v>
      </c>
      <c r="G382" s="28">
        <f>'19a_13-01-2023_Fredag'!F22</f>
        <v>0</v>
      </c>
      <c r="H382" s="28" t="str">
        <f>'19a_13-01-2023_Fredag'!H22</f>
        <v>Christian</v>
      </c>
      <c r="I382" s="28" t="str">
        <f>'19a_13-01-2023_Fredag'!I22</f>
        <v>Thomas</v>
      </c>
      <c r="J382" s="76" t="str">
        <f>'19a_13-01-2023_Fredag'!J22</f>
        <v>Thomas</v>
      </c>
      <c r="K382" s="28" t="str">
        <f>'19a_13-01-2023_Fredag'!G22</f>
        <v>10 gode</v>
      </c>
      <c r="L382" s="56"/>
      <c r="M382" s="25">
        <v>10.0</v>
      </c>
      <c r="N382" s="25" t="s">
        <v>95</v>
      </c>
      <c r="T382" s="56"/>
      <c r="U382" s="77">
        <f t="shared" ref="U382:X382" si="3357">C382-C381</f>
        <v>80</v>
      </c>
      <c r="V382" s="28">
        <f t="shared" si="3357"/>
        <v>-80</v>
      </c>
      <c r="W382" s="28">
        <f t="shared" si="3357"/>
        <v>-80</v>
      </c>
      <c r="X382" s="28">
        <f t="shared" si="3357"/>
        <v>80</v>
      </c>
      <c r="AB382" s="28" t="str">
        <f t="shared" ref="AB382:AE382" si="3358">IF(AB$3=$H382,U382,"")</f>
        <v/>
      </c>
      <c r="AC382" s="28" t="str">
        <f t="shared" si="3358"/>
        <v/>
      </c>
      <c r="AD382" s="28" t="str">
        <f t="shared" si="3358"/>
        <v/>
      </c>
      <c r="AE382" s="28">
        <f t="shared" si="3358"/>
        <v>80</v>
      </c>
      <c r="AH382" s="28">
        <f t="shared" si="22"/>
        <v>80</v>
      </c>
      <c r="AI382" s="28">
        <f t="shared" si="23"/>
        <v>0</v>
      </c>
      <c r="AK382" s="78" t="str">
        <f t="shared" ref="AK382:AN382" si="3359">IF(U382&gt;0,AK$3,"")</f>
        <v>Thomas</v>
      </c>
      <c r="AL382" s="78" t="str">
        <f t="shared" si="3359"/>
        <v/>
      </c>
      <c r="AM382" s="78" t="str">
        <f t="shared" si="3359"/>
        <v/>
      </c>
      <c r="AN382" s="78" t="str">
        <f t="shared" si="3359"/>
        <v>Christian</v>
      </c>
      <c r="AO382" s="56">
        <f t="shared" si="25"/>
        <v>2</v>
      </c>
      <c r="AP382" s="8" t="str">
        <f t="shared" si="26"/>
        <v>Christian</v>
      </c>
      <c r="AQ382" s="73" t="str">
        <f>IFERROR(__xludf.DUMMYFUNCTION("IFNA(QUERY(transpose(AY382:BB382),""Select Col1 where Col1 is not null limit 1"",0))"),"Thomas")</f>
        <v>Thomas</v>
      </c>
      <c r="AR382" s="56"/>
      <c r="AS382" s="28" t="str">
        <f t="shared" ref="AS382:AV382" si="3360">IF(AK382=AS$3,"",AS$3)</f>
        <v/>
      </c>
      <c r="AT382" s="28" t="str">
        <f t="shared" si="3360"/>
        <v>Peter</v>
      </c>
      <c r="AU382" s="28" t="str">
        <f t="shared" si="3360"/>
        <v>Janus</v>
      </c>
      <c r="AV382" s="28" t="str">
        <f t="shared" si="3360"/>
        <v/>
      </c>
      <c r="AW382" s="56">
        <f t="shared" si="28"/>
        <v>2</v>
      </c>
      <c r="AX382" s="28">
        <f t="shared" si="29"/>
        <v>80</v>
      </c>
      <c r="AY382" s="28" t="str">
        <f t="shared" ref="AY382:BB382" si="3361">IFNA(IFS(AY$3=$AP382,"",$AX382=U382,AY$3),"")</f>
        <v>Thomas</v>
      </c>
      <c r="AZ382" s="28" t="str">
        <f t="shared" si="3361"/>
        <v/>
      </c>
      <c r="BA382" s="28" t="str">
        <f t="shared" si="3361"/>
        <v/>
      </c>
      <c r="BB382" s="28" t="str">
        <f t="shared" si="3361"/>
        <v/>
      </c>
      <c r="BC382" s="58">
        <f>OFFSET('00_Regnskab_01'!$A$1,MATCH(A382,'00_Regnskab_01'!$A$1:$A$25)-1,2)</f>
        <v>44939</v>
      </c>
      <c r="BE382" s="80">
        <f t="shared" ref="BE382:BH382" si="3362">if(U382&gt;0,1+BE381,0)</f>
        <v>1</v>
      </c>
      <c r="BF382" s="28">
        <f t="shared" si="3362"/>
        <v>0</v>
      </c>
      <c r="BG382" s="28">
        <f t="shared" si="3362"/>
        <v>0</v>
      </c>
      <c r="BH382" s="28">
        <f t="shared" si="3362"/>
        <v>1</v>
      </c>
      <c r="BJ382" s="28">
        <f t="shared" ref="BJ382:BM382" si="3363">if(U382&lt;0,1+BJ381,0)</f>
        <v>0</v>
      </c>
      <c r="BK382" s="28">
        <f t="shared" si="3363"/>
        <v>1</v>
      </c>
      <c r="BL382" s="28">
        <f t="shared" si="3363"/>
        <v>1</v>
      </c>
      <c r="BM382" s="28">
        <f t="shared" si="3363"/>
        <v>0</v>
      </c>
      <c r="BO382" s="74">
        <f t="shared" ref="BO382:BR382" si="3364">if(U382&gt;0,U382+BO381,0)</f>
        <v>80</v>
      </c>
      <c r="BP382" s="74">
        <f t="shared" si="3364"/>
        <v>0</v>
      </c>
      <c r="BQ382" s="74">
        <f t="shared" si="3364"/>
        <v>0</v>
      </c>
      <c r="BR382" s="74">
        <f t="shared" si="3364"/>
        <v>80</v>
      </c>
      <c r="BT382" s="28">
        <f t="shared" ref="BT382:BW382" si="3365">if(U382&lt;0,U382+BT381,0)</f>
        <v>0</v>
      </c>
      <c r="BU382" s="28">
        <f t="shared" si="3365"/>
        <v>-80</v>
      </c>
      <c r="BV382" s="28">
        <f t="shared" si="3365"/>
        <v>-80</v>
      </c>
      <c r="BW382" s="28">
        <f t="shared" si="3365"/>
        <v>0</v>
      </c>
    </row>
    <row r="383">
      <c r="A383" s="99">
        <v>19.0</v>
      </c>
      <c r="B383" s="100">
        <f>'19a_13-01-2023_Fredag'!A23</f>
        <v>21</v>
      </c>
      <c r="C383" s="100">
        <f>'19a_13-01-2023_Fredag'!E23</f>
        <v>-62</v>
      </c>
      <c r="D383" s="100">
        <f>'19a_13-01-2023_Fredag'!C23</f>
        <v>22</v>
      </c>
      <c r="E383" s="100">
        <f>'19a_13-01-2023_Fredag'!D23</f>
        <v>182</v>
      </c>
      <c r="F383" s="100">
        <f>'19a_13-01-2023_Fredag'!B23</f>
        <v>-142</v>
      </c>
      <c r="G383" s="100">
        <f>'19a_13-01-2023_Fredag'!F23</f>
        <v>0</v>
      </c>
      <c r="H383" s="100" t="str">
        <f>'19a_13-01-2023_Fredag'!H23</f>
        <v>Thomas</v>
      </c>
      <c r="I383" s="100" t="str">
        <f>'19a_13-01-2023_Fredag'!I23</f>
        <v>Peter</v>
      </c>
      <c r="J383" s="101" t="str">
        <f>'19a_13-01-2023_Fredag'!J23</f>
        <v>Christian</v>
      </c>
      <c r="K383" s="100" t="str">
        <f>'19a_13-01-2023_Fredag'!G23</f>
        <v>9 vip i 2 - hjerte</v>
      </c>
      <c r="L383" s="56"/>
      <c r="M383" s="25">
        <v>9.0</v>
      </c>
      <c r="N383" s="25" t="s">
        <v>86</v>
      </c>
      <c r="O383" s="25">
        <v>2.0</v>
      </c>
      <c r="T383" s="56"/>
      <c r="U383" s="77">
        <f t="shared" ref="U383:X383" si="3366">C383-C382</f>
        <v>16</v>
      </c>
      <c r="V383" s="28">
        <f t="shared" si="3366"/>
        <v>16</v>
      </c>
      <c r="W383" s="28">
        <f t="shared" si="3366"/>
        <v>-16</v>
      </c>
      <c r="X383" s="28">
        <f t="shared" si="3366"/>
        <v>-16</v>
      </c>
      <c r="AB383" s="28">
        <f t="shared" ref="AB383:AE383" si="3367">IF(AB$3=$H383,U383,"")</f>
        <v>16</v>
      </c>
      <c r="AC383" s="28" t="str">
        <f t="shared" si="3367"/>
        <v/>
      </c>
      <c r="AD383" s="28" t="str">
        <f t="shared" si="3367"/>
        <v/>
      </c>
      <c r="AE383" s="28" t="str">
        <f t="shared" si="3367"/>
        <v/>
      </c>
      <c r="AH383" s="28">
        <f t="shared" si="22"/>
        <v>16</v>
      </c>
      <c r="AI383" s="28">
        <f t="shared" si="23"/>
        <v>0</v>
      </c>
      <c r="AK383" s="78" t="str">
        <f t="shared" ref="AK383:AN383" si="3368">IF(U383&gt;0,AK$3,"")</f>
        <v>Thomas</v>
      </c>
      <c r="AL383" s="78" t="str">
        <f t="shared" si="3368"/>
        <v>Peter</v>
      </c>
      <c r="AM383" s="78" t="str">
        <f t="shared" si="3368"/>
        <v/>
      </c>
      <c r="AN383" s="78" t="str">
        <f t="shared" si="3368"/>
        <v/>
      </c>
      <c r="AO383" s="56">
        <f t="shared" si="25"/>
        <v>2</v>
      </c>
      <c r="AP383" s="8" t="str">
        <f t="shared" si="26"/>
        <v>Thomas</v>
      </c>
      <c r="AQ383" s="73" t="str">
        <f>IFERROR(__xludf.DUMMYFUNCTION("IFNA(QUERY(transpose(AY383:BB383),""Select Col1 where Col1 is not null limit 1"",0))"),"Peter")</f>
        <v>Peter</v>
      </c>
      <c r="AR383" s="56"/>
      <c r="AS383" s="28" t="str">
        <f t="shared" ref="AS383:AV383" si="3369">IF(AK383=AS$3,"",AS$3)</f>
        <v/>
      </c>
      <c r="AT383" s="28" t="str">
        <f t="shared" si="3369"/>
        <v/>
      </c>
      <c r="AU383" s="28" t="str">
        <f t="shared" si="3369"/>
        <v>Janus</v>
      </c>
      <c r="AV383" s="28" t="str">
        <f t="shared" si="3369"/>
        <v>Christian</v>
      </c>
      <c r="AW383" s="56">
        <f t="shared" si="28"/>
        <v>2</v>
      </c>
      <c r="AX383" s="28">
        <f t="shared" si="29"/>
        <v>16</v>
      </c>
      <c r="AY383" s="28" t="str">
        <f t="shared" ref="AY383:BB383" si="3370">IFNA(IFS(AY$3=$AP383,"",$AX383=U383,AY$3),"")</f>
        <v/>
      </c>
      <c r="AZ383" s="28" t="str">
        <f t="shared" si="3370"/>
        <v>Peter</v>
      </c>
      <c r="BA383" s="28" t="str">
        <f t="shared" si="3370"/>
        <v/>
      </c>
      <c r="BB383" s="28" t="str">
        <f t="shared" si="3370"/>
        <v/>
      </c>
      <c r="BC383" s="58">
        <f>OFFSET('00_Regnskab_01'!$A$1,MATCH(A383,'00_Regnskab_01'!$A$1:$A$25)-1,2)</f>
        <v>44939</v>
      </c>
      <c r="BE383" s="80">
        <f t="shared" ref="BE383:BH383" si="3371">if(U383&gt;0,1+BE382,0)</f>
        <v>2</v>
      </c>
      <c r="BF383" s="28">
        <f t="shared" si="3371"/>
        <v>1</v>
      </c>
      <c r="BG383" s="28">
        <f t="shared" si="3371"/>
        <v>0</v>
      </c>
      <c r="BH383" s="28">
        <f t="shared" si="3371"/>
        <v>0</v>
      </c>
      <c r="BJ383" s="28">
        <f t="shared" ref="BJ383:BM383" si="3372">if(U383&lt;0,1+BJ382,0)</f>
        <v>0</v>
      </c>
      <c r="BK383" s="28">
        <f t="shared" si="3372"/>
        <v>0</v>
      </c>
      <c r="BL383" s="28">
        <f t="shared" si="3372"/>
        <v>2</v>
      </c>
      <c r="BM383" s="28">
        <f t="shared" si="3372"/>
        <v>1</v>
      </c>
      <c r="BO383" s="74">
        <f t="shared" ref="BO383:BR383" si="3373">if(U383&gt;0,U383+BO382,0)</f>
        <v>96</v>
      </c>
      <c r="BP383" s="74">
        <f t="shared" si="3373"/>
        <v>16</v>
      </c>
      <c r="BQ383" s="74">
        <f t="shared" si="3373"/>
        <v>0</v>
      </c>
      <c r="BR383" s="74">
        <f t="shared" si="3373"/>
        <v>0</v>
      </c>
      <c r="BT383" s="28">
        <f t="shared" ref="BT383:BW383" si="3374">if(U383&lt;0,U383+BT382,0)</f>
        <v>0</v>
      </c>
      <c r="BU383" s="28">
        <f t="shared" si="3374"/>
        <v>0</v>
      </c>
      <c r="BV383" s="28">
        <f t="shared" si="3374"/>
        <v>-96</v>
      </c>
      <c r="BW383" s="28">
        <f t="shared" si="3374"/>
        <v>-16</v>
      </c>
    </row>
    <row r="384">
      <c r="A384" s="102">
        <v>19.0</v>
      </c>
      <c r="B384" s="103">
        <f>'19b_13-01-2023_Færge mod Tyskla'!A3</f>
        <v>22</v>
      </c>
      <c r="C384" s="103">
        <f>'19b_13-01-2023_Færge mod Tyskla'!C3</f>
        <v>-50</v>
      </c>
      <c r="D384" s="103">
        <f>'19b_13-01-2023_Færge mod Tyskla'!B3</f>
        <v>34</v>
      </c>
      <c r="E384" s="103">
        <f>'19b_13-01-2023_Færge mod Tyskla'!D3</f>
        <v>170</v>
      </c>
      <c r="F384" s="103">
        <f>'19b_13-01-2023_Færge mod Tyskla'!E3</f>
        <v>-154</v>
      </c>
      <c r="G384" s="103">
        <f>'19b_13-01-2023_Færge mod Tyskla'!F3</f>
        <v>0</v>
      </c>
      <c r="H384" s="103" t="str">
        <f>'19b_13-01-2023_Færge mod Tyskla'!H3</f>
        <v>Thomas</v>
      </c>
      <c r="I384" s="103" t="str">
        <f>'19b_13-01-2023_Færge mod Tyskla'!I3</f>
        <v>Peter</v>
      </c>
      <c r="J384" s="104" t="str">
        <f>'19b_13-01-2023_Færge mod Tyskla'!J3</f>
        <v>Peter</v>
      </c>
      <c r="K384" s="103" t="str">
        <f>'19b_13-01-2023_Færge mod Tyskla'!G3</f>
        <v>9 gode</v>
      </c>
      <c r="L384" s="56"/>
      <c r="M384" s="25">
        <v>9.0</v>
      </c>
      <c r="N384" s="25" t="s">
        <v>95</v>
      </c>
      <c r="T384" s="56"/>
      <c r="U384" s="77">
        <f t="shared" ref="U384:X384" si="3375">C384-C383</f>
        <v>12</v>
      </c>
      <c r="V384" s="28">
        <f t="shared" si="3375"/>
        <v>12</v>
      </c>
      <c r="W384" s="28">
        <f t="shared" si="3375"/>
        <v>-12</v>
      </c>
      <c r="X384" s="28">
        <f t="shared" si="3375"/>
        <v>-12</v>
      </c>
      <c r="AB384" s="28">
        <f t="shared" ref="AB384:AE384" si="3376">IF(AB$3=$H384,U384,"")</f>
        <v>12</v>
      </c>
      <c r="AC384" s="28" t="str">
        <f t="shared" si="3376"/>
        <v/>
      </c>
      <c r="AD384" s="28" t="str">
        <f t="shared" si="3376"/>
        <v/>
      </c>
      <c r="AE384" s="28" t="str">
        <f t="shared" si="3376"/>
        <v/>
      </c>
      <c r="AH384" s="28">
        <f t="shared" si="22"/>
        <v>12</v>
      </c>
      <c r="AI384" s="28">
        <f t="shared" si="23"/>
        <v>0</v>
      </c>
      <c r="AK384" s="78" t="str">
        <f t="shared" ref="AK384:AN384" si="3377">IF(U384&gt;0,AK$3,"")</f>
        <v>Thomas</v>
      </c>
      <c r="AL384" s="78" t="str">
        <f t="shared" si="3377"/>
        <v>Peter</v>
      </c>
      <c r="AM384" s="78" t="str">
        <f t="shared" si="3377"/>
        <v/>
      </c>
      <c r="AN384" s="78" t="str">
        <f t="shared" si="3377"/>
        <v/>
      </c>
      <c r="AO384" s="56">
        <f t="shared" si="25"/>
        <v>2</v>
      </c>
      <c r="AP384" s="8" t="str">
        <f t="shared" si="26"/>
        <v>Thomas</v>
      </c>
      <c r="AQ384" s="73" t="str">
        <f>IFERROR(__xludf.DUMMYFUNCTION("IFNA(QUERY(transpose(AY384:BB384),""Select Col1 where Col1 is not null limit 1"",0))"),"Peter")</f>
        <v>Peter</v>
      </c>
      <c r="AR384" s="56"/>
      <c r="AS384" s="28" t="str">
        <f t="shared" ref="AS384:AV384" si="3378">IF(AK384=AS$3,"",AS$3)</f>
        <v/>
      </c>
      <c r="AT384" s="28" t="str">
        <f t="shared" si="3378"/>
        <v/>
      </c>
      <c r="AU384" s="28" t="str">
        <f t="shared" si="3378"/>
        <v>Janus</v>
      </c>
      <c r="AV384" s="28" t="str">
        <f t="shared" si="3378"/>
        <v>Christian</v>
      </c>
      <c r="AW384" s="56">
        <f t="shared" si="28"/>
        <v>2</v>
      </c>
      <c r="AX384" s="28">
        <f t="shared" si="29"/>
        <v>12</v>
      </c>
      <c r="AY384" s="28" t="str">
        <f t="shared" ref="AY384:BB384" si="3379">IFNA(IFS(AY$3=$AP384,"",$AX384=U384,AY$3),"")</f>
        <v/>
      </c>
      <c r="AZ384" s="28" t="str">
        <f t="shared" si="3379"/>
        <v>Peter</v>
      </c>
      <c r="BA384" s="28" t="str">
        <f t="shared" si="3379"/>
        <v/>
      </c>
      <c r="BB384" s="28" t="str">
        <f t="shared" si="3379"/>
        <v/>
      </c>
      <c r="BC384" s="58">
        <f>OFFSET('00_Regnskab_01'!$A$1,MATCH(A384,'00_Regnskab_01'!$A$1:$A$25)-1,2)</f>
        <v>44939</v>
      </c>
      <c r="BE384" s="80">
        <f t="shared" ref="BE384:BH384" si="3380">if(U384&gt;0,1+BE383,0)</f>
        <v>3</v>
      </c>
      <c r="BF384" s="28">
        <f t="shared" si="3380"/>
        <v>2</v>
      </c>
      <c r="BG384" s="28">
        <f t="shared" si="3380"/>
        <v>0</v>
      </c>
      <c r="BH384" s="28">
        <f t="shared" si="3380"/>
        <v>0</v>
      </c>
      <c r="BJ384" s="28">
        <f t="shared" ref="BJ384:BM384" si="3381">if(U384&lt;0,1+BJ383,0)</f>
        <v>0</v>
      </c>
      <c r="BK384" s="28">
        <f t="shared" si="3381"/>
        <v>0</v>
      </c>
      <c r="BL384" s="28">
        <f t="shared" si="3381"/>
        <v>3</v>
      </c>
      <c r="BM384" s="28">
        <f t="shared" si="3381"/>
        <v>2</v>
      </c>
      <c r="BO384" s="74">
        <f t="shared" ref="BO384:BR384" si="3382">if(U384&gt;0,U384+BO383,0)</f>
        <v>108</v>
      </c>
      <c r="BP384" s="74">
        <f t="shared" si="3382"/>
        <v>28</v>
      </c>
      <c r="BQ384" s="74">
        <f t="shared" si="3382"/>
        <v>0</v>
      </c>
      <c r="BR384" s="74">
        <f t="shared" si="3382"/>
        <v>0</v>
      </c>
      <c r="BT384" s="28">
        <f t="shared" ref="BT384:BW384" si="3383">if(U384&lt;0,U384+BT383,0)</f>
        <v>0</v>
      </c>
      <c r="BU384" s="28">
        <f t="shared" si="3383"/>
        <v>0</v>
      </c>
      <c r="BV384" s="28">
        <f t="shared" si="3383"/>
        <v>-108</v>
      </c>
      <c r="BW384" s="28">
        <f t="shared" si="3383"/>
        <v>-28</v>
      </c>
    </row>
    <row r="385">
      <c r="A385" s="53">
        <v>19.0</v>
      </c>
      <c r="B385" s="28">
        <f>'19b_13-01-2023_Færge mod Tyskla'!A4</f>
        <v>23</v>
      </c>
      <c r="C385" s="28">
        <f>'19b_13-01-2023_Færge mod Tyskla'!C4</f>
        <v>-42</v>
      </c>
      <c r="D385" s="28">
        <f>'19b_13-01-2023_Færge mod Tyskla'!B4</f>
        <v>42</v>
      </c>
      <c r="E385" s="28">
        <f>'19b_13-01-2023_Færge mod Tyskla'!D4</f>
        <v>162</v>
      </c>
      <c r="F385" s="28">
        <f>'19b_13-01-2023_Færge mod Tyskla'!E4</f>
        <v>-162</v>
      </c>
      <c r="G385" s="28">
        <f>'19b_13-01-2023_Færge mod Tyskla'!F4</f>
        <v>0</v>
      </c>
      <c r="H385" s="28" t="str">
        <f>'19b_13-01-2023_Færge mod Tyskla'!H4</f>
        <v>Peter</v>
      </c>
      <c r="I385" s="28" t="str">
        <f>'19b_13-01-2023_Færge mod Tyskla'!I4</f>
        <v>Thomas</v>
      </c>
      <c r="J385" s="76" t="str">
        <f>'19b_13-01-2023_Færge mod Tyskla'!J4</f>
        <v>Thomas</v>
      </c>
      <c r="K385" s="28" t="str">
        <f>'19b_13-01-2023_Færge mod Tyskla'!G4</f>
        <v>9 halve</v>
      </c>
      <c r="L385" s="56"/>
      <c r="M385" s="25">
        <v>9.0</v>
      </c>
      <c r="N385" s="25" t="s">
        <v>94</v>
      </c>
      <c r="T385" s="56"/>
      <c r="U385" s="77">
        <f t="shared" ref="U385:X385" si="3384">C385-C384</f>
        <v>8</v>
      </c>
      <c r="V385" s="28">
        <f t="shared" si="3384"/>
        <v>8</v>
      </c>
      <c r="W385" s="28">
        <f t="shared" si="3384"/>
        <v>-8</v>
      </c>
      <c r="X385" s="28">
        <f t="shared" si="3384"/>
        <v>-8</v>
      </c>
      <c r="AB385" s="28" t="str">
        <f t="shared" ref="AB385:AE385" si="3385">IF(AB$3=$H385,U385,"")</f>
        <v/>
      </c>
      <c r="AC385" s="28">
        <f t="shared" si="3385"/>
        <v>8</v>
      </c>
      <c r="AD385" s="28" t="str">
        <f t="shared" si="3385"/>
        <v/>
      </c>
      <c r="AE385" s="28" t="str">
        <f t="shared" si="3385"/>
        <v/>
      </c>
      <c r="AH385" s="28">
        <f t="shared" si="22"/>
        <v>8</v>
      </c>
      <c r="AI385" s="28">
        <f t="shared" si="23"/>
        <v>0</v>
      </c>
      <c r="AK385" s="78" t="str">
        <f t="shared" ref="AK385:AN385" si="3386">IF(U385&gt;0,AK$3,"")</f>
        <v>Thomas</v>
      </c>
      <c r="AL385" s="78" t="str">
        <f t="shared" si="3386"/>
        <v>Peter</v>
      </c>
      <c r="AM385" s="78" t="str">
        <f t="shared" si="3386"/>
        <v/>
      </c>
      <c r="AN385" s="78" t="str">
        <f t="shared" si="3386"/>
        <v/>
      </c>
      <c r="AO385" s="56">
        <f t="shared" si="25"/>
        <v>2</v>
      </c>
      <c r="AP385" s="8" t="str">
        <f t="shared" si="26"/>
        <v>Peter</v>
      </c>
      <c r="AQ385" s="73" t="str">
        <f>IFERROR(__xludf.DUMMYFUNCTION("IFNA(QUERY(transpose(AY385:BB385),""Select Col1 where Col1 is not null limit 1"",0))"),"Thomas")</f>
        <v>Thomas</v>
      </c>
      <c r="AR385" s="56"/>
      <c r="AS385" s="28" t="str">
        <f t="shared" ref="AS385:AV385" si="3387">IF(AK385=AS$3,"",AS$3)</f>
        <v/>
      </c>
      <c r="AT385" s="28" t="str">
        <f t="shared" si="3387"/>
        <v/>
      </c>
      <c r="AU385" s="28" t="str">
        <f t="shared" si="3387"/>
        <v>Janus</v>
      </c>
      <c r="AV385" s="28" t="str">
        <f t="shared" si="3387"/>
        <v>Christian</v>
      </c>
      <c r="AW385" s="56">
        <f t="shared" si="28"/>
        <v>2</v>
      </c>
      <c r="AX385" s="28">
        <f t="shared" si="29"/>
        <v>8</v>
      </c>
      <c r="AY385" s="28" t="str">
        <f t="shared" ref="AY385:BB385" si="3388">IFNA(IFS(AY$3=$AP385,"",$AX385=U385,AY$3),"")</f>
        <v>Thomas</v>
      </c>
      <c r="AZ385" s="28" t="str">
        <f t="shared" si="3388"/>
        <v/>
      </c>
      <c r="BA385" s="28" t="str">
        <f t="shared" si="3388"/>
        <v/>
      </c>
      <c r="BB385" s="28" t="str">
        <f t="shared" si="3388"/>
        <v/>
      </c>
      <c r="BC385" s="58">
        <f>OFFSET('00_Regnskab_01'!$A$1,MATCH(A385,'00_Regnskab_01'!$A$1:$A$25)-1,2)</f>
        <v>44939</v>
      </c>
      <c r="BE385" s="80">
        <f t="shared" ref="BE385:BH385" si="3389">if(U385&gt;0,1+BE384,0)</f>
        <v>4</v>
      </c>
      <c r="BF385" s="28">
        <f t="shared" si="3389"/>
        <v>3</v>
      </c>
      <c r="BG385" s="28">
        <f t="shared" si="3389"/>
        <v>0</v>
      </c>
      <c r="BH385" s="28">
        <f t="shared" si="3389"/>
        <v>0</v>
      </c>
      <c r="BJ385" s="28">
        <f t="shared" ref="BJ385:BM385" si="3390">if(U385&lt;0,1+BJ384,0)</f>
        <v>0</v>
      </c>
      <c r="BK385" s="28">
        <f t="shared" si="3390"/>
        <v>0</v>
      </c>
      <c r="BL385" s="28">
        <f t="shared" si="3390"/>
        <v>4</v>
      </c>
      <c r="BM385" s="28">
        <f t="shared" si="3390"/>
        <v>3</v>
      </c>
      <c r="BO385" s="74">
        <f t="shared" ref="BO385:BR385" si="3391">if(U385&gt;0,U385+BO384,0)</f>
        <v>116</v>
      </c>
      <c r="BP385" s="74">
        <f t="shared" si="3391"/>
        <v>36</v>
      </c>
      <c r="BQ385" s="74">
        <f t="shared" si="3391"/>
        <v>0</v>
      </c>
      <c r="BR385" s="74">
        <f t="shared" si="3391"/>
        <v>0</v>
      </c>
      <c r="BT385" s="28">
        <f t="shared" ref="BT385:BW385" si="3392">if(U385&lt;0,U385+BT384,0)</f>
        <v>0</v>
      </c>
      <c r="BU385" s="28">
        <f t="shared" si="3392"/>
        <v>0</v>
      </c>
      <c r="BV385" s="28">
        <f t="shared" si="3392"/>
        <v>-116</v>
      </c>
      <c r="BW385" s="28">
        <f t="shared" si="3392"/>
        <v>-36</v>
      </c>
    </row>
    <row r="386">
      <c r="A386" s="53">
        <v>19.0</v>
      </c>
      <c r="B386" s="28">
        <f>'19b_13-01-2023_Færge mod Tyskla'!A5</f>
        <v>24</v>
      </c>
      <c r="C386" s="28">
        <f>'19b_13-01-2023_Færge mod Tyskla'!C5</f>
        <v>-50</v>
      </c>
      <c r="D386" s="28">
        <f>'19b_13-01-2023_Færge mod Tyskla'!B5</f>
        <v>34</v>
      </c>
      <c r="E386" s="28">
        <f>'19b_13-01-2023_Færge mod Tyskla'!D5</f>
        <v>154</v>
      </c>
      <c r="F386" s="28">
        <f>'19b_13-01-2023_Færge mod Tyskla'!E5</f>
        <v>-138</v>
      </c>
      <c r="G386" s="28">
        <f>'19b_13-01-2023_Færge mod Tyskla'!F5</f>
        <v>0</v>
      </c>
      <c r="H386" s="28" t="str">
        <f>'19b_13-01-2023_Færge mod Tyskla'!H5</f>
        <v>Christian</v>
      </c>
      <c r="I386" s="28" t="str">
        <f>'19b_13-01-2023_Færge mod Tyskla'!I5</f>
        <v>Christian</v>
      </c>
      <c r="J386" s="76" t="str">
        <f>'19b_13-01-2023_Færge mod Tyskla'!J5</f>
        <v>Janus</v>
      </c>
      <c r="K386" s="28" t="str">
        <f>'19b_13-01-2023_Færge mod Tyskla'!G5</f>
        <v>ren sol</v>
      </c>
      <c r="L386" s="56"/>
      <c r="N386" s="25" t="s">
        <v>97</v>
      </c>
      <c r="T386" s="56"/>
      <c r="U386" s="77">
        <f t="shared" ref="U386:X386" si="3393">C386-C385</f>
        <v>-8</v>
      </c>
      <c r="V386" s="28">
        <f t="shared" si="3393"/>
        <v>-8</v>
      </c>
      <c r="W386" s="28">
        <f t="shared" si="3393"/>
        <v>-8</v>
      </c>
      <c r="X386" s="28">
        <f t="shared" si="3393"/>
        <v>24</v>
      </c>
      <c r="AB386" s="28" t="str">
        <f t="shared" ref="AB386:AE386" si="3394">IF(AB$3=$H386,U386,"")</f>
        <v/>
      </c>
      <c r="AC386" s="28" t="str">
        <f t="shared" si="3394"/>
        <v/>
      </c>
      <c r="AD386" s="28" t="str">
        <f t="shared" si="3394"/>
        <v/>
      </c>
      <c r="AE386" s="28">
        <f t="shared" si="3394"/>
        <v>24</v>
      </c>
      <c r="AH386" s="28">
        <f t="shared" si="22"/>
        <v>24</v>
      </c>
      <c r="AI386" s="28">
        <f t="shared" si="23"/>
        <v>0</v>
      </c>
      <c r="AK386" s="78" t="str">
        <f t="shared" ref="AK386:AN386" si="3395">IF(U386&gt;0,AK$3,"")</f>
        <v/>
      </c>
      <c r="AL386" s="78" t="str">
        <f t="shared" si="3395"/>
        <v/>
      </c>
      <c r="AM386" s="78" t="str">
        <f t="shared" si="3395"/>
        <v/>
      </c>
      <c r="AN386" s="78" t="str">
        <f t="shared" si="3395"/>
        <v>Christian</v>
      </c>
      <c r="AO386" s="56">
        <f t="shared" si="25"/>
        <v>1</v>
      </c>
      <c r="AP386" s="8" t="str">
        <f t="shared" si="26"/>
        <v>Christian</v>
      </c>
      <c r="AQ386" s="73" t="str">
        <f>IFERROR(__xludf.DUMMYFUNCTION("IFNA(QUERY(transpose(AY386:BB386),""Select Col1 where Col1 is not null limit 1"",0))"),"")</f>
        <v/>
      </c>
      <c r="AR386" s="56"/>
      <c r="AS386" s="28" t="str">
        <f t="shared" ref="AS386:AV386" si="3396">IF(AK386=AS$3,"",AS$3)</f>
        <v>Thomas</v>
      </c>
      <c r="AT386" s="28" t="str">
        <f t="shared" si="3396"/>
        <v>Peter</v>
      </c>
      <c r="AU386" s="28" t="str">
        <f t="shared" si="3396"/>
        <v>Janus</v>
      </c>
      <c r="AV386" s="28" t="str">
        <f t="shared" si="3396"/>
        <v/>
      </c>
      <c r="AW386" s="56">
        <f t="shared" si="28"/>
        <v>3</v>
      </c>
      <c r="AX386" s="28">
        <f t="shared" si="29"/>
        <v>24</v>
      </c>
      <c r="AY386" s="28" t="str">
        <f t="shared" ref="AY386:BB386" si="3397">IFNA(IFS(AY$3=$AP386,"",$AX386=U386,AY$3),"")</f>
        <v/>
      </c>
      <c r="AZ386" s="28" t="str">
        <f t="shared" si="3397"/>
        <v/>
      </c>
      <c r="BA386" s="28" t="str">
        <f t="shared" si="3397"/>
        <v/>
      </c>
      <c r="BB386" s="28" t="str">
        <f t="shared" si="3397"/>
        <v/>
      </c>
      <c r="BC386" s="58">
        <f>OFFSET('00_Regnskab_01'!$A$1,MATCH(A386,'00_Regnskab_01'!$A$1:$A$25)-1,2)</f>
        <v>44939</v>
      </c>
      <c r="BE386" s="80">
        <f t="shared" ref="BE386:BH386" si="3398">if(U386&gt;0,1+BE385,0)</f>
        <v>0</v>
      </c>
      <c r="BF386" s="28">
        <f t="shared" si="3398"/>
        <v>0</v>
      </c>
      <c r="BG386" s="28">
        <f t="shared" si="3398"/>
        <v>0</v>
      </c>
      <c r="BH386" s="28">
        <f t="shared" si="3398"/>
        <v>1</v>
      </c>
      <c r="BJ386" s="28">
        <f t="shared" ref="BJ386:BM386" si="3399">if(U386&lt;0,1+BJ385,0)</f>
        <v>1</v>
      </c>
      <c r="BK386" s="28">
        <f t="shared" si="3399"/>
        <v>1</v>
      </c>
      <c r="BL386" s="28">
        <f t="shared" si="3399"/>
        <v>5</v>
      </c>
      <c r="BM386" s="28">
        <f t="shared" si="3399"/>
        <v>0</v>
      </c>
      <c r="BO386" s="74">
        <f t="shared" ref="BO386:BR386" si="3400">if(U386&gt;0,U386+BO385,0)</f>
        <v>0</v>
      </c>
      <c r="BP386" s="74">
        <f t="shared" si="3400"/>
        <v>0</v>
      </c>
      <c r="BQ386" s="74">
        <f t="shared" si="3400"/>
        <v>0</v>
      </c>
      <c r="BR386" s="74">
        <f t="shared" si="3400"/>
        <v>24</v>
      </c>
      <c r="BT386" s="28">
        <f t="shared" ref="BT386:BW386" si="3401">if(U386&lt;0,U386+BT385,0)</f>
        <v>-8</v>
      </c>
      <c r="BU386" s="28">
        <f t="shared" si="3401"/>
        <v>-8</v>
      </c>
      <c r="BV386" s="28">
        <f t="shared" si="3401"/>
        <v>-124</v>
      </c>
      <c r="BW386" s="28">
        <f t="shared" si="3401"/>
        <v>0</v>
      </c>
    </row>
    <row r="387">
      <c r="A387" s="53">
        <v>19.0</v>
      </c>
      <c r="B387" s="28">
        <f>'19b_13-01-2023_Færge mod Tyskla'!A6</f>
        <v>25</v>
      </c>
      <c r="C387" s="28">
        <f>'19b_13-01-2023_Færge mod Tyskla'!C6</f>
        <v>-42</v>
      </c>
      <c r="D387" s="28">
        <f>'19b_13-01-2023_Færge mod Tyskla'!B6</f>
        <v>10</v>
      </c>
      <c r="E387" s="28">
        <f>'19b_13-01-2023_Færge mod Tyskla'!D6</f>
        <v>162</v>
      </c>
      <c r="F387" s="28">
        <f>'19b_13-01-2023_Færge mod Tyskla'!E6</f>
        <v>-130</v>
      </c>
      <c r="G387" s="28">
        <f>'19b_13-01-2023_Færge mod Tyskla'!F6</f>
        <v>0</v>
      </c>
      <c r="H387" s="28" t="str">
        <f>'19b_13-01-2023_Færge mod Tyskla'!H6</f>
        <v>Peter</v>
      </c>
      <c r="I387" s="28" t="str">
        <f>'19b_13-01-2023_Færge mod Tyskla'!I6</f>
        <v/>
      </c>
      <c r="J387" s="76" t="str">
        <f>'19b_13-01-2023_Færge mod Tyskla'!J6</f>
        <v>Christian</v>
      </c>
      <c r="K387" s="28" t="str">
        <f>'19b_13-01-2023_Færge mod Tyskla'!G6</f>
        <v>ren sol</v>
      </c>
      <c r="L387" s="56"/>
      <c r="N387" s="25" t="s">
        <v>97</v>
      </c>
      <c r="T387" s="56"/>
      <c r="U387" s="77">
        <f t="shared" ref="U387:X387" si="3402">C387-C386</f>
        <v>8</v>
      </c>
      <c r="V387" s="28">
        <f t="shared" si="3402"/>
        <v>-24</v>
      </c>
      <c r="W387" s="28">
        <f t="shared" si="3402"/>
        <v>8</v>
      </c>
      <c r="X387" s="28">
        <f t="shared" si="3402"/>
        <v>8</v>
      </c>
      <c r="AB387" s="28" t="str">
        <f t="shared" ref="AB387:AE387" si="3403">IF(AB$3=$H387,U387,"")</f>
        <v/>
      </c>
      <c r="AC387" s="28">
        <f t="shared" si="3403"/>
        <v>-24</v>
      </c>
      <c r="AD387" s="28" t="str">
        <f t="shared" si="3403"/>
        <v/>
      </c>
      <c r="AE387" s="28" t="str">
        <f t="shared" si="3403"/>
        <v/>
      </c>
      <c r="AH387" s="28">
        <f t="shared" si="22"/>
        <v>0</v>
      </c>
      <c r="AI387" s="28">
        <f t="shared" si="23"/>
        <v>-24</v>
      </c>
      <c r="AK387" s="78" t="str">
        <f t="shared" ref="AK387:AN387" si="3404">IF(U387&gt;0,AK$3,"")</f>
        <v>Thomas</v>
      </c>
      <c r="AL387" s="78" t="str">
        <f t="shared" si="3404"/>
        <v/>
      </c>
      <c r="AM387" s="78" t="str">
        <f t="shared" si="3404"/>
        <v>Janus</v>
      </c>
      <c r="AN387" s="78" t="str">
        <f t="shared" si="3404"/>
        <v>Christian</v>
      </c>
      <c r="AO387" s="56">
        <f t="shared" si="25"/>
        <v>3</v>
      </c>
      <c r="AP387" s="8" t="str">
        <f t="shared" si="26"/>
        <v>Peter</v>
      </c>
      <c r="AQ387" s="73" t="str">
        <f>IFERROR(__xludf.DUMMYFUNCTION("IFNA(QUERY(transpose(AY387:BB387),""Select Col1 where Col1 is not null limit 1"",0))"),"")</f>
        <v/>
      </c>
      <c r="AR387" s="56"/>
      <c r="AS387" s="28" t="str">
        <f t="shared" ref="AS387:AV387" si="3405">IF(AK387=AS$3,"",AS$3)</f>
        <v/>
      </c>
      <c r="AT387" s="28" t="str">
        <f t="shared" si="3405"/>
        <v>Peter</v>
      </c>
      <c r="AU387" s="28" t="str">
        <f t="shared" si="3405"/>
        <v/>
      </c>
      <c r="AV387" s="28" t="str">
        <f t="shared" si="3405"/>
        <v/>
      </c>
      <c r="AW387" s="56">
        <f t="shared" si="28"/>
        <v>1</v>
      </c>
      <c r="AX387" s="28">
        <f t="shared" si="29"/>
        <v>-24</v>
      </c>
      <c r="AY387" s="28" t="str">
        <f t="shared" ref="AY387:BB387" si="3406">IFNA(IFS(AY$3=$AP387,"",$AX387=U387,AY$3),"")</f>
        <v/>
      </c>
      <c r="AZ387" s="28" t="str">
        <f t="shared" si="3406"/>
        <v/>
      </c>
      <c r="BA387" s="28" t="str">
        <f t="shared" si="3406"/>
        <v/>
      </c>
      <c r="BB387" s="28" t="str">
        <f t="shared" si="3406"/>
        <v/>
      </c>
      <c r="BC387" s="58">
        <f>OFFSET('00_Regnskab_01'!$A$1,MATCH(A387,'00_Regnskab_01'!$A$1:$A$25)-1,2)</f>
        <v>44939</v>
      </c>
      <c r="BE387" s="80">
        <f t="shared" ref="BE387:BH387" si="3407">if(U387&gt;0,1+BE386,0)</f>
        <v>1</v>
      </c>
      <c r="BF387" s="28">
        <f t="shared" si="3407"/>
        <v>0</v>
      </c>
      <c r="BG387" s="28">
        <f t="shared" si="3407"/>
        <v>1</v>
      </c>
      <c r="BH387" s="28">
        <f t="shared" si="3407"/>
        <v>2</v>
      </c>
      <c r="BJ387" s="28">
        <f t="shared" ref="BJ387:BM387" si="3408">if(U387&lt;0,1+BJ386,0)</f>
        <v>0</v>
      </c>
      <c r="BK387" s="28">
        <f t="shared" si="3408"/>
        <v>2</v>
      </c>
      <c r="BL387" s="28">
        <f t="shared" si="3408"/>
        <v>0</v>
      </c>
      <c r="BM387" s="28">
        <f t="shared" si="3408"/>
        <v>0</v>
      </c>
      <c r="BO387" s="74">
        <f t="shared" ref="BO387:BR387" si="3409">if(U387&gt;0,U387+BO386,0)</f>
        <v>8</v>
      </c>
      <c r="BP387" s="74">
        <f t="shared" si="3409"/>
        <v>0</v>
      </c>
      <c r="BQ387" s="74">
        <f t="shared" si="3409"/>
        <v>8</v>
      </c>
      <c r="BR387" s="74">
        <f t="shared" si="3409"/>
        <v>32</v>
      </c>
      <c r="BT387" s="28">
        <f t="shared" ref="BT387:BW387" si="3410">if(U387&lt;0,U387+BT386,0)</f>
        <v>0</v>
      </c>
      <c r="BU387" s="28">
        <f t="shared" si="3410"/>
        <v>-32</v>
      </c>
      <c r="BV387" s="28">
        <f t="shared" si="3410"/>
        <v>0</v>
      </c>
      <c r="BW387" s="28">
        <f t="shared" si="3410"/>
        <v>0</v>
      </c>
    </row>
    <row r="388">
      <c r="A388" s="53">
        <v>19.0</v>
      </c>
      <c r="B388" s="28">
        <f>'19b_13-01-2023_Færge mod Tyskla'!A7</f>
        <v>26</v>
      </c>
      <c r="C388" s="28">
        <f>'19b_13-01-2023_Færge mod Tyskla'!C7</f>
        <v>-22</v>
      </c>
      <c r="D388" s="28">
        <f>'19b_13-01-2023_Færge mod Tyskla'!B7</f>
        <v>30</v>
      </c>
      <c r="E388" s="28">
        <f>'19b_13-01-2023_Færge mod Tyskla'!D7</f>
        <v>142</v>
      </c>
      <c r="F388" s="28">
        <f>'19b_13-01-2023_Færge mod Tyskla'!E7</f>
        <v>-150</v>
      </c>
      <c r="G388" s="28">
        <f>'19b_13-01-2023_Færge mod Tyskla'!F7</f>
        <v>0</v>
      </c>
      <c r="H388" s="28" t="str">
        <f>'19b_13-01-2023_Færge mod Tyskla'!H7</f>
        <v>Thomas</v>
      </c>
      <c r="I388" s="28" t="str">
        <f>'19b_13-01-2023_Færge mod Tyskla'!I7</f>
        <v>Peter</v>
      </c>
      <c r="J388" s="76" t="str">
        <f>'19b_13-01-2023_Færge mod Tyskla'!J7</f>
        <v>Peter</v>
      </c>
      <c r="K388" s="28" t="str">
        <f>'19b_13-01-2023_Færge mod Tyskla'!G7</f>
        <v>9 vip 1. - Ruder</v>
      </c>
      <c r="L388" s="56"/>
      <c r="M388" s="25">
        <v>9.0</v>
      </c>
      <c r="N388" s="25" t="s">
        <v>86</v>
      </c>
      <c r="O388" s="25">
        <v>1.0</v>
      </c>
      <c r="T388" s="56"/>
      <c r="U388" s="77">
        <f t="shared" ref="U388:X388" si="3411">C388-C387</f>
        <v>20</v>
      </c>
      <c r="V388" s="28">
        <f t="shared" si="3411"/>
        <v>20</v>
      </c>
      <c r="W388" s="28">
        <f t="shared" si="3411"/>
        <v>-20</v>
      </c>
      <c r="X388" s="28">
        <f t="shared" si="3411"/>
        <v>-20</v>
      </c>
      <c r="AB388" s="28">
        <f t="shared" ref="AB388:AE388" si="3412">IF(AB$3=$H388,U388,"")</f>
        <v>20</v>
      </c>
      <c r="AC388" s="28" t="str">
        <f t="shared" si="3412"/>
        <v/>
      </c>
      <c r="AD388" s="28" t="str">
        <f t="shared" si="3412"/>
        <v/>
      </c>
      <c r="AE388" s="28" t="str">
        <f t="shared" si="3412"/>
        <v/>
      </c>
      <c r="AH388" s="28">
        <f t="shared" si="22"/>
        <v>20</v>
      </c>
      <c r="AI388" s="28">
        <f t="shared" si="23"/>
        <v>0</v>
      </c>
      <c r="AK388" s="78" t="str">
        <f t="shared" ref="AK388:AN388" si="3413">IF(U388&gt;0,AK$3,"")</f>
        <v>Thomas</v>
      </c>
      <c r="AL388" s="78" t="str">
        <f t="shared" si="3413"/>
        <v>Peter</v>
      </c>
      <c r="AM388" s="78" t="str">
        <f t="shared" si="3413"/>
        <v/>
      </c>
      <c r="AN388" s="78" t="str">
        <f t="shared" si="3413"/>
        <v/>
      </c>
      <c r="AO388" s="56">
        <f t="shared" si="25"/>
        <v>2</v>
      </c>
      <c r="AP388" s="8" t="str">
        <f t="shared" si="26"/>
        <v>Thomas</v>
      </c>
      <c r="AQ388" s="73" t="str">
        <f>IFERROR(__xludf.DUMMYFUNCTION("IFNA(QUERY(transpose(AY388:BB388),""Select Col1 where Col1 is not null limit 1"",0))"),"Peter")</f>
        <v>Peter</v>
      </c>
      <c r="AR388" s="56"/>
      <c r="AS388" s="28" t="str">
        <f t="shared" ref="AS388:AV388" si="3414">IF(AK388=AS$3,"",AS$3)</f>
        <v/>
      </c>
      <c r="AT388" s="28" t="str">
        <f t="shared" si="3414"/>
        <v/>
      </c>
      <c r="AU388" s="28" t="str">
        <f t="shared" si="3414"/>
        <v>Janus</v>
      </c>
      <c r="AV388" s="28" t="str">
        <f t="shared" si="3414"/>
        <v>Christian</v>
      </c>
      <c r="AW388" s="56">
        <f t="shared" si="28"/>
        <v>2</v>
      </c>
      <c r="AX388" s="28">
        <f t="shared" si="29"/>
        <v>20</v>
      </c>
      <c r="AY388" s="28" t="str">
        <f t="shared" ref="AY388:BB388" si="3415">IFNA(IFS(AY$3=$AP388,"",$AX388=U388,AY$3),"")</f>
        <v/>
      </c>
      <c r="AZ388" s="28" t="str">
        <f t="shared" si="3415"/>
        <v>Peter</v>
      </c>
      <c r="BA388" s="28" t="str">
        <f t="shared" si="3415"/>
        <v/>
      </c>
      <c r="BB388" s="28" t="str">
        <f t="shared" si="3415"/>
        <v/>
      </c>
      <c r="BC388" s="58">
        <f>OFFSET('00_Regnskab_01'!$A$1,MATCH(A388,'00_Regnskab_01'!$A$1:$A$25)-1,2)</f>
        <v>44939</v>
      </c>
      <c r="BE388" s="80">
        <f t="shared" ref="BE388:BH388" si="3416">if(U388&gt;0,1+BE387,0)</f>
        <v>2</v>
      </c>
      <c r="BF388" s="28">
        <f t="shared" si="3416"/>
        <v>1</v>
      </c>
      <c r="BG388" s="28">
        <f t="shared" si="3416"/>
        <v>0</v>
      </c>
      <c r="BH388" s="28">
        <f t="shared" si="3416"/>
        <v>0</v>
      </c>
      <c r="BJ388" s="28">
        <f t="shared" ref="BJ388:BM388" si="3417">if(U388&lt;0,1+BJ387,0)</f>
        <v>0</v>
      </c>
      <c r="BK388" s="28">
        <f t="shared" si="3417"/>
        <v>0</v>
      </c>
      <c r="BL388" s="28">
        <f t="shared" si="3417"/>
        <v>1</v>
      </c>
      <c r="BM388" s="28">
        <f t="shared" si="3417"/>
        <v>1</v>
      </c>
      <c r="BO388" s="74">
        <f t="shared" ref="BO388:BR388" si="3418">if(U388&gt;0,U388+BO387,0)</f>
        <v>28</v>
      </c>
      <c r="BP388" s="74">
        <f t="shared" si="3418"/>
        <v>20</v>
      </c>
      <c r="BQ388" s="74">
        <f t="shared" si="3418"/>
        <v>0</v>
      </c>
      <c r="BR388" s="74">
        <f t="shared" si="3418"/>
        <v>0</v>
      </c>
      <c r="BT388" s="28">
        <f t="shared" ref="BT388:BW388" si="3419">if(U388&lt;0,U388+BT387,0)</f>
        <v>0</v>
      </c>
      <c r="BU388" s="28">
        <f t="shared" si="3419"/>
        <v>0</v>
      </c>
      <c r="BV388" s="28">
        <f t="shared" si="3419"/>
        <v>-20</v>
      </c>
      <c r="BW388" s="28">
        <f t="shared" si="3419"/>
        <v>-20</v>
      </c>
    </row>
    <row r="389">
      <c r="A389" s="53">
        <v>19.0</v>
      </c>
      <c r="B389" s="28">
        <f>'19b_13-01-2023_Færge mod Tyskla'!A8</f>
        <v>27</v>
      </c>
      <c r="C389" s="28">
        <f>'19b_13-01-2023_Færge mod Tyskla'!C8</f>
        <v>-34</v>
      </c>
      <c r="D389" s="28">
        <f>'19b_13-01-2023_Færge mod Tyskla'!B8</f>
        <v>42</v>
      </c>
      <c r="E389" s="28">
        <f>'19b_13-01-2023_Færge mod Tyskla'!D8</f>
        <v>154</v>
      </c>
      <c r="F389" s="28">
        <f>'19b_13-01-2023_Færge mod Tyskla'!E8</f>
        <v>-162</v>
      </c>
      <c r="G389" s="28">
        <f>'19b_13-01-2023_Færge mod Tyskla'!F8</f>
        <v>0</v>
      </c>
      <c r="H389" s="28" t="str">
        <f>'19b_13-01-2023_Færge mod Tyskla'!H8</f>
        <v>Peter</v>
      </c>
      <c r="I389" s="28" t="str">
        <f>'19b_13-01-2023_Færge mod Tyskla'!I8</f>
        <v>Janus</v>
      </c>
      <c r="J389" s="76" t="str">
        <f>'19b_13-01-2023_Færge mod Tyskla'!J8</f>
        <v>Thomas</v>
      </c>
      <c r="K389" s="28" t="str">
        <f>'19b_13-01-2023_Færge mod Tyskla'!G8</f>
        <v>10 alm</v>
      </c>
      <c r="L389" s="56"/>
      <c r="M389" s="25">
        <v>10.0</v>
      </c>
      <c r="N389" s="25" t="s">
        <v>100</v>
      </c>
      <c r="T389" s="56"/>
      <c r="U389" s="77">
        <f t="shared" ref="U389:X389" si="3420">C389-C388</f>
        <v>-12</v>
      </c>
      <c r="V389" s="28">
        <f t="shared" si="3420"/>
        <v>12</v>
      </c>
      <c r="W389" s="28">
        <f t="shared" si="3420"/>
        <v>12</v>
      </c>
      <c r="X389" s="28">
        <f t="shared" si="3420"/>
        <v>-12</v>
      </c>
      <c r="AB389" s="28" t="str">
        <f t="shared" ref="AB389:AE389" si="3421">IF(AB$3=$H389,U389,"")</f>
        <v/>
      </c>
      <c r="AC389" s="28">
        <f t="shared" si="3421"/>
        <v>12</v>
      </c>
      <c r="AD389" s="28" t="str">
        <f t="shared" si="3421"/>
        <v/>
      </c>
      <c r="AE389" s="28" t="str">
        <f t="shared" si="3421"/>
        <v/>
      </c>
      <c r="AH389" s="28">
        <f t="shared" si="22"/>
        <v>12</v>
      </c>
      <c r="AI389" s="28">
        <f t="shared" si="23"/>
        <v>0</v>
      </c>
      <c r="AK389" s="78" t="str">
        <f t="shared" ref="AK389:AN389" si="3422">IF(U389&gt;0,AK$3,"")</f>
        <v/>
      </c>
      <c r="AL389" s="78" t="str">
        <f t="shared" si="3422"/>
        <v>Peter</v>
      </c>
      <c r="AM389" s="78" t="str">
        <f t="shared" si="3422"/>
        <v>Janus</v>
      </c>
      <c r="AN389" s="78" t="str">
        <f t="shared" si="3422"/>
        <v/>
      </c>
      <c r="AO389" s="56">
        <f t="shared" si="25"/>
        <v>2</v>
      </c>
      <c r="AP389" s="8" t="str">
        <f t="shared" si="26"/>
        <v>Peter</v>
      </c>
      <c r="AQ389" s="73" t="str">
        <f>IFERROR(__xludf.DUMMYFUNCTION("IFNA(QUERY(transpose(AY389:BB389),""Select Col1 where Col1 is not null limit 1"",0))"),"Janus")</f>
        <v>Janus</v>
      </c>
      <c r="AR389" s="56"/>
      <c r="AS389" s="28" t="str">
        <f t="shared" ref="AS389:AV389" si="3423">IF(AK389=AS$3,"",AS$3)</f>
        <v>Thomas</v>
      </c>
      <c r="AT389" s="28" t="str">
        <f t="shared" si="3423"/>
        <v/>
      </c>
      <c r="AU389" s="28" t="str">
        <f t="shared" si="3423"/>
        <v/>
      </c>
      <c r="AV389" s="28" t="str">
        <f t="shared" si="3423"/>
        <v>Christian</v>
      </c>
      <c r="AW389" s="56">
        <f t="shared" si="28"/>
        <v>2</v>
      </c>
      <c r="AX389" s="28">
        <f t="shared" si="29"/>
        <v>12</v>
      </c>
      <c r="AY389" s="28" t="str">
        <f t="shared" ref="AY389:BB389" si="3424">IFNA(IFS(AY$3=$AP389,"",$AX389=U389,AY$3),"")</f>
        <v/>
      </c>
      <c r="AZ389" s="28" t="str">
        <f t="shared" si="3424"/>
        <v/>
      </c>
      <c r="BA389" s="28" t="str">
        <f t="shared" si="3424"/>
        <v>Janus</v>
      </c>
      <c r="BB389" s="28" t="str">
        <f t="shared" si="3424"/>
        <v/>
      </c>
      <c r="BC389" s="58">
        <f>OFFSET('00_Regnskab_01'!$A$1,MATCH(A389,'00_Regnskab_01'!$A$1:$A$25)-1,2)</f>
        <v>44939</v>
      </c>
      <c r="BE389" s="80">
        <f t="shared" ref="BE389:BH389" si="3425">if(U389&gt;0,1+BE388,0)</f>
        <v>0</v>
      </c>
      <c r="BF389" s="28">
        <f t="shared" si="3425"/>
        <v>2</v>
      </c>
      <c r="BG389" s="28">
        <f t="shared" si="3425"/>
        <v>1</v>
      </c>
      <c r="BH389" s="28">
        <f t="shared" si="3425"/>
        <v>0</v>
      </c>
      <c r="BJ389" s="28">
        <f t="shared" ref="BJ389:BM389" si="3426">if(U389&lt;0,1+BJ388,0)</f>
        <v>1</v>
      </c>
      <c r="BK389" s="28">
        <f t="shared" si="3426"/>
        <v>0</v>
      </c>
      <c r="BL389" s="28">
        <f t="shared" si="3426"/>
        <v>0</v>
      </c>
      <c r="BM389" s="28">
        <f t="shared" si="3426"/>
        <v>2</v>
      </c>
      <c r="BO389" s="74">
        <f t="shared" ref="BO389:BR389" si="3427">if(U389&gt;0,U389+BO388,0)</f>
        <v>0</v>
      </c>
      <c r="BP389" s="74">
        <f t="shared" si="3427"/>
        <v>32</v>
      </c>
      <c r="BQ389" s="74">
        <f t="shared" si="3427"/>
        <v>12</v>
      </c>
      <c r="BR389" s="74">
        <f t="shared" si="3427"/>
        <v>0</v>
      </c>
      <c r="BT389" s="28">
        <f t="shared" ref="BT389:BW389" si="3428">if(U389&lt;0,U389+BT388,0)</f>
        <v>-12</v>
      </c>
      <c r="BU389" s="28">
        <f t="shared" si="3428"/>
        <v>0</v>
      </c>
      <c r="BV389" s="28">
        <f t="shared" si="3428"/>
        <v>0</v>
      </c>
      <c r="BW389" s="28">
        <f t="shared" si="3428"/>
        <v>-32</v>
      </c>
    </row>
    <row r="390">
      <c r="A390" s="53">
        <v>19.0</v>
      </c>
      <c r="B390" s="28">
        <f>'19b_13-01-2023_Færge mod Tyskla'!A9</f>
        <v>28</v>
      </c>
      <c r="C390" s="28">
        <f>'19b_13-01-2023_Færge mod Tyskla'!C9</f>
        <v>30</v>
      </c>
      <c r="D390" s="28">
        <f>'19b_13-01-2023_Færge mod Tyskla'!B9</f>
        <v>106</v>
      </c>
      <c r="E390" s="28">
        <f>'19b_13-01-2023_Færge mod Tyskla'!D9</f>
        <v>90</v>
      </c>
      <c r="F390" s="28">
        <f>'19b_13-01-2023_Færge mod Tyskla'!E9</f>
        <v>-226</v>
      </c>
      <c r="G390" s="28">
        <f>'19b_13-01-2023_Færge mod Tyskla'!F9</f>
        <v>0</v>
      </c>
      <c r="H390" s="28" t="str">
        <f>'19b_13-01-2023_Færge mod Tyskla'!H9</f>
        <v>Thomas</v>
      </c>
      <c r="I390" s="28" t="str">
        <f>'19b_13-01-2023_Færge mod Tyskla'!I9</f>
        <v>Peter</v>
      </c>
      <c r="J390" s="76" t="str">
        <f>'19b_13-01-2023_Færge mod Tyskla'!J9</f>
        <v>Janus</v>
      </c>
      <c r="K390" s="28" t="str">
        <f>'19b_13-01-2023_Færge mod Tyskla'!G9</f>
        <v>9 vip i 3. - det gode</v>
      </c>
      <c r="L390" s="56"/>
      <c r="M390" s="25">
        <v>9.0</v>
      </c>
      <c r="N390" s="25" t="s">
        <v>86</v>
      </c>
      <c r="O390" s="25">
        <v>3.0</v>
      </c>
      <c r="R390" s="25" t="s">
        <v>15</v>
      </c>
      <c r="T390" s="56"/>
      <c r="U390" s="77">
        <f t="shared" ref="U390:X390" si="3429">C390-C389</f>
        <v>64</v>
      </c>
      <c r="V390" s="28">
        <f t="shared" si="3429"/>
        <v>64</v>
      </c>
      <c r="W390" s="28">
        <f t="shared" si="3429"/>
        <v>-64</v>
      </c>
      <c r="X390" s="28">
        <f t="shared" si="3429"/>
        <v>-64</v>
      </c>
      <c r="AB390" s="28">
        <f t="shared" ref="AB390:AE390" si="3430">IF(AB$3=$H390,U390,"")</f>
        <v>64</v>
      </c>
      <c r="AC390" s="28" t="str">
        <f t="shared" si="3430"/>
        <v/>
      </c>
      <c r="AD390" s="28" t="str">
        <f t="shared" si="3430"/>
        <v/>
      </c>
      <c r="AE390" s="28" t="str">
        <f t="shared" si="3430"/>
        <v/>
      </c>
      <c r="AH390" s="28">
        <f t="shared" si="22"/>
        <v>64</v>
      </c>
      <c r="AI390" s="28">
        <f t="shared" si="23"/>
        <v>0</v>
      </c>
      <c r="AK390" s="78" t="str">
        <f t="shared" ref="AK390:AN390" si="3431">IF(U390&gt;0,AK$3,"")</f>
        <v>Thomas</v>
      </c>
      <c r="AL390" s="78" t="str">
        <f t="shared" si="3431"/>
        <v>Peter</v>
      </c>
      <c r="AM390" s="78" t="str">
        <f t="shared" si="3431"/>
        <v/>
      </c>
      <c r="AN390" s="78" t="str">
        <f t="shared" si="3431"/>
        <v/>
      </c>
      <c r="AO390" s="56">
        <f t="shared" si="25"/>
        <v>2</v>
      </c>
      <c r="AP390" s="8" t="str">
        <f t="shared" si="26"/>
        <v>Thomas</v>
      </c>
      <c r="AQ390" s="73" t="str">
        <f>IFERROR(__xludf.DUMMYFUNCTION("IFNA(QUERY(transpose(AY390:BB390),""Select Col1 where Col1 is not null limit 1"",0))"),"Peter")</f>
        <v>Peter</v>
      </c>
      <c r="AR390" s="56"/>
      <c r="AS390" s="28" t="str">
        <f t="shared" ref="AS390:AV390" si="3432">IF(AK390=AS$3,"",AS$3)</f>
        <v/>
      </c>
      <c r="AT390" s="28" t="str">
        <f t="shared" si="3432"/>
        <v/>
      </c>
      <c r="AU390" s="28" t="str">
        <f t="shared" si="3432"/>
        <v>Janus</v>
      </c>
      <c r="AV390" s="28" t="str">
        <f t="shared" si="3432"/>
        <v>Christian</v>
      </c>
      <c r="AW390" s="56">
        <f t="shared" si="28"/>
        <v>2</v>
      </c>
      <c r="AX390" s="28">
        <f t="shared" si="29"/>
        <v>64</v>
      </c>
      <c r="AY390" s="28" t="str">
        <f t="shared" ref="AY390:BB390" si="3433">IFNA(IFS(AY$3=$AP390,"",$AX390=U390,AY$3),"")</f>
        <v/>
      </c>
      <c r="AZ390" s="28" t="str">
        <f t="shared" si="3433"/>
        <v>Peter</v>
      </c>
      <c r="BA390" s="28" t="str">
        <f t="shared" si="3433"/>
        <v/>
      </c>
      <c r="BB390" s="28" t="str">
        <f t="shared" si="3433"/>
        <v/>
      </c>
      <c r="BC390" s="58">
        <f>OFFSET('00_Regnskab_01'!$A$1,MATCH(A390,'00_Regnskab_01'!$A$1:$A$25)-1,2)</f>
        <v>44939</v>
      </c>
      <c r="BE390" s="80">
        <f t="shared" ref="BE390:BH390" si="3434">if(U390&gt;0,1+BE389,0)</f>
        <v>1</v>
      </c>
      <c r="BF390" s="28">
        <f t="shared" si="3434"/>
        <v>3</v>
      </c>
      <c r="BG390" s="28">
        <f t="shared" si="3434"/>
        <v>0</v>
      </c>
      <c r="BH390" s="28">
        <f t="shared" si="3434"/>
        <v>0</v>
      </c>
      <c r="BJ390" s="28">
        <f t="shared" ref="BJ390:BM390" si="3435">if(U390&lt;0,1+BJ389,0)</f>
        <v>0</v>
      </c>
      <c r="BK390" s="28">
        <f t="shared" si="3435"/>
        <v>0</v>
      </c>
      <c r="BL390" s="28">
        <f t="shared" si="3435"/>
        <v>1</v>
      </c>
      <c r="BM390" s="28">
        <f t="shared" si="3435"/>
        <v>3</v>
      </c>
      <c r="BO390" s="74">
        <f t="shared" ref="BO390:BR390" si="3436">if(U390&gt;0,U390+BO389,0)</f>
        <v>64</v>
      </c>
      <c r="BP390" s="74">
        <f t="shared" si="3436"/>
        <v>96</v>
      </c>
      <c r="BQ390" s="74">
        <f t="shared" si="3436"/>
        <v>0</v>
      </c>
      <c r="BR390" s="74">
        <f t="shared" si="3436"/>
        <v>0</v>
      </c>
      <c r="BT390" s="28">
        <f t="shared" ref="BT390:BW390" si="3437">if(U390&lt;0,U390+BT389,0)</f>
        <v>0</v>
      </c>
      <c r="BU390" s="28">
        <f t="shared" si="3437"/>
        <v>0</v>
      </c>
      <c r="BV390" s="28">
        <f t="shared" si="3437"/>
        <v>-64</v>
      </c>
      <c r="BW390" s="28">
        <f t="shared" si="3437"/>
        <v>-96</v>
      </c>
    </row>
    <row r="391">
      <c r="A391" s="53">
        <v>19.0</v>
      </c>
      <c r="B391" s="28">
        <f>'19b_13-01-2023_Færge mod Tyskla'!A10</f>
        <v>29</v>
      </c>
      <c r="C391" s="28">
        <f>'19b_13-01-2023_Færge mod Tyskla'!C10</f>
        <v>26</v>
      </c>
      <c r="D391" s="28">
        <f>'19b_13-01-2023_Færge mod Tyskla'!B10</f>
        <v>102</v>
      </c>
      <c r="E391" s="28">
        <f>'19b_13-01-2023_Færge mod Tyskla'!D10</f>
        <v>86</v>
      </c>
      <c r="F391" s="28">
        <f>'19b_13-01-2023_Færge mod Tyskla'!E10</f>
        <v>-214</v>
      </c>
      <c r="G391" s="28">
        <f>'19b_13-01-2023_Færge mod Tyskla'!F10</f>
        <v>0</v>
      </c>
      <c r="H391" s="28" t="str">
        <f>'19b_13-01-2023_Færge mod Tyskla'!H10</f>
        <v>Christian</v>
      </c>
      <c r="I391" s="28" t="str">
        <f>'19b_13-01-2023_Færge mod Tyskla'!I10</f>
        <v/>
      </c>
      <c r="J391" s="76" t="str">
        <f>'19b_13-01-2023_Færge mod Tyskla'!J10</f>
        <v>Christian</v>
      </c>
      <c r="K391" s="28" t="str">
        <f>'19b_13-01-2023_Færge mod Tyskla'!G10</f>
        <v>Sol </v>
      </c>
      <c r="L391" s="56"/>
      <c r="N391" s="25" t="s">
        <v>99</v>
      </c>
      <c r="T391" s="56"/>
      <c r="U391" s="77">
        <f t="shared" ref="U391:X391" si="3438">C391-C390</f>
        <v>-4</v>
      </c>
      <c r="V391" s="28">
        <f t="shared" si="3438"/>
        <v>-4</v>
      </c>
      <c r="W391" s="28">
        <f t="shared" si="3438"/>
        <v>-4</v>
      </c>
      <c r="X391" s="28">
        <f t="shared" si="3438"/>
        <v>12</v>
      </c>
      <c r="AB391" s="28" t="str">
        <f t="shared" ref="AB391:AE391" si="3439">IF(AB$3=$H391,U391,"")</f>
        <v/>
      </c>
      <c r="AC391" s="28" t="str">
        <f t="shared" si="3439"/>
        <v/>
      </c>
      <c r="AD391" s="28" t="str">
        <f t="shared" si="3439"/>
        <v/>
      </c>
      <c r="AE391" s="28">
        <f t="shared" si="3439"/>
        <v>12</v>
      </c>
      <c r="AH391" s="28">
        <f t="shared" si="22"/>
        <v>12</v>
      </c>
      <c r="AI391" s="28">
        <f t="shared" si="23"/>
        <v>0</v>
      </c>
      <c r="AK391" s="78" t="str">
        <f t="shared" ref="AK391:AN391" si="3440">IF(U391&gt;0,AK$3,"")</f>
        <v/>
      </c>
      <c r="AL391" s="78" t="str">
        <f t="shared" si="3440"/>
        <v/>
      </c>
      <c r="AM391" s="78" t="str">
        <f t="shared" si="3440"/>
        <v/>
      </c>
      <c r="AN391" s="78" t="str">
        <f t="shared" si="3440"/>
        <v>Christian</v>
      </c>
      <c r="AO391" s="56">
        <f t="shared" si="25"/>
        <v>1</v>
      </c>
      <c r="AP391" s="8" t="str">
        <f t="shared" si="26"/>
        <v>Christian</v>
      </c>
      <c r="AQ391" s="73" t="str">
        <f>IFERROR(__xludf.DUMMYFUNCTION("IFNA(QUERY(transpose(AY391:BB391),""Select Col1 where Col1 is not null limit 1"",0))"),"")</f>
        <v/>
      </c>
      <c r="AR391" s="56"/>
      <c r="AS391" s="28" t="str">
        <f t="shared" ref="AS391:AV391" si="3441">IF(AK391=AS$3,"",AS$3)</f>
        <v>Thomas</v>
      </c>
      <c r="AT391" s="28" t="str">
        <f t="shared" si="3441"/>
        <v>Peter</v>
      </c>
      <c r="AU391" s="28" t="str">
        <f t="shared" si="3441"/>
        <v>Janus</v>
      </c>
      <c r="AV391" s="28" t="str">
        <f t="shared" si="3441"/>
        <v/>
      </c>
      <c r="AW391" s="56">
        <f t="shared" si="28"/>
        <v>3</v>
      </c>
      <c r="AX391" s="28">
        <f t="shared" si="29"/>
        <v>12</v>
      </c>
      <c r="AY391" s="28" t="str">
        <f t="shared" ref="AY391:BB391" si="3442">IFNA(IFS(AY$3=$AP391,"",$AX391=U391,AY$3),"")</f>
        <v/>
      </c>
      <c r="AZ391" s="28" t="str">
        <f t="shared" si="3442"/>
        <v/>
      </c>
      <c r="BA391" s="28" t="str">
        <f t="shared" si="3442"/>
        <v/>
      </c>
      <c r="BB391" s="28" t="str">
        <f t="shared" si="3442"/>
        <v/>
      </c>
      <c r="BC391" s="58">
        <f>OFFSET('00_Regnskab_01'!$A$1,MATCH(A391,'00_Regnskab_01'!$A$1:$A$25)-1,2)</f>
        <v>44939</v>
      </c>
      <c r="BE391" s="80">
        <f t="shared" ref="BE391:BH391" si="3443">if(U391&gt;0,1+BE390,0)</f>
        <v>0</v>
      </c>
      <c r="BF391" s="28">
        <f t="shared" si="3443"/>
        <v>0</v>
      </c>
      <c r="BG391" s="28">
        <f t="shared" si="3443"/>
        <v>0</v>
      </c>
      <c r="BH391" s="28">
        <f t="shared" si="3443"/>
        <v>1</v>
      </c>
      <c r="BJ391" s="28">
        <f t="shared" ref="BJ391:BM391" si="3444">if(U391&lt;0,1+BJ390,0)</f>
        <v>1</v>
      </c>
      <c r="BK391" s="28">
        <f t="shared" si="3444"/>
        <v>1</v>
      </c>
      <c r="BL391" s="28">
        <f t="shared" si="3444"/>
        <v>2</v>
      </c>
      <c r="BM391" s="28">
        <f t="shared" si="3444"/>
        <v>0</v>
      </c>
      <c r="BO391" s="74">
        <f t="shared" ref="BO391:BR391" si="3445">if(U391&gt;0,U391+BO390,0)</f>
        <v>0</v>
      </c>
      <c r="BP391" s="74">
        <f t="shared" si="3445"/>
        <v>0</v>
      </c>
      <c r="BQ391" s="74">
        <f t="shared" si="3445"/>
        <v>0</v>
      </c>
      <c r="BR391" s="74">
        <f t="shared" si="3445"/>
        <v>12</v>
      </c>
      <c r="BT391" s="28">
        <f t="shared" ref="BT391:BW391" si="3446">if(U391&lt;0,U391+BT390,0)</f>
        <v>-4</v>
      </c>
      <c r="BU391" s="28">
        <f t="shared" si="3446"/>
        <v>-4</v>
      </c>
      <c r="BV391" s="28">
        <f t="shared" si="3446"/>
        <v>-68</v>
      </c>
      <c r="BW391" s="28">
        <f t="shared" si="3446"/>
        <v>0</v>
      </c>
    </row>
    <row r="392">
      <c r="A392" s="102">
        <v>19.0</v>
      </c>
      <c r="B392" s="103">
        <f>'19a_13-01-2023_Fredag'!A25</f>
        <v>30</v>
      </c>
      <c r="C392" s="103">
        <f>'19a_13-01-2023_Fredag'!E25</f>
        <v>34</v>
      </c>
      <c r="D392" s="103">
        <f>'19a_13-01-2023_Fredag'!C25</f>
        <v>94</v>
      </c>
      <c r="E392" s="103">
        <f>'19a_13-01-2023_Fredag'!D25</f>
        <v>78</v>
      </c>
      <c r="F392" s="103">
        <f>'19a_13-01-2023_Fredag'!B25</f>
        <v>-206</v>
      </c>
      <c r="G392" s="103">
        <f>'19a_13-01-2023_Fredag'!F25</f>
        <v>0</v>
      </c>
      <c r="H392" s="103" t="str">
        <f>'19a_13-01-2023_Fredag'!H25</f>
        <v>Janus</v>
      </c>
      <c r="I392" s="103" t="str">
        <f>'19a_13-01-2023_Fredag'!I25</f>
        <v>Peter</v>
      </c>
      <c r="J392" s="104" t="str">
        <f>'19a_13-01-2023_Fredag'!J25</f>
        <v>Thomas</v>
      </c>
      <c r="K392" s="103" t="str">
        <f>'19a_13-01-2023_Fredag'!G25</f>
        <v>9 halve</v>
      </c>
      <c r="L392" s="105"/>
      <c r="M392" s="106">
        <v>9.0</v>
      </c>
      <c r="N392" s="25" t="s">
        <v>94</v>
      </c>
      <c r="O392" s="103"/>
      <c r="P392" s="103"/>
      <c r="Q392" s="103"/>
      <c r="R392" s="103"/>
      <c r="S392" s="103"/>
      <c r="T392" s="105"/>
      <c r="U392" s="77">
        <f t="shared" ref="U392:X392" si="3447">C392-C391</f>
        <v>8</v>
      </c>
      <c r="V392" s="28">
        <f t="shared" si="3447"/>
        <v>-8</v>
      </c>
      <c r="W392" s="28">
        <f t="shared" si="3447"/>
        <v>-8</v>
      </c>
      <c r="X392" s="28">
        <f t="shared" si="3447"/>
        <v>8</v>
      </c>
      <c r="Y392" s="103"/>
      <c r="Z392" s="103"/>
      <c r="AA392" s="103"/>
      <c r="AB392" s="28" t="str">
        <f t="shared" ref="AB392:AE392" si="3448">IF(AB$3=$H392,U392,"")</f>
        <v/>
      </c>
      <c r="AC392" s="28" t="str">
        <f t="shared" si="3448"/>
        <v/>
      </c>
      <c r="AD392" s="28">
        <f t="shared" si="3448"/>
        <v>-8</v>
      </c>
      <c r="AE392" s="28" t="str">
        <f t="shared" si="3448"/>
        <v/>
      </c>
      <c r="AH392" s="28">
        <f t="shared" si="22"/>
        <v>0</v>
      </c>
      <c r="AI392" s="28">
        <f t="shared" si="23"/>
        <v>-8</v>
      </c>
      <c r="AJ392" s="103"/>
      <c r="AK392" s="78" t="str">
        <f t="shared" ref="AK392:AN392" si="3449">IF(U392&gt;0,AK$3,"")</f>
        <v>Thomas</v>
      </c>
      <c r="AL392" s="78" t="str">
        <f t="shared" si="3449"/>
        <v/>
      </c>
      <c r="AM392" s="78" t="str">
        <f t="shared" si="3449"/>
        <v/>
      </c>
      <c r="AN392" s="78" t="str">
        <f t="shared" si="3449"/>
        <v>Christian</v>
      </c>
      <c r="AO392" s="56">
        <f t="shared" si="25"/>
        <v>2</v>
      </c>
      <c r="AP392" s="8" t="str">
        <f t="shared" si="26"/>
        <v>Janus</v>
      </c>
      <c r="AQ392" s="73" t="str">
        <f>IFERROR(__xludf.DUMMYFUNCTION("IFNA(QUERY(transpose(AY392:BB392),""Select Col1 where Col1 is not null limit 1"",0))"),"Peter")</f>
        <v>Peter</v>
      </c>
      <c r="AR392" s="56"/>
      <c r="AS392" s="28" t="str">
        <f t="shared" ref="AS392:AV392" si="3450">IF(AK392=AS$3,"",AS$3)</f>
        <v/>
      </c>
      <c r="AT392" s="28" t="str">
        <f t="shared" si="3450"/>
        <v>Peter</v>
      </c>
      <c r="AU392" s="28" t="str">
        <f t="shared" si="3450"/>
        <v>Janus</v>
      </c>
      <c r="AV392" s="28" t="str">
        <f t="shared" si="3450"/>
        <v/>
      </c>
      <c r="AW392" s="56">
        <f t="shared" si="28"/>
        <v>2</v>
      </c>
      <c r="AX392" s="28">
        <f t="shared" si="29"/>
        <v>-8</v>
      </c>
      <c r="AY392" s="28" t="str">
        <f t="shared" ref="AY392:BB392" si="3451">IFNA(IFS(AY$3=$AP392,"",$AX392=U392,AY$3),"")</f>
        <v/>
      </c>
      <c r="AZ392" s="28" t="str">
        <f t="shared" si="3451"/>
        <v>Peter</v>
      </c>
      <c r="BA392" s="28" t="str">
        <f t="shared" si="3451"/>
        <v/>
      </c>
      <c r="BB392" s="28" t="str">
        <f t="shared" si="3451"/>
        <v/>
      </c>
      <c r="BC392" s="58">
        <f>OFFSET('00_Regnskab_01'!$A$1,MATCH(A392,'00_Regnskab_01'!$A$1:$A$25)-1,2)</f>
        <v>44939</v>
      </c>
      <c r="BE392" s="80">
        <f t="shared" ref="BE392:BH392" si="3452">if(U392&gt;0,1+BE391,0)</f>
        <v>1</v>
      </c>
      <c r="BF392" s="28">
        <f t="shared" si="3452"/>
        <v>0</v>
      </c>
      <c r="BG392" s="28">
        <f t="shared" si="3452"/>
        <v>0</v>
      </c>
      <c r="BH392" s="28">
        <f t="shared" si="3452"/>
        <v>2</v>
      </c>
      <c r="BJ392" s="28">
        <f t="shared" ref="BJ392:BM392" si="3453">if(U392&lt;0,1+BJ391,0)</f>
        <v>0</v>
      </c>
      <c r="BK392" s="28">
        <f t="shared" si="3453"/>
        <v>2</v>
      </c>
      <c r="BL392" s="28">
        <f t="shared" si="3453"/>
        <v>3</v>
      </c>
      <c r="BM392" s="28">
        <f t="shared" si="3453"/>
        <v>0</v>
      </c>
      <c r="BO392" s="74">
        <f t="shared" ref="BO392:BR392" si="3454">if(U392&gt;0,U392+BO391,0)</f>
        <v>8</v>
      </c>
      <c r="BP392" s="74">
        <f t="shared" si="3454"/>
        <v>0</v>
      </c>
      <c r="BQ392" s="74">
        <f t="shared" si="3454"/>
        <v>0</v>
      </c>
      <c r="BR392" s="74">
        <f t="shared" si="3454"/>
        <v>20</v>
      </c>
      <c r="BT392" s="28">
        <f t="shared" ref="BT392:BW392" si="3455">if(U392&lt;0,U392+BT391,0)</f>
        <v>0</v>
      </c>
      <c r="BU392" s="28">
        <f t="shared" si="3455"/>
        <v>-12</v>
      </c>
      <c r="BV392" s="28">
        <f t="shared" si="3455"/>
        <v>-76</v>
      </c>
      <c r="BW392" s="28">
        <f t="shared" si="3455"/>
        <v>0</v>
      </c>
    </row>
    <row r="393">
      <c r="A393" s="53">
        <v>19.0</v>
      </c>
      <c r="B393" s="28">
        <f>'19a_13-01-2023_Fredag'!A26</f>
        <v>31</v>
      </c>
      <c r="C393" s="28">
        <f>'19a_13-01-2023_Fredag'!E26</f>
        <v>30</v>
      </c>
      <c r="D393" s="28">
        <f>'19a_13-01-2023_Fredag'!C26</f>
        <v>106</v>
      </c>
      <c r="E393" s="28">
        <f>'19a_13-01-2023_Fredag'!D26</f>
        <v>74</v>
      </c>
      <c r="F393" s="28">
        <f>'19a_13-01-2023_Fredag'!B26</f>
        <v>-210</v>
      </c>
      <c r="G393" s="28">
        <f>'19a_13-01-2023_Fredag'!F26</f>
        <v>0</v>
      </c>
      <c r="H393" s="28" t="str">
        <f>'19a_13-01-2023_Fredag'!H26</f>
        <v>Peter</v>
      </c>
      <c r="I393" s="28" t="str">
        <f>'19a_13-01-2023_Fredag'!I26</f>
        <v>Peter</v>
      </c>
      <c r="J393" s="76" t="str">
        <f>'19a_13-01-2023_Fredag'!J26</f>
        <v>Christian</v>
      </c>
      <c r="K393" s="28" t="str">
        <f>'19a_13-01-2023_Fredag'!G26</f>
        <v>Sol</v>
      </c>
      <c r="L393" s="56"/>
      <c r="N393" s="25" t="s">
        <v>99</v>
      </c>
      <c r="T393" s="56"/>
      <c r="U393" s="77">
        <f t="shared" ref="U393:X393" si="3456">C393-C392</f>
        <v>-4</v>
      </c>
      <c r="V393" s="28">
        <f t="shared" si="3456"/>
        <v>12</v>
      </c>
      <c r="W393" s="28">
        <f t="shared" si="3456"/>
        <v>-4</v>
      </c>
      <c r="X393" s="28">
        <f t="shared" si="3456"/>
        <v>-4</v>
      </c>
      <c r="AB393" s="28" t="str">
        <f t="shared" ref="AB393:AE393" si="3457">IF(AB$3=$H393,U393,"")</f>
        <v/>
      </c>
      <c r="AC393" s="28">
        <f t="shared" si="3457"/>
        <v>12</v>
      </c>
      <c r="AD393" s="28" t="str">
        <f t="shared" si="3457"/>
        <v/>
      </c>
      <c r="AE393" s="28" t="str">
        <f t="shared" si="3457"/>
        <v/>
      </c>
      <c r="AH393" s="28">
        <f t="shared" si="22"/>
        <v>12</v>
      </c>
      <c r="AI393" s="28">
        <f t="shared" si="23"/>
        <v>0</v>
      </c>
      <c r="AK393" s="78" t="str">
        <f t="shared" ref="AK393:AN393" si="3458">IF(U393&gt;0,AK$3,"")</f>
        <v/>
      </c>
      <c r="AL393" s="78" t="str">
        <f t="shared" si="3458"/>
        <v>Peter</v>
      </c>
      <c r="AM393" s="78" t="str">
        <f t="shared" si="3458"/>
        <v/>
      </c>
      <c r="AN393" s="78" t="str">
        <f t="shared" si="3458"/>
        <v/>
      </c>
      <c r="AO393" s="56">
        <f t="shared" si="25"/>
        <v>1</v>
      </c>
      <c r="AP393" s="8" t="str">
        <f t="shared" si="26"/>
        <v>Peter</v>
      </c>
      <c r="AQ393" s="73" t="str">
        <f>IFERROR(__xludf.DUMMYFUNCTION("IFNA(QUERY(transpose(AY393:BB393),""Select Col1 where Col1 is not null limit 1"",0))"),"")</f>
        <v/>
      </c>
      <c r="AR393" s="56"/>
      <c r="AS393" s="28" t="str">
        <f t="shared" ref="AS393:AV393" si="3459">IF(AK393=AS$3,"",AS$3)</f>
        <v>Thomas</v>
      </c>
      <c r="AT393" s="28" t="str">
        <f t="shared" si="3459"/>
        <v/>
      </c>
      <c r="AU393" s="28" t="str">
        <f t="shared" si="3459"/>
        <v>Janus</v>
      </c>
      <c r="AV393" s="28" t="str">
        <f t="shared" si="3459"/>
        <v>Christian</v>
      </c>
      <c r="AW393" s="56">
        <f t="shared" si="28"/>
        <v>3</v>
      </c>
      <c r="AX393" s="28">
        <f t="shared" si="29"/>
        <v>12</v>
      </c>
      <c r="AY393" s="28" t="str">
        <f t="shared" ref="AY393:BB393" si="3460">IFNA(IFS(AY$3=$AP393,"",$AX393=U393,AY$3),"")</f>
        <v/>
      </c>
      <c r="AZ393" s="28" t="str">
        <f t="shared" si="3460"/>
        <v/>
      </c>
      <c r="BA393" s="28" t="str">
        <f t="shared" si="3460"/>
        <v/>
      </c>
      <c r="BB393" s="28" t="str">
        <f t="shared" si="3460"/>
        <v/>
      </c>
      <c r="BC393" s="58">
        <f>OFFSET('00_Regnskab_01'!$A$1,MATCH(A393,'00_Regnskab_01'!$A$1:$A$25)-1,2)</f>
        <v>44939</v>
      </c>
      <c r="BE393" s="80">
        <f t="shared" ref="BE393:BH393" si="3461">if(U393&gt;0,1+BE392,0)</f>
        <v>0</v>
      </c>
      <c r="BF393" s="28">
        <f t="shared" si="3461"/>
        <v>1</v>
      </c>
      <c r="BG393" s="28">
        <f t="shared" si="3461"/>
        <v>0</v>
      </c>
      <c r="BH393" s="28">
        <f t="shared" si="3461"/>
        <v>0</v>
      </c>
      <c r="BJ393" s="28">
        <f t="shared" ref="BJ393:BM393" si="3462">if(U393&lt;0,1+BJ392,0)</f>
        <v>1</v>
      </c>
      <c r="BK393" s="28">
        <f t="shared" si="3462"/>
        <v>0</v>
      </c>
      <c r="BL393" s="28">
        <f t="shared" si="3462"/>
        <v>4</v>
      </c>
      <c r="BM393" s="28">
        <f t="shared" si="3462"/>
        <v>1</v>
      </c>
      <c r="BO393" s="74">
        <f t="shared" ref="BO393:BR393" si="3463">if(U393&gt;0,U393+BO392,0)</f>
        <v>0</v>
      </c>
      <c r="BP393" s="74">
        <f t="shared" si="3463"/>
        <v>12</v>
      </c>
      <c r="BQ393" s="74">
        <f t="shared" si="3463"/>
        <v>0</v>
      </c>
      <c r="BR393" s="74">
        <f t="shared" si="3463"/>
        <v>0</v>
      </c>
      <c r="BT393" s="28">
        <f t="shared" ref="BT393:BW393" si="3464">if(U393&lt;0,U393+BT392,0)</f>
        <v>-4</v>
      </c>
      <c r="BU393" s="28">
        <f t="shared" si="3464"/>
        <v>0</v>
      </c>
      <c r="BV393" s="28">
        <f t="shared" si="3464"/>
        <v>-80</v>
      </c>
      <c r="BW393" s="28">
        <f t="shared" si="3464"/>
        <v>-4</v>
      </c>
    </row>
    <row r="394">
      <c r="A394" s="53">
        <v>19.0</v>
      </c>
      <c r="B394" s="28">
        <f>'19a_13-01-2023_Fredag'!A27</f>
        <v>32</v>
      </c>
      <c r="C394" s="28">
        <f>'19a_13-01-2023_Fredag'!E27</f>
        <v>6</v>
      </c>
      <c r="D394" s="28">
        <f>'19a_13-01-2023_Fredag'!C27</f>
        <v>114</v>
      </c>
      <c r="E394" s="28">
        <f>'19a_13-01-2023_Fredag'!D27</f>
        <v>82</v>
      </c>
      <c r="F394" s="28">
        <f>'19a_13-01-2023_Fredag'!B27</f>
        <v>-202</v>
      </c>
      <c r="G394" s="28">
        <f>'19a_13-01-2023_Fredag'!F27</f>
        <v>0</v>
      </c>
      <c r="H394" s="28" t="str">
        <f>'19a_13-01-2023_Fredag'!H27</f>
        <v>Thomas</v>
      </c>
      <c r="I394" s="28" t="str">
        <f>'19a_13-01-2023_Fredag'!I27</f>
        <v>Thomas</v>
      </c>
      <c r="J394" s="76" t="str">
        <f>'19a_13-01-2023_Fredag'!J27</f>
        <v>Peter</v>
      </c>
      <c r="K394" s="28" t="str">
        <f>'19a_13-01-2023_Fredag'!G27</f>
        <v>9 vip - 1- - hjerter - selvmakker</v>
      </c>
      <c r="L394" s="56"/>
      <c r="M394" s="25">
        <v>9.0</v>
      </c>
      <c r="N394" s="25" t="s">
        <v>86</v>
      </c>
      <c r="O394" s="25">
        <v>1.0</v>
      </c>
      <c r="R394" s="25" t="s">
        <v>15</v>
      </c>
      <c r="T394" s="56"/>
      <c r="U394" s="77">
        <f t="shared" ref="U394:X394" si="3465">C394-C393</f>
        <v>-24</v>
      </c>
      <c r="V394" s="28">
        <f t="shared" si="3465"/>
        <v>8</v>
      </c>
      <c r="W394" s="28">
        <f t="shared" si="3465"/>
        <v>8</v>
      </c>
      <c r="X394" s="28">
        <f t="shared" si="3465"/>
        <v>8</v>
      </c>
      <c r="AB394" s="28">
        <f t="shared" ref="AB394:AE394" si="3466">IF(AB$3=$H394,U394,"")</f>
        <v>-24</v>
      </c>
      <c r="AC394" s="28" t="str">
        <f t="shared" si="3466"/>
        <v/>
      </c>
      <c r="AD394" s="28" t="str">
        <f t="shared" si="3466"/>
        <v/>
      </c>
      <c r="AE394" s="28" t="str">
        <f t="shared" si="3466"/>
        <v/>
      </c>
      <c r="AH394" s="28">
        <f t="shared" si="22"/>
        <v>0</v>
      </c>
      <c r="AI394" s="28">
        <f t="shared" si="23"/>
        <v>-24</v>
      </c>
      <c r="AK394" s="78" t="str">
        <f t="shared" ref="AK394:AN394" si="3467">IF(U394&gt;0,AK$3,"")</f>
        <v/>
      </c>
      <c r="AL394" s="78" t="str">
        <f t="shared" si="3467"/>
        <v>Peter</v>
      </c>
      <c r="AM394" s="78" t="str">
        <f t="shared" si="3467"/>
        <v>Janus</v>
      </c>
      <c r="AN394" s="78" t="str">
        <f t="shared" si="3467"/>
        <v>Christian</v>
      </c>
      <c r="AO394" s="56">
        <f t="shared" si="25"/>
        <v>3</v>
      </c>
      <c r="AP394" s="8" t="str">
        <f t="shared" si="26"/>
        <v>Thomas</v>
      </c>
      <c r="AQ394" s="73" t="str">
        <f>IFERROR(__xludf.DUMMYFUNCTION("IFNA(QUERY(transpose(AY394:BB394),""Select Col1 where Col1 is not null limit 1"",0))"),"")</f>
        <v/>
      </c>
      <c r="AR394" s="56"/>
      <c r="AS394" s="28" t="str">
        <f t="shared" ref="AS394:AV394" si="3468">IF(AK394=AS$3,"",AS$3)</f>
        <v>Thomas</v>
      </c>
      <c r="AT394" s="28" t="str">
        <f t="shared" si="3468"/>
        <v/>
      </c>
      <c r="AU394" s="28" t="str">
        <f t="shared" si="3468"/>
        <v/>
      </c>
      <c r="AV394" s="28" t="str">
        <f t="shared" si="3468"/>
        <v/>
      </c>
      <c r="AW394" s="56">
        <f t="shared" si="28"/>
        <v>1</v>
      </c>
      <c r="AX394" s="28">
        <f t="shared" si="29"/>
        <v>-24</v>
      </c>
      <c r="AY394" s="28" t="str">
        <f t="shared" ref="AY394:BB394" si="3469">IFNA(IFS(AY$3=$AP394,"",$AX394=U394,AY$3),"")</f>
        <v/>
      </c>
      <c r="AZ394" s="28" t="str">
        <f t="shared" si="3469"/>
        <v/>
      </c>
      <c r="BA394" s="28" t="str">
        <f t="shared" si="3469"/>
        <v/>
      </c>
      <c r="BB394" s="28" t="str">
        <f t="shared" si="3469"/>
        <v/>
      </c>
      <c r="BC394" s="58">
        <f>OFFSET('00_Regnskab_01'!$A$1,MATCH(A394,'00_Regnskab_01'!$A$1:$A$25)-1,2)</f>
        <v>44939</v>
      </c>
      <c r="BE394" s="80">
        <f t="shared" ref="BE394:BH394" si="3470">if(U394&gt;0,1+BE393,0)</f>
        <v>0</v>
      </c>
      <c r="BF394" s="28">
        <f t="shared" si="3470"/>
        <v>2</v>
      </c>
      <c r="BG394" s="28">
        <f t="shared" si="3470"/>
        <v>1</v>
      </c>
      <c r="BH394" s="28">
        <f t="shared" si="3470"/>
        <v>1</v>
      </c>
      <c r="BJ394" s="28">
        <f t="shared" ref="BJ394:BM394" si="3471">if(U394&lt;0,1+BJ393,0)</f>
        <v>2</v>
      </c>
      <c r="BK394" s="28">
        <f t="shared" si="3471"/>
        <v>0</v>
      </c>
      <c r="BL394" s="28">
        <f t="shared" si="3471"/>
        <v>0</v>
      </c>
      <c r="BM394" s="28">
        <f t="shared" si="3471"/>
        <v>0</v>
      </c>
      <c r="BO394" s="74">
        <f t="shared" ref="BO394:BR394" si="3472">if(U394&gt;0,U394+BO393,0)</f>
        <v>0</v>
      </c>
      <c r="BP394" s="74">
        <f t="shared" si="3472"/>
        <v>20</v>
      </c>
      <c r="BQ394" s="74">
        <f t="shared" si="3472"/>
        <v>8</v>
      </c>
      <c r="BR394" s="74">
        <f t="shared" si="3472"/>
        <v>8</v>
      </c>
      <c r="BT394" s="28">
        <f t="shared" ref="BT394:BW394" si="3473">if(U394&lt;0,U394+BT393,0)</f>
        <v>-28</v>
      </c>
      <c r="BU394" s="28">
        <f t="shared" si="3473"/>
        <v>0</v>
      </c>
      <c r="BV394" s="28">
        <f t="shared" si="3473"/>
        <v>0</v>
      </c>
      <c r="BW394" s="28">
        <f t="shared" si="3473"/>
        <v>0</v>
      </c>
    </row>
    <row r="395">
      <c r="A395" s="53">
        <v>19.0</v>
      </c>
      <c r="B395" s="28">
        <f>'19a_13-01-2023_Fredag'!A28</f>
        <v>33</v>
      </c>
      <c r="C395" s="28">
        <f>'19a_13-01-2023_Fredag'!E28</f>
        <v>102</v>
      </c>
      <c r="D395" s="28">
        <f>'19a_13-01-2023_Fredag'!C28</f>
        <v>18</v>
      </c>
      <c r="E395" s="28">
        <f>'19a_13-01-2023_Fredag'!D28</f>
        <v>-14</v>
      </c>
      <c r="F395" s="28">
        <f>'19a_13-01-2023_Fredag'!B28</f>
        <v>-106</v>
      </c>
      <c r="G395" s="28">
        <f>'19a_13-01-2023_Fredag'!F28</f>
        <v>0</v>
      </c>
      <c r="H395" s="28" t="str">
        <f>'19a_13-01-2023_Fredag'!H28</f>
        <v>Thomas</v>
      </c>
      <c r="I395" s="28" t="str">
        <f>'19a_13-01-2023_Fredag'!I28</f>
        <v>Christian</v>
      </c>
      <c r="J395" s="76" t="str">
        <f>'19a_13-01-2023_Fredag'!J28</f>
        <v>Janus</v>
      </c>
      <c r="K395" s="28" t="str">
        <f>'19a_13-01-2023_Fredag'!G28</f>
        <v>9 vip i 3 - gode</v>
      </c>
      <c r="L395" s="56"/>
      <c r="M395" s="25">
        <v>9.0</v>
      </c>
      <c r="N395" s="25" t="s">
        <v>86</v>
      </c>
      <c r="O395" s="25">
        <v>3.0</v>
      </c>
      <c r="R395" s="25" t="s">
        <v>15</v>
      </c>
      <c r="T395" s="56"/>
      <c r="U395" s="77">
        <f t="shared" ref="U395:X395" si="3474">C395-C394</f>
        <v>96</v>
      </c>
      <c r="V395" s="28">
        <f t="shared" si="3474"/>
        <v>-96</v>
      </c>
      <c r="W395" s="28">
        <f t="shared" si="3474"/>
        <v>-96</v>
      </c>
      <c r="X395" s="28">
        <f t="shared" si="3474"/>
        <v>96</v>
      </c>
      <c r="AB395" s="28">
        <f t="shared" ref="AB395:AE395" si="3475">IF(AB$3=$H395,U395,"")</f>
        <v>96</v>
      </c>
      <c r="AC395" s="28" t="str">
        <f t="shared" si="3475"/>
        <v/>
      </c>
      <c r="AD395" s="28" t="str">
        <f t="shared" si="3475"/>
        <v/>
      </c>
      <c r="AE395" s="28" t="str">
        <f t="shared" si="3475"/>
        <v/>
      </c>
      <c r="AH395" s="28">
        <f t="shared" si="22"/>
        <v>96</v>
      </c>
      <c r="AI395" s="28">
        <f t="shared" si="23"/>
        <v>0</v>
      </c>
      <c r="AK395" s="78" t="str">
        <f t="shared" ref="AK395:AN395" si="3476">IF(U395&gt;0,AK$3,"")</f>
        <v>Thomas</v>
      </c>
      <c r="AL395" s="78" t="str">
        <f t="shared" si="3476"/>
        <v/>
      </c>
      <c r="AM395" s="78" t="str">
        <f t="shared" si="3476"/>
        <v/>
      </c>
      <c r="AN395" s="78" t="str">
        <f t="shared" si="3476"/>
        <v>Christian</v>
      </c>
      <c r="AO395" s="56">
        <f t="shared" si="25"/>
        <v>2</v>
      </c>
      <c r="AP395" s="8" t="str">
        <f t="shared" si="26"/>
        <v>Thomas</v>
      </c>
      <c r="AQ395" s="73" t="str">
        <f>IFERROR(__xludf.DUMMYFUNCTION("IFNA(QUERY(transpose(AY395:BB395),""Select Col1 where Col1 is not null limit 1"",0))"),"Christian")</f>
        <v>Christian</v>
      </c>
      <c r="AR395" s="56"/>
      <c r="AS395" s="28" t="str">
        <f t="shared" ref="AS395:AV395" si="3477">IF(AK395=AS$3,"",AS$3)</f>
        <v/>
      </c>
      <c r="AT395" s="28" t="str">
        <f t="shared" si="3477"/>
        <v>Peter</v>
      </c>
      <c r="AU395" s="28" t="str">
        <f t="shared" si="3477"/>
        <v>Janus</v>
      </c>
      <c r="AV395" s="28" t="str">
        <f t="shared" si="3477"/>
        <v/>
      </c>
      <c r="AW395" s="56">
        <f t="shared" si="28"/>
        <v>2</v>
      </c>
      <c r="AX395" s="28">
        <f t="shared" si="29"/>
        <v>96</v>
      </c>
      <c r="AY395" s="28" t="str">
        <f t="shared" ref="AY395:BB395" si="3478">IFNA(IFS(AY$3=$AP395,"",$AX395=U395,AY$3),"")</f>
        <v/>
      </c>
      <c r="AZ395" s="28" t="str">
        <f t="shared" si="3478"/>
        <v/>
      </c>
      <c r="BA395" s="28" t="str">
        <f t="shared" si="3478"/>
        <v/>
      </c>
      <c r="BB395" s="28" t="str">
        <f t="shared" si="3478"/>
        <v>Christian</v>
      </c>
      <c r="BC395" s="58">
        <f>OFFSET('00_Regnskab_01'!$A$1,MATCH(A395,'00_Regnskab_01'!$A$1:$A$25)-1,2)</f>
        <v>44939</v>
      </c>
      <c r="BE395" s="80">
        <f t="shared" ref="BE395:BH395" si="3479">if(U395&gt;0,1+BE394,0)</f>
        <v>1</v>
      </c>
      <c r="BF395" s="28">
        <f t="shared" si="3479"/>
        <v>0</v>
      </c>
      <c r="BG395" s="28">
        <f t="shared" si="3479"/>
        <v>0</v>
      </c>
      <c r="BH395" s="28">
        <f t="shared" si="3479"/>
        <v>2</v>
      </c>
      <c r="BJ395" s="28">
        <f t="shared" ref="BJ395:BM395" si="3480">if(U395&lt;0,1+BJ394,0)</f>
        <v>0</v>
      </c>
      <c r="BK395" s="28">
        <f t="shared" si="3480"/>
        <v>1</v>
      </c>
      <c r="BL395" s="28">
        <f t="shared" si="3480"/>
        <v>1</v>
      </c>
      <c r="BM395" s="28">
        <f t="shared" si="3480"/>
        <v>0</v>
      </c>
      <c r="BO395" s="74">
        <f t="shared" ref="BO395:BR395" si="3481">if(U395&gt;0,U395+BO394,0)</f>
        <v>96</v>
      </c>
      <c r="BP395" s="74">
        <f t="shared" si="3481"/>
        <v>0</v>
      </c>
      <c r="BQ395" s="74">
        <f t="shared" si="3481"/>
        <v>0</v>
      </c>
      <c r="BR395" s="74">
        <f t="shared" si="3481"/>
        <v>104</v>
      </c>
      <c r="BT395" s="28">
        <f t="shared" ref="BT395:BW395" si="3482">if(U395&lt;0,U395+BT394,0)</f>
        <v>0</v>
      </c>
      <c r="BU395" s="28">
        <f t="shared" si="3482"/>
        <v>-96</v>
      </c>
      <c r="BV395" s="28">
        <f t="shared" si="3482"/>
        <v>-96</v>
      </c>
      <c r="BW395" s="28">
        <f t="shared" si="3482"/>
        <v>0</v>
      </c>
    </row>
    <row r="396">
      <c r="A396" s="53">
        <v>19.0</v>
      </c>
      <c r="B396" s="28">
        <f>'19a_13-01-2023_Fredag'!A29</f>
        <v>34</v>
      </c>
      <c r="C396" s="28">
        <f>'19a_13-01-2023_Fredag'!E29</f>
        <v>118</v>
      </c>
      <c r="D396" s="28">
        <f>'19a_13-01-2023_Fredag'!C29</f>
        <v>2</v>
      </c>
      <c r="E396" s="28">
        <f>'19a_13-01-2023_Fredag'!D29</f>
        <v>-30</v>
      </c>
      <c r="F396" s="28">
        <f>'19a_13-01-2023_Fredag'!B29</f>
        <v>-90</v>
      </c>
      <c r="G396" s="28">
        <f>'19a_13-01-2023_Fredag'!F29</f>
        <v>0</v>
      </c>
      <c r="H396" s="28" t="str">
        <f>'19a_13-01-2023_Fredag'!H29</f>
        <v>Peter</v>
      </c>
      <c r="I396" s="28" t="str">
        <f>'19a_13-01-2023_Fredag'!I29</f>
        <v>Janus</v>
      </c>
      <c r="J396" s="76" t="str">
        <f>'19a_13-01-2023_Fredag'!J29</f>
        <v>Thomas</v>
      </c>
      <c r="K396" s="28" t="str">
        <f>'19a_13-01-2023_Fredag'!G29</f>
        <v>10 alm</v>
      </c>
      <c r="L396" s="56"/>
      <c r="M396" s="25">
        <v>10.0</v>
      </c>
      <c r="N396" s="25" t="s">
        <v>100</v>
      </c>
      <c r="T396" s="56"/>
      <c r="U396" s="77">
        <f t="shared" ref="U396:X396" si="3483">C396-C395</f>
        <v>16</v>
      </c>
      <c r="V396" s="28">
        <f t="shared" si="3483"/>
        <v>-16</v>
      </c>
      <c r="W396" s="28">
        <f t="shared" si="3483"/>
        <v>-16</v>
      </c>
      <c r="X396" s="28">
        <f t="shared" si="3483"/>
        <v>16</v>
      </c>
      <c r="AB396" s="28" t="str">
        <f t="shared" ref="AB396:AE396" si="3484">IF(AB$3=$H396,U396,"")</f>
        <v/>
      </c>
      <c r="AC396" s="28">
        <f t="shared" si="3484"/>
        <v>-16</v>
      </c>
      <c r="AD396" s="28" t="str">
        <f t="shared" si="3484"/>
        <v/>
      </c>
      <c r="AE396" s="28" t="str">
        <f t="shared" si="3484"/>
        <v/>
      </c>
      <c r="AH396" s="28">
        <f t="shared" si="22"/>
        <v>0</v>
      </c>
      <c r="AI396" s="28">
        <f t="shared" si="23"/>
        <v>-16</v>
      </c>
      <c r="AK396" s="78" t="str">
        <f t="shared" ref="AK396:AN396" si="3485">IF(U396&gt;0,AK$3,"")</f>
        <v>Thomas</v>
      </c>
      <c r="AL396" s="78" t="str">
        <f t="shared" si="3485"/>
        <v/>
      </c>
      <c r="AM396" s="78" t="str">
        <f t="shared" si="3485"/>
        <v/>
      </c>
      <c r="AN396" s="78" t="str">
        <f t="shared" si="3485"/>
        <v>Christian</v>
      </c>
      <c r="AO396" s="56">
        <f t="shared" si="25"/>
        <v>2</v>
      </c>
      <c r="AP396" s="8" t="str">
        <f t="shared" si="26"/>
        <v>Peter</v>
      </c>
      <c r="AQ396" s="73" t="str">
        <f>IFERROR(__xludf.DUMMYFUNCTION("IFNA(QUERY(transpose(AY396:BB396),""Select Col1 where Col1 is not null limit 1"",0))"),"Janus")</f>
        <v>Janus</v>
      </c>
      <c r="AR396" s="56"/>
      <c r="AS396" s="28" t="str">
        <f t="shared" ref="AS396:AV396" si="3486">IF(AK396=AS$3,"",AS$3)</f>
        <v/>
      </c>
      <c r="AT396" s="28" t="str">
        <f t="shared" si="3486"/>
        <v>Peter</v>
      </c>
      <c r="AU396" s="28" t="str">
        <f t="shared" si="3486"/>
        <v>Janus</v>
      </c>
      <c r="AV396" s="28" t="str">
        <f t="shared" si="3486"/>
        <v/>
      </c>
      <c r="AW396" s="56">
        <f t="shared" si="28"/>
        <v>2</v>
      </c>
      <c r="AX396" s="28">
        <f t="shared" si="29"/>
        <v>-16</v>
      </c>
      <c r="AY396" s="28" t="str">
        <f t="shared" ref="AY396:BB396" si="3487">IFNA(IFS(AY$3=$AP396,"",$AX396=U396,AY$3),"")</f>
        <v/>
      </c>
      <c r="AZ396" s="28" t="str">
        <f t="shared" si="3487"/>
        <v/>
      </c>
      <c r="BA396" s="28" t="str">
        <f t="shared" si="3487"/>
        <v>Janus</v>
      </c>
      <c r="BB396" s="28" t="str">
        <f t="shared" si="3487"/>
        <v/>
      </c>
      <c r="BC396" s="58">
        <f>OFFSET('00_Regnskab_01'!$A$1,MATCH(A396,'00_Regnskab_01'!$A$1:$A$25)-1,2)</f>
        <v>44939</v>
      </c>
      <c r="BE396" s="80">
        <f t="shared" ref="BE396:BH396" si="3488">if(U396&gt;0,1+BE395,0)</f>
        <v>2</v>
      </c>
      <c r="BF396" s="28">
        <f t="shared" si="3488"/>
        <v>0</v>
      </c>
      <c r="BG396" s="28">
        <f t="shared" si="3488"/>
        <v>0</v>
      </c>
      <c r="BH396" s="28">
        <f t="shared" si="3488"/>
        <v>3</v>
      </c>
      <c r="BJ396" s="28">
        <f t="shared" ref="BJ396:BM396" si="3489">if(U396&lt;0,1+BJ395,0)</f>
        <v>0</v>
      </c>
      <c r="BK396" s="28">
        <f t="shared" si="3489"/>
        <v>2</v>
      </c>
      <c r="BL396" s="28">
        <f t="shared" si="3489"/>
        <v>2</v>
      </c>
      <c r="BM396" s="28">
        <f t="shared" si="3489"/>
        <v>0</v>
      </c>
      <c r="BO396" s="74">
        <f t="shared" ref="BO396:BR396" si="3490">if(U396&gt;0,U396+BO395,0)</f>
        <v>112</v>
      </c>
      <c r="BP396" s="74">
        <f t="shared" si="3490"/>
        <v>0</v>
      </c>
      <c r="BQ396" s="74">
        <f t="shared" si="3490"/>
        <v>0</v>
      </c>
      <c r="BR396" s="74">
        <f t="shared" si="3490"/>
        <v>120</v>
      </c>
      <c r="BT396" s="28">
        <f t="shared" ref="BT396:BW396" si="3491">if(U396&lt;0,U396+BT395,0)</f>
        <v>0</v>
      </c>
      <c r="BU396" s="28">
        <f t="shared" si="3491"/>
        <v>-112</v>
      </c>
      <c r="BV396" s="28">
        <f t="shared" si="3491"/>
        <v>-112</v>
      </c>
      <c r="BW396" s="28">
        <f t="shared" si="3491"/>
        <v>0</v>
      </c>
    </row>
    <row r="397">
      <c r="A397" s="53">
        <v>19.0</v>
      </c>
      <c r="B397" s="28">
        <f>'19a_13-01-2023_Fredag'!A30</f>
        <v>35</v>
      </c>
      <c r="C397" s="28">
        <f>'19a_13-01-2023_Fredag'!E30</f>
        <v>114</v>
      </c>
      <c r="D397" s="28">
        <f>'19a_13-01-2023_Fredag'!C30</f>
        <v>14</v>
      </c>
      <c r="E397" s="28">
        <f>'19a_13-01-2023_Fredag'!D30</f>
        <v>-34</v>
      </c>
      <c r="F397" s="28">
        <f>'19a_13-01-2023_Fredag'!B30</f>
        <v>-94</v>
      </c>
      <c r="G397" s="28">
        <f>'19a_13-01-2023_Fredag'!F30</f>
        <v>0</v>
      </c>
      <c r="H397" s="28" t="str">
        <f>'19a_13-01-2023_Fredag'!H30</f>
        <v>Peter</v>
      </c>
      <c r="I397" s="28" t="str">
        <f>'19a_13-01-2023_Fredag'!I30</f>
        <v/>
      </c>
      <c r="J397" s="76" t="str">
        <f>'19a_13-01-2023_Fredag'!J30</f>
        <v>Christian</v>
      </c>
      <c r="K397" s="28" t="str">
        <f>'19a_13-01-2023_Fredag'!G30</f>
        <v>Sol</v>
      </c>
      <c r="L397" s="56"/>
      <c r="N397" s="25" t="s">
        <v>99</v>
      </c>
      <c r="T397" s="56"/>
      <c r="U397" s="77">
        <f t="shared" ref="U397:X397" si="3492">C397-C396</f>
        <v>-4</v>
      </c>
      <c r="V397" s="28">
        <f t="shared" si="3492"/>
        <v>12</v>
      </c>
      <c r="W397" s="28">
        <f t="shared" si="3492"/>
        <v>-4</v>
      </c>
      <c r="X397" s="28">
        <f t="shared" si="3492"/>
        <v>-4</v>
      </c>
      <c r="AB397" s="28" t="str">
        <f t="shared" ref="AB397:AE397" si="3493">IF(AB$3=$H397,U397,"")</f>
        <v/>
      </c>
      <c r="AC397" s="28">
        <f t="shared" si="3493"/>
        <v>12</v>
      </c>
      <c r="AD397" s="28" t="str">
        <f t="shared" si="3493"/>
        <v/>
      </c>
      <c r="AE397" s="28" t="str">
        <f t="shared" si="3493"/>
        <v/>
      </c>
      <c r="AH397" s="28">
        <f t="shared" si="22"/>
        <v>12</v>
      </c>
      <c r="AI397" s="28">
        <f t="shared" si="23"/>
        <v>0</v>
      </c>
      <c r="AK397" s="78" t="str">
        <f t="shared" ref="AK397:AN397" si="3494">IF(U397&gt;0,AK$3,"")</f>
        <v/>
      </c>
      <c r="AL397" s="78" t="str">
        <f t="shared" si="3494"/>
        <v>Peter</v>
      </c>
      <c r="AM397" s="78" t="str">
        <f t="shared" si="3494"/>
        <v/>
      </c>
      <c r="AN397" s="78" t="str">
        <f t="shared" si="3494"/>
        <v/>
      </c>
      <c r="AO397" s="56">
        <f t="shared" si="25"/>
        <v>1</v>
      </c>
      <c r="AP397" s="8" t="str">
        <f t="shared" si="26"/>
        <v>Peter</v>
      </c>
      <c r="AQ397" s="73" t="str">
        <f>IFERROR(__xludf.DUMMYFUNCTION("IFNA(QUERY(transpose(AY397:BB397),""Select Col1 where Col1 is not null limit 1"",0))"),"")</f>
        <v/>
      </c>
      <c r="AR397" s="56"/>
      <c r="AS397" s="28" t="str">
        <f t="shared" ref="AS397:AV397" si="3495">IF(AK397=AS$3,"",AS$3)</f>
        <v>Thomas</v>
      </c>
      <c r="AT397" s="28" t="str">
        <f t="shared" si="3495"/>
        <v/>
      </c>
      <c r="AU397" s="28" t="str">
        <f t="shared" si="3495"/>
        <v>Janus</v>
      </c>
      <c r="AV397" s="28" t="str">
        <f t="shared" si="3495"/>
        <v>Christian</v>
      </c>
      <c r="AW397" s="56">
        <f t="shared" si="28"/>
        <v>3</v>
      </c>
      <c r="AX397" s="28">
        <f t="shared" si="29"/>
        <v>12</v>
      </c>
      <c r="AY397" s="28" t="str">
        <f t="shared" ref="AY397:BB397" si="3496">IFNA(IFS(AY$3=$AP397,"",$AX397=U397,AY$3),"")</f>
        <v/>
      </c>
      <c r="AZ397" s="28" t="str">
        <f t="shared" si="3496"/>
        <v/>
      </c>
      <c r="BA397" s="28" t="str">
        <f t="shared" si="3496"/>
        <v/>
      </c>
      <c r="BB397" s="28" t="str">
        <f t="shared" si="3496"/>
        <v/>
      </c>
      <c r="BC397" s="58">
        <f>OFFSET('00_Regnskab_01'!$A$1,MATCH(A397,'00_Regnskab_01'!$A$1:$A$25)-1,2)</f>
        <v>44939</v>
      </c>
      <c r="BE397" s="80">
        <f t="shared" ref="BE397:BH397" si="3497">if(U397&gt;0,1+BE396,0)</f>
        <v>0</v>
      </c>
      <c r="BF397" s="28">
        <f t="shared" si="3497"/>
        <v>1</v>
      </c>
      <c r="BG397" s="28">
        <f t="shared" si="3497"/>
        <v>0</v>
      </c>
      <c r="BH397" s="28">
        <f t="shared" si="3497"/>
        <v>0</v>
      </c>
      <c r="BJ397" s="28">
        <f t="shared" ref="BJ397:BM397" si="3498">if(U397&lt;0,1+BJ396,0)</f>
        <v>1</v>
      </c>
      <c r="BK397" s="28">
        <f t="shared" si="3498"/>
        <v>0</v>
      </c>
      <c r="BL397" s="28">
        <f t="shared" si="3498"/>
        <v>3</v>
      </c>
      <c r="BM397" s="28">
        <f t="shared" si="3498"/>
        <v>1</v>
      </c>
      <c r="BO397" s="74">
        <f t="shared" ref="BO397:BR397" si="3499">if(U397&gt;0,U397+BO396,0)</f>
        <v>0</v>
      </c>
      <c r="BP397" s="74">
        <f t="shared" si="3499"/>
        <v>12</v>
      </c>
      <c r="BQ397" s="74">
        <f t="shared" si="3499"/>
        <v>0</v>
      </c>
      <c r="BR397" s="74">
        <f t="shared" si="3499"/>
        <v>0</v>
      </c>
      <c r="BT397" s="28">
        <f t="shared" ref="BT397:BW397" si="3500">if(U397&lt;0,U397+BT396,0)</f>
        <v>-4</v>
      </c>
      <c r="BU397" s="28">
        <f t="shared" si="3500"/>
        <v>0</v>
      </c>
      <c r="BV397" s="28">
        <f t="shared" si="3500"/>
        <v>-116</v>
      </c>
      <c r="BW397" s="28">
        <f t="shared" si="3500"/>
        <v>-4</v>
      </c>
    </row>
    <row r="398">
      <c r="A398" s="53">
        <v>19.0</v>
      </c>
      <c r="B398" s="28">
        <f>'19a_13-01-2023_Fredag'!A31</f>
        <v>36</v>
      </c>
      <c r="C398" s="28">
        <f>'19a_13-01-2023_Fredag'!E31</f>
        <v>122</v>
      </c>
      <c r="D398" s="28">
        <f>'19a_13-01-2023_Fredag'!C31</f>
        <v>22</v>
      </c>
      <c r="E398" s="28">
        <f>'19a_13-01-2023_Fredag'!D31</f>
        <v>-58</v>
      </c>
      <c r="F398" s="28">
        <f>'19a_13-01-2023_Fredag'!B31</f>
        <v>-86</v>
      </c>
      <c r="G398" s="28">
        <f>'19a_13-01-2023_Fredag'!F31</f>
        <v>0</v>
      </c>
      <c r="H398" s="28" t="str">
        <f>'19a_13-01-2023_Fredag'!H31</f>
        <v>Janus</v>
      </c>
      <c r="I398" s="28" t="str">
        <f>'19a_13-01-2023_Fredag'!I31</f>
        <v/>
      </c>
      <c r="J398" s="76" t="str">
        <f>'19a_13-01-2023_Fredag'!J31</f>
        <v>Peter</v>
      </c>
      <c r="K398" s="28" t="str">
        <f>'19a_13-01-2023_Fredag'!G31</f>
        <v>Rent Sol</v>
      </c>
      <c r="L398" s="56"/>
      <c r="N398" s="25" t="s">
        <v>97</v>
      </c>
      <c r="T398" s="56"/>
      <c r="U398" s="77">
        <f t="shared" ref="U398:X398" si="3501">C398-C397</f>
        <v>8</v>
      </c>
      <c r="V398" s="28">
        <f t="shared" si="3501"/>
        <v>8</v>
      </c>
      <c r="W398" s="28">
        <f t="shared" si="3501"/>
        <v>-24</v>
      </c>
      <c r="X398" s="28">
        <f t="shared" si="3501"/>
        <v>8</v>
      </c>
      <c r="AB398" s="28" t="str">
        <f t="shared" ref="AB398:AE398" si="3502">IF(AB$3=$H398,U398,"")</f>
        <v/>
      </c>
      <c r="AC398" s="28" t="str">
        <f t="shared" si="3502"/>
        <v/>
      </c>
      <c r="AD398" s="28">
        <f t="shared" si="3502"/>
        <v>-24</v>
      </c>
      <c r="AE398" s="28" t="str">
        <f t="shared" si="3502"/>
        <v/>
      </c>
      <c r="AH398" s="28">
        <f t="shared" si="22"/>
        <v>0</v>
      </c>
      <c r="AI398" s="28">
        <f t="shared" si="23"/>
        <v>-24</v>
      </c>
      <c r="AK398" s="78" t="str">
        <f t="shared" ref="AK398:AN398" si="3503">IF(U398&gt;0,AK$3,"")</f>
        <v>Thomas</v>
      </c>
      <c r="AL398" s="78" t="str">
        <f t="shared" si="3503"/>
        <v>Peter</v>
      </c>
      <c r="AM398" s="78" t="str">
        <f t="shared" si="3503"/>
        <v/>
      </c>
      <c r="AN398" s="78" t="str">
        <f t="shared" si="3503"/>
        <v>Christian</v>
      </c>
      <c r="AO398" s="56">
        <f t="shared" si="25"/>
        <v>3</v>
      </c>
      <c r="AP398" s="8" t="str">
        <f t="shared" si="26"/>
        <v>Janus</v>
      </c>
      <c r="AQ398" s="73" t="str">
        <f>IFERROR(__xludf.DUMMYFUNCTION("IFNA(QUERY(transpose(AY398:BB398),""Select Col1 where Col1 is not null limit 1"",0))"),"")</f>
        <v/>
      </c>
      <c r="AR398" s="56"/>
      <c r="AS398" s="28" t="str">
        <f t="shared" ref="AS398:AV398" si="3504">IF(AK398=AS$3,"",AS$3)</f>
        <v/>
      </c>
      <c r="AT398" s="28" t="str">
        <f t="shared" si="3504"/>
        <v/>
      </c>
      <c r="AU398" s="28" t="str">
        <f t="shared" si="3504"/>
        <v>Janus</v>
      </c>
      <c r="AV398" s="28" t="str">
        <f t="shared" si="3504"/>
        <v/>
      </c>
      <c r="AW398" s="56">
        <f t="shared" si="28"/>
        <v>1</v>
      </c>
      <c r="AX398" s="28">
        <f t="shared" si="29"/>
        <v>-24</v>
      </c>
      <c r="AY398" s="28" t="str">
        <f t="shared" ref="AY398:BB398" si="3505">IFNA(IFS(AY$3=$AP398,"",$AX398=U398,AY$3),"")</f>
        <v/>
      </c>
      <c r="AZ398" s="28" t="str">
        <f t="shared" si="3505"/>
        <v/>
      </c>
      <c r="BA398" s="28" t="str">
        <f t="shared" si="3505"/>
        <v/>
      </c>
      <c r="BB398" s="28" t="str">
        <f t="shared" si="3505"/>
        <v/>
      </c>
      <c r="BC398" s="58">
        <f>OFFSET('00_Regnskab_01'!$A$1,MATCH(A398,'00_Regnskab_01'!$A$1:$A$25)-1,2)</f>
        <v>44939</v>
      </c>
      <c r="BE398" s="80">
        <f t="shared" ref="BE398:BH398" si="3506">if(U398&gt;0,1+BE397,0)</f>
        <v>1</v>
      </c>
      <c r="BF398" s="28">
        <f t="shared" si="3506"/>
        <v>2</v>
      </c>
      <c r="BG398" s="28">
        <f t="shared" si="3506"/>
        <v>0</v>
      </c>
      <c r="BH398" s="28">
        <f t="shared" si="3506"/>
        <v>1</v>
      </c>
      <c r="BJ398" s="28">
        <f t="shared" ref="BJ398:BM398" si="3507">if(U398&lt;0,1+BJ397,0)</f>
        <v>0</v>
      </c>
      <c r="BK398" s="28">
        <f t="shared" si="3507"/>
        <v>0</v>
      </c>
      <c r="BL398" s="28">
        <f t="shared" si="3507"/>
        <v>4</v>
      </c>
      <c r="BM398" s="28">
        <f t="shared" si="3507"/>
        <v>0</v>
      </c>
      <c r="BO398" s="74">
        <f t="shared" ref="BO398:BR398" si="3508">if(U398&gt;0,U398+BO397,0)</f>
        <v>8</v>
      </c>
      <c r="BP398" s="74">
        <f t="shared" si="3508"/>
        <v>20</v>
      </c>
      <c r="BQ398" s="74">
        <f t="shared" si="3508"/>
        <v>0</v>
      </c>
      <c r="BR398" s="74">
        <f t="shared" si="3508"/>
        <v>8</v>
      </c>
      <c r="BT398" s="28">
        <f t="shared" ref="BT398:BW398" si="3509">if(U398&lt;0,U398+BT397,0)</f>
        <v>0</v>
      </c>
      <c r="BU398" s="28">
        <f t="shared" si="3509"/>
        <v>0</v>
      </c>
      <c r="BV398" s="28">
        <f t="shared" si="3509"/>
        <v>-140</v>
      </c>
      <c r="BW398" s="28">
        <f t="shared" si="3509"/>
        <v>0</v>
      </c>
    </row>
    <row r="399">
      <c r="A399" s="53">
        <v>19.0</v>
      </c>
      <c r="B399" s="28">
        <f>'19a_13-01-2023_Fredag'!A32</f>
        <v>37</v>
      </c>
      <c r="C399" s="28">
        <f>'19a_13-01-2023_Fredag'!E32</f>
        <v>130</v>
      </c>
      <c r="D399" s="28">
        <f>'19a_13-01-2023_Fredag'!C32</f>
        <v>14</v>
      </c>
      <c r="E399" s="28">
        <f>'19a_13-01-2023_Fredag'!D32</f>
        <v>-50</v>
      </c>
      <c r="F399" s="28">
        <f>'19a_13-01-2023_Fredag'!B32</f>
        <v>-94</v>
      </c>
      <c r="G399" s="28">
        <f>'19a_13-01-2023_Fredag'!F32</f>
        <v>0</v>
      </c>
      <c r="H399" s="28" t="str">
        <f>'19a_13-01-2023_Fredag'!H32</f>
        <v>Thomas</v>
      </c>
      <c r="I399" s="28" t="str">
        <f>'19a_13-01-2023_Fredag'!I32</f>
        <v>Janus</v>
      </c>
      <c r="J399" s="76" t="str">
        <f>'19a_13-01-2023_Fredag'!J32</f>
        <v>Janus</v>
      </c>
      <c r="K399" s="28" t="str">
        <f>'19a_13-01-2023_Fredag'!G32</f>
        <v>8 halve</v>
      </c>
      <c r="L399" s="56"/>
      <c r="M399" s="25">
        <v>8.0</v>
      </c>
      <c r="N399" s="25" t="s">
        <v>94</v>
      </c>
      <c r="T399" s="56"/>
      <c r="U399" s="77">
        <f t="shared" ref="U399:X399" si="3510">C399-C398</f>
        <v>8</v>
      </c>
      <c r="V399" s="28">
        <f t="shared" si="3510"/>
        <v>-8</v>
      </c>
      <c r="W399" s="28">
        <f t="shared" si="3510"/>
        <v>8</v>
      </c>
      <c r="X399" s="28">
        <f t="shared" si="3510"/>
        <v>-8</v>
      </c>
      <c r="AB399" s="28">
        <f t="shared" ref="AB399:AE399" si="3511">IF(AB$3=$H399,U399,"")</f>
        <v>8</v>
      </c>
      <c r="AC399" s="28" t="str">
        <f t="shared" si="3511"/>
        <v/>
      </c>
      <c r="AD399" s="28" t="str">
        <f t="shared" si="3511"/>
        <v/>
      </c>
      <c r="AE399" s="28" t="str">
        <f t="shared" si="3511"/>
        <v/>
      </c>
      <c r="AH399" s="28">
        <f t="shared" si="22"/>
        <v>8</v>
      </c>
      <c r="AI399" s="28">
        <f t="shared" si="23"/>
        <v>0</v>
      </c>
      <c r="AK399" s="78" t="str">
        <f t="shared" ref="AK399:AN399" si="3512">IF(U399&gt;0,AK$3,"")</f>
        <v>Thomas</v>
      </c>
      <c r="AL399" s="78" t="str">
        <f t="shared" si="3512"/>
        <v/>
      </c>
      <c r="AM399" s="78" t="str">
        <f t="shared" si="3512"/>
        <v>Janus</v>
      </c>
      <c r="AN399" s="78" t="str">
        <f t="shared" si="3512"/>
        <v/>
      </c>
      <c r="AO399" s="56">
        <f t="shared" si="25"/>
        <v>2</v>
      </c>
      <c r="AP399" s="8" t="str">
        <f t="shared" si="26"/>
        <v>Thomas</v>
      </c>
      <c r="AQ399" s="73" t="str">
        <f>IFERROR(__xludf.DUMMYFUNCTION("IFNA(QUERY(transpose(AY399:BB399),""Select Col1 where Col1 is not null limit 1"",0))"),"Janus")</f>
        <v>Janus</v>
      </c>
      <c r="AR399" s="56"/>
      <c r="AS399" s="28" t="str">
        <f t="shared" ref="AS399:AV399" si="3513">IF(AK399=AS$3,"",AS$3)</f>
        <v/>
      </c>
      <c r="AT399" s="28" t="str">
        <f t="shared" si="3513"/>
        <v>Peter</v>
      </c>
      <c r="AU399" s="28" t="str">
        <f t="shared" si="3513"/>
        <v/>
      </c>
      <c r="AV399" s="28" t="str">
        <f t="shared" si="3513"/>
        <v>Christian</v>
      </c>
      <c r="AW399" s="56">
        <f t="shared" si="28"/>
        <v>2</v>
      </c>
      <c r="AX399" s="28">
        <f t="shared" si="29"/>
        <v>8</v>
      </c>
      <c r="AY399" s="28" t="str">
        <f t="shared" ref="AY399:BB399" si="3514">IFNA(IFS(AY$3=$AP399,"",$AX399=U399,AY$3),"")</f>
        <v/>
      </c>
      <c r="AZ399" s="28" t="str">
        <f t="shared" si="3514"/>
        <v/>
      </c>
      <c r="BA399" s="28" t="str">
        <f t="shared" si="3514"/>
        <v>Janus</v>
      </c>
      <c r="BB399" s="28" t="str">
        <f t="shared" si="3514"/>
        <v/>
      </c>
      <c r="BC399" s="58">
        <f>OFFSET('00_Regnskab_01'!$A$1,MATCH(A399,'00_Regnskab_01'!$A$1:$A$25)-1,2)</f>
        <v>44939</v>
      </c>
      <c r="BE399" s="80">
        <f t="shared" ref="BE399:BH399" si="3515">if(U399&gt;0,1+BE398,0)</f>
        <v>2</v>
      </c>
      <c r="BF399" s="28">
        <f t="shared" si="3515"/>
        <v>0</v>
      </c>
      <c r="BG399" s="28">
        <f t="shared" si="3515"/>
        <v>1</v>
      </c>
      <c r="BH399" s="28">
        <f t="shared" si="3515"/>
        <v>0</v>
      </c>
      <c r="BJ399" s="28">
        <f t="shared" ref="BJ399:BM399" si="3516">if(U399&lt;0,1+BJ398,0)</f>
        <v>0</v>
      </c>
      <c r="BK399" s="28">
        <f t="shared" si="3516"/>
        <v>1</v>
      </c>
      <c r="BL399" s="28">
        <f t="shared" si="3516"/>
        <v>0</v>
      </c>
      <c r="BM399" s="28">
        <f t="shared" si="3516"/>
        <v>1</v>
      </c>
      <c r="BO399" s="74">
        <f t="shared" ref="BO399:BR399" si="3517">if(U399&gt;0,U399+BO398,0)</f>
        <v>16</v>
      </c>
      <c r="BP399" s="74">
        <f t="shared" si="3517"/>
        <v>0</v>
      </c>
      <c r="BQ399" s="74">
        <f t="shared" si="3517"/>
        <v>8</v>
      </c>
      <c r="BR399" s="74">
        <f t="shared" si="3517"/>
        <v>0</v>
      </c>
      <c r="BT399" s="28">
        <f t="shared" ref="BT399:BW399" si="3518">if(U399&lt;0,U399+BT398,0)</f>
        <v>0</v>
      </c>
      <c r="BU399" s="28">
        <f t="shared" si="3518"/>
        <v>-8</v>
      </c>
      <c r="BV399" s="28">
        <f t="shared" si="3518"/>
        <v>0</v>
      </c>
      <c r="BW399" s="28">
        <f t="shared" si="3518"/>
        <v>-8</v>
      </c>
    </row>
    <row r="400">
      <c r="A400" s="53">
        <v>19.0</v>
      </c>
      <c r="B400" s="28">
        <f>'19a_13-01-2023_Fredag'!A33</f>
        <v>38</v>
      </c>
      <c r="C400" s="28">
        <f>'19a_13-01-2023_Fredag'!E33</f>
        <v>120</v>
      </c>
      <c r="D400" s="28">
        <f>'19a_13-01-2023_Fredag'!C33</f>
        <v>24</v>
      </c>
      <c r="E400" s="28">
        <f>'19a_13-01-2023_Fredag'!D33</f>
        <v>-60</v>
      </c>
      <c r="F400" s="28">
        <f>'19a_13-01-2023_Fredag'!B33</f>
        <v>-84</v>
      </c>
      <c r="G400" s="28">
        <f>'19a_13-01-2023_Fredag'!F33</f>
        <v>0</v>
      </c>
      <c r="H400" s="28" t="str">
        <f>'19a_13-01-2023_Fredag'!H33</f>
        <v>Christian</v>
      </c>
      <c r="I400" s="28" t="str">
        <f>'19a_13-01-2023_Fredag'!I33</f>
        <v>Peter</v>
      </c>
      <c r="J400" s="76" t="str">
        <f>'19a_13-01-2023_Fredag'!J33</f>
        <v>Thomas</v>
      </c>
      <c r="K400" s="28" t="str">
        <f>'19a_13-01-2023_Fredag'!G33</f>
        <v>8 halve</v>
      </c>
      <c r="L400" s="56"/>
      <c r="M400" s="25">
        <v>8.0</v>
      </c>
      <c r="N400" s="25" t="s">
        <v>94</v>
      </c>
      <c r="T400" s="56"/>
      <c r="U400" s="77">
        <f t="shared" ref="U400:X400" si="3519">C400-C399</f>
        <v>-10</v>
      </c>
      <c r="V400" s="28">
        <f t="shared" si="3519"/>
        <v>10</v>
      </c>
      <c r="W400" s="28">
        <f t="shared" si="3519"/>
        <v>-10</v>
      </c>
      <c r="X400" s="28">
        <f t="shared" si="3519"/>
        <v>10</v>
      </c>
      <c r="AB400" s="28" t="str">
        <f t="shared" ref="AB400:AE400" si="3520">IF(AB$3=$H400,U400,"")</f>
        <v/>
      </c>
      <c r="AC400" s="28" t="str">
        <f t="shared" si="3520"/>
        <v/>
      </c>
      <c r="AD400" s="28" t="str">
        <f t="shared" si="3520"/>
        <v/>
      </c>
      <c r="AE400" s="28">
        <f t="shared" si="3520"/>
        <v>10</v>
      </c>
      <c r="AH400" s="28">
        <f t="shared" si="22"/>
        <v>10</v>
      </c>
      <c r="AI400" s="28">
        <f t="shared" si="23"/>
        <v>0</v>
      </c>
      <c r="AK400" s="78" t="str">
        <f t="shared" ref="AK400:AN400" si="3521">IF(U400&gt;0,AK$3,"")</f>
        <v/>
      </c>
      <c r="AL400" s="78" t="str">
        <f t="shared" si="3521"/>
        <v>Peter</v>
      </c>
      <c r="AM400" s="78" t="str">
        <f t="shared" si="3521"/>
        <v/>
      </c>
      <c r="AN400" s="78" t="str">
        <f t="shared" si="3521"/>
        <v>Christian</v>
      </c>
      <c r="AO400" s="56">
        <f t="shared" si="25"/>
        <v>2</v>
      </c>
      <c r="AP400" s="8" t="str">
        <f t="shared" si="26"/>
        <v>Christian</v>
      </c>
      <c r="AQ400" s="73" t="str">
        <f>IFERROR(__xludf.DUMMYFUNCTION("IFNA(QUERY(transpose(AY400:BB400),""Select Col1 where Col1 is not null limit 1"",0))"),"Peter")</f>
        <v>Peter</v>
      </c>
      <c r="AR400" s="56"/>
      <c r="AS400" s="28" t="str">
        <f t="shared" ref="AS400:AV400" si="3522">IF(AK400=AS$3,"",AS$3)</f>
        <v>Thomas</v>
      </c>
      <c r="AT400" s="28" t="str">
        <f t="shared" si="3522"/>
        <v/>
      </c>
      <c r="AU400" s="28" t="str">
        <f t="shared" si="3522"/>
        <v>Janus</v>
      </c>
      <c r="AV400" s="28" t="str">
        <f t="shared" si="3522"/>
        <v/>
      </c>
      <c r="AW400" s="56">
        <f t="shared" si="28"/>
        <v>2</v>
      </c>
      <c r="AX400" s="28">
        <f t="shared" si="29"/>
        <v>10</v>
      </c>
      <c r="AY400" s="28" t="str">
        <f t="shared" ref="AY400:BB400" si="3523">IFNA(IFS(AY$3=$AP400,"",$AX400=U400,AY$3),"")</f>
        <v/>
      </c>
      <c r="AZ400" s="28" t="str">
        <f t="shared" si="3523"/>
        <v>Peter</v>
      </c>
      <c r="BA400" s="28" t="str">
        <f t="shared" si="3523"/>
        <v/>
      </c>
      <c r="BB400" s="28" t="str">
        <f t="shared" si="3523"/>
        <v/>
      </c>
      <c r="BC400" s="58">
        <f>OFFSET('00_Regnskab_01'!$A$1,MATCH(A400,'00_Regnskab_01'!$A$1:$A$25)-1,2)</f>
        <v>44939</v>
      </c>
      <c r="BE400" s="80">
        <f t="shared" ref="BE400:BH400" si="3524">if(U400&gt;0,1+BE399,0)</f>
        <v>0</v>
      </c>
      <c r="BF400" s="28">
        <f t="shared" si="3524"/>
        <v>1</v>
      </c>
      <c r="BG400" s="28">
        <f t="shared" si="3524"/>
        <v>0</v>
      </c>
      <c r="BH400" s="28">
        <f t="shared" si="3524"/>
        <v>1</v>
      </c>
      <c r="BJ400" s="28">
        <f t="shared" ref="BJ400:BM400" si="3525">if(U400&lt;0,1+BJ399,0)</f>
        <v>1</v>
      </c>
      <c r="BK400" s="28">
        <f t="shared" si="3525"/>
        <v>0</v>
      </c>
      <c r="BL400" s="28">
        <f t="shared" si="3525"/>
        <v>1</v>
      </c>
      <c r="BM400" s="28">
        <f t="shared" si="3525"/>
        <v>0</v>
      </c>
      <c r="BO400" s="74">
        <f t="shared" ref="BO400:BR400" si="3526">if(U400&gt;0,U400+BO399,0)</f>
        <v>0</v>
      </c>
      <c r="BP400" s="74">
        <f t="shared" si="3526"/>
        <v>10</v>
      </c>
      <c r="BQ400" s="74">
        <f t="shared" si="3526"/>
        <v>0</v>
      </c>
      <c r="BR400" s="74">
        <f t="shared" si="3526"/>
        <v>10</v>
      </c>
      <c r="BT400" s="28">
        <f t="shared" ref="BT400:BW400" si="3527">if(U400&lt;0,U400+BT399,0)</f>
        <v>-10</v>
      </c>
      <c r="BU400" s="28">
        <f t="shared" si="3527"/>
        <v>0</v>
      </c>
      <c r="BV400" s="28">
        <f t="shared" si="3527"/>
        <v>-10</v>
      </c>
      <c r="BW400" s="28">
        <f t="shared" si="3527"/>
        <v>0</v>
      </c>
    </row>
    <row r="401">
      <c r="A401" s="53">
        <v>19.0</v>
      </c>
      <c r="B401" s="28">
        <f>'19a_13-01-2023_Fredag'!A34</f>
        <v>39</v>
      </c>
      <c r="C401" s="28">
        <f>'19a_13-01-2023_Fredag'!E34</f>
        <v>128</v>
      </c>
      <c r="D401" s="28">
        <f>'19a_13-01-2023_Fredag'!C34</f>
        <v>0</v>
      </c>
      <c r="E401" s="28">
        <f>'19a_13-01-2023_Fredag'!D34</f>
        <v>-52</v>
      </c>
      <c r="F401" s="28">
        <f>'19a_13-01-2023_Fredag'!B34</f>
        <v>-76</v>
      </c>
      <c r="G401" s="28">
        <f>'19a_13-01-2023_Fredag'!F34</f>
        <v>0</v>
      </c>
      <c r="H401" s="28" t="str">
        <f>'19a_13-01-2023_Fredag'!H34</f>
        <v>Peter</v>
      </c>
      <c r="I401" s="28" t="str">
        <f>'19a_13-01-2023_Fredag'!I34</f>
        <v/>
      </c>
      <c r="J401" s="76" t="str">
        <f>'19a_13-01-2023_Fredag'!J34</f>
        <v>Christian</v>
      </c>
      <c r="K401" s="28" t="str">
        <f>'19a_13-01-2023_Fredag'!G34</f>
        <v>ren sol</v>
      </c>
      <c r="L401" s="56"/>
      <c r="N401" s="25" t="s">
        <v>97</v>
      </c>
      <c r="T401" s="56"/>
      <c r="U401" s="77">
        <f t="shared" ref="U401:X401" si="3528">C401-C400</f>
        <v>8</v>
      </c>
      <c r="V401" s="28">
        <f t="shared" si="3528"/>
        <v>-24</v>
      </c>
      <c r="W401" s="28">
        <f t="shared" si="3528"/>
        <v>8</v>
      </c>
      <c r="X401" s="28">
        <f t="shared" si="3528"/>
        <v>8</v>
      </c>
      <c r="AB401" s="28" t="str">
        <f t="shared" ref="AB401:AE401" si="3529">IF(AB$3=$H401,U401,"")</f>
        <v/>
      </c>
      <c r="AC401" s="28">
        <f t="shared" si="3529"/>
        <v>-24</v>
      </c>
      <c r="AD401" s="28" t="str">
        <f t="shared" si="3529"/>
        <v/>
      </c>
      <c r="AE401" s="28" t="str">
        <f t="shared" si="3529"/>
        <v/>
      </c>
      <c r="AH401" s="28">
        <f t="shared" si="22"/>
        <v>0</v>
      </c>
      <c r="AI401" s="28">
        <f t="shared" si="23"/>
        <v>-24</v>
      </c>
      <c r="AK401" s="78" t="str">
        <f t="shared" ref="AK401:AN401" si="3530">IF(U401&gt;0,AK$3,"")</f>
        <v>Thomas</v>
      </c>
      <c r="AL401" s="78" t="str">
        <f t="shared" si="3530"/>
        <v/>
      </c>
      <c r="AM401" s="78" t="str">
        <f t="shared" si="3530"/>
        <v>Janus</v>
      </c>
      <c r="AN401" s="78" t="str">
        <f t="shared" si="3530"/>
        <v>Christian</v>
      </c>
      <c r="AO401" s="56">
        <f t="shared" si="25"/>
        <v>3</v>
      </c>
      <c r="AP401" s="8" t="str">
        <f t="shared" si="26"/>
        <v>Peter</v>
      </c>
      <c r="AQ401" s="73" t="str">
        <f>IFERROR(__xludf.DUMMYFUNCTION("IFNA(QUERY(transpose(AY401:BB401),""Select Col1 where Col1 is not null limit 1"",0))"),"")</f>
        <v/>
      </c>
      <c r="AR401" s="56"/>
      <c r="AS401" s="28" t="str">
        <f t="shared" ref="AS401:AV401" si="3531">IF(AK401=AS$3,"",AS$3)</f>
        <v/>
      </c>
      <c r="AT401" s="28" t="str">
        <f t="shared" si="3531"/>
        <v>Peter</v>
      </c>
      <c r="AU401" s="28" t="str">
        <f t="shared" si="3531"/>
        <v/>
      </c>
      <c r="AV401" s="28" t="str">
        <f t="shared" si="3531"/>
        <v/>
      </c>
      <c r="AW401" s="56">
        <f t="shared" si="28"/>
        <v>1</v>
      </c>
      <c r="AX401" s="28">
        <f t="shared" si="29"/>
        <v>-24</v>
      </c>
      <c r="AY401" s="28" t="str">
        <f t="shared" ref="AY401:BB401" si="3532">IFNA(IFS(AY$3=$AP401,"",$AX401=U401,AY$3),"")</f>
        <v/>
      </c>
      <c r="AZ401" s="28" t="str">
        <f t="shared" si="3532"/>
        <v/>
      </c>
      <c r="BA401" s="28" t="str">
        <f t="shared" si="3532"/>
        <v/>
      </c>
      <c r="BB401" s="28" t="str">
        <f t="shared" si="3532"/>
        <v/>
      </c>
      <c r="BC401" s="58">
        <f>OFFSET('00_Regnskab_01'!$A$1,MATCH(A401,'00_Regnskab_01'!$A$1:$A$25)-1,2)</f>
        <v>44939</v>
      </c>
      <c r="BE401" s="80">
        <f t="shared" ref="BE401:BH401" si="3533">if(U401&gt;0,1+BE400,0)</f>
        <v>1</v>
      </c>
      <c r="BF401" s="28">
        <f t="shared" si="3533"/>
        <v>0</v>
      </c>
      <c r="BG401" s="28">
        <f t="shared" si="3533"/>
        <v>1</v>
      </c>
      <c r="BH401" s="28">
        <f t="shared" si="3533"/>
        <v>2</v>
      </c>
      <c r="BJ401" s="28">
        <f t="shared" ref="BJ401:BM401" si="3534">if(U401&lt;0,1+BJ400,0)</f>
        <v>0</v>
      </c>
      <c r="BK401" s="28">
        <f t="shared" si="3534"/>
        <v>1</v>
      </c>
      <c r="BL401" s="28">
        <f t="shared" si="3534"/>
        <v>0</v>
      </c>
      <c r="BM401" s="28">
        <f t="shared" si="3534"/>
        <v>0</v>
      </c>
      <c r="BO401" s="74">
        <f t="shared" ref="BO401:BR401" si="3535">if(U401&gt;0,U401+BO400,0)</f>
        <v>8</v>
      </c>
      <c r="BP401" s="74">
        <f t="shared" si="3535"/>
        <v>0</v>
      </c>
      <c r="BQ401" s="74">
        <f t="shared" si="3535"/>
        <v>8</v>
      </c>
      <c r="BR401" s="74">
        <f t="shared" si="3535"/>
        <v>18</v>
      </c>
      <c r="BT401" s="28">
        <f t="shared" ref="BT401:BW401" si="3536">if(U401&lt;0,U401+BT400,0)</f>
        <v>0</v>
      </c>
      <c r="BU401" s="28">
        <f t="shared" si="3536"/>
        <v>-24</v>
      </c>
      <c r="BV401" s="28">
        <f t="shared" si="3536"/>
        <v>0</v>
      </c>
      <c r="BW401" s="28">
        <f t="shared" si="3536"/>
        <v>0</v>
      </c>
    </row>
    <row r="402">
      <c r="A402" s="53">
        <v>19.0</v>
      </c>
      <c r="B402" s="28">
        <f>'19a_13-01-2023_Fredag'!A35</f>
        <v>40</v>
      </c>
      <c r="C402" s="28">
        <f>'19a_13-01-2023_Fredag'!E35</f>
        <v>138</v>
      </c>
      <c r="D402" s="28">
        <f>'19a_13-01-2023_Fredag'!C35</f>
        <v>10</v>
      </c>
      <c r="E402" s="28">
        <f>'19a_13-01-2023_Fredag'!D35</f>
        <v>-62</v>
      </c>
      <c r="F402" s="28">
        <f>'19a_13-01-2023_Fredag'!B35</f>
        <v>-86</v>
      </c>
      <c r="G402" s="28">
        <f>'19a_13-01-2023_Fredag'!F35</f>
        <v>0</v>
      </c>
      <c r="H402" s="28" t="str">
        <f>'19a_13-01-2023_Fredag'!H35</f>
        <v>Thomas</v>
      </c>
      <c r="I402" s="28" t="str">
        <f>'19a_13-01-2023_Fredag'!I35</f>
        <v>Peter</v>
      </c>
      <c r="J402" s="76" t="str">
        <f>'19a_13-01-2023_Fredag'!J35</f>
        <v>Peter</v>
      </c>
      <c r="K402" s="28" t="str">
        <f>'19a_13-01-2023_Fredag'!G35</f>
        <v>8 halve</v>
      </c>
      <c r="L402" s="56"/>
      <c r="M402" s="25">
        <v>8.0</v>
      </c>
      <c r="N402" s="25" t="s">
        <v>94</v>
      </c>
      <c r="T402" s="56"/>
      <c r="U402" s="77">
        <f t="shared" ref="U402:X402" si="3537">C402-C401</f>
        <v>10</v>
      </c>
      <c r="V402" s="28">
        <f t="shared" si="3537"/>
        <v>10</v>
      </c>
      <c r="W402" s="28">
        <f t="shared" si="3537"/>
        <v>-10</v>
      </c>
      <c r="X402" s="28">
        <f t="shared" si="3537"/>
        <v>-10</v>
      </c>
      <c r="AB402" s="28">
        <f t="shared" ref="AB402:AE402" si="3538">IF(AB$3=$H402,U402,"")</f>
        <v>10</v>
      </c>
      <c r="AC402" s="28" t="str">
        <f t="shared" si="3538"/>
        <v/>
      </c>
      <c r="AD402" s="28" t="str">
        <f t="shared" si="3538"/>
        <v/>
      </c>
      <c r="AE402" s="28" t="str">
        <f t="shared" si="3538"/>
        <v/>
      </c>
      <c r="AH402" s="28">
        <f t="shared" si="22"/>
        <v>10</v>
      </c>
      <c r="AI402" s="28">
        <f t="shared" si="23"/>
        <v>0</v>
      </c>
      <c r="AK402" s="78" t="str">
        <f t="shared" ref="AK402:AN402" si="3539">IF(U402&gt;0,AK$3,"")</f>
        <v>Thomas</v>
      </c>
      <c r="AL402" s="78" t="str">
        <f t="shared" si="3539"/>
        <v>Peter</v>
      </c>
      <c r="AM402" s="78" t="str">
        <f t="shared" si="3539"/>
        <v/>
      </c>
      <c r="AN402" s="78" t="str">
        <f t="shared" si="3539"/>
        <v/>
      </c>
      <c r="AO402" s="56">
        <f t="shared" si="25"/>
        <v>2</v>
      </c>
      <c r="AP402" s="8" t="str">
        <f t="shared" si="26"/>
        <v>Thomas</v>
      </c>
      <c r="AQ402" s="73" t="str">
        <f>IFERROR(__xludf.DUMMYFUNCTION("IFNA(QUERY(transpose(AY402:BB402),""Select Col1 where Col1 is not null limit 1"",0))"),"Peter")</f>
        <v>Peter</v>
      </c>
      <c r="AR402" s="56"/>
      <c r="AS402" s="28" t="str">
        <f t="shared" ref="AS402:AV402" si="3540">IF(AK402=AS$3,"",AS$3)</f>
        <v/>
      </c>
      <c r="AT402" s="28" t="str">
        <f t="shared" si="3540"/>
        <v/>
      </c>
      <c r="AU402" s="28" t="str">
        <f t="shared" si="3540"/>
        <v>Janus</v>
      </c>
      <c r="AV402" s="28" t="str">
        <f t="shared" si="3540"/>
        <v>Christian</v>
      </c>
      <c r="AW402" s="56">
        <f t="shared" si="28"/>
        <v>2</v>
      </c>
      <c r="AX402" s="28">
        <f t="shared" si="29"/>
        <v>10</v>
      </c>
      <c r="AY402" s="28" t="str">
        <f t="shared" ref="AY402:BB402" si="3541">IFNA(IFS(AY$3=$AP402,"",$AX402=U402,AY$3),"")</f>
        <v/>
      </c>
      <c r="AZ402" s="28" t="str">
        <f t="shared" si="3541"/>
        <v>Peter</v>
      </c>
      <c r="BA402" s="28" t="str">
        <f t="shared" si="3541"/>
        <v/>
      </c>
      <c r="BB402" s="28" t="str">
        <f t="shared" si="3541"/>
        <v/>
      </c>
      <c r="BC402" s="58">
        <f>OFFSET('00_Regnskab_01'!$A$1,MATCH(A402,'00_Regnskab_01'!$A$1:$A$25)-1,2)</f>
        <v>44939</v>
      </c>
      <c r="BE402" s="80">
        <f t="shared" ref="BE402:BH402" si="3542">if(U402&gt;0,1+BE401,0)</f>
        <v>2</v>
      </c>
      <c r="BF402" s="28">
        <f t="shared" si="3542"/>
        <v>1</v>
      </c>
      <c r="BG402" s="28">
        <f t="shared" si="3542"/>
        <v>0</v>
      </c>
      <c r="BH402" s="28">
        <f t="shared" si="3542"/>
        <v>0</v>
      </c>
      <c r="BJ402" s="28">
        <f t="shared" ref="BJ402:BM402" si="3543">if(U402&lt;0,1+BJ401,0)</f>
        <v>0</v>
      </c>
      <c r="BK402" s="28">
        <f t="shared" si="3543"/>
        <v>0</v>
      </c>
      <c r="BL402" s="28">
        <f t="shared" si="3543"/>
        <v>1</v>
      </c>
      <c r="BM402" s="28">
        <f t="shared" si="3543"/>
        <v>1</v>
      </c>
      <c r="BO402" s="74">
        <f t="shared" ref="BO402:BR402" si="3544">if(U402&gt;0,U402+BO401,0)</f>
        <v>18</v>
      </c>
      <c r="BP402" s="74">
        <f t="shared" si="3544"/>
        <v>10</v>
      </c>
      <c r="BQ402" s="74">
        <f t="shared" si="3544"/>
        <v>0</v>
      </c>
      <c r="BR402" s="74">
        <f t="shared" si="3544"/>
        <v>0</v>
      </c>
      <c r="BT402" s="28">
        <f t="shared" ref="BT402:BW402" si="3545">if(U402&lt;0,U402+BT401,0)</f>
        <v>0</v>
      </c>
      <c r="BU402" s="28">
        <f t="shared" si="3545"/>
        <v>0</v>
      </c>
      <c r="BV402" s="28">
        <f t="shared" si="3545"/>
        <v>-10</v>
      </c>
      <c r="BW402" s="28">
        <f t="shared" si="3545"/>
        <v>-10</v>
      </c>
    </row>
    <row r="403">
      <c r="A403" s="53">
        <v>19.0</v>
      </c>
      <c r="B403" s="28">
        <f>'19a_13-01-2023_Fredag'!A36</f>
        <v>41</v>
      </c>
      <c r="C403" s="28">
        <f>'19a_13-01-2023_Fredag'!E36</f>
        <v>-54</v>
      </c>
      <c r="D403" s="28">
        <f>'19a_13-01-2023_Fredag'!C36</f>
        <v>-182</v>
      </c>
      <c r="E403" s="28">
        <f>'19a_13-01-2023_Fredag'!D36</f>
        <v>130</v>
      </c>
      <c r="F403" s="28">
        <f>'19a_13-01-2023_Fredag'!B36</f>
        <v>106</v>
      </c>
      <c r="G403" s="28">
        <f>'19a_13-01-2023_Fredag'!F36</f>
        <v>0</v>
      </c>
      <c r="H403" s="28" t="str">
        <f>'19a_13-01-2023_Fredag'!H36</f>
        <v>Janus</v>
      </c>
      <c r="I403" s="28" t="str">
        <f>'19a_13-01-2023_Fredag'!I36</f>
        <v>Christian</v>
      </c>
      <c r="J403" s="76" t="str">
        <f>'19a_13-01-2023_Fredag'!J36</f>
        <v>Janus</v>
      </c>
      <c r="K403" s="28" t="str">
        <f>'19a_13-01-2023_Fredag'!G36</f>
        <v>9 vip 3 - gode</v>
      </c>
      <c r="L403" s="56"/>
      <c r="M403" s="25">
        <v>9.0</v>
      </c>
      <c r="N403" s="25" t="s">
        <v>86</v>
      </c>
      <c r="O403" s="25">
        <v>3.0</v>
      </c>
      <c r="R403" s="25" t="s">
        <v>15</v>
      </c>
      <c r="T403" s="56"/>
      <c r="U403" s="77">
        <f t="shared" ref="U403:X403" si="3546">C403-C402</f>
        <v>-192</v>
      </c>
      <c r="V403" s="28">
        <f t="shared" si="3546"/>
        <v>-192</v>
      </c>
      <c r="W403" s="28">
        <f t="shared" si="3546"/>
        <v>192</v>
      </c>
      <c r="X403" s="28">
        <f t="shared" si="3546"/>
        <v>192</v>
      </c>
      <c r="AB403" s="28" t="str">
        <f t="shared" ref="AB403:AE403" si="3547">IF(AB$3=$H403,U403,"")</f>
        <v/>
      </c>
      <c r="AC403" s="28" t="str">
        <f t="shared" si="3547"/>
        <v/>
      </c>
      <c r="AD403" s="28">
        <f t="shared" si="3547"/>
        <v>192</v>
      </c>
      <c r="AE403" s="28" t="str">
        <f t="shared" si="3547"/>
        <v/>
      </c>
      <c r="AH403" s="28">
        <f t="shared" si="22"/>
        <v>192</v>
      </c>
      <c r="AI403" s="28">
        <f t="shared" si="23"/>
        <v>0</v>
      </c>
      <c r="AK403" s="78" t="str">
        <f t="shared" ref="AK403:AN403" si="3548">IF(U403&gt;0,AK$3,"")</f>
        <v/>
      </c>
      <c r="AL403" s="78" t="str">
        <f t="shared" si="3548"/>
        <v/>
      </c>
      <c r="AM403" s="78" t="str">
        <f t="shared" si="3548"/>
        <v>Janus</v>
      </c>
      <c r="AN403" s="78" t="str">
        <f t="shared" si="3548"/>
        <v>Christian</v>
      </c>
      <c r="AO403" s="56">
        <f t="shared" si="25"/>
        <v>2</v>
      </c>
      <c r="AP403" s="8" t="str">
        <f t="shared" si="26"/>
        <v>Janus</v>
      </c>
      <c r="AQ403" s="73" t="str">
        <f>IFERROR(__xludf.DUMMYFUNCTION("IFNA(QUERY(transpose(AY403:BB403),""Select Col1 where Col1 is not null limit 1"",0))"),"Christian")</f>
        <v>Christian</v>
      </c>
      <c r="AR403" s="56"/>
      <c r="AS403" s="28" t="str">
        <f t="shared" ref="AS403:AV403" si="3549">IF(AK403=AS$3,"",AS$3)</f>
        <v>Thomas</v>
      </c>
      <c r="AT403" s="28" t="str">
        <f t="shared" si="3549"/>
        <v>Peter</v>
      </c>
      <c r="AU403" s="28" t="str">
        <f t="shared" si="3549"/>
        <v/>
      </c>
      <c r="AV403" s="28" t="str">
        <f t="shared" si="3549"/>
        <v/>
      </c>
      <c r="AW403" s="56">
        <f t="shared" si="28"/>
        <v>2</v>
      </c>
      <c r="AX403" s="28">
        <f t="shared" si="29"/>
        <v>192</v>
      </c>
      <c r="AY403" s="28" t="str">
        <f t="shared" ref="AY403:BB403" si="3550">IFNA(IFS(AY$3=$AP403,"",$AX403=U403,AY$3),"")</f>
        <v/>
      </c>
      <c r="AZ403" s="28" t="str">
        <f t="shared" si="3550"/>
        <v/>
      </c>
      <c r="BA403" s="28" t="str">
        <f t="shared" si="3550"/>
        <v/>
      </c>
      <c r="BB403" s="28" t="str">
        <f t="shared" si="3550"/>
        <v>Christian</v>
      </c>
      <c r="BC403" s="58">
        <f>OFFSET('00_Regnskab_01'!$A$1,MATCH(A403,'00_Regnskab_01'!$A$1:$A$25)-1,2)</f>
        <v>44939</v>
      </c>
      <c r="BE403" s="80">
        <f t="shared" ref="BE403:BH403" si="3551">if(U403&gt;0,1+BE402,0)</f>
        <v>0</v>
      </c>
      <c r="BF403" s="28">
        <f t="shared" si="3551"/>
        <v>0</v>
      </c>
      <c r="BG403" s="28">
        <f t="shared" si="3551"/>
        <v>1</v>
      </c>
      <c r="BH403" s="28">
        <f t="shared" si="3551"/>
        <v>1</v>
      </c>
      <c r="BJ403" s="28">
        <f t="shared" ref="BJ403:BM403" si="3552">if(U403&lt;0,1+BJ402,0)</f>
        <v>1</v>
      </c>
      <c r="BK403" s="28">
        <f t="shared" si="3552"/>
        <v>1</v>
      </c>
      <c r="BL403" s="28">
        <f t="shared" si="3552"/>
        <v>0</v>
      </c>
      <c r="BM403" s="28">
        <f t="shared" si="3552"/>
        <v>0</v>
      </c>
      <c r="BO403" s="74">
        <f t="shared" ref="BO403:BR403" si="3553">if(U403&gt;0,U403+BO402,0)</f>
        <v>0</v>
      </c>
      <c r="BP403" s="74">
        <f t="shared" si="3553"/>
        <v>0</v>
      </c>
      <c r="BQ403" s="74">
        <f t="shared" si="3553"/>
        <v>192</v>
      </c>
      <c r="BR403" s="74">
        <f t="shared" si="3553"/>
        <v>192</v>
      </c>
      <c r="BT403" s="28">
        <f t="shared" ref="BT403:BW403" si="3554">if(U403&lt;0,U403+BT402,0)</f>
        <v>-192</v>
      </c>
      <c r="BU403" s="28">
        <f t="shared" si="3554"/>
        <v>-192</v>
      </c>
      <c r="BV403" s="28">
        <f t="shared" si="3554"/>
        <v>0</v>
      </c>
      <c r="BW403" s="28">
        <f t="shared" si="3554"/>
        <v>0</v>
      </c>
    </row>
    <row r="404">
      <c r="A404" s="53">
        <v>19.0</v>
      </c>
      <c r="B404" s="28">
        <f>'19a_13-01-2023_Fredag'!A37</f>
        <v>42</v>
      </c>
      <c r="C404" s="28">
        <f>'19a_13-01-2023_Fredag'!E37</f>
        <v>42</v>
      </c>
      <c r="D404" s="28">
        <f>'19a_13-01-2023_Fredag'!C37</f>
        <v>-214</v>
      </c>
      <c r="E404" s="28">
        <f>'19a_13-01-2023_Fredag'!D37</f>
        <v>98</v>
      </c>
      <c r="F404" s="28">
        <f>'19a_13-01-2023_Fredag'!B37</f>
        <v>74</v>
      </c>
      <c r="G404" s="28">
        <f>'19a_13-01-2023_Fredag'!F37</f>
        <v>0</v>
      </c>
      <c r="H404" s="28" t="str">
        <f>'19a_13-01-2023_Fredag'!H37</f>
        <v>Thomas</v>
      </c>
      <c r="I404" s="28" t="str">
        <f>'19a_13-01-2023_Fredag'!I37</f>
        <v/>
      </c>
      <c r="J404" s="76" t="str">
        <f>'19a_13-01-2023_Fredag'!J37</f>
        <v>Thomas</v>
      </c>
      <c r="K404" s="28" t="str">
        <f>'19a_13-01-2023_Fredag'!G37</f>
        <v>9 vip i 2 - selvmakker - gode es</v>
      </c>
      <c r="L404" s="56"/>
      <c r="M404" s="25">
        <v>9.0</v>
      </c>
      <c r="N404" s="25" t="s">
        <v>86</v>
      </c>
      <c r="O404" s="25">
        <v>2.0</v>
      </c>
      <c r="R404" s="25" t="s">
        <v>15</v>
      </c>
      <c r="T404" s="56"/>
      <c r="U404" s="77">
        <f t="shared" ref="U404:X404" si="3555">C404-C403</f>
        <v>96</v>
      </c>
      <c r="V404" s="28">
        <f t="shared" si="3555"/>
        <v>-32</v>
      </c>
      <c r="W404" s="28">
        <f t="shared" si="3555"/>
        <v>-32</v>
      </c>
      <c r="X404" s="28">
        <f t="shared" si="3555"/>
        <v>-32</v>
      </c>
      <c r="AB404" s="28">
        <f t="shared" ref="AB404:AE404" si="3556">IF(AB$3=$H404,U404,"")</f>
        <v>96</v>
      </c>
      <c r="AC404" s="28" t="str">
        <f t="shared" si="3556"/>
        <v/>
      </c>
      <c r="AD404" s="28" t="str">
        <f t="shared" si="3556"/>
        <v/>
      </c>
      <c r="AE404" s="28" t="str">
        <f t="shared" si="3556"/>
        <v/>
      </c>
      <c r="AH404" s="28">
        <f t="shared" si="22"/>
        <v>96</v>
      </c>
      <c r="AI404" s="28">
        <f t="shared" si="23"/>
        <v>0</v>
      </c>
      <c r="AK404" s="78" t="str">
        <f t="shared" ref="AK404:AN404" si="3557">IF(U404&gt;0,AK$3,"")</f>
        <v>Thomas</v>
      </c>
      <c r="AL404" s="78" t="str">
        <f t="shared" si="3557"/>
        <v/>
      </c>
      <c r="AM404" s="78" t="str">
        <f t="shared" si="3557"/>
        <v/>
      </c>
      <c r="AN404" s="78" t="str">
        <f t="shared" si="3557"/>
        <v/>
      </c>
      <c r="AO404" s="56">
        <f t="shared" si="25"/>
        <v>1</v>
      </c>
      <c r="AP404" s="8" t="str">
        <f t="shared" si="26"/>
        <v>Thomas</v>
      </c>
      <c r="AQ404" s="73" t="str">
        <f>IFERROR(__xludf.DUMMYFUNCTION("IFNA(QUERY(transpose(AY404:BB404),""Select Col1 where Col1 is not null limit 1"",0))"),"")</f>
        <v/>
      </c>
      <c r="AR404" s="56"/>
      <c r="AS404" s="28" t="str">
        <f t="shared" ref="AS404:AV404" si="3558">IF(AK404=AS$3,"",AS$3)</f>
        <v/>
      </c>
      <c r="AT404" s="28" t="str">
        <f t="shared" si="3558"/>
        <v>Peter</v>
      </c>
      <c r="AU404" s="28" t="str">
        <f t="shared" si="3558"/>
        <v>Janus</v>
      </c>
      <c r="AV404" s="28" t="str">
        <f t="shared" si="3558"/>
        <v>Christian</v>
      </c>
      <c r="AW404" s="56">
        <f t="shared" si="28"/>
        <v>3</v>
      </c>
      <c r="AX404" s="28">
        <f t="shared" si="29"/>
        <v>96</v>
      </c>
      <c r="AY404" s="28" t="str">
        <f t="shared" ref="AY404:BB404" si="3559">IFNA(IFS(AY$3=$AP404,"",$AX404=U404,AY$3),"")</f>
        <v/>
      </c>
      <c r="AZ404" s="28" t="str">
        <f t="shared" si="3559"/>
        <v/>
      </c>
      <c r="BA404" s="28" t="str">
        <f t="shared" si="3559"/>
        <v/>
      </c>
      <c r="BB404" s="28" t="str">
        <f t="shared" si="3559"/>
        <v/>
      </c>
      <c r="BC404" s="58">
        <f>OFFSET('00_Regnskab_01'!$A$1,MATCH(A404,'00_Regnskab_01'!$A$1:$A$25)-1,2)</f>
        <v>44939</v>
      </c>
      <c r="BE404" s="80">
        <f t="shared" ref="BE404:BH404" si="3560">if(U404&gt;0,1+BE403,0)</f>
        <v>1</v>
      </c>
      <c r="BF404" s="28">
        <f t="shared" si="3560"/>
        <v>0</v>
      </c>
      <c r="BG404" s="28">
        <f t="shared" si="3560"/>
        <v>0</v>
      </c>
      <c r="BH404" s="28">
        <f t="shared" si="3560"/>
        <v>0</v>
      </c>
      <c r="BJ404" s="28">
        <f t="shared" ref="BJ404:BM404" si="3561">if(U404&lt;0,1+BJ403,0)</f>
        <v>0</v>
      </c>
      <c r="BK404" s="28">
        <f t="shared" si="3561"/>
        <v>2</v>
      </c>
      <c r="BL404" s="28">
        <f t="shared" si="3561"/>
        <v>1</v>
      </c>
      <c r="BM404" s="28">
        <f t="shared" si="3561"/>
        <v>1</v>
      </c>
      <c r="BO404" s="74">
        <f t="shared" ref="BO404:BR404" si="3562">if(U404&gt;0,U404+BO403,0)</f>
        <v>96</v>
      </c>
      <c r="BP404" s="74">
        <f t="shared" si="3562"/>
        <v>0</v>
      </c>
      <c r="BQ404" s="74">
        <f t="shared" si="3562"/>
        <v>0</v>
      </c>
      <c r="BR404" s="74">
        <f t="shared" si="3562"/>
        <v>0</v>
      </c>
      <c r="BT404" s="28">
        <f t="shared" ref="BT404:BW404" si="3563">if(U404&lt;0,U404+BT403,0)</f>
        <v>0</v>
      </c>
      <c r="BU404" s="28">
        <f t="shared" si="3563"/>
        <v>-224</v>
      </c>
      <c r="BV404" s="28">
        <f t="shared" si="3563"/>
        <v>-32</v>
      </c>
      <c r="BW404" s="28">
        <f t="shared" si="3563"/>
        <v>-32</v>
      </c>
    </row>
    <row r="405">
      <c r="A405" s="53">
        <v>19.0</v>
      </c>
      <c r="B405" s="28">
        <f>'19a_13-01-2023_Fredag'!A38</f>
        <v>43</v>
      </c>
      <c r="C405" s="28">
        <f>'19a_13-01-2023_Fredag'!E38</f>
        <v>38</v>
      </c>
      <c r="D405" s="28">
        <f>'19a_13-01-2023_Fredag'!C38</f>
        <v>-210</v>
      </c>
      <c r="E405" s="28">
        <f>'19a_13-01-2023_Fredag'!D38</f>
        <v>94</v>
      </c>
      <c r="F405" s="28">
        <f>'19a_13-01-2023_Fredag'!B38</f>
        <v>78</v>
      </c>
      <c r="G405" s="28">
        <f>'19a_13-01-2023_Fredag'!F38</f>
        <v>0</v>
      </c>
      <c r="H405" s="28" t="str">
        <f>'19a_13-01-2023_Fredag'!H38</f>
        <v>Peter</v>
      </c>
      <c r="I405" s="28" t="str">
        <f>'19a_13-01-2023_Fredag'!I38</f>
        <v>Christian</v>
      </c>
      <c r="J405" s="76" t="str">
        <f>'19a_13-01-2023_Fredag'!J38</f>
        <v>Christian</v>
      </c>
      <c r="K405" s="28" t="str">
        <f>'19a_13-01-2023_Fredag'!G38</f>
        <v>9 alm</v>
      </c>
      <c r="L405" s="56"/>
      <c r="M405" s="25">
        <v>9.0</v>
      </c>
      <c r="N405" s="25" t="s">
        <v>100</v>
      </c>
      <c r="T405" s="56"/>
      <c r="U405" s="77">
        <f t="shared" ref="U405:X405" si="3564">C405-C404</f>
        <v>-4</v>
      </c>
      <c r="V405" s="28">
        <f t="shared" si="3564"/>
        <v>4</v>
      </c>
      <c r="W405" s="28">
        <f t="shared" si="3564"/>
        <v>-4</v>
      </c>
      <c r="X405" s="28">
        <f t="shared" si="3564"/>
        <v>4</v>
      </c>
      <c r="AB405" s="28" t="str">
        <f t="shared" ref="AB405:AE405" si="3565">IF(AB$3=$H405,U405,"")</f>
        <v/>
      </c>
      <c r="AC405" s="28">
        <f t="shared" si="3565"/>
        <v>4</v>
      </c>
      <c r="AD405" s="28" t="str">
        <f t="shared" si="3565"/>
        <v/>
      </c>
      <c r="AE405" s="28" t="str">
        <f t="shared" si="3565"/>
        <v/>
      </c>
      <c r="AH405" s="28">
        <f t="shared" si="22"/>
        <v>4</v>
      </c>
      <c r="AI405" s="28">
        <f t="shared" si="23"/>
        <v>0</v>
      </c>
      <c r="AK405" s="78" t="str">
        <f t="shared" ref="AK405:AN405" si="3566">IF(U405&gt;0,AK$3,"")</f>
        <v/>
      </c>
      <c r="AL405" s="78" t="str">
        <f t="shared" si="3566"/>
        <v>Peter</v>
      </c>
      <c r="AM405" s="78" t="str">
        <f t="shared" si="3566"/>
        <v/>
      </c>
      <c r="AN405" s="78" t="str">
        <f t="shared" si="3566"/>
        <v>Christian</v>
      </c>
      <c r="AO405" s="56">
        <f t="shared" si="25"/>
        <v>2</v>
      </c>
      <c r="AP405" s="8" t="str">
        <f t="shared" si="26"/>
        <v>Peter</v>
      </c>
      <c r="AQ405" s="73" t="str">
        <f>IFERROR(__xludf.DUMMYFUNCTION("IFNA(QUERY(transpose(AY405:BB405),""Select Col1 where Col1 is not null limit 1"",0))"),"Christian")</f>
        <v>Christian</v>
      </c>
      <c r="AR405" s="56"/>
      <c r="AS405" s="28" t="str">
        <f t="shared" ref="AS405:AV405" si="3567">IF(AK405=AS$3,"",AS$3)</f>
        <v>Thomas</v>
      </c>
      <c r="AT405" s="28" t="str">
        <f t="shared" si="3567"/>
        <v/>
      </c>
      <c r="AU405" s="28" t="str">
        <f t="shared" si="3567"/>
        <v>Janus</v>
      </c>
      <c r="AV405" s="28" t="str">
        <f t="shared" si="3567"/>
        <v/>
      </c>
      <c r="AW405" s="56">
        <f t="shared" si="28"/>
        <v>2</v>
      </c>
      <c r="AX405" s="28">
        <f t="shared" si="29"/>
        <v>4</v>
      </c>
      <c r="AY405" s="28" t="str">
        <f t="shared" ref="AY405:BB405" si="3568">IFNA(IFS(AY$3=$AP405,"",$AX405=U405,AY$3),"")</f>
        <v/>
      </c>
      <c r="AZ405" s="28" t="str">
        <f t="shared" si="3568"/>
        <v/>
      </c>
      <c r="BA405" s="28" t="str">
        <f t="shared" si="3568"/>
        <v/>
      </c>
      <c r="BB405" s="28" t="str">
        <f t="shared" si="3568"/>
        <v>Christian</v>
      </c>
      <c r="BC405" s="58">
        <f>OFFSET('00_Regnskab_01'!$A$1,MATCH(A405,'00_Regnskab_01'!$A$1:$A$25)-1,2)</f>
        <v>44939</v>
      </c>
      <c r="BE405" s="80">
        <f t="shared" ref="BE405:BH405" si="3569">if(U405&gt;0,1+BE404,0)</f>
        <v>0</v>
      </c>
      <c r="BF405" s="28">
        <f t="shared" si="3569"/>
        <v>1</v>
      </c>
      <c r="BG405" s="28">
        <f t="shared" si="3569"/>
        <v>0</v>
      </c>
      <c r="BH405" s="28">
        <f t="shared" si="3569"/>
        <v>1</v>
      </c>
      <c r="BJ405" s="28">
        <f t="shared" ref="BJ405:BM405" si="3570">if(U405&lt;0,1+BJ404,0)</f>
        <v>1</v>
      </c>
      <c r="BK405" s="28">
        <f t="shared" si="3570"/>
        <v>0</v>
      </c>
      <c r="BL405" s="28">
        <f t="shared" si="3570"/>
        <v>2</v>
      </c>
      <c r="BM405" s="28">
        <f t="shared" si="3570"/>
        <v>0</v>
      </c>
      <c r="BO405" s="74">
        <f t="shared" ref="BO405:BR405" si="3571">if(U405&gt;0,U405+BO404,0)</f>
        <v>0</v>
      </c>
      <c r="BP405" s="74">
        <f t="shared" si="3571"/>
        <v>4</v>
      </c>
      <c r="BQ405" s="74">
        <f t="shared" si="3571"/>
        <v>0</v>
      </c>
      <c r="BR405" s="74">
        <f t="shared" si="3571"/>
        <v>4</v>
      </c>
      <c r="BT405" s="28">
        <f t="shared" ref="BT405:BW405" si="3572">if(U405&lt;0,U405+BT404,0)</f>
        <v>-4</v>
      </c>
      <c r="BU405" s="28">
        <f t="shared" si="3572"/>
        <v>0</v>
      </c>
      <c r="BV405" s="28">
        <f t="shared" si="3572"/>
        <v>-36</v>
      </c>
      <c r="BW405" s="28">
        <f t="shared" si="3572"/>
        <v>0</v>
      </c>
    </row>
    <row r="406">
      <c r="A406" s="53">
        <v>19.0</v>
      </c>
      <c r="B406" s="28">
        <f>'19a_13-01-2023_Fredag'!A39</f>
        <v>44</v>
      </c>
      <c r="C406" s="28">
        <f>'19a_13-01-2023_Fredag'!E39</f>
        <v>22</v>
      </c>
      <c r="D406" s="28">
        <f>'19a_13-01-2023_Fredag'!C39</f>
        <v>-194</v>
      </c>
      <c r="E406" s="28">
        <f>'19a_13-01-2023_Fredag'!D39</f>
        <v>78</v>
      </c>
      <c r="F406" s="28">
        <f>'19a_13-01-2023_Fredag'!B39</f>
        <v>94</v>
      </c>
      <c r="G406" s="28">
        <f>'19a_13-01-2023_Fredag'!F39</f>
        <v>0</v>
      </c>
      <c r="H406" s="28" t="str">
        <f>'19a_13-01-2023_Fredag'!H39</f>
        <v>Thomas</v>
      </c>
      <c r="I406" s="28" t="str">
        <f>'19a_13-01-2023_Fredag'!I39</f>
        <v>Janus</v>
      </c>
      <c r="J406" s="76" t="str">
        <f>'19a_13-01-2023_Fredag'!J39</f>
        <v>Peter</v>
      </c>
      <c r="K406" s="28" t="str">
        <f>'19a_13-01-2023_Fredag'!G39</f>
        <v>9 vip i 2 - hjerte</v>
      </c>
      <c r="L406" s="56"/>
      <c r="M406" s="25">
        <v>9.0</v>
      </c>
      <c r="N406" s="25" t="s">
        <v>86</v>
      </c>
      <c r="O406" s="25">
        <v>2.0</v>
      </c>
      <c r="T406" s="56"/>
      <c r="U406" s="77">
        <f t="shared" ref="U406:X406" si="3573">C406-C405</f>
        <v>-16</v>
      </c>
      <c r="V406" s="28">
        <f t="shared" si="3573"/>
        <v>16</v>
      </c>
      <c r="W406" s="28">
        <f t="shared" si="3573"/>
        <v>-16</v>
      </c>
      <c r="X406" s="28">
        <f t="shared" si="3573"/>
        <v>16</v>
      </c>
      <c r="AB406" s="28">
        <f t="shared" ref="AB406:AE406" si="3574">IF(AB$3=$H406,U406,"")</f>
        <v>-16</v>
      </c>
      <c r="AC406" s="28" t="str">
        <f t="shared" si="3574"/>
        <v/>
      </c>
      <c r="AD406" s="28" t="str">
        <f t="shared" si="3574"/>
        <v/>
      </c>
      <c r="AE406" s="28" t="str">
        <f t="shared" si="3574"/>
        <v/>
      </c>
      <c r="AH406" s="28">
        <f t="shared" si="22"/>
        <v>0</v>
      </c>
      <c r="AI406" s="28">
        <f t="shared" si="23"/>
        <v>-16</v>
      </c>
      <c r="AK406" s="78" t="str">
        <f t="shared" ref="AK406:AN406" si="3575">IF(U406&gt;0,AK$3,"")</f>
        <v/>
      </c>
      <c r="AL406" s="78" t="str">
        <f t="shared" si="3575"/>
        <v>Peter</v>
      </c>
      <c r="AM406" s="78" t="str">
        <f t="shared" si="3575"/>
        <v/>
      </c>
      <c r="AN406" s="78" t="str">
        <f t="shared" si="3575"/>
        <v>Christian</v>
      </c>
      <c r="AO406" s="56">
        <f t="shared" si="25"/>
        <v>2</v>
      </c>
      <c r="AP406" s="8" t="str">
        <f t="shared" si="26"/>
        <v>Thomas</v>
      </c>
      <c r="AQ406" s="73" t="str">
        <f>IFERROR(__xludf.DUMMYFUNCTION("IFNA(QUERY(transpose(AY406:BB406),""Select Col1 where Col1 is not null limit 1"",0))"),"Janus")</f>
        <v>Janus</v>
      </c>
      <c r="AR406" s="56"/>
      <c r="AS406" s="28" t="str">
        <f t="shared" ref="AS406:AV406" si="3576">IF(AK406=AS$3,"",AS$3)</f>
        <v>Thomas</v>
      </c>
      <c r="AT406" s="28" t="str">
        <f t="shared" si="3576"/>
        <v/>
      </c>
      <c r="AU406" s="28" t="str">
        <f t="shared" si="3576"/>
        <v>Janus</v>
      </c>
      <c r="AV406" s="28" t="str">
        <f t="shared" si="3576"/>
        <v/>
      </c>
      <c r="AW406" s="56">
        <f t="shared" si="28"/>
        <v>2</v>
      </c>
      <c r="AX406" s="28">
        <f t="shared" si="29"/>
        <v>-16</v>
      </c>
      <c r="AY406" s="28" t="str">
        <f t="shared" ref="AY406:BB406" si="3577">IFNA(IFS(AY$3=$AP406,"",$AX406=U406,AY$3),"")</f>
        <v/>
      </c>
      <c r="AZ406" s="28" t="str">
        <f t="shared" si="3577"/>
        <v/>
      </c>
      <c r="BA406" s="28" t="str">
        <f t="shared" si="3577"/>
        <v>Janus</v>
      </c>
      <c r="BB406" s="28" t="str">
        <f t="shared" si="3577"/>
        <v/>
      </c>
      <c r="BC406" s="58">
        <f>OFFSET('00_Regnskab_01'!$A$1,MATCH(A406,'00_Regnskab_01'!$A$1:$A$25)-1,2)</f>
        <v>44939</v>
      </c>
      <c r="BE406" s="80">
        <f t="shared" ref="BE406:BH406" si="3578">if(U406&gt;0,1+BE405,0)</f>
        <v>0</v>
      </c>
      <c r="BF406" s="28">
        <f t="shared" si="3578"/>
        <v>2</v>
      </c>
      <c r="BG406" s="28">
        <f t="shared" si="3578"/>
        <v>0</v>
      </c>
      <c r="BH406" s="28">
        <f t="shared" si="3578"/>
        <v>2</v>
      </c>
      <c r="BJ406" s="28">
        <f t="shared" ref="BJ406:BM406" si="3579">if(U406&lt;0,1+BJ405,0)</f>
        <v>2</v>
      </c>
      <c r="BK406" s="28">
        <f t="shared" si="3579"/>
        <v>0</v>
      </c>
      <c r="BL406" s="28">
        <f t="shared" si="3579"/>
        <v>3</v>
      </c>
      <c r="BM406" s="28">
        <f t="shared" si="3579"/>
        <v>0</v>
      </c>
      <c r="BO406" s="74">
        <f t="shared" ref="BO406:BR406" si="3580">if(U406&gt;0,U406+BO405,0)</f>
        <v>0</v>
      </c>
      <c r="BP406" s="74">
        <f t="shared" si="3580"/>
        <v>20</v>
      </c>
      <c r="BQ406" s="74">
        <f t="shared" si="3580"/>
        <v>0</v>
      </c>
      <c r="BR406" s="74">
        <f t="shared" si="3580"/>
        <v>20</v>
      </c>
      <c r="BT406" s="28">
        <f t="shared" ref="BT406:BW406" si="3581">if(U406&lt;0,U406+BT405,0)</f>
        <v>-20</v>
      </c>
      <c r="BU406" s="28">
        <f t="shared" si="3581"/>
        <v>0</v>
      </c>
      <c r="BV406" s="28">
        <f t="shared" si="3581"/>
        <v>-52</v>
      </c>
      <c r="BW406" s="28">
        <f t="shared" si="3581"/>
        <v>0</v>
      </c>
    </row>
    <row r="407">
      <c r="A407" s="53">
        <v>19.0</v>
      </c>
      <c r="B407" s="28">
        <f>'19a_13-01-2023_Fredag'!A40</f>
        <v>45</v>
      </c>
      <c r="C407" s="28">
        <f>'19a_13-01-2023_Fredag'!E40</f>
        <v>18</v>
      </c>
      <c r="D407" s="28">
        <f>'19a_13-01-2023_Fredag'!C40</f>
        <v>-198</v>
      </c>
      <c r="E407" s="28">
        <f>'19a_13-01-2023_Fredag'!D40</f>
        <v>90</v>
      </c>
      <c r="F407" s="28">
        <f>'19a_13-01-2023_Fredag'!B40</f>
        <v>90</v>
      </c>
      <c r="G407" s="28">
        <f>'19a_13-01-2023_Fredag'!F40</f>
        <v>0</v>
      </c>
      <c r="H407" s="28" t="str">
        <f>'19a_13-01-2023_Fredag'!H40</f>
        <v/>
      </c>
      <c r="I407" s="28" t="str">
        <f>'19a_13-01-2023_Fredag'!I40</f>
        <v/>
      </c>
      <c r="J407" s="76" t="str">
        <f>'19a_13-01-2023_Fredag'!J40</f>
        <v>Janus</v>
      </c>
      <c r="K407" s="28" t="str">
        <f>'19a_13-01-2023_Fredag'!G40</f>
        <v>sol</v>
      </c>
      <c r="L407" s="56"/>
      <c r="N407" s="25" t="s">
        <v>99</v>
      </c>
      <c r="T407" s="56"/>
      <c r="U407" s="77">
        <f t="shared" ref="U407:X407" si="3582">C407-C406</f>
        <v>-4</v>
      </c>
      <c r="V407" s="28">
        <f t="shared" si="3582"/>
        <v>-4</v>
      </c>
      <c r="W407" s="28">
        <f t="shared" si="3582"/>
        <v>12</v>
      </c>
      <c r="X407" s="28">
        <f t="shared" si="3582"/>
        <v>-4</v>
      </c>
      <c r="AB407" s="28" t="str">
        <f t="shared" ref="AB407:AE407" si="3583">IF(AB$3=$H407,U407,"")</f>
        <v/>
      </c>
      <c r="AC407" s="28" t="str">
        <f t="shared" si="3583"/>
        <v/>
      </c>
      <c r="AD407" s="28" t="str">
        <f t="shared" si="3583"/>
        <v/>
      </c>
      <c r="AE407" s="28" t="str">
        <f t="shared" si="3583"/>
        <v/>
      </c>
      <c r="AH407" s="28">
        <f t="shared" si="22"/>
        <v>0</v>
      </c>
      <c r="AI407" s="28">
        <f t="shared" si="23"/>
        <v>0</v>
      </c>
      <c r="AK407" s="78" t="str">
        <f t="shared" ref="AK407:AN407" si="3584">IF(U407&gt;0,AK$3,"")</f>
        <v/>
      </c>
      <c r="AL407" s="78" t="str">
        <f t="shared" si="3584"/>
        <v/>
      </c>
      <c r="AM407" s="78" t="str">
        <f t="shared" si="3584"/>
        <v>Janus</v>
      </c>
      <c r="AN407" s="78" t="str">
        <f t="shared" si="3584"/>
        <v/>
      </c>
      <c r="AO407" s="56">
        <f t="shared" si="25"/>
        <v>1</v>
      </c>
      <c r="AP407" s="8" t="str">
        <f t="shared" si="26"/>
        <v/>
      </c>
      <c r="AQ407" s="73" t="str">
        <f>IFERROR(__xludf.DUMMYFUNCTION("IFNA(QUERY(transpose(AY407:BB407),""Select Col1 where Col1 is not null limit 1"",0))"),"")</f>
        <v/>
      </c>
      <c r="AR407" s="56"/>
      <c r="AS407" s="28" t="str">
        <f t="shared" ref="AS407:AV407" si="3585">IF(AK407=AS$3,"",AS$3)</f>
        <v>Thomas</v>
      </c>
      <c r="AT407" s="28" t="str">
        <f t="shared" si="3585"/>
        <v>Peter</v>
      </c>
      <c r="AU407" s="28" t="str">
        <f t="shared" si="3585"/>
        <v/>
      </c>
      <c r="AV407" s="28" t="str">
        <f t="shared" si="3585"/>
        <v>Christian</v>
      </c>
      <c r="AW407" s="56">
        <f t="shared" si="28"/>
        <v>3</v>
      </c>
      <c r="AX407" s="28">
        <f t="shared" si="29"/>
        <v>0</v>
      </c>
      <c r="AY407" s="28" t="str">
        <f t="shared" ref="AY407:BB407" si="3586">IFNA(IFS(AY$3=$AP407,"",$AX407=U407,AY$3),"")</f>
        <v/>
      </c>
      <c r="AZ407" s="28" t="str">
        <f t="shared" si="3586"/>
        <v/>
      </c>
      <c r="BA407" s="28" t="str">
        <f t="shared" si="3586"/>
        <v/>
      </c>
      <c r="BB407" s="28" t="str">
        <f t="shared" si="3586"/>
        <v/>
      </c>
      <c r="BC407" s="58">
        <f>OFFSET('00_Regnskab_01'!$A$1,MATCH(A407,'00_Regnskab_01'!$A$1:$A$25)-1,2)</f>
        <v>44939</v>
      </c>
      <c r="BE407" s="80">
        <f t="shared" ref="BE407:BH407" si="3587">if(U407&gt;0,1+BE406,0)</f>
        <v>0</v>
      </c>
      <c r="BF407" s="28">
        <f t="shared" si="3587"/>
        <v>0</v>
      </c>
      <c r="BG407" s="28">
        <f t="shared" si="3587"/>
        <v>1</v>
      </c>
      <c r="BH407" s="28">
        <f t="shared" si="3587"/>
        <v>0</v>
      </c>
      <c r="BJ407" s="28">
        <f t="shared" ref="BJ407:BM407" si="3588">if(U407&lt;0,1+BJ406,0)</f>
        <v>3</v>
      </c>
      <c r="BK407" s="28">
        <f t="shared" si="3588"/>
        <v>1</v>
      </c>
      <c r="BL407" s="28">
        <f t="shared" si="3588"/>
        <v>0</v>
      </c>
      <c r="BM407" s="28">
        <f t="shared" si="3588"/>
        <v>1</v>
      </c>
      <c r="BO407" s="74">
        <f t="shared" ref="BO407:BR407" si="3589">if(U407&gt;0,U407+BO406,0)</f>
        <v>0</v>
      </c>
      <c r="BP407" s="74">
        <f t="shared" si="3589"/>
        <v>0</v>
      </c>
      <c r="BQ407" s="74">
        <f t="shared" si="3589"/>
        <v>12</v>
      </c>
      <c r="BR407" s="74">
        <f t="shared" si="3589"/>
        <v>0</v>
      </c>
      <c r="BT407" s="28">
        <f t="shared" ref="BT407:BW407" si="3590">if(U407&lt;0,U407+BT406,0)</f>
        <v>-24</v>
      </c>
      <c r="BU407" s="28">
        <f t="shared" si="3590"/>
        <v>-4</v>
      </c>
      <c r="BV407" s="28">
        <f t="shared" si="3590"/>
        <v>0</v>
      </c>
      <c r="BW407" s="28">
        <f t="shared" si="3590"/>
        <v>-4</v>
      </c>
    </row>
    <row r="408">
      <c r="A408" s="53">
        <v>19.0</v>
      </c>
      <c r="B408" s="28">
        <f>'19a_13-01-2023_Fredag'!A41</f>
        <v>46</v>
      </c>
      <c r="C408" s="28">
        <f>'19a_13-01-2023_Fredag'!E41</f>
        <v>30</v>
      </c>
      <c r="D408" s="28">
        <f>'19a_13-01-2023_Fredag'!C41</f>
        <v>-210</v>
      </c>
      <c r="E408" s="28">
        <f>'19a_13-01-2023_Fredag'!D41</f>
        <v>78</v>
      </c>
      <c r="F408" s="28">
        <f>'19a_13-01-2023_Fredag'!B41</f>
        <v>102</v>
      </c>
      <c r="G408" s="28">
        <f>'19a_13-01-2023_Fredag'!F41</f>
        <v>0</v>
      </c>
      <c r="H408" s="28" t="str">
        <f>'19a_13-01-2023_Fredag'!H41</f>
        <v/>
      </c>
      <c r="I408" s="28" t="str">
        <f>'19a_13-01-2023_Fredag'!I41</f>
        <v/>
      </c>
      <c r="J408" s="76" t="str">
        <f>'19a_13-01-2023_Fredag'!J41</f>
        <v>Thomas</v>
      </c>
      <c r="K408" s="28" t="str">
        <f>'19a_13-01-2023_Fredag'!G41</f>
        <v>10 alm</v>
      </c>
      <c r="L408" s="56"/>
      <c r="M408" s="25">
        <v>10.0</v>
      </c>
      <c r="N408" s="25" t="s">
        <v>100</v>
      </c>
      <c r="T408" s="56"/>
      <c r="U408" s="77">
        <f t="shared" ref="U408:X408" si="3591">C408-C407</f>
        <v>12</v>
      </c>
      <c r="V408" s="28">
        <f t="shared" si="3591"/>
        <v>-12</v>
      </c>
      <c r="W408" s="28">
        <f t="shared" si="3591"/>
        <v>-12</v>
      </c>
      <c r="X408" s="28">
        <f t="shared" si="3591"/>
        <v>12</v>
      </c>
      <c r="AB408" s="28" t="str">
        <f t="shared" ref="AB408:AE408" si="3592">IF(AB$3=$H408,U408,"")</f>
        <v/>
      </c>
      <c r="AC408" s="28" t="str">
        <f t="shared" si="3592"/>
        <v/>
      </c>
      <c r="AD408" s="28" t="str">
        <f t="shared" si="3592"/>
        <v/>
      </c>
      <c r="AE408" s="28" t="str">
        <f t="shared" si="3592"/>
        <v/>
      </c>
      <c r="AH408" s="28">
        <f t="shared" si="22"/>
        <v>0</v>
      </c>
      <c r="AI408" s="28">
        <f t="shared" si="23"/>
        <v>0</v>
      </c>
      <c r="AK408" s="78" t="str">
        <f t="shared" ref="AK408:AN408" si="3593">IF(U408&gt;0,AK$3,"")</f>
        <v>Thomas</v>
      </c>
      <c r="AL408" s="78" t="str">
        <f t="shared" si="3593"/>
        <v/>
      </c>
      <c r="AM408" s="78" t="str">
        <f t="shared" si="3593"/>
        <v/>
      </c>
      <c r="AN408" s="78" t="str">
        <f t="shared" si="3593"/>
        <v>Christian</v>
      </c>
      <c r="AO408" s="56">
        <f t="shared" si="25"/>
        <v>2</v>
      </c>
      <c r="AP408" s="8" t="str">
        <f t="shared" si="26"/>
        <v/>
      </c>
      <c r="AQ408" s="73" t="str">
        <f>IFERROR(__xludf.DUMMYFUNCTION("IFNA(QUERY(transpose(AY408:BB408),""Select Col1 where Col1 is not null limit 1"",0))"),"")</f>
        <v/>
      </c>
      <c r="AR408" s="56"/>
      <c r="AS408" s="28" t="str">
        <f t="shared" ref="AS408:AV408" si="3594">IF(AK408=AS$3,"",AS$3)</f>
        <v/>
      </c>
      <c r="AT408" s="28" t="str">
        <f t="shared" si="3594"/>
        <v>Peter</v>
      </c>
      <c r="AU408" s="28" t="str">
        <f t="shared" si="3594"/>
        <v>Janus</v>
      </c>
      <c r="AV408" s="28" t="str">
        <f t="shared" si="3594"/>
        <v/>
      </c>
      <c r="AW408" s="56">
        <f t="shared" si="28"/>
        <v>2</v>
      </c>
      <c r="AX408" s="28">
        <f t="shared" si="29"/>
        <v>0</v>
      </c>
      <c r="AY408" s="28" t="str">
        <f t="shared" ref="AY408:BB408" si="3595">IFNA(IFS(AY$3=$AP408,"",$AX408=U408,AY$3),"")</f>
        <v/>
      </c>
      <c r="AZ408" s="28" t="str">
        <f t="shared" si="3595"/>
        <v/>
      </c>
      <c r="BA408" s="28" t="str">
        <f t="shared" si="3595"/>
        <v/>
      </c>
      <c r="BB408" s="28" t="str">
        <f t="shared" si="3595"/>
        <v/>
      </c>
      <c r="BC408" s="58">
        <f>OFFSET('00_Regnskab_01'!$A$1,MATCH(A408,'00_Regnskab_01'!$A$1:$A$25)-1,2)</f>
        <v>44939</v>
      </c>
      <c r="BE408" s="80">
        <f t="shared" ref="BE408:BH408" si="3596">if(U408&gt;0,1+BE407,0)</f>
        <v>1</v>
      </c>
      <c r="BF408" s="28">
        <f t="shared" si="3596"/>
        <v>0</v>
      </c>
      <c r="BG408" s="28">
        <f t="shared" si="3596"/>
        <v>0</v>
      </c>
      <c r="BH408" s="28">
        <f t="shared" si="3596"/>
        <v>1</v>
      </c>
      <c r="BJ408" s="28">
        <f t="shared" ref="BJ408:BM408" si="3597">if(U408&lt;0,1+BJ407,0)</f>
        <v>0</v>
      </c>
      <c r="BK408" s="28">
        <f t="shared" si="3597"/>
        <v>2</v>
      </c>
      <c r="BL408" s="28">
        <f t="shared" si="3597"/>
        <v>1</v>
      </c>
      <c r="BM408" s="28">
        <f t="shared" si="3597"/>
        <v>0</v>
      </c>
      <c r="BO408" s="74">
        <f t="shared" ref="BO408:BR408" si="3598">if(U408&gt;0,U408+BO407,0)</f>
        <v>12</v>
      </c>
      <c r="BP408" s="74">
        <f t="shared" si="3598"/>
        <v>0</v>
      </c>
      <c r="BQ408" s="74">
        <f t="shared" si="3598"/>
        <v>0</v>
      </c>
      <c r="BR408" s="74">
        <f t="shared" si="3598"/>
        <v>12</v>
      </c>
      <c r="BT408" s="28">
        <f t="shared" ref="BT408:BW408" si="3599">if(U408&lt;0,U408+BT407,0)</f>
        <v>0</v>
      </c>
      <c r="BU408" s="28">
        <f t="shared" si="3599"/>
        <v>-16</v>
      </c>
      <c r="BV408" s="28">
        <f t="shared" si="3599"/>
        <v>-12</v>
      </c>
      <c r="BW408" s="28">
        <f t="shared" si="3599"/>
        <v>0</v>
      </c>
    </row>
    <row r="409">
      <c r="A409" s="53">
        <v>19.0</v>
      </c>
      <c r="B409" s="28">
        <f>'19a_13-01-2023_Fredag'!A42</f>
        <v>47</v>
      </c>
      <c r="C409" s="28">
        <f>'19a_13-01-2023_Fredag'!E42</f>
        <v>38</v>
      </c>
      <c r="D409" s="28">
        <f>'19a_13-01-2023_Fredag'!C42</f>
        <v>-218</v>
      </c>
      <c r="E409" s="28">
        <f>'19a_13-01-2023_Fredag'!D42</f>
        <v>86</v>
      </c>
      <c r="F409" s="28">
        <f>'19a_13-01-2023_Fredag'!B42</f>
        <v>94</v>
      </c>
      <c r="G409" s="28">
        <f>'19a_13-01-2023_Fredag'!F42</f>
        <v>0</v>
      </c>
      <c r="H409" s="28" t="str">
        <f>'19a_13-01-2023_Fredag'!H42</f>
        <v/>
      </c>
      <c r="I409" s="28" t="str">
        <f>'19a_13-01-2023_Fredag'!I42</f>
        <v/>
      </c>
      <c r="J409" s="76" t="str">
        <f>'19a_13-01-2023_Fredag'!J42</f>
        <v>Christian</v>
      </c>
      <c r="K409" s="28" t="str">
        <f>'19a_13-01-2023_Fredag'!G42</f>
        <v>9 vip 1 - sol</v>
      </c>
      <c r="L409" s="56"/>
      <c r="M409" s="25">
        <v>9.0</v>
      </c>
      <c r="N409" s="25" t="s">
        <v>86</v>
      </c>
      <c r="O409" s="25">
        <v>1.0</v>
      </c>
      <c r="T409" s="56"/>
      <c r="U409" s="77">
        <f t="shared" ref="U409:X409" si="3600">C409-C408</f>
        <v>8</v>
      </c>
      <c r="V409" s="28">
        <f t="shared" si="3600"/>
        <v>-8</v>
      </c>
      <c r="W409" s="28">
        <f t="shared" si="3600"/>
        <v>8</v>
      </c>
      <c r="X409" s="28">
        <f t="shared" si="3600"/>
        <v>-8</v>
      </c>
      <c r="AB409" s="28" t="str">
        <f t="shared" ref="AB409:AE409" si="3601">IF(AB$3=$H409,U409,"")</f>
        <v/>
      </c>
      <c r="AC409" s="28" t="str">
        <f t="shared" si="3601"/>
        <v/>
      </c>
      <c r="AD409" s="28" t="str">
        <f t="shared" si="3601"/>
        <v/>
      </c>
      <c r="AE409" s="28" t="str">
        <f t="shared" si="3601"/>
        <v/>
      </c>
      <c r="AH409" s="28">
        <f t="shared" si="22"/>
        <v>0</v>
      </c>
      <c r="AI409" s="28">
        <f t="shared" si="23"/>
        <v>0</v>
      </c>
      <c r="AK409" s="78" t="str">
        <f t="shared" ref="AK409:AN409" si="3602">IF(U409&gt;0,AK$3,"")</f>
        <v>Thomas</v>
      </c>
      <c r="AL409" s="78" t="str">
        <f t="shared" si="3602"/>
        <v/>
      </c>
      <c r="AM409" s="78" t="str">
        <f t="shared" si="3602"/>
        <v>Janus</v>
      </c>
      <c r="AN409" s="78" t="str">
        <f t="shared" si="3602"/>
        <v/>
      </c>
      <c r="AO409" s="56">
        <f t="shared" si="25"/>
        <v>2</v>
      </c>
      <c r="AP409" s="8" t="str">
        <f t="shared" si="26"/>
        <v/>
      </c>
      <c r="AQ409" s="73" t="str">
        <f>IFERROR(__xludf.DUMMYFUNCTION("IFNA(QUERY(transpose(AY409:BB409),""Select Col1 where Col1 is not null limit 1"",0))"),"")</f>
        <v/>
      </c>
      <c r="AR409" s="56"/>
      <c r="AS409" s="28" t="str">
        <f t="shared" ref="AS409:AV409" si="3603">IF(AK409=AS$3,"",AS$3)</f>
        <v/>
      </c>
      <c r="AT409" s="28" t="str">
        <f t="shared" si="3603"/>
        <v>Peter</v>
      </c>
      <c r="AU409" s="28" t="str">
        <f t="shared" si="3603"/>
        <v/>
      </c>
      <c r="AV409" s="28" t="str">
        <f t="shared" si="3603"/>
        <v>Christian</v>
      </c>
      <c r="AW409" s="56">
        <f t="shared" si="28"/>
        <v>2</v>
      </c>
      <c r="AX409" s="28">
        <f t="shared" si="29"/>
        <v>0</v>
      </c>
      <c r="AY409" s="28" t="str">
        <f t="shared" ref="AY409:BB409" si="3604">IFNA(IFS(AY$3=$AP409,"",$AX409=U409,AY$3),"")</f>
        <v/>
      </c>
      <c r="AZ409" s="28" t="str">
        <f t="shared" si="3604"/>
        <v/>
      </c>
      <c r="BA409" s="28" t="str">
        <f t="shared" si="3604"/>
        <v/>
      </c>
      <c r="BB409" s="28" t="str">
        <f t="shared" si="3604"/>
        <v/>
      </c>
      <c r="BC409" s="58">
        <f>OFFSET('00_Regnskab_01'!$A$1,MATCH(A409,'00_Regnskab_01'!$A$1:$A$25)-1,2)</f>
        <v>44939</v>
      </c>
      <c r="BE409" s="80">
        <f t="shared" ref="BE409:BH409" si="3605">if(U409&gt;0,1+BE408,0)</f>
        <v>2</v>
      </c>
      <c r="BF409" s="28">
        <f t="shared" si="3605"/>
        <v>0</v>
      </c>
      <c r="BG409" s="28">
        <f t="shared" si="3605"/>
        <v>1</v>
      </c>
      <c r="BH409" s="28">
        <f t="shared" si="3605"/>
        <v>0</v>
      </c>
      <c r="BJ409" s="28">
        <f t="shared" ref="BJ409:BM409" si="3606">if(U409&lt;0,1+BJ408,0)</f>
        <v>0</v>
      </c>
      <c r="BK409" s="28">
        <f t="shared" si="3606"/>
        <v>3</v>
      </c>
      <c r="BL409" s="28">
        <f t="shared" si="3606"/>
        <v>0</v>
      </c>
      <c r="BM409" s="28">
        <f t="shared" si="3606"/>
        <v>1</v>
      </c>
      <c r="BO409" s="74">
        <f t="shared" ref="BO409:BR409" si="3607">if(U409&gt;0,U409+BO408,0)</f>
        <v>20</v>
      </c>
      <c r="BP409" s="74">
        <f t="shared" si="3607"/>
        <v>0</v>
      </c>
      <c r="BQ409" s="74">
        <f t="shared" si="3607"/>
        <v>8</v>
      </c>
      <c r="BR409" s="74">
        <f t="shared" si="3607"/>
        <v>0</v>
      </c>
      <c r="BT409" s="28">
        <f t="shared" ref="BT409:BW409" si="3608">if(U409&lt;0,U409+BT408,0)</f>
        <v>0</v>
      </c>
      <c r="BU409" s="28">
        <f t="shared" si="3608"/>
        <v>-24</v>
      </c>
      <c r="BV409" s="28">
        <f t="shared" si="3608"/>
        <v>0</v>
      </c>
      <c r="BW409" s="28">
        <f t="shared" si="3608"/>
        <v>-8</v>
      </c>
    </row>
    <row r="410">
      <c r="A410" s="53">
        <v>19.0</v>
      </c>
      <c r="B410" s="28">
        <f>'19a_13-01-2023_Fredag'!A43</f>
        <v>48</v>
      </c>
      <c r="C410" s="28">
        <f>'19a_13-01-2023_Fredag'!E43</f>
        <v>30</v>
      </c>
      <c r="D410" s="28">
        <f>'19a_13-01-2023_Fredag'!C43</f>
        <v>-226</v>
      </c>
      <c r="E410" s="28">
        <f>'19a_13-01-2023_Fredag'!D43</f>
        <v>94</v>
      </c>
      <c r="F410" s="28">
        <f>'19a_13-01-2023_Fredag'!B43</f>
        <v>102</v>
      </c>
      <c r="G410" s="28">
        <f>'19a_13-01-2023_Fredag'!F43</f>
        <v>0</v>
      </c>
      <c r="H410" s="28" t="str">
        <f>'19a_13-01-2023_Fredag'!H43</f>
        <v>Peter</v>
      </c>
      <c r="I410" s="28" t="str">
        <f>'19a_13-01-2023_Fredag'!I43</f>
        <v>Thomas</v>
      </c>
      <c r="J410" s="76" t="str">
        <f>'19a_13-01-2023_Fredag'!J43</f>
        <v>Peter</v>
      </c>
      <c r="K410" s="28" t="str">
        <f>'19a_13-01-2023_Fredag'!G43</f>
        <v>Sans</v>
      </c>
      <c r="L410" s="56"/>
      <c r="N410" s="25" t="s">
        <v>98</v>
      </c>
      <c r="T410" s="56"/>
      <c r="U410" s="77">
        <f t="shared" ref="U410:X410" si="3609">C410-C409</f>
        <v>-8</v>
      </c>
      <c r="V410" s="28">
        <f t="shared" si="3609"/>
        <v>-8</v>
      </c>
      <c r="W410" s="28">
        <f t="shared" si="3609"/>
        <v>8</v>
      </c>
      <c r="X410" s="28">
        <f t="shared" si="3609"/>
        <v>8</v>
      </c>
      <c r="AB410" s="28" t="str">
        <f t="shared" ref="AB410:AE410" si="3610">IF(AB$3=$H410,U410,"")</f>
        <v/>
      </c>
      <c r="AC410" s="28">
        <f t="shared" si="3610"/>
        <v>-8</v>
      </c>
      <c r="AD410" s="28" t="str">
        <f t="shared" si="3610"/>
        <v/>
      </c>
      <c r="AE410" s="28" t="str">
        <f t="shared" si="3610"/>
        <v/>
      </c>
      <c r="AH410" s="28">
        <f t="shared" si="22"/>
        <v>0</v>
      </c>
      <c r="AI410" s="28">
        <f t="shared" si="23"/>
        <v>-8</v>
      </c>
      <c r="AK410" s="78" t="str">
        <f t="shared" ref="AK410:AN410" si="3611">IF(U410&gt;0,AK$3,"")</f>
        <v/>
      </c>
      <c r="AL410" s="78" t="str">
        <f t="shared" si="3611"/>
        <v/>
      </c>
      <c r="AM410" s="78" t="str">
        <f t="shared" si="3611"/>
        <v>Janus</v>
      </c>
      <c r="AN410" s="78" t="str">
        <f t="shared" si="3611"/>
        <v>Christian</v>
      </c>
      <c r="AO410" s="56">
        <f t="shared" si="25"/>
        <v>2</v>
      </c>
      <c r="AP410" s="8" t="str">
        <f t="shared" si="26"/>
        <v>Peter</v>
      </c>
      <c r="AQ410" s="73" t="str">
        <f>IFERROR(__xludf.DUMMYFUNCTION("IFNA(QUERY(transpose(AY410:BB410),""Select Col1 where Col1 is not null limit 1"",0))"),"Thomas")</f>
        <v>Thomas</v>
      </c>
      <c r="AR410" s="56"/>
      <c r="AS410" s="28" t="str">
        <f t="shared" ref="AS410:AV410" si="3612">IF(AK410=AS$3,"",AS$3)</f>
        <v>Thomas</v>
      </c>
      <c r="AT410" s="28" t="str">
        <f t="shared" si="3612"/>
        <v>Peter</v>
      </c>
      <c r="AU410" s="28" t="str">
        <f t="shared" si="3612"/>
        <v/>
      </c>
      <c r="AV410" s="28" t="str">
        <f t="shared" si="3612"/>
        <v/>
      </c>
      <c r="AW410" s="56">
        <f t="shared" si="28"/>
        <v>2</v>
      </c>
      <c r="AX410" s="28">
        <f t="shared" si="29"/>
        <v>-8</v>
      </c>
      <c r="AY410" s="28" t="str">
        <f t="shared" ref="AY410:BB410" si="3613">IFNA(IFS(AY$3=$AP410,"",$AX410=U410,AY$3),"")</f>
        <v>Thomas</v>
      </c>
      <c r="AZ410" s="28" t="str">
        <f t="shared" si="3613"/>
        <v/>
      </c>
      <c r="BA410" s="28" t="str">
        <f t="shared" si="3613"/>
        <v/>
      </c>
      <c r="BB410" s="28" t="str">
        <f t="shared" si="3613"/>
        <v/>
      </c>
      <c r="BC410" s="58">
        <f>OFFSET('00_Regnskab_01'!$A$1,MATCH(A410,'00_Regnskab_01'!$A$1:$A$25)-1,2)</f>
        <v>44939</v>
      </c>
      <c r="BE410" s="80">
        <f t="shared" ref="BE410:BH410" si="3614">if(U410&gt;0,1+BE409,0)</f>
        <v>0</v>
      </c>
      <c r="BF410" s="28">
        <f t="shared" si="3614"/>
        <v>0</v>
      </c>
      <c r="BG410" s="28">
        <f t="shared" si="3614"/>
        <v>2</v>
      </c>
      <c r="BH410" s="28">
        <f t="shared" si="3614"/>
        <v>1</v>
      </c>
      <c r="BJ410" s="28">
        <f t="shared" ref="BJ410:BM410" si="3615">if(U410&lt;0,1+BJ409,0)</f>
        <v>1</v>
      </c>
      <c r="BK410" s="28">
        <f t="shared" si="3615"/>
        <v>4</v>
      </c>
      <c r="BL410" s="28">
        <f t="shared" si="3615"/>
        <v>0</v>
      </c>
      <c r="BM410" s="28">
        <f t="shared" si="3615"/>
        <v>0</v>
      </c>
      <c r="BO410" s="74">
        <f t="shared" ref="BO410:BR410" si="3616">if(U410&gt;0,U410+BO409,0)</f>
        <v>0</v>
      </c>
      <c r="BP410" s="74">
        <f t="shared" si="3616"/>
        <v>0</v>
      </c>
      <c r="BQ410" s="74">
        <f t="shared" si="3616"/>
        <v>16</v>
      </c>
      <c r="BR410" s="74">
        <f t="shared" si="3616"/>
        <v>8</v>
      </c>
      <c r="BT410" s="28">
        <f t="shared" ref="BT410:BW410" si="3617">if(U410&lt;0,U410+BT409,0)</f>
        <v>-8</v>
      </c>
      <c r="BU410" s="28">
        <f t="shared" si="3617"/>
        <v>-32</v>
      </c>
      <c r="BV410" s="28">
        <f t="shared" si="3617"/>
        <v>0</v>
      </c>
      <c r="BW410" s="28">
        <f t="shared" si="3617"/>
        <v>0</v>
      </c>
    </row>
    <row r="411">
      <c r="A411" s="102">
        <v>19.0</v>
      </c>
      <c r="B411" s="103">
        <f>'19c_13-01-2023_Brewdog fredag'!A3</f>
        <v>49</v>
      </c>
      <c r="C411" s="103">
        <f>'19c_13-01-2023_Brewdog fredag'!E3</f>
        <v>30</v>
      </c>
      <c r="D411" s="103">
        <f>'19c_13-01-2023_Brewdog fredag'!D3</f>
        <v>-226</v>
      </c>
      <c r="E411" s="103">
        <f>'19c_13-01-2023_Brewdog fredag'!C3</f>
        <v>94</v>
      </c>
      <c r="F411" s="103">
        <f>'19c_13-01-2023_Brewdog fredag'!B3</f>
        <v>102</v>
      </c>
      <c r="G411" s="103">
        <f>'19c_13-01-2023_Brewdog fredag'!F3</f>
        <v>0</v>
      </c>
      <c r="H411" s="103" t="str">
        <f>'19c_13-01-2023_Brewdog fredag'!H3</f>
        <v>Thomas</v>
      </c>
      <c r="I411" s="103" t="str">
        <f>'19c_13-01-2023_Brewdog fredag'!H3</f>
        <v>Thomas</v>
      </c>
      <c r="J411" s="104" t="str">
        <f>'19c_13-01-2023_Brewdog fredag'!J3</f>
        <v>Thomas</v>
      </c>
      <c r="K411" s="103" t="str">
        <f>'19c_13-01-2023_Brewdog fredag'!G3</f>
        <v>9 gode</v>
      </c>
      <c r="L411" s="56"/>
      <c r="M411" s="25">
        <v>9.0</v>
      </c>
      <c r="N411" s="25" t="s">
        <v>95</v>
      </c>
      <c r="T411" s="56"/>
      <c r="U411" s="77">
        <f t="shared" ref="U411:X411" si="3618">C411-C410</f>
        <v>0</v>
      </c>
      <c r="V411" s="28">
        <f t="shared" si="3618"/>
        <v>0</v>
      </c>
      <c r="W411" s="28">
        <f t="shared" si="3618"/>
        <v>0</v>
      </c>
      <c r="X411" s="28">
        <f t="shared" si="3618"/>
        <v>0</v>
      </c>
      <c r="AB411" s="28">
        <f t="shared" ref="AB411:AE411" si="3619">IF(AB$3=$H411,U411,"")</f>
        <v>0</v>
      </c>
      <c r="AC411" s="28" t="str">
        <f t="shared" si="3619"/>
        <v/>
      </c>
      <c r="AD411" s="28" t="str">
        <f t="shared" si="3619"/>
        <v/>
      </c>
      <c r="AE411" s="28" t="str">
        <f t="shared" si="3619"/>
        <v/>
      </c>
      <c r="AH411" s="28">
        <f t="shared" si="22"/>
        <v>0</v>
      </c>
      <c r="AI411" s="28">
        <f t="shared" si="23"/>
        <v>0</v>
      </c>
      <c r="AK411" s="78" t="str">
        <f t="shared" ref="AK411:AN411" si="3620">IF(U411&gt;0,AK$3,"")</f>
        <v/>
      </c>
      <c r="AL411" s="78" t="str">
        <f t="shared" si="3620"/>
        <v/>
      </c>
      <c r="AM411" s="78" t="str">
        <f t="shared" si="3620"/>
        <v/>
      </c>
      <c r="AN411" s="78" t="str">
        <f t="shared" si="3620"/>
        <v/>
      </c>
      <c r="AO411" s="56">
        <f t="shared" si="25"/>
        <v>0</v>
      </c>
      <c r="AP411" s="8" t="str">
        <f t="shared" si="26"/>
        <v>Thomas</v>
      </c>
      <c r="AQ411" s="73" t="str">
        <f>IFERROR(__xludf.DUMMYFUNCTION("IFNA(QUERY(transpose(AY411:BB411),""Select Col1 where Col1 is not null limit 1"",0))"),"Peter")</f>
        <v>Peter</v>
      </c>
      <c r="AR411" s="56"/>
      <c r="AS411" s="28" t="str">
        <f t="shared" ref="AS411:AV411" si="3621">IF(AK411=AS$3,"",AS$3)</f>
        <v>Thomas</v>
      </c>
      <c r="AT411" s="28" t="str">
        <f t="shared" si="3621"/>
        <v>Peter</v>
      </c>
      <c r="AU411" s="28" t="str">
        <f t="shared" si="3621"/>
        <v>Janus</v>
      </c>
      <c r="AV411" s="28" t="str">
        <f t="shared" si="3621"/>
        <v>Christian</v>
      </c>
      <c r="AW411" s="56">
        <f t="shared" si="28"/>
        <v>4</v>
      </c>
      <c r="AX411" s="28">
        <f t="shared" si="29"/>
        <v>0</v>
      </c>
      <c r="AY411" s="28" t="str">
        <f t="shared" ref="AY411:BB411" si="3622">IFNA(IFS(AY$3=$AP411,"",$AX411=U411,AY$3),"")</f>
        <v/>
      </c>
      <c r="AZ411" s="28" t="str">
        <f t="shared" si="3622"/>
        <v>Peter</v>
      </c>
      <c r="BA411" s="28" t="str">
        <f t="shared" si="3622"/>
        <v>Janus</v>
      </c>
      <c r="BB411" s="28" t="str">
        <f t="shared" si="3622"/>
        <v>Christian</v>
      </c>
      <c r="BC411" s="58">
        <f>OFFSET('00_Regnskab_01'!$A$1,MATCH(A411,'00_Regnskab_01'!$A$1:$A$25)-1,2)</f>
        <v>44939</v>
      </c>
      <c r="BE411" s="80">
        <f t="shared" ref="BE411:BH411" si="3623">if(U411&gt;0,1+BE410,0)</f>
        <v>0</v>
      </c>
      <c r="BF411" s="28">
        <f t="shared" si="3623"/>
        <v>0</v>
      </c>
      <c r="BG411" s="28">
        <f t="shared" si="3623"/>
        <v>0</v>
      </c>
      <c r="BH411" s="28">
        <f t="shared" si="3623"/>
        <v>0</v>
      </c>
      <c r="BJ411" s="28">
        <f t="shared" ref="BJ411:BM411" si="3624">if(U411&lt;0,1+BJ410,0)</f>
        <v>0</v>
      </c>
      <c r="BK411" s="28">
        <f t="shared" si="3624"/>
        <v>0</v>
      </c>
      <c r="BL411" s="28">
        <f t="shared" si="3624"/>
        <v>0</v>
      </c>
      <c r="BM411" s="28">
        <f t="shared" si="3624"/>
        <v>0</v>
      </c>
      <c r="BO411" s="74">
        <f t="shared" ref="BO411:BR411" si="3625">if(U411&gt;0,U411+BO410,0)</f>
        <v>0</v>
      </c>
      <c r="BP411" s="74">
        <f t="shared" si="3625"/>
        <v>0</v>
      </c>
      <c r="BQ411" s="74">
        <f t="shared" si="3625"/>
        <v>0</v>
      </c>
      <c r="BR411" s="74">
        <f t="shared" si="3625"/>
        <v>0</v>
      </c>
      <c r="BT411" s="28">
        <f t="shared" ref="BT411:BW411" si="3626">if(U411&lt;0,U411+BT410,0)</f>
        <v>0</v>
      </c>
      <c r="BU411" s="28">
        <f t="shared" si="3626"/>
        <v>0</v>
      </c>
      <c r="BV411" s="28">
        <f t="shared" si="3626"/>
        <v>0</v>
      </c>
      <c r="BW411" s="28">
        <f t="shared" si="3626"/>
        <v>0</v>
      </c>
    </row>
    <row r="412">
      <c r="A412" s="53">
        <v>19.0</v>
      </c>
      <c r="B412" s="28">
        <f>'19c_13-01-2023_Brewdog fredag'!A4</f>
        <v>50</v>
      </c>
      <c r="C412" s="28">
        <f>'19c_13-01-2023_Brewdog fredag'!E4</f>
        <v>22</v>
      </c>
      <c r="D412" s="28">
        <f>'19c_13-01-2023_Brewdog fredag'!D4</f>
        <v>-218</v>
      </c>
      <c r="E412" s="28">
        <f>'19c_13-01-2023_Brewdog fredag'!C4</f>
        <v>86</v>
      </c>
      <c r="F412" s="28">
        <f>'19c_13-01-2023_Brewdog fredag'!B4</f>
        <v>110</v>
      </c>
      <c r="G412" s="28">
        <f>'19c_13-01-2023_Brewdog fredag'!F4</f>
        <v>0</v>
      </c>
      <c r="H412" s="28" t="str">
        <f>'19c_13-01-2023_Brewdog fredag'!H4</f>
        <v>Peter</v>
      </c>
      <c r="I412" s="28" t="str">
        <f>'19c_13-01-2023_Brewdog fredag'!H4</f>
        <v>Peter</v>
      </c>
      <c r="J412" s="76" t="str">
        <f>'19c_13-01-2023_Brewdog fredag'!J4</f>
        <v>Christian</v>
      </c>
      <c r="K412" s="28" t="str">
        <f>'19c_13-01-2023_Brewdog fredag'!G4</f>
        <v>9 gode</v>
      </c>
      <c r="L412" s="56"/>
      <c r="M412" s="25">
        <v>9.0</v>
      </c>
      <c r="N412" s="25" t="s">
        <v>95</v>
      </c>
      <c r="T412" s="56"/>
      <c r="U412" s="77">
        <f t="shared" ref="U412:X412" si="3627">C412-C411</f>
        <v>-8</v>
      </c>
      <c r="V412" s="28">
        <f t="shared" si="3627"/>
        <v>8</v>
      </c>
      <c r="W412" s="28">
        <f t="shared" si="3627"/>
        <v>-8</v>
      </c>
      <c r="X412" s="28">
        <f t="shared" si="3627"/>
        <v>8</v>
      </c>
      <c r="AB412" s="28" t="str">
        <f t="shared" ref="AB412:AE412" si="3628">IF(AB$3=$H412,U412,"")</f>
        <v/>
      </c>
      <c r="AC412" s="28">
        <f t="shared" si="3628"/>
        <v>8</v>
      </c>
      <c r="AD412" s="28" t="str">
        <f t="shared" si="3628"/>
        <v/>
      </c>
      <c r="AE412" s="28" t="str">
        <f t="shared" si="3628"/>
        <v/>
      </c>
      <c r="AH412" s="28">
        <f t="shared" si="22"/>
        <v>8</v>
      </c>
      <c r="AI412" s="28">
        <f t="shared" si="23"/>
        <v>0</v>
      </c>
      <c r="AK412" s="78" t="str">
        <f t="shared" ref="AK412:AN412" si="3629">IF(U412&gt;0,AK$3,"")</f>
        <v/>
      </c>
      <c r="AL412" s="78" t="str">
        <f t="shared" si="3629"/>
        <v>Peter</v>
      </c>
      <c r="AM412" s="78" t="str">
        <f t="shared" si="3629"/>
        <v/>
      </c>
      <c r="AN412" s="78" t="str">
        <f t="shared" si="3629"/>
        <v>Christian</v>
      </c>
      <c r="AO412" s="56">
        <f t="shared" si="25"/>
        <v>2</v>
      </c>
      <c r="AP412" s="8" t="str">
        <f t="shared" si="26"/>
        <v>Peter</v>
      </c>
      <c r="AQ412" s="73" t="str">
        <f>IFERROR(__xludf.DUMMYFUNCTION("IFNA(QUERY(transpose(AY412:BB412),""Select Col1 where Col1 is not null limit 1"",0))"),"Christian")</f>
        <v>Christian</v>
      </c>
      <c r="AR412" s="56"/>
      <c r="AS412" s="28" t="str">
        <f t="shared" ref="AS412:AV412" si="3630">IF(AK412=AS$3,"",AS$3)</f>
        <v>Thomas</v>
      </c>
      <c r="AT412" s="28" t="str">
        <f t="shared" si="3630"/>
        <v/>
      </c>
      <c r="AU412" s="28" t="str">
        <f t="shared" si="3630"/>
        <v>Janus</v>
      </c>
      <c r="AV412" s="28" t="str">
        <f t="shared" si="3630"/>
        <v/>
      </c>
      <c r="AW412" s="56">
        <f t="shared" si="28"/>
        <v>2</v>
      </c>
      <c r="AX412" s="28">
        <f t="shared" si="29"/>
        <v>8</v>
      </c>
      <c r="AY412" s="28" t="str">
        <f t="shared" ref="AY412:BB412" si="3631">IFNA(IFS(AY$3=$AP412,"",$AX412=U412,AY$3),"")</f>
        <v/>
      </c>
      <c r="AZ412" s="28" t="str">
        <f t="shared" si="3631"/>
        <v/>
      </c>
      <c r="BA412" s="28" t="str">
        <f t="shared" si="3631"/>
        <v/>
      </c>
      <c r="BB412" s="28" t="str">
        <f t="shared" si="3631"/>
        <v>Christian</v>
      </c>
      <c r="BC412" s="58">
        <f>OFFSET('00_Regnskab_01'!$A$1,MATCH(A412,'00_Regnskab_01'!$A$1:$A$25)-1,2)</f>
        <v>44939</v>
      </c>
      <c r="BE412" s="80">
        <f t="shared" ref="BE412:BH412" si="3632">if(U412&gt;0,1+BE411,0)</f>
        <v>0</v>
      </c>
      <c r="BF412" s="28">
        <f t="shared" si="3632"/>
        <v>1</v>
      </c>
      <c r="BG412" s="28">
        <f t="shared" si="3632"/>
        <v>0</v>
      </c>
      <c r="BH412" s="28">
        <f t="shared" si="3632"/>
        <v>1</v>
      </c>
      <c r="BJ412" s="28">
        <f t="shared" ref="BJ412:BM412" si="3633">if(U412&lt;0,1+BJ411,0)</f>
        <v>1</v>
      </c>
      <c r="BK412" s="28">
        <f t="shared" si="3633"/>
        <v>0</v>
      </c>
      <c r="BL412" s="28">
        <f t="shared" si="3633"/>
        <v>1</v>
      </c>
      <c r="BM412" s="28">
        <f t="shared" si="3633"/>
        <v>0</v>
      </c>
      <c r="BO412" s="74">
        <f t="shared" ref="BO412:BR412" si="3634">if(U412&gt;0,U412+BO411,0)</f>
        <v>0</v>
      </c>
      <c r="BP412" s="74">
        <f t="shared" si="3634"/>
        <v>8</v>
      </c>
      <c r="BQ412" s="74">
        <f t="shared" si="3634"/>
        <v>0</v>
      </c>
      <c r="BR412" s="74">
        <f t="shared" si="3634"/>
        <v>8</v>
      </c>
      <c r="BT412" s="28">
        <f t="shared" ref="BT412:BW412" si="3635">if(U412&lt;0,U412+BT411,0)</f>
        <v>-8</v>
      </c>
      <c r="BU412" s="28">
        <f t="shared" si="3635"/>
        <v>0</v>
      </c>
      <c r="BV412" s="28">
        <f t="shared" si="3635"/>
        <v>-8</v>
      </c>
      <c r="BW412" s="28">
        <f t="shared" si="3635"/>
        <v>0</v>
      </c>
    </row>
    <row r="413">
      <c r="A413" s="53">
        <v>19.0</v>
      </c>
      <c r="B413" s="28">
        <f>'19c_13-01-2023_Brewdog fredag'!A5</f>
        <v>50</v>
      </c>
      <c r="C413" s="28">
        <f>'19c_13-01-2023_Brewdog fredag'!E5</f>
        <v>38</v>
      </c>
      <c r="D413" s="28">
        <f>'19c_13-01-2023_Brewdog fredag'!D5</f>
        <v>-202</v>
      </c>
      <c r="E413" s="28">
        <f>'19c_13-01-2023_Brewdog fredag'!C5</f>
        <v>70</v>
      </c>
      <c r="F413" s="28">
        <f>'19c_13-01-2023_Brewdog fredag'!B5</f>
        <v>94</v>
      </c>
      <c r="G413" s="28">
        <f>'19c_13-01-2023_Brewdog fredag'!F5</f>
        <v>0</v>
      </c>
      <c r="H413" s="28" t="str">
        <f>'19c_13-01-2023_Brewdog fredag'!H5</f>
        <v>Thomas</v>
      </c>
      <c r="I413" s="28" t="str">
        <f>'19c_13-01-2023_Brewdog fredag'!H5</f>
        <v>Thomas</v>
      </c>
      <c r="J413" s="76" t="str">
        <f>'19c_13-01-2023_Brewdog fredag'!J5</f>
        <v>Janus</v>
      </c>
      <c r="K413" s="28" t="str">
        <f>'19c_13-01-2023_Brewdog fredag'!G5</f>
        <v>9 halve</v>
      </c>
      <c r="L413" s="56"/>
      <c r="M413" s="25">
        <v>9.0</v>
      </c>
      <c r="N413" s="25" t="s">
        <v>94</v>
      </c>
      <c r="T413" s="56"/>
      <c r="U413" s="77">
        <f t="shared" ref="U413:X413" si="3636">C413-C412</f>
        <v>16</v>
      </c>
      <c r="V413" s="28">
        <f t="shared" si="3636"/>
        <v>16</v>
      </c>
      <c r="W413" s="28">
        <f t="shared" si="3636"/>
        <v>-16</v>
      </c>
      <c r="X413" s="28">
        <f t="shared" si="3636"/>
        <v>-16</v>
      </c>
      <c r="AB413" s="28">
        <f t="shared" ref="AB413:AE413" si="3637">IF(AB$3=$H413,U413,"")</f>
        <v>16</v>
      </c>
      <c r="AC413" s="28" t="str">
        <f t="shared" si="3637"/>
        <v/>
      </c>
      <c r="AD413" s="28" t="str">
        <f t="shared" si="3637"/>
        <v/>
      </c>
      <c r="AE413" s="28" t="str">
        <f t="shared" si="3637"/>
        <v/>
      </c>
      <c r="AH413" s="28">
        <f t="shared" si="22"/>
        <v>16</v>
      </c>
      <c r="AI413" s="28">
        <f t="shared" si="23"/>
        <v>0</v>
      </c>
      <c r="AK413" s="78" t="str">
        <f t="shared" ref="AK413:AN413" si="3638">IF(U413&gt;0,AK$3,"")</f>
        <v>Thomas</v>
      </c>
      <c r="AL413" s="78" t="str">
        <f t="shared" si="3638"/>
        <v>Peter</v>
      </c>
      <c r="AM413" s="78" t="str">
        <f t="shared" si="3638"/>
        <v/>
      </c>
      <c r="AN413" s="78" t="str">
        <f t="shared" si="3638"/>
        <v/>
      </c>
      <c r="AO413" s="56">
        <f t="shared" si="25"/>
        <v>2</v>
      </c>
      <c r="AP413" s="8" t="str">
        <f t="shared" si="26"/>
        <v>Thomas</v>
      </c>
      <c r="AQ413" s="73" t="str">
        <f>IFERROR(__xludf.DUMMYFUNCTION("IFNA(QUERY(transpose(AY413:BB413),""Select Col1 where Col1 is not null limit 1"",0))"),"Peter")</f>
        <v>Peter</v>
      </c>
      <c r="AR413" s="56"/>
      <c r="AS413" s="28" t="str">
        <f t="shared" ref="AS413:AV413" si="3639">IF(AK413=AS$3,"",AS$3)</f>
        <v/>
      </c>
      <c r="AT413" s="28" t="str">
        <f t="shared" si="3639"/>
        <v/>
      </c>
      <c r="AU413" s="28" t="str">
        <f t="shared" si="3639"/>
        <v>Janus</v>
      </c>
      <c r="AV413" s="28" t="str">
        <f t="shared" si="3639"/>
        <v>Christian</v>
      </c>
      <c r="AW413" s="56">
        <f t="shared" si="28"/>
        <v>2</v>
      </c>
      <c r="AX413" s="28">
        <f t="shared" si="29"/>
        <v>16</v>
      </c>
      <c r="AY413" s="28" t="str">
        <f t="shared" ref="AY413:BB413" si="3640">IFNA(IFS(AY$3=$AP413,"",$AX413=U413,AY$3),"")</f>
        <v/>
      </c>
      <c r="AZ413" s="28" t="str">
        <f t="shared" si="3640"/>
        <v>Peter</v>
      </c>
      <c r="BA413" s="28" t="str">
        <f t="shared" si="3640"/>
        <v/>
      </c>
      <c r="BB413" s="28" t="str">
        <f t="shared" si="3640"/>
        <v/>
      </c>
      <c r="BC413" s="58">
        <f>OFFSET('00_Regnskab_01'!$A$1,MATCH(A413,'00_Regnskab_01'!$A$1:$A$25)-1,2)</f>
        <v>44939</v>
      </c>
      <c r="BE413" s="80">
        <f t="shared" ref="BE413:BH413" si="3641">if(U413&gt;0,1+BE412,0)</f>
        <v>1</v>
      </c>
      <c r="BF413" s="28">
        <f t="shared" si="3641"/>
        <v>2</v>
      </c>
      <c r="BG413" s="28">
        <f t="shared" si="3641"/>
        <v>0</v>
      </c>
      <c r="BH413" s="28">
        <f t="shared" si="3641"/>
        <v>0</v>
      </c>
      <c r="BJ413" s="28">
        <f t="shared" ref="BJ413:BM413" si="3642">if(U413&lt;0,1+BJ412,0)</f>
        <v>0</v>
      </c>
      <c r="BK413" s="28">
        <f t="shared" si="3642"/>
        <v>0</v>
      </c>
      <c r="BL413" s="28">
        <f t="shared" si="3642"/>
        <v>2</v>
      </c>
      <c r="BM413" s="28">
        <f t="shared" si="3642"/>
        <v>1</v>
      </c>
      <c r="BO413" s="74">
        <f t="shared" ref="BO413:BR413" si="3643">if(U413&gt;0,U413+BO412,0)</f>
        <v>16</v>
      </c>
      <c r="BP413" s="74">
        <f t="shared" si="3643"/>
        <v>24</v>
      </c>
      <c r="BQ413" s="74">
        <f t="shared" si="3643"/>
        <v>0</v>
      </c>
      <c r="BR413" s="74">
        <f t="shared" si="3643"/>
        <v>0</v>
      </c>
      <c r="BT413" s="28">
        <f t="shared" ref="BT413:BW413" si="3644">if(U413&lt;0,U413+BT412,0)</f>
        <v>0</v>
      </c>
      <c r="BU413" s="28">
        <f t="shared" si="3644"/>
        <v>0</v>
      </c>
      <c r="BV413" s="28">
        <f t="shared" si="3644"/>
        <v>-24</v>
      </c>
      <c r="BW413" s="28">
        <f t="shared" si="3644"/>
        <v>-16</v>
      </c>
    </row>
    <row r="414">
      <c r="A414" s="53">
        <v>19.0</v>
      </c>
      <c r="B414" s="28">
        <f>'19c_13-01-2023_Brewdog fredag'!A6</f>
        <v>51</v>
      </c>
      <c r="C414" s="28">
        <f>'19c_13-01-2023_Brewdog fredag'!E6</f>
        <v>46</v>
      </c>
      <c r="D414" s="28">
        <f>'19c_13-01-2023_Brewdog fredag'!D6</f>
        <v>-210</v>
      </c>
      <c r="E414" s="28">
        <f>'19c_13-01-2023_Brewdog fredag'!C6</f>
        <v>62</v>
      </c>
      <c r="F414" s="28">
        <f>'19c_13-01-2023_Brewdog fredag'!B6</f>
        <v>102</v>
      </c>
      <c r="G414" s="28">
        <f>'19c_13-01-2023_Brewdog fredag'!F6</f>
        <v>0</v>
      </c>
      <c r="H414" s="28" t="str">
        <f>'19c_13-01-2023_Brewdog fredag'!H6</f>
        <v>Christian</v>
      </c>
      <c r="I414" s="28" t="str">
        <f>'19c_13-01-2023_Brewdog fredag'!H6</f>
        <v>Christian</v>
      </c>
      <c r="J414" s="76" t="str">
        <f>'19c_13-01-2023_Brewdog fredag'!J6</f>
        <v>Peter</v>
      </c>
      <c r="K414" s="28" t="str">
        <f>'19c_13-01-2023_Brewdog fredag'!G6</f>
        <v>9 halve</v>
      </c>
      <c r="L414" s="56"/>
      <c r="M414" s="25">
        <v>9.0</v>
      </c>
      <c r="N414" s="25" t="s">
        <v>94</v>
      </c>
      <c r="T414" s="56"/>
      <c r="U414" s="77">
        <f t="shared" ref="U414:X414" si="3645">C414-C413</f>
        <v>8</v>
      </c>
      <c r="V414" s="28">
        <f t="shared" si="3645"/>
        <v>-8</v>
      </c>
      <c r="W414" s="28">
        <f t="shared" si="3645"/>
        <v>-8</v>
      </c>
      <c r="X414" s="28">
        <f t="shared" si="3645"/>
        <v>8</v>
      </c>
      <c r="AB414" s="28" t="str">
        <f t="shared" ref="AB414:AE414" si="3646">IF(AB$3=$H414,U414,"")</f>
        <v/>
      </c>
      <c r="AC414" s="28" t="str">
        <f t="shared" si="3646"/>
        <v/>
      </c>
      <c r="AD414" s="28" t="str">
        <f t="shared" si="3646"/>
        <v/>
      </c>
      <c r="AE414" s="28">
        <f t="shared" si="3646"/>
        <v>8</v>
      </c>
      <c r="AH414" s="28">
        <f t="shared" si="22"/>
        <v>8</v>
      </c>
      <c r="AI414" s="28">
        <f t="shared" si="23"/>
        <v>0</v>
      </c>
      <c r="AK414" s="78" t="str">
        <f t="shared" ref="AK414:AN414" si="3647">IF(U414&gt;0,AK$3,"")</f>
        <v>Thomas</v>
      </c>
      <c r="AL414" s="78" t="str">
        <f t="shared" si="3647"/>
        <v/>
      </c>
      <c r="AM414" s="78" t="str">
        <f t="shared" si="3647"/>
        <v/>
      </c>
      <c r="AN414" s="78" t="str">
        <f t="shared" si="3647"/>
        <v>Christian</v>
      </c>
      <c r="AO414" s="56">
        <f t="shared" si="25"/>
        <v>2</v>
      </c>
      <c r="AP414" s="8" t="str">
        <f t="shared" si="26"/>
        <v>Christian</v>
      </c>
      <c r="AQ414" s="73" t="str">
        <f>IFERROR(__xludf.DUMMYFUNCTION("IFNA(QUERY(transpose(AY414:BB414),""Select Col1 where Col1 is not null limit 1"",0))"),"Thomas")</f>
        <v>Thomas</v>
      </c>
      <c r="AR414" s="56"/>
      <c r="AS414" s="28" t="str">
        <f t="shared" ref="AS414:AV414" si="3648">IF(AK414=AS$3,"",AS$3)</f>
        <v/>
      </c>
      <c r="AT414" s="28" t="str">
        <f t="shared" si="3648"/>
        <v>Peter</v>
      </c>
      <c r="AU414" s="28" t="str">
        <f t="shared" si="3648"/>
        <v>Janus</v>
      </c>
      <c r="AV414" s="28" t="str">
        <f t="shared" si="3648"/>
        <v/>
      </c>
      <c r="AW414" s="56">
        <f t="shared" si="28"/>
        <v>2</v>
      </c>
      <c r="AX414" s="28">
        <f t="shared" si="29"/>
        <v>8</v>
      </c>
      <c r="AY414" s="28" t="str">
        <f t="shared" ref="AY414:BB414" si="3649">IFNA(IFS(AY$3=$AP414,"",$AX414=U414,AY$3),"")</f>
        <v>Thomas</v>
      </c>
      <c r="AZ414" s="28" t="str">
        <f t="shared" si="3649"/>
        <v/>
      </c>
      <c r="BA414" s="28" t="str">
        <f t="shared" si="3649"/>
        <v/>
      </c>
      <c r="BB414" s="28" t="str">
        <f t="shared" si="3649"/>
        <v/>
      </c>
      <c r="BC414" s="58">
        <f>OFFSET('00_Regnskab_01'!$A$1,MATCH(A414,'00_Regnskab_01'!$A$1:$A$25)-1,2)</f>
        <v>44939</v>
      </c>
      <c r="BE414" s="80">
        <f t="shared" ref="BE414:BH414" si="3650">if(U414&gt;0,1+BE413,0)</f>
        <v>2</v>
      </c>
      <c r="BF414" s="28">
        <f t="shared" si="3650"/>
        <v>0</v>
      </c>
      <c r="BG414" s="28">
        <f t="shared" si="3650"/>
        <v>0</v>
      </c>
      <c r="BH414" s="28">
        <f t="shared" si="3650"/>
        <v>1</v>
      </c>
      <c r="BJ414" s="28">
        <f t="shared" ref="BJ414:BM414" si="3651">if(U414&lt;0,1+BJ413,0)</f>
        <v>0</v>
      </c>
      <c r="BK414" s="28">
        <f t="shared" si="3651"/>
        <v>1</v>
      </c>
      <c r="BL414" s="28">
        <f t="shared" si="3651"/>
        <v>3</v>
      </c>
      <c r="BM414" s="28">
        <f t="shared" si="3651"/>
        <v>0</v>
      </c>
      <c r="BO414" s="74">
        <f t="shared" ref="BO414:BR414" si="3652">if(U414&gt;0,U414+BO413,0)</f>
        <v>24</v>
      </c>
      <c r="BP414" s="74">
        <f t="shared" si="3652"/>
        <v>0</v>
      </c>
      <c r="BQ414" s="74">
        <f t="shared" si="3652"/>
        <v>0</v>
      </c>
      <c r="BR414" s="74">
        <f t="shared" si="3652"/>
        <v>8</v>
      </c>
      <c r="BT414" s="28">
        <f t="shared" ref="BT414:BW414" si="3653">if(U414&lt;0,U414+BT413,0)</f>
        <v>0</v>
      </c>
      <c r="BU414" s="28">
        <f t="shared" si="3653"/>
        <v>-8</v>
      </c>
      <c r="BV414" s="28">
        <f t="shared" si="3653"/>
        <v>-32</v>
      </c>
      <c r="BW414" s="28">
        <f t="shared" si="3653"/>
        <v>0</v>
      </c>
    </row>
    <row r="415">
      <c r="A415" s="53">
        <v>19.0</v>
      </c>
      <c r="B415" s="28">
        <f>'19c_13-01-2023_Brewdog fredag'!A7</f>
        <v>51</v>
      </c>
      <c r="C415" s="28">
        <f>'19c_13-01-2023_Brewdog fredag'!E7</f>
        <v>54</v>
      </c>
      <c r="D415" s="28">
        <f>'19c_13-01-2023_Brewdog fredag'!D7</f>
        <v>-218</v>
      </c>
      <c r="E415" s="28">
        <f>'19c_13-01-2023_Brewdog fredag'!C7</f>
        <v>70</v>
      </c>
      <c r="F415" s="28">
        <f>'19c_13-01-2023_Brewdog fredag'!B7</f>
        <v>94</v>
      </c>
      <c r="G415" s="28">
        <f>'19c_13-01-2023_Brewdog fredag'!F7</f>
        <v>0</v>
      </c>
      <c r="H415" s="28" t="str">
        <f>'19c_13-01-2023_Brewdog fredag'!H7</f>
        <v>Peter</v>
      </c>
      <c r="I415" s="28" t="str">
        <f>'19c_13-01-2023_Brewdog fredag'!H7</f>
        <v>Peter</v>
      </c>
      <c r="J415" s="76" t="str">
        <f>'19c_13-01-2023_Brewdog fredag'!J7</f>
        <v>Thomas</v>
      </c>
      <c r="K415" s="28" t="str">
        <f>'19c_13-01-2023_Brewdog fredag'!G7</f>
        <v>9 gode</v>
      </c>
      <c r="L415" s="56"/>
      <c r="M415" s="25">
        <v>9.0</v>
      </c>
      <c r="N415" s="25" t="s">
        <v>95</v>
      </c>
      <c r="T415" s="56"/>
      <c r="U415" s="77">
        <f t="shared" ref="U415:X415" si="3654">C415-C414</f>
        <v>8</v>
      </c>
      <c r="V415" s="28">
        <f t="shared" si="3654"/>
        <v>-8</v>
      </c>
      <c r="W415" s="28">
        <f t="shared" si="3654"/>
        <v>8</v>
      </c>
      <c r="X415" s="28">
        <f t="shared" si="3654"/>
        <v>-8</v>
      </c>
      <c r="AB415" s="28" t="str">
        <f t="shared" ref="AB415:AE415" si="3655">IF(AB$3=$H415,U415,"")</f>
        <v/>
      </c>
      <c r="AC415" s="28">
        <f t="shared" si="3655"/>
        <v>-8</v>
      </c>
      <c r="AD415" s="28" t="str">
        <f t="shared" si="3655"/>
        <v/>
      </c>
      <c r="AE415" s="28" t="str">
        <f t="shared" si="3655"/>
        <v/>
      </c>
      <c r="AH415" s="28">
        <f t="shared" si="22"/>
        <v>0</v>
      </c>
      <c r="AI415" s="28">
        <f t="shared" si="23"/>
        <v>-8</v>
      </c>
      <c r="AK415" s="78" t="str">
        <f t="shared" ref="AK415:AN415" si="3656">IF(U415&gt;0,AK$3,"")</f>
        <v>Thomas</v>
      </c>
      <c r="AL415" s="78" t="str">
        <f t="shared" si="3656"/>
        <v/>
      </c>
      <c r="AM415" s="78" t="str">
        <f t="shared" si="3656"/>
        <v>Janus</v>
      </c>
      <c r="AN415" s="78" t="str">
        <f t="shared" si="3656"/>
        <v/>
      </c>
      <c r="AO415" s="56">
        <f t="shared" si="25"/>
        <v>2</v>
      </c>
      <c r="AP415" s="8" t="str">
        <f t="shared" si="26"/>
        <v>Peter</v>
      </c>
      <c r="AQ415" s="73" t="str">
        <f>IFERROR(__xludf.DUMMYFUNCTION("IFNA(QUERY(transpose(AY415:BB415),""Select Col1 where Col1 is not null limit 1"",0))"),"Christian")</f>
        <v>Christian</v>
      </c>
      <c r="AR415" s="56"/>
      <c r="AS415" s="28" t="str">
        <f t="shared" ref="AS415:AV415" si="3657">IF(AK415=AS$3,"",AS$3)</f>
        <v/>
      </c>
      <c r="AT415" s="28" t="str">
        <f t="shared" si="3657"/>
        <v>Peter</v>
      </c>
      <c r="AU415" s="28" t="str">
        <f t="shared" si="3657"/>
        <v/>
      </c>
      <c r="AV415" s="28" t="str">
        <f t="shared" si="3657"/>
        <v>Christian</v>
      </c>
      <c r="AW415" s="56">
        <f t="shared" si="28"/>
        <v>2</v>
      </c>
      <c r="AX415" s="28">
        <f t="shared" si="29"/>
        <v>-8</v>
      </c>
      <c r="AY415" s="28" t="str">
        <f t="shared" ref="AY415:BB415" si="3658">IFNA(IFS(AY$3=$AP415,"",$AX415=U415,AY$3),"")</f>
        <v/>
      </c>
      <c r="AZ415" s="28" t="str">
        <f t="shared" si="3658"/>
        <v/>
      </c>
      <c r="BA415" s="28" t="str">
        <f t="shared" si="3658"/>
        <v/>
      </c>
      <c r="BB415" s="28" t="str">
        <f t="shared" si="3658"/>
        <v>Christian</v>
      </c>
      <c r="BC415" s="58">
        <f>OFFSET('00_Regnskab_01'!$A$1,MATCH(A415,'00_Regnskab_01'!$A$1:$A$25)-1,2)</f>
        <v>44939</v>
      </c>
      <c r="BE415" s="80">
        <f t="shared" ref="BE415:BH415" si="3659">if(U415&gt;0,1+BE414,0)</f>
        <v>3</v>
      </c>
      <c r="BF415" s="28">
        <f t="shared" si="3659"/>
        <v>0</v>
      </c>
      <c r="BG415" s="28">
        <f t="shared" si="3659"/>
        <v>1</v>
      </c>
      <c r="BH415" s="28">
        <f t="shared" si="3659"/>
        <v>0</v>
      </c>
      <c r="BJ415" s="28">
        <f t="shared" ref="BJ415:BM415" si="3660">if(U415&lt;0,1+BJ414,0)</f>
        <v>0</v>
      </c>
      <c r="BK415" s="28">
        <f t="shared" si="3660"/>
        <v>2</v>
      </c>
      <c r="BL415" s="28">
        <f t="shared" si="3660"/>
        <v>0</v>
      </c>
      <c r="BM415" s="28">
        <f t="shared" si="3660"/>
        <v>1</v>
      </c>
      <c r="BO415" s="74">
        <f t="shared" ref="BO415:BR415" si="3661">if(U415&gt;0,U415+BO414,0)</f>
        <v>32</v>
      </c>
      <c r="BP415" s="74">
        <f t="shared" si="3661"/>
        <v>0</v>
      </c>
      <c r="BQ415" s="74">
        <f t="shared" si="3661"/>
        <v>8</v>
      </c>
      <c r="BR415" s="74">
        <f t="shared" si="3661"/>
        <v>0</v>
      </c>
      <c r="BT415" s="28">
        <f t="shared" ref="BT415:BW415" si="3662">if(U415&lt;0,U415+BT414,0)</f>
        <v>0</v>
      </c>
      <c r="BU415" s="28">
        <f t="shared" si="3662"/>
        <v>-16</v>
      </c>
      <c r="BV415" s="28">
        <f t="shared" si="3662"/>
        <v>0</v>
      </c>
      <c r="BW415" s="28">
        <f t="shared" si="3662"/>
        <v>-8</v>
      </c>
    </row>
    <row r="416">
      <c r="A416" s="53">
        <v>19.0</v>
      </c>
      <c r="B416" s="28">
        <f>'19c_13-01-2023_Brewdog fredag'!A8</f>
        <v>52</v>
      </c>
      <c r="C416" s="28">
        <f>'19c_13-01-2023_Brewdog fredag'!E8</f>
        <v>46</v>
      </c>
      <c r="D416" s="28">
        <f>'19c_13-01-2023_Brewdog fredag'!D8</f>
        <v>-226</v>
      </c>
      <c r="E416" s="28">
        <f>'19c_13-01-2023_Brewdog fredag'!C8</f>
        <v>78</v>
      </c>
      <c r="F416" s="28">
        <f>'19c_13-01-2023_Brewdog fredag'!B8</f>
        <v>102</v>
      </c>
      <c r="G416" s="28">
        <f>'19c_13-01-2023_Brewdog fredag'!F8</f>
        <v>0</v>
      </c>
      <c r="H416" s="28" t="str">
        <f>'19c_13-01-2023_Brewdog fredag'!H8</f>
        <v>Christian</v>
      </c>
      <c r="I416" s="28" t="str">
        <f>'19c_13-01-2023_Brewdog fredag'!H8</f>
        <v>Christian</v>
      </c>
      <c r="J416" s="76" t="str">
        <f>'19c_13-01-2023_Brewdog fredag'!J8</f>
        <v>Christian</v>
      </c>
      <c r="K416" s="28" t="str">
        <f>'19c_13-01-2023_Brewdog fredag'!G8</f>
        <v>9 halve</v>
      </c>
      <c r="L416" s="56"/>
      <c r="M416" s="25">
        <v>9.0</v>
      </c>
      <c r="N416" s="25" t="s">
        <v>94</v>
      </c>
      <c r="T416" s="56"/>
      <c r="U416" s="77">
        <f t="shared" ref="U416:X416" si="3663">C416-C415</f>
        <v>-8</v>
      </c>
      <c r="V416" s="28">
        <f t="shared" si="3663"/>
        <v>-8</v>
      </c>
      <c r="W416" s="28">
        <f t="shared" si="3663"/>
        <v>8</v>
      </c>
      <c r="X416" s="28">
        <f t="shared" si="3663"/>
        <v>8</v>
      </c>
      <c r="AB416" s="28" t="str">
        <f t="shared" ref="AB416:AE416" si="3664">IF(AB$3=$H416,U416,"")</f>
        <v/>
      </c>
      <c r="AC416" s="28" t="str">
        <f t="shared" si="3664"/>
        <v/>
      </c>
      <c r="AD416" s="28" t="str">
        <f t="shared" si="3664"/>
        <v/>
      </c>
      <c r="AE416" s="28">
        <f t="shared" si="3664"/>
        <v>8</v>
      </c>
      <c r="AH416" s="28">
        <f t="shared" si="22"/>
        <v>8</v>
      </c>
      <c r="AI416" s="28">
        <f t="shared" si="23"/>
        <v>0</v>
      </c>
      <c r="AK416" s="78" t="str">
        <f t="shared" ref="AK416:AN416" si="3665">IF(U416&gt;0,AK$3,"")</f>
        <v/>
      </c>
      <c r="AL416" s="78" t="str">
        <f t="shared" si="3665"/>
        <v/>
      </c>
      <c r="AM416" s="78" t="str">
        <f t="shared" si="3665"/>
        <v>Janus</v>
      </c>
      <c r="AN416" s="78" t="str">
        <f t="shared" si="3665"/>
        <v>Christian</v>
      </c>
      <c r="AO416" s="56">
        <f t="shared" si="25"/>
        <v>2</v>
      </c>
      <c r="AP416" s="8" t="str">
        <f t="shared" si="26"/>
        <v>Christian</v>
      </c>
      <c r="AQ416" s="73" t="str">
        <f>IFERROR(__xludf.DUMMYFUNCTION("IFNA(QUERY(transpose(AY416:BB416),""Select Col1 where Col1 is not null limit 1"",0))"),"Janus")</f>
        <v>Janus</v>
      </c>
      <c r="AR416" s="56"/>
      <c r="AS416" s="28" t="str">
        <f t="shared" ref="AS416:AV416" si="3666">IF(AK416=AS$3,"",AS$3)</f>
        <v>Thomas</v>
      </c>
      <c r="AT416" s="28" t="str">
        <f t="shared" si="3666"/>
        <v>Peter</v>
      </c>
      <c r="AU416" s="28" t="str">
        <f t="shared" si="3666"/>
        <v/>
      </c>
      <c r="AV416" s="28" t="str">
        <f t="shared" si="3666"/>
        <v/>
      </c>
      <c r="AW416" s="56">
        <f t="shared" si="28"/>
        <v>2</v>
      </c>
      <c r="AX416" s="28">
        <f t="shared" si="29"/>
        <v>8</v>
      </c>
      <c r="AY416" s="28" t="str">
        <f t="shared" ref="AY416:BB416" si="3667">IFNA(IFS(AY$3=$AP416,"",$AX416=U416,AY$3),"")</f>
        <v/>
      </c>
      <c r="AZ416" s="28" t="str">
        <f t="shared" si="3667"/>
        <v/>
      </c>
      <c r="BA416" s="28" t="str">
        <f t="shared" si="3667"/>
        <v>Janus</v>
      </c>
      <c r="BB416" s="28" t="str">
        <f t="shared" si="3667"/>
        <v/>
      </c>
      <c r="BC416" s="58">
        <f>OFFSET('00_Regnskab_01'!$A$1,MATCH(A416,'00_Regnskab_01'!$A$1:$A$25)-1,2)</f>
        <v>44939</v>
      </c>
      <c r="BE416" s="80">
        <f t="shared" ref="BE416:BH416" si="3668">if(U416&gt;0,1+BE415,0)</f>
        <v>0</v>
      </c>
      <c r="BF416" s="28">
        <f t="shared" si="3668"/>
        <v>0</v>
      </c>
      <c r="BG416" s="28">
        <f t="shared" si="3668"/>
        <v>2</v>
      </c>
      <c r="BH416" s="28">
        <f t="shared" si="3668"/>
        <v>1</v>
      </c>
      <c r="BJ416" s="28">
        <f t="shared" ref="BJ416:BM416" si="3669">if(U416&lt;0,1+BJ415,0)</f>
        <v>1</v>
      </c>
      <c r="BK416" s="28">
        <f t="shared" si="3669"/>
        <v>3</v>
      </c>
      <c r="BL416" s="28">
        <f t="shared" si="3669"/>
        <v>0</v>
      </c>
      <c r="BM416" s="28">
        <f t="shared" si="3669"/>
        <v>0</v>
      </c>
      <c r="BO416" s="74">
        <f t="shared" ref="BO416:BR416" si="3670">if(U416&gt;0,U416+BO415,0)</f>
        <v>0</v>
      </c>
      <c r="BP416" s="74">
        <f t="shared" si="3670"/>
        <v>0</v>
      </c>
      <c r="BQ416" s="74">
        <f t="shared" si="3670"/>
        <v>16</v>
      </c>
      <c r="BR416" s="74">
        <f t="shared" si="3670"/>
        <v>8</v>
      </c>
      <c r="BT416" s="28">
        <f t="shared" ref="BT416:BW416" si="3671">if(U416&lt;0,U416+BT415,0)</f>
        <v>-8</v>
      </c>
      <c r="BU416" s="28">
        <f t="shared" si="3671"/>
        <v>-24</v>
      </c>
      <c r="BV416" s="28">
        <f t="shared" si="3671"/>
        <v>0</v>
      </c>
      <c r="BW416" s="28">
        <f t="shared" si="3671"/>
        <v>0</v>
      </c>
    </row>
    <row r="417">
      <c r="A417" s="53">
        <v>19.0</v>
      </c>
      <c r="B417" s="28">
        <f>'19c_13-01-2023_Brewdog fredag'!A9</f>
        <v>52</v>
      </c>
      <c r="C417" s="28">
        <f>'19c_13-01-2023_Brewdog fredag'!E9</f>
        <v>94</v>
      </c>
      <c r="D417" s="28">
        <f>'19c_13-01-2023_Brewdog fredag'!D9</f>
        <v>-242</v>
      </c>
      <c r="E417" s="28">
        <f>'19c_13-01-2023_Brewdog fredag'!C9</f>
        <v>62</v>
      </c>
      <c r="F417" s="28">
        <f>'19c_13-01-2023_Brewdog fredag'!B9</f>
        <v>86</v>
      </c>
      <c r="G417" s="28">
        <f>'19c_13-01-2023_Brewdog fredag'!F9</f>
        <v>0</v>
      </c>
      <c r="H417" s="28" t="str">
        <f>'19c_13-01-2023_Brewdog fredag'!H9</f>
        <v>Thomas</v>
      </c>
      <c r="I417" s="28" t="str">
        <f>'19c_13-01-2023_Brewdog fredag'!H9</f>
        <v>Thomas</v>
      </c>
      <c r="J417" s="76" t="str">
        <f>'19c_13-01-2023_Brewdog fredag'!J9</f>
        <v>Janus</v>
      </c>
      <c r="K417" s="28" t="str">
        <f>'19c_13-01-2023_Brewdog fredag'!G9</f>
        <v>halv bordlægger</v>
      </c>
      <c r="L417" s="56"/>
      <c r="N417" s="25" t="s">
        <v>101</v>
      </c>
      <c r="T417" s="56"/>
      <c r="U417" s="77">
        <f t="shared" ref="U417:X417" si="3672">C417-C416</f>
        <v>48</v>
      </c>
      <c r="V417" s="28">
        <f t="shared" si="3672"/>
        <v>-16</v>
      </c>
      <c r="W417" s="28">
        <f t="shared" si="3672"/>
        <v>-16</v>
      </c>
      <c r="X417" s="28">
        <f t="shared" si="3672"/>
        <v>-16</v>
      </c>
      <c r="AB417" s="28">
        <f t="shared" ref="AB417:AE417" si="3673">IF(AB$3=$H417,U417,"")</f>
        <v>48</v>
      </c>
      <c r="AC417" s="28" t="str">
        <f t="shared" si="3673"/>
        <v/>
      </c>
      <c r="AD417" s="28" t="str">
        <f t="shared" si="3673"/>
        <v/>
      </c>
      <c r="AE417" s="28" t="str">
        <f t="shared" si="3673"/>
        <v/>
      </c>
      <c r="AH417" s="28">
        <f t="shared" si="22"/>
        <v>48</v>
      </c>
      <c r="AI417" s="28">
        <f t="shared" si="23"/>
        <v>0</v>
      </c>
      <c r="AK417" s="78" t="str">
        <f t="shared" ref="AK417:AN417" si="3674">IF(U417&gt;0,AK$3,"")</f>
        <v>Thomas</v>
      </c>
      <c r="AL417" s="78" t="str">
        <f t="shared" si="3674"/>
        <v/>
      </c>
      <c r="AM417" s="78" t="str">
        <f t="shared" si="3674"/>
        <v/>
      </c>
      <c r="AN417" s="78" t="str">
        <f t="shared" si="3674"/>
        <v/>
      </c>
      <c r="AO417" s="56">
        <f t="shared" si="25"/>
        <v>1</v>
      </c>
      <c r="AP417" s="8" t="str">
        <f t="shared" si="26"/>
        <v>Thomas</v>
      </c>
      <c r="AQ417" s="73" t="str">
        <f>IFERROR(__xludf.DUMMYFUNCTION("IFNA(QUERY(transpose(AY417:BB417),""Select Col1 where Col1 is not null limit 1"",0))"),"")</f>
        <v/>
      </c>
      <c r="AR417" s="56"/>
      <c r="AS417" s="28" t="str">
        <f t="shared" ref="AS417:AV417" si="3675">IF(AK417=AS$3,"",AS$3)</f>
        <v/>
      </c>
      <c r="AT417" s="28" t="str">
        <f t="shared" si="3675"/>
        <v>Peter</v>
      </c>
      <c r="AU417" s="28" t="str">
        <f t="shared" si="3675"/>
        <v>Janus</v>
      </c>
      <c r="AV417" s="28" t="str">
        <f t="shared" si="3675"/>
        <v>Christian</v>
      </c>
      <c r="AW417" s="56">
        <f t="shared" si="28"/>
        <v>3</v>
      </c>
      <c r="AX417" s="28">
        <f t="shared" si="29"/>
        <v>48</v>
      </c>
      <c r="AY417" s="28" t="str">
        <f t="shared" ref="AY417:BB417" si="3676">IFNA(IFS(AY$3=$AP417,"",$AX417=U417,AY$3),"")</f>
        <v/>
      </c>
      <c r="AZ417" s="28" t="str">
        <f t="shared" si="3676"/>
        <v/>
      </c>
      <c r="BA417" s="28" t="str">
        <f t="shared" si="3676"/>
        <v/>
      </c>
      <c r="BB417" s="28" t="str">
        <f t="shared" si="3676"/>
        <v/>
      </c>
      <c r="BC417" s="58">
        <f>OFFSET('00_Regnskab_01'!$A$1,MATCH(A417,'00_Regnskab_01'!$A$1:$A$25)-1,2)</f>
        <v>44939</v>
      </c>
      <c r="BE417" s="80">
        <f t="shared" ref="BE417:BH417" si="3677">if(U417&gt;0,1+BE416,0)</f>
        <v>1</v>
      </c>
      <c r="BF417" s="28">
        <f t="shared" si="3677"/>
        <v>0</v>
      </c>
      <c r="BG417" s="28">
        <f t="shared" si="3677"/>
        <v>0</v>
      </c>
      <c r="BH417" s="28">
        <f t="shared" si="3677"/>
        <v>0</v>
      </c>
      <c r="BJ417" s="28">
        <f t="shared" ref="BJ417:BM417" si="3678">if(U417&lt;0,1+BJ416,0)</f>
        <v>0</v>
      </c>
      <c r="BK417" s="28">
        <f t="shared" si="3678"/>
        <v>4</v>
      </c>
      <c r="BL417" s="28">
        <f t="shared" si="3678"/>
        <v>1</v>
      </c>
      <c r="BM417" s="28">
        <f t="shared" si="3678"/>
        <v>1</v>
      </c>
      <c r="BO417" s="74">
        <f t="shared" ref="BO417:BR417" si="3679">if(U417&gt;0,U417+BO416,0)</f>
        <v>48</v>
      </c>
      <c r="BP417" s="74">
        <f t="shared" si="3679"/>
        <v>0</v>
      </c>
      <c r="BQ417" s="74">
        <f t="shared" si="3679"/>
        <v>0</v>
      </c>
      <c r="BR417" s="74">
        <f t="shared" si="3679"/>
        <v>0</v>
      </c>
      <c r="BT417" s="28">
        <f t="shared" ref="BT417:BW417" si="3680">if(U417&lt;0,U417+BT416,0)</f>
        <v>0</v>
      </c>
      <c r="BU417" s="28">
        <f t="shared" si="3680"/>
        <v>-40</v>
      </c>
      <c r="BV417" s="28">
        <f t="shared" si="3680"/>
        <v>-16</v>
      </c>
      <c r="BW417" s="28">
        <f t="shared" si="3680"/>
        <v>-16</v>
      </c>
    </row>
    <row r="418">
      <c r="A418" s="53">
        <v>19.0</v>
      </c>
      <c r="B418" s="28">
        <f>'19c_13-01-2023_Brewdog fredag'!A10</f>
        <v>53</v>
      </c>
      <c r="C418" s="28">
        <f>'19c_13-01-2023_Brewdog fredag'!E10</f>
        <v>88</v>
      </c>
      <c r="D418" s="28">
        <f>'19c_13-01-2023_Brewdog fredag'!D10</f>
        <v>-248</v>
      </c>
      <c r="E418" s="28">
        <f>'19c_13-01-2023_Brewdog fredag'!C10</f>
        <v>68</v>
      </c>
      <c r="F418" s="28">
        <f>'19c_13-01-2023_Brewdog fredag'!B10</f>
        <v>92</v>
      </c>
      <c r="G418" s="28">
        <f>'19c_13-01-2023_Brewdog fredag'!F10</f>
        <v>0</v>
      </c>
      <c r="H418" s="28" t="str">
        <f>'19c_13-01-2023_Brewdog fredag'!H10</f>
        <v>Thomas</v>
      </c>
      <c r="I418" s="28" t="str">
        <f>'19c_13-01-2023_Brewdog fredag'!H10</f>
        <v>Thomas</v>
      </c>
      <c r="J418" s="76" t="str">
        <f>'19c_13-01-2023_Brewdog fredag'!J10</f>
        <v>Peter</v>
      </c>
      <c r="K418" s="28" t="str">
        <f>'19c_13-01-2023_Brewdog fredag'!G10</f>
        <v>Vip i 1.</v>
      </c>
      <c r="L418" s="56"/>
      <c r="N418" s="25" t="s">
        <v>86</v>
      </c>
      <c r="O418" s="25">
        <v>1.0</v>
      </c>
      <c r="T418" s="56"/>
      <c r="U418" s="77">
        <f t="shared" ref="U418:X418" si="3681">C418-C417</f>
        <v>-6</v>
      </c>
      <c r="V418" s="28">
        <f t="shared" si="3681"/>
        <v>-6</v>
      </c>
      <c r="W418" s="28">
        <f t="shared" si="3681"/>
        <v>6</v>
      </c>
      <c r="X418" s="28">
        <f t="shared" si="3681"/>
        <v>6</v>
      </c>
      <c r="AB418" s="28">
        <f t="shared" ref="AB418:AE418" si="3682">IF(AB$3=$H418,U418,"")</f>
        <v>-6</v>
      </c>
      <c r="AC418" s="28" t="str">
        <f t="shared" si="3682"/>
        <v/>
      </c>
      <c r="AD418" s="28" t="str">
        <f t="shared" si="3682"/>
        <v/>
      </c>
      <c r="AE418" s="28" t="str">
        <f t="shared" si="3682"/>
        <v/>
      </c>
      <c r="AH418" s="28">
        <f t="shared" si="22"/>
        <v>0</v>
      </c>
      <c r="AI418" s="28">
        <f t="shared" si="23"/>
        <v>-6</v>
      </c>
      <c r="AK418" s="78" t="str">
        <f t="shared" ref="AK418:AN418" si="3683">IF(U418&gt;0,AK$3,"")</f>
        <v/>
      </c>
      <c r="AL418" s="78" t="str">
        <f t="shared" si="3683"/>
        <v/>
      </c>
      <c r="AM418" s="78" t="str">
        <f t="shared" si="3683"/>
        <v>Janus</v>
      </c>
      <c r="AN418" s="78" t="str">
        <f t="shared" si="3683"/>
        <v>Christian</v>
      </c>
      <c r="AO418" s="56">
        <f t="shared" si="25"/>
        <v>2</v>
      </c>
      <c r="AP418" s="8" t="str">
        <f t="shared" si="26"/>
        <v>Thomas</v>
      </c>
      <c r="AQ418" s="73" t="str">
        <f>IFERROR(__xludf.DUMMYFUNCTION("IFNA(QUERY(transpose(AY418:BB418),""Select Col1 where Col1 is not null limit 1"",0))"),"Peter")</f>
        <v>Peter</v>
      </c>
      <c r="AR418" s="56"/>
      <c r="AS418" s="28" t="str">
        <f t="shared" ref="AS418:AV418" si="3684">IF(AK418=AS$3,"",AS$3)</f>
        <v>Thomas</v>
      </c>
      <c r="AT418" s="28" t="str">
        <f t="shared" si="3684"/>
        <v>Peter</v>
      </c>
      <c r="AU418" s="28" t="str">
        <f t="shared" si="3684"/>
        <v/>
      </c>
      <c r="AV418" s="28" t="str">
        <f t="shared" si="3684"/>
        <v/>
      </c>
      <c r="AW418" s="56">
        <f t="shared" si="28"/>
        <v>2</v>
      </c>
      <c r="AX418" s="28">
        <f t="shared" si="29"/>
        <v>-6</v>
      </c>
      <c r="AY418" s="28" t="str">
        <f t="shared" ref="AY418:BB418" si="3685">IFNA(IFS(AY$3=$AP418,"",$AX418=U418,AY$3),"")</f>
        <v/>
      </c>
      <c r="AZ418" s="28" t="str">
        <f t="shared" si="3685"/>
        <v>Peter</v>
      </c>
      <c r="BA418" s="28" t="str">
        <f t="shared" si="3685"/>
        <v/>
      </c>
      <c r="BB418" s="28" t="str">
        <f t="shared" si="3685"/>
        <v/>
      </c>
      <c r="BC418" s="58">
        <f>OFFSET('00_Regnskab_01'!$A$1,MATCH(A418,'00_Regnskab_01'!$A$1:$A$25)-1,2)</f>
        <v>44939</v>
      </c>
      <c r="BE418" s="80">
        <f t="shared" ref="BE418:BH418" si="3686">if(U418&gt;0,1+BE417,0)</f>
        <v>0</v>
      </c>
      <c r="BF418" s="28">
        <f t="shared" si="3686"/>
        <v>0</v>
      </c>
      <c r="BG418" s="28">
        <f t="shared" si="3686"/>
        <v>1</v>
      </c>
      <c r="BH418" s="28">
        <f t="shared" si="3686"/>
        <v>1</v>
      </c>
      <c r="BJ418" s="28">
        <f t="shared" ref="BJ418:BM418" si="3687">if(U418&lt;0,1+BJ417,0)</f>
        <v>1</v>
      </c>
      <c r="BK418" s="28">
        <f t="shared" si="3687"/>
        <v>5</v>
      </c>
      <c r="BL418" s="28">
        <f t="shared" si="3687"/>
        <v>0</v>
      </c>
      <c r="BM418" s="28">
        <f t="shared" si="3687"/>
        <v>0</v>
      </c>
      <c r="BO418" s="74">
        <f t="shared" ref="BO418:BR418" si="3688">if(U418&gt;0,U418+BO417,0)</f>
        <v>0</v>
      </c>
      <c r="BP418" s="74">
        <f t="shared" si="3688"/>
        <v>0</v>
      </c>
      <c r="BQ418" s="74">
        <f t="shared" si="3688"/>
        <v>6</v>
      </c>
      <c r="BR418" s="74">
        <f t="shared" si="3688"/>
        <v>6</v>
      </c>
      <c r="BT418" s="28">
        <f t="shared" ref="BT418:BW418" si="3689">if(U418&lt;0,U418+BT417,0)</f>
        <v>-6</v>
      </c>
      <c r="BU418" s="28">
        <f t="shared" si="3689"/>
        <v>-46</v>
      </c>
      <c r="BV418" s="28">
        <f t="shared" si="3689"/>
        <v>0</v>
      </c>
      <c r="BW418" s="28">
        <f t="shared" si="3689"/>
        <v>0</v>
      </c>
    </row>
    <row r="419">
      <c r="A419" s="53">
        <v>19.0</v>
      </c>
      <c r="B419" s="28">
        <f>'19c_13-01-2023_Brewdog fredag'!A11</f>
        <v>53</v>
      </c>
      <c r="C419" s="28">
        <f>'19c_13-01-2023_Brewdog fredag'!E11</f>
        <v>96</v>
      </c>
      <c r="D419" s="28">
        <f>'19c_13-01-2023_Brewdog fredag'!D11</f>
        <v>-240</v>
      </c>
      <c r="E419" s="28">
        <f>'19c_13-01-2023_Brewdog fredag'!C11</f>
        <v>76</v>
      </c>
      <c r="F419" s="28">
        <f>'19c_13-01-2023_Brewdog fredag'!B11</f>
        <v>68</v>
      </c>
      <c r="G419" s="28">
        <f>'19c_13-01-2023_Brewdog fredag'!F11</f>
        <v>0</v>
      </c>
      <c r="H419" s="28" t="str">
        <f>'19c_13-01-2023_Brewdog fredag'!H11</f>
        <v>Christian</v>
      </c>
      <c r="I419" s="28" t="str">
        <f>'19c_13-01-2023_Brewdog fredag'!H11</f>
        <v>Christian</v>
      </c>
      <c r="J419" s="76" t="str">
        <f>'19c_13-01-2023_Brewdog fredag'!J11</f>
        <v>Thomas</v>
      </c>
      <c r="K419" s="28" t="str">
        <f>'19c_13-01-2023_Brewdog fredag'!G11</f>
        <v>Ren sol</v>
      </c>
      <c r="L419" s="56"/>
      <c r="N419" s="25" t="s">
        <v>97</v>
      </c>
      <c r="T419" s="56"/>
      <c r="U419" s="77">
        <f t="shared" ref="U419:X419" si="3690">C419-C418</f>
        <v>8</v>
      </c>
      <c r="V419" s="28">
        <f t="shared" si="3690"/>
        <v>8</v>
      </c>
      <c r="W419" s="28">
        <f t="shared" si="3690"/>
        <v>8</v>
      </c>
      <c r="X419" s="28">
        <f t="shared" si="3690"/>
        <v>-24</v>
      </c>
      <c r="AB419" s="28" t="str">
        <f t="shared" ref="AB419:AE419" si="3691">IF(AB$3=$H419,U419,"")</f>
        <v/>
      </c>
      <c r="AC419" s="28" t="str">
        <f t="shared" si="3691"/>
        <v/>
      </c>
      <c r="AD419" s="28" t="str">
        <f t="shared" si="3691"/>
        <v/>
      </c>
      <c r="AE419" s="28">
        <f t="shared" si="3691"/>
        <v>-24</v>
      </c>
      <c r="AH419" s="28">
        <f t="shared" si="22"/>
        <v>0</v>
      </c>
      <c r="AI419" s="28">
        <f t="shared" si="23"/>
        <v>-24</v>
      </c>
      <c r="AK419" s="78" t="str">
        <f t="shared" ref="AK419:AN419" si="3692">IF(U419&gt;0,AK$3,"")</f>
        <v>Thomas</v>
      </c>
      <c r="AL419" s="78" t="str">
        <f t="shared" si="3692"/>
        <v>Peter</v>
      </c>
      <c r="AM419" s="78" t="str">
        <f t="shared" si="3692"/>
        <v>Janus</v>
      </c>
      <c r="AN419" s="78" t="str">
        <f t="shared" si="3692"/>
        <v/>
      </c>
      <c r="AO419" s="56">
        <f t="shared" si="25"/>
        <v>3</v>
      </c>
      <c r="AP419" s="8" t="str">
        <f t="shared" si="26"/>
        <v>Christian</v>
      </c>
      <c r="AQ419" s="73" t="str">
        <f>IFERROR(__xludf.DUMMYFUNCTION("IFNA(QUERY(transpose(AY419:BB419),""Select Col1 where Col1 is not null limit 1"",0))"),"")</f>
        <v/>
      </c>
      <c r="AR419" s="56"/>
      <c r="AS419" s="28" t="str">
        <f t="shared" ref="AS419:AV419" si="3693">IF(AK419=AS$3,"",AS$3)</f>
        <v/>
      </c>
      <c r="AT419" s="28" t="str">
        <f t="shared" si="3693"/>
        <v/>
      </c>
      <c r="AU419" s="28" t="str">
        <f t="shared" si="3693"/>
        <v/>
      </c>
      <c r="AV419" s="28" t="str">
        <f t="shared" si="3693"/>
        <v>Christian</v>
      </c>
      <c r="AW419" s="56">
        <f t="shared" si="28"/>
        <v>1</v>
      </c>
      <c r="AX419" s="28">
        <f t="shared" si="29"/>
        <v>-24</v>
      </c>
      <c r="AY419" s="28" t="str">
        <f t="shared" ref="AY419:BB419" si="3694">IFNA(IFS(AY$3=$AP419,"",$AX419=U419,AY$3),"")</f>
        <v/>
      </c>
      <c r="AZ419" s="28" t="str">
        <f t="shared" si="3694"/>
        <v/>
      </c>
      <c r="BA419" s="28" t="str">
        <f t="shared" si="3694"/>
        <v/>
      </c>
      <c r="BB419" s="28" t="str">
        <f t="shared" si="3694"/>
        <v/>
      </c>
      <c r="BC419" s="58">
        <f>OFFSET('00_Regnskab_01'!$A$1,MATCH(A419,'00_Regnskab_01'!$A$1:$A$25)-1,2)</f>
        <v>44939</v>
      </c>
      <c r="BE419" s="80">
        <f t="shared" ref="BE419:BH419" si="3695">if(U419&gt;0,1+BE418,0)</f>
        <v>1</v>
      </c>
      <c r="BF419" s="28">
        <f t="shared" si="3695"/>
        <v>1</v>
      </c>
      <c r="BG419" s="28">
        <f t="shared" si="3695"/>
        <v>2</v>
      </c>
      <c r="BH419" s="28">
        <f t="shared" si="3695"/>
        <v>0</v>
      </c>
      <c r="BJ419" s="28">
        <f t="shared" ref="BJ419:BM419" si="3696">if(U419&lt;0,1+BJ418,0)</f>
        <v>0</v>
      </c>
      <c r="BK419" s="28">
        <f t="shared" si="3696"/>
        <v>0</v>
      </c>
      <c r="BL419" s="28">
        <f t="shared" si="3696"/>
        <v>0</v>
      </c>
      <c r="BM419" s="28">
        <f t="shared" si="3696"/>
        <v>1</v>
      </c>
      <c r="BO419" s="74">
        <f t="shared" ref="BO419:BR419" si="3697">if(U419&gt;0,U419+BO418,0)</f>
        <v>8</v>
      </c>
      <c r="BP419" s="74">
        <f t="shared" si="3697"/>
        <v>8</v>
      </c>
      <c r="BQ419" s="74">
        <f t="shared" si="3697"/>
        <v>14</v>
      </c>
      <c r="BR419" s="74">
        <f t="shared" si="3697"/>
        <v>0</v>
      </c>
      <c r="BT419" s="28">
        <f t="shared" ref="BT419:BW419" si="3698">if(U419&lt;0,U419+BT418,0)</f>
        <v>0</v>
      </c>
      <c r="BU419" s="28">
        <f t="shared" si="3698"/>
        <v>0</v>
      </c>
      <c r="BV419" s="28">
        <f t="shared" si="3698"/>
        <v>0</v>
      </c>
      <c r="BW419" s="28">
        <f t="shared" si="3698"/>
        <v>-24</v>
      </c>
    </row>
    <row r="420">
      <c r="A420" s="83">
        <v>19.0</v>
      </c>
      <c r="B420" s="84">
        <f>'19c_13-01-2023_Brewdog fredag'!A12</f>
        <v>54</v>
      </c>
      <c r="C420" s="84">
        <f>'19c_13-01-2023_Brewdog fredag'!E12</f>
        <v>104</v>
      </c>
      <c r="D420" s="84">
        <f>'19c_13-01-2023_Brewdog fredag'!D12</f>
        <v>-248</v>
      </c>
      <c r="E420" s="84">
        <f>'19c_13-01-2023_Brewdog fredag'!C12</f>
        <v>68</v>
      </c>
      <c r="F420" s="84">
        <f>'19c_13-01-2023_Brewdog fredag'!B12</f>
        <v>76</v>
      </c>
      <c r="G420" s="84">
        <f>'19c_13-01-2023_Brewdog fredag'!F12</f>
        <v>0</v>
      </c>
      <c r="H420" s="84" t="str">
        <f>'19c_13-01-2023_Brewdog fredag'!H12</f>
        <v>Thomas</v>
      </c>
      <c r="I420" s="84" t="str">
        <f>'19c_13-01-2023_Brewdog fredag'!H12</f>
        <v>Thomas</v>
      </c>
      <c r="J420" s="86" t="str">
        <f>'19c_13-01-2023_Brewdog fredag'!J12</f>
        <v>Christian</v>
      </c>
      <c r="K420" s="84" t="str">
        <f>'19c_13-01-2023_Brewdog fredag'!G12</f>
        <v>10 alm</v>
      </c>
      <c r="L420" s="84"/>
      <c r="M420" s="87">
        <v>10.0</v>
      </c>
      <c r="N420" s="87" t="s">
        <v>100</v>
      </c>
      <c r="O420" s="84"/>
      <c r="P420" s="84"/>
      <c r="Q420" s="84"/>
      <c r="R420" s="84"/>
      <c r="S420" s="84"/>
      <c r="T420" s="84"/>
      <c r="U420" s="88">
        <f t="shared" ref="U420:X420" si="3699">C420-C419</f>
        <v>8</v>
      </c>
      <c r="V420" s="84">
        <f t="shared" si="3699"/>
        <v>-8</v>
      </c>
      <c r="W420" s="84">
        <f t="shared" si="3699"/>
        <v>-8</v>
      </c>
      <c r="X420" s="84">
        <f t="shared" si="3699"/>
        <v>8</v>
      </c>
      <c r="Y420" s="84"/>
      <c r="Z420" s="84"/>
      <c r="AA420" s="84"/>
      <c r="AB420" s="84">
        <f t="shared" ref="AB420:AE420" si="3700">IF(AB$3=$H420,U420,"")</f>
        <v>8</v>
      </c>
      <c r="AC420" s="84" t="str">
        <f t="shared" si="3700"/>
        <v/>
      </c>
      <c r="AD420" s="84" t="str">
        <f t="shared" si="3700"/>
        <v/>
      </c>
      <c r="AE420" s="84" t="str">
        <f t="shared" si="3700"/>
        <v/>
      </c>
      <c r="AF420" s="84"/>
      <c r="AG420" s="84"/>
      <c r="AH420" s="84">
        <f t="shared" si="22"/>
        <v>8</v>
      </c>
      <c r="AI420" s="84">
        <f t="shared" si="23"/>
        <v>0</v>
      </c>
      <c r="AJ420" s="84"/>
      <c r="AK420" s="93" t="str">
        <f t="shared" ref="AK420:AN420" si="3701">IF(U420&gt;0,AK$3,"")</f>
        <v>Thomas</v>
      </c>
      <c r="AL420" s="93" t="str">
        <f t="shared" si="3701"/>
        <v/>
      </c>
      <c r="AM420" s="93" t="str">
        <f t="shared" si="3701"/>
        <v/>
      </c>
      <c r="AN420" s="93" t="str">
        <f t="shared" si="3701"/>
        <v>Christian</v>
      </c>
      <c r="AO420" s="84">
        <f t="shared" si="25"/>
        <v>2</v>
      </c>
      <c r="AP420" s="94" t="str">
        <f t="shared" si="26"/>
        <v>Thomas</v>
      </c>
      <c r="AQ420" s="95" t="str">
        <f>IFERROR(__xludf.DUMMYFUNCTION("IFNA(QUERY(transpose(AY420:BB420),""Select Col1 where Col1 is not null limit 1"",0))"),"Christian")</f>
        <v>Christian</v>
      </c>
      <c r="AR420" s="84"/>
      <c r="AS420" s="84" t="str">
        <f t="shared" ref="AS420:AV420" si="3702">IF(AK420=AS$3,"",AS$3)</f>
        <v/>
      </c>
      <c r="AT420" s="84" t="str">
        <f t="shared" si="3702"/>
        <v>Peter</v>
      </c>
      <c r="AU420" s="84" t="str">
        <f t="shared" si="3702"/>
        <v>Janus</v>
      </c>
      <c r="AV420" s="84" t="str">
        <f t="shared" si="3702"/>
        <v/>
      </c>
      <c r="AW420" s="84">
        <f t="shared" si="28"/>
        <v>2</v>
      </c>
      <c r="AX420" s="84">
        <f t="shared" si="29"/>
        <v>8</v>
      </c>
      <c r="AY420" s="84" t="str">
        <f t="shared" ref="AY420:BB420" si="3703">IFNA(IFS(AY$3=$AP420,"",$AX420=U420,AY$3),"")</f>
        <v/>
      </c>
      <c r="AZ420" s="84" t="str">
        <f t="shared" si="3703"/>
        <v/>
      </c>
      <c r="BA420" s="84" t="str">
        <f t="shared" si="3703"/>
        <v/>
      </c>
      <c r="BB420" s="84" t="str">
        <f t="shared" si="3703"/>
        <v>Christian</v>
      </c>
      <c r="BC420" s="96">
        <f>OFFSET('00_Regnskab_01'!$A$1,MATCH(A420,'00_Regnskab_01'!$A$1:$A$25)-1,2)</f>
        <v>44939</v>
      </c>
      <c r="BD420" s="84"/>
      <c r="BE420" s="97">
        <f t="shared" ref="BE420:BH420" si="3704">if(U420&gt;0,1+BE419,0)</f>
        <v>2</v>
      </c>
      <c r="BF420" s="84">
        <f t="shared" si="3704"/>
        <v>0</v>
      </c>
      <c r="BG420" s="84">
        <f t="shared" si="3704"/>
        <v>0</v>
      </c>
      <c r="BH420" s="84">
        <f t="shared" si="3704"/>
        <v>1</v>
      </c>
      <c r="BI420" s="84"/>
      <c r="BJ420" s="28">
        <f t="shared" ref="BJ420:BM420" si="3705">if(U420&lt;0,1+BJ419,0)</f>
        <v>0</v>
      </c>
      <c r="BK420" s="28">
        <f t="shared" si="3705"/>
        <v>1</v>
      </c>
      <c r="BL420" s="28">
        <f t="shared" si="3705"/>
        <v>1</v>
      </c>
      <c r="BM420" s="28">
        <f t="shared" si="3705"/>
        <v>0</v>
      </c>
      <c r="BN420" s="84"/>
      <c r="BO420" s="98">
        <f t="shared" ref="BO420:BR420" si="3706">if(U420&gt;0,U420+BO419,0)</f>
        <v>16</v>
      </c>
      <c r="BP420" s="98">
        <f t="shared" si="3706"/>
        <v>0</v>
      </c>
      <c r="BQ420" s="98">
        <f t="shared" si="3706"/>
        <v>0</v>
      </c>
      <c r="BR420" s="98">
        <f t="shared" si="3706"/>
        <v>8</v>
      </c>
      <c r="BS420" s="84"/>
      <c r="BT420" s="84">
        <f t="shared" ref="BT420:BW420" si="3707">if(U420&lt;0,U420+BT419,0)</f>
        <v>0</v>
      </c>
      <c r="BU420" s="84">
        <f t="shared" si="3707"/>
        <v>-8</v>
      </c>
      <c r="BV420" s="84">
        <f t="shared" si="3707"/>
        <v>-8</v>
      </c>
      <c r="BW420" s="84">
        <f t="shared" si="3707"/>
        <v>0</v>
      </c>
      <c r="BX420" s="84"/>
      <c r="BY420" s="84"/>
    </row>
    <row r="421">
      <c r="A421" s="51">
        <v>20.0</v>
      </c>
      <c r="B421" s="32">
        <f>'20_14-01-2023_Stasi Lørdag'!A3</f>
        <v>1</v>
      </c>
      <c r="C421" s="32">
        <f>'20_14-01-2023_Stasi Lørdag'!E3</f>
        <v>-12</v>
      </c>
      <c r="D421" s="32">
        <f>'20_14-01-2023_Stasi Lørdag'!D3</f>
        <v>12</v>
      </c>
      <c r="E421" s="32">
        <f>'20_14-01-2023_Stasi Lørdag'!C3</f>
        <v>12</v>
      </c>
      <c r="F421" s="32">
        <f>'20_14-01-2023_Stasi Lørdag'!B3</f>
        <v>-12</v>
      </c>
      <c r="G421" s="32">
        <f>'20_14-01-2023_Stasi Lørdag'!F3</f>
        <v>0</v>
      </c>
      <c r="H421" s="32" t="str">
        <f>'20_14-01-2023_Stasi Lørdag'!H3</f>
        <v>Christian</v>
      </c>
      <c r="I421" s="32" t="str">
        <f>'20_14-01-2023_Stasi Lørdag'!I3</f>
        <v>Thomas</v>
      </c>
      <c r="J421" s="70" t="str">
        <f>'20_14-01-2023_Stasi Lørdag'!J3</f>
        <v>Christian</v>
      </c>
      <c r="K421" s="32" t="str">
        <f>'20_14-01-2023_Stasi Lørdag'!G3</f>
        <v>9 halve</v>
      </c>
      <c r="L421" s="32"/>
      <c r="M421" s="48">
        <v>9.0</v>
      </c>
      <c r="N421" s="25" t="s">
        <v>94</v>
      </c>
      <c r="O421" s="32"/>
      <c r="P421" s="32"/>
      <c r="Q421" s="32"/>
      <c r="R421" s="32"/>
      <c r="S421" s="32"/>
      <c r="T421" s="32"/>
      <c r="U421" s="71">
        <f t="shared" ref="U421:X421" si="3708">C421</f>
        <v>-12</v>
      </c>
      <c r="V421" s="32">
        <f t="shared" si="3708"/>
        <v>12</v>
      </c>
      <c r="W421" s="32">
        <f t="shared" si="3708"/>
        <v>12</v>
      </c>
      <c r="X421" s="32">
        <f t="shared" si="3708"/>
        <v>-12</v>
      </c>
      <c r="Y421" s="32"/>
      <c r="Z421" s="32"/>
      <c r="AA421" s="32"/>
      <c r="AB421" s="28" t="str">
        <f t="shared" ref="AB421:AE421" si="3709">IF(AB$3=$H421,U421,"")</f>
        <v/>
      </c>
      <c r="AC421" s="28" t="str">
        <f t="shared" si="3709"/>
        <v/>
      </c>
      <c r="AD421" s="28" t="str">
        <f t="shared" si="3709"/>
        <v/>
      </c>
      <c r="AE421" s="28">
        <f t="shared" si="3709"/>
        <v>-12</v>
      </c>
      <c r="AH421" s="28">
        <f t="shared" si="22"/>
        <v>0</v>
      </c>
      <c r="AI421" s="28">
        <f t="shared" si="23"/>
        <v>-12</v>
      </c>
      <c r="AJ421" s="32"/>
      <c r="AK421" s="78" t="str">
        <f t="shared" ref="AK421:AN421" si="3710">IF(U421&gt;0,AK$3,"")</f>
        <v/>
      </c>
      <c r="AL421" s="78" t="str">
        <f t="shared" si="3710"/>
        <v>Peter</v>
      </c>
      <c r="AM421" s="78" t="str">
        <f t="shared" si="3710"/>
        <v>Janus</v>
      </c>
      <c r="AN421" s="78" t="str">
        <f t="shared" si="3710"/>
        <v/>
      </c>
      <c r="AO421" s="56">
        <f t="shared" si="25"/>
        <v>2</v>
      </c>
      <c r="AP421" s="8" t="str">
        <f t="shared" si="26"/>
        <v>Christian</v>
      </c>
      <c r="AQ421" s="73" t="str">
        <f>IFERROR(__xludf.DUMMYFUNCTION("IFNA(QUERY(transpose(AY421:BB421),""Select Col1 where Col1 is not null limit 1"",0))"),"Thomas")</f>
        <v>Thomas</v>
      </c>
      <c r="AR421" s="56"/>
      <c r="AS421" s="28" t="str">
        <f t="shared" ref="AS421:AV421" si="3711">IF(AK421=AS$3,"",AS$3)</f>
        <v>Thomas</v>
      </c>
      <c r="AT421" s="28" t="str">
        <f t="shared" si="3711"/>
        <v/>
      </c>
      <c r="AU421" s="28" t="str">
        <f t="shared" si="3711"/>
        <v/>
      </c>
      <c r="AV421" s="28" t="str">
        <f t="shared" si="3711"/>
        <v>Christian</v>
      </c>
      <c r="AW421" s="56">
        <f t="shared" si="28"/>
        <v>2</v>
      </c>
      <c r="AX421" s="28">
        <f t="shared" si="29"/>
        <v>-12</v>
      </c>
      <c r="AY421" s="28" t="str">
        <f t="shared" ref="AY421:BB421" si="3712">IFNA(IFS(AY$3=$AP421,"",$AX421=U421,AY$3),"")</f>
        <v>Thomas</v>
      </c>
      <c r="AZ421" s="28" t="str">
        <f t="shared" si="3712"/>
        <v/>
      </c>
      <c r="BA421" s="28" t="str">
        <f t="shared" si="3712"/>
        <v/>
      </c>
      <c r="BB421" s="28" t="str">
        <f t="shared" si="3712"/>
        <v/>
      </c>
      <c r="BC421" s="58">
        <f>OFFSET('00_Regnskab_01'!$A$1,MATCH(A421,'00_Regnskab_01'!$A$1:$A$25)-1,2)</f>
        <v>44940</v>
      </c>
      <c r="BD421" s="32"/>
      <c r="BE421" s="80">
        <f t="shared" ref="BE421:BH421" si="3713">if(U421&gt;0,1+BE420,0)</f>
        <v>0</v>
      </c>
      <c r="BF421" s="28">
        <f t="shared" si="3713"/>
        <v>1</v>
      </c>
      <c r="BG421" s="28">
        <f t="shared" si="3713"/>
        <v>1</v>
      </c>
      <c r="BH421" s="28">
        <f t="shared" si="3713"/>
        <v>0</v>
      </c>
      <c r="BI421" s="32"/>
      <c r="BJ421" s="28">
        <f t="shared" ref="BJ421:BM421" si="3714">if(U421&lt;0,1+BJ420,0)</f>
        <v>1</v>
      </c>
      <c r="BK421" s="28">
        <f t="shared" si="3714"/>
        <v>0</v>
      </c>
      <c r="BL421" s="28">
        <f t="shared" si="3714"/>
        <v>0</v>
      </c>
      <c r="BM421" s="28">
        <f t="shared" si="3714"/>
        <v>1</v>
      </c>
      <c r="BO421" s="74">
        <f t="shared" ref="BO421:BR421" si="3715">if(U421&gt;0,U421+BO420,0)</f>
        <v>0</v>
      </c>
      <c r="BP421" s="74">
        <f t="shared" si="3715"/>
        <v>12</v>
      </c>
      <c r="BQ421" s="74">
        <f t="shared" si="3715"/>
        <v>12</v>
      </c>
      <c r="BR421" s="74">
        <f t="shared" si="3715"/>
        <v>0</v>
      </c>
      <c r="BT421" s="28">
        <f t="shared" ref="BT421:BW421" si="3716">if(U421&lt;0,U421+BT420,0)</f>
        <v>-12</v>
      </c>
      <c r="BU421" s="28">
        <f t="shared" si="3716"/>
        <v>0</v>
      </c>
      <c r="BV421" s="28">
        <f t="shared" si="3716"/>
        <v>0</v>
      </c>
      <c r="BW421" s="28">
        <f t="shared" si="3716"/>
        <v>-12</v>
      </c>
      <c r="BX421" s="32"/>
      <c r="BY421" s="32"/>
    </row>
    <row r="422">
      <c r="A422" s="53">
        <v>20.0</v>
      </c>
      <c r="B422" s="28">
        <f>'20_14-01-2023_Stasi Lørdag'!A4</f>
        <v>2</v>
      </c>
      <c r="C422" s="28">
        <f>'20_14-01-2023_Stasi Lørdag'!E4</f>
        <v>-4</v>
      </c>
      <c r="D422" s="28">
        <f>'20_14-01-2023_Stasi Lørdag'!D4</f>
        <v>20</v>
      </c>
      <c r="E422" s="28">
        <f>'20_14-01-2023_Stasi Lørdag'!C4</f>
        <v>4</v>
      </c>
      <c r="F422" s="28">
        <f>'20_14-01-2023_Stasi Lørdag'!B4</f>
        <v>-20</v>
      </c>
      <c r="G422" s="28">
        <f>'20_14-01-2023_Stasi Lørdag'!F4</f>
        <v>0</v>
      </c>
      <c r="H422" s="28" t="str">
        <f>'20_14-01-2023_Stasi Lørdag'!H4</f>
        <v>Thomas</v>
      </c>
      <c r="I422" s="28" t="str">
        <f>'20_14-01-2023_Stasi Lørdag'!I4</f>
        <v>Peter</v>
      </c>
      <c r="J422" s="76" t="str">
        <f>'20_14-01-2023_Stasi Lørdag'!J4</f>
        <v>Janus</v>
      </c>
      <c r="K422" s="28" t="str">
        <f>'20_14-01-2023_Stasi Lørdag'!G4</f>
        <v>9 gode</v>
      </c>
      <c r="L422" s="56"/>
      <c r="M422" s="25">
        <v>9.0</v>
      </c>
      <c r="N422" s="25" t="s">
        <v>95</v>
      </c>
      <c r="T422" s="56"/>
      <c r="U422" s="77">
        <f t="shared" ref="U422:X422" si="3717">C422-C421</f>
        <v>8</v>
      </c>
      <c r="V422" s="28">
        <f t="shared" si="3717"/>
        <v>8</v>
      </c>
      <c r="W422" s="28">
        <f t="shared" si="3717"/>
        <v>-8</v>
      </c>
      <c r="X422" s="28">
        <f t="shared" si="3717"/>
        <v>-8</v>
      </c>
      <c r="AB422" s="28">
        <f t="shared" ref="AB422:AE422" si="3718">IF(AB$3=$H422,U422,"")</f>
        <v>8</v>
      </c>
      <c r="AC422" s="28" t="str">
        <f t="shared" si="3718"/>
        <v/>
      </c>
      <c r="AD422" s="28" t="str">
        <f t="shared" si="3718"/>
        <v/>
      </c>
      <c r="AE422" s="28" t="str">
        <f t="shared" si="3718"/>
        <v/>
      </c>
      <c r="AH422" s="28">
        <f t="shared" si="22"/>
        <v>8</v>
      </c>
      <c r="AI422" s="28">
        <f t="shared" si="23"/>
        <v>0</v>
      </c>
      <c r="AK422" s="78" t="str">
        <f t="shared" ref="AK422:AN422" si="3719">IF(U422&gt;0,AK$3,"")</f>
        <v>Thomas</v>
      </c>
      <c r="AL422" s="78" t="str">
        <f t="shared" si="3719"/>
        <v>Peter</v>
      </c>
      <c r="AM422" s="78" t="str">
        <f t="shared" si="3719"/>
        <v/>
      </c>
      <c r="AN422" s="78" t="str">
        <f t="shared" si="3719"/>
        <v/>
      </c>
      <c r="AO422" s="56">
        <f t="shared" si="25"/>
        <v>2</v>
      </c>
      <c r="AP422" s="8" t="str">
        <f t="shared" si="26"/>
        <v>Thomas</v>
      </c>
      <c r="AQ422" s="73" t="str">
        <f>IFERROR(__xludf.DUMMYFUNCTION("IFNA(QUERY(transpose(AY422:BB422),""Select Col1 where Col1 is not null limit 1"",0))"),"Peter")</f>
        <v>Peter</v>
      </c>
      <c r="AR422" s="56"/>
      <c r="AS422" s="28" t="str">
        <f t="shared" ref="AS422:AV422" si="3720">IF(AK422=AS$3,"",AS$3)</f>
        <v/>
      </c>
      <c r="AT422" s="28" t="str">
        <f t="shared" si="3720"/>
        <v/>
      </c>
      <c r="AU422" s="28" t="str">
        <f t="shared" si="3720"/>
        <v>Janus</v>
      </c>
      <c r="AV422" s="28" t="str">
        <f t="shared" si="3720"/>
        <v>Christian</v>
      </c>
      <c r="AW422" s="56">
        <f t="shared" si="28"/>
        <v>2</v>
      </c>
      <c r="AX422" s="28">
        <f t="shared" si="29"/>
        <v>8</v>
      </c>
      <c r="AY422" s="28" t="str">
        <f t="shared" ref="AY422:BB422" si="3721">IFNA(IFS(AY$3=$AP422,"",$AX422=U422,AY$3),"")</f>
        <v/>
      </c>
      <c r="AZ422" s="28" t="str">
        <f t="shared" si="3721"/>
        <v>Peter</v>
      </c>
      <c r="BA422" s="28" t="str">
        <f t="shared" si="3721"/>
        <v/>
      </c>
      <c r="BB422" s="28" t="str">
        <f t="shared" si="3721"/>
        <v/>
      </c>
      <c r="BC422" s="58">
        <f>OFFSET('00_Regnskab_01'!$A$1,MATCH(A422,'00_Regnskab_01'!$A$1:$A$25)-1,2)</f>
        <v>44940</v>
      </c>
      <c r="BE422" s="80">
        <f t="shared" ref="BE422:BH422" si="3722">if(U422&gt;0,1+BE421,0)</f>
        <v>1</v>
      </c>
      <c r="BF422" s="28">
        <f t="shared" si="3722"/>
        <v>2</v>
      </c>
      <c r="BG422" s="28">
        <f t="shared" si="3722"/>
        <v>0</v>
      </c>
      <c r="BH422" s="28">
        <f t="shared" si="3722"/>
        <v>0</v>
      </c>
      <c r="BJ422" s="28">
        <f t="shared" ref="BJ422:BM422" si="3723">if(U422&lt;0,1+BJ421,0)</f>
        <v>0</v>
      </c>
      <c r="BK422" s="28">
        <f t="shared" si="3723"/>
        <v>0</v>
      </c>
      <c r="BL422" s="28">
        <f t="shared" si="3723"/>
        <v>1</v>
      </c>
      <c r="BM422" s="28">
        <f t="shared" si="3723"/>
        <v>2</v>
      </c>
      <c r="BO422" s="74">
        <f t="shared" ref="BO422:BR422" si="3724">if(U422&gt;0,U422+BO421,0)</f>
        <v>8</v>
      </c>
      <c r="BP422" s="74">
        <f t="shared" si="3724"/>
        <v>20</v>
      </c>
      <c r="BQ422" s="74">
        <f t="shared" si="3724"/>
        <v>0</v>
      </c>
      <c r="BR422" s="74">
        <f t="shared" si="3724"/>
        <v>0</v>
      </c>
      <c r="BT422" s="28">
        <f t="shared" ref="BT422:BW422" si="3725">if(U422&lt;0,U422+BT421,0)</f>
        <v>0</v>
      </c>
      <c r="BU422" s="28">
        <f t="shared" si="3725"/>
        <v>0</v>
      </c>
      <c r="BV422" s="28">
        <f t="shared" si="3725"/>
        <v>-8</v>
      </c>
      <c r="BW422" s="28">
        <f t="shared" si="3725"/>
        <v>-20</v>
      </c>
    </row>
    <row r="423">
      <c r="A423" s="53">
        <v>20.0</v>
      </c>
      <c r="B423" s="28">
        <f>'20_14-01-2023_Stasi Lørdag'!A5</f>
        <v>3</v>
      </c>
      <c r="C423" s="28">
        <f>'20_14-01-2023_Stasi Lørdag'!E5</f>
        <v>-12</v>
      </c>
      <c r="D423" s="28">
        <f>'20_14-01-2023_Stasi Lørdag'!D5</f>
        <v>12</v>
      </c>
      <c r="E423" s="28">
        <f>'20_14-01-2023_Stasi Lørdag'!C5</f>
        <v>12</v>
      </c>
      <c r="F423" s="28">
        <f>'20_14-01-2023_Stasi Lørdag'!B5</f>
        <v>-12</v>
      </c>
      <c r="G423" s="28">
        <f>'20_14-01-2023_Stasi Lørdag'!F5</f>
        <v>0</v>
      </c>
      <c r="H423" s="28" t="str">
        <f>'20_14-01-2023_Stasi Lørdag'!H5</f>
        <v>Thomas</v>
      </c>
      <c r="I423" s="28" t="str">
        <f>'20_14-01-2023_Stasi Lørdag'!I5</f>
        <v>Peter</v>
      </c>
      <c r="J423" s="76" t="str">
        <f>'20_14-01-2023_Stasi Lørdag'!J5</f>
        <v>Peter</v>
      </c>
      <c r="K423" s="28" t="str">
        <f>'20_14-01-2023_Stasi Lørdag'!G5</f>
        <v>10 gode</v>
      </c>
      <c r="L423" s="56"/>
      <c r="M423" s="25">
        <v>10.0</v>
      </c>
      <c r="N423" s="25" t="s">
        <v>95</v>
      </c>
      <c r="T423" s="56"/>
      <c r="U423" s="77">
        <f t="shared" ref="U423:X423" si="3726">C423-C422</f>
        <v>-8</v>
      </c>
      <c r="V423" s="28">
        <f t="shared" si="3726"/>
        <v>-8</v>
      </c>
      <c r="W423" s="28">
        <f t="shared" si="3726"/>
        <v>8</v>
      </c>
      <c r="X423" s="28">
        <f t="shared" si="3726"/>
        <v>8</v>
      </c>
      <c r="AB423" s="28">
        <f t="shared" ref="AB423:AE423" si="3727">IF(AB$3=$H423,U423,"")</f>
        <v>-8</v>
      </c>
      <c r="AC423" s="28" t="str">
        <f t="shared" si="3727"/>
        <v/>
      </c>
      <c r="AD423" s="28" t="str">
        <f t="shared" si="3727"/>
        <v/>
      </c>
      <c r="AE423" s="28" t="str">
        <f t="shared" si="3727"/>
        <v/>
      </c>
      <c r="AH423" s="28">
        <f t="shared" si="22"/>
        <v>0</v>
      </c>
      <c r="AI423" s="28">
        <f t="shared" si="23"/>
        <v>-8</v>
      </c>
      <c r="AK423" s="78" t="str">
        <f t="shared" ref="AK423:AN423" si="3728">IF(U423&gt;0,AK$3,"")</f>
        <v/>
      </c>
      <c r="AL423" s="78" t="str">
        <f t="shared" si="3728"/>
        <v/>
      </c>
      <c r="AM423" s="78" t="str">
        <f t="shared" si="3728"/>
        <v>Janus</v>
      </c>
      <c r="AN423" s="78" t="str">
        <f t="shared" si="3728"/>
        <v>Christian</v>
      </c>
      <c r="AO423" s="56">
        <f t="shared" si="25"/>
        <v>2</v>
      </c>
      <c r="AP423" s="8" t="str">
        <f t="shared" si="26"/>
        <v>Thomas</v>
      </c>
      <c r="AQ423" s="73" t="str">
        <f>IFERROR(__xludf.DUMMYFUNCTION("IFNA(QUERY(transpose(AY423:BB423),""Select Col1 where Col1 is not null limit 1"",0))"),"Peter")</f>
        <v>Peter</v>
      </c>
      <c r="AR423" s="56"/>
      <c r="AS423" s="28" t="str">
        <f t="shared" ref="AS423:AV423" si="3729">IF(AK423=AS$3,"",AS$3)</f>
        <v>Thomas</v>
      </c>
      <c r="AT423" s="28" t="str">
        <f t="shared" si="3729"/>
        <v>Peter</v>
      </c>
      <c r="AU423" s="28" t="str">
        <f t="shared" si="3729"/>
        <v/>
      </c>
      <c r="AV423" s="28" t="str">
        <f t="shared" si="3729"/>
        <v/>
      </c>
      <c r="AW423" s="56">
        <f t="shared" si="28"/>
        <v>2</v>
      </c>
      <c r="AX423" s="28">
        <f t="shared" si="29"/>
        <v>-8</v>
      </c>
      <c r="AY423" s="28" t="str">
        <f t="shared" ref="AY423:BB423" si="3730">IFNA(IFS(AY$3=$AP423,"",$AX423=U423,AY$3),"")</f>
        <v/>
      </c>
      <c r="AZ423" s="28" t="str">
        <f t="shared" si="3730"/>
        <v>Peter</v>
      </c>
      <c r="BA423" s="28" t="str">
        <f t="shared" si="3730"/>
        <v/>
      </c>
      <c r="BB423" s="28" t="str">
        <f t="shared" si="3730"/>
        <v/>
      </c>
      <c r="BC423" s="58">
        <f>OFFSET('00_Regnskab_01'!$A$1,MATCH(A423,'00_Regnskab_01'!$A$1:$A$25)-1,2)</f>
        <v>44940</v>
      </c>
      <c r="BE423" s="80">
        <f t="shared" ref="BE423:BH423" si="3731">if(U423&gt;0,1+BE422,0)</f>
        <v>0</v>
      </c>
      <c r="BF423" s="28">
        <f t="shared" si="3731"/>
        <v>0</v>
      </c>
      <c r="BG423" s="28">
        <f t="shared" si="3731"/>
        <v>1</v>
      </c>
      <c r="BH423" s="28">
        <f t="shared" si="3731"/>
        <v>1</v>
      </c>
      <c r="BJ423" s="28">
        <f t="shared" ref="BJ423:BM423" si="3732">if(U423&lt;0,1+BJ422,0)</f>
        <v>1</v>
      </c>
      <c r="BK423" s="28">
        <f t="shared" si="3732"/>
        <v>1</v>
      </c>
      <c r="BL423" s="28">
        <f t="shared" si="3732"/>
        <v>0</v>
      </c>
      <c r="BM423" s="28">
        <f t="shared" si="3732"/>
        <v>0</v>
      </c>
      <c r="BO423" s="74">
        <f t="shared" ref="BO423:BR423" si="3733">if(U423&gt;0,U423+BO422,0)</f>
        <v>0</v>
      </c>
      <c r="BP423" s="74">
        <f t="shared" si="3733"/>
        <v>0</v>
      </c>
      <c r="BQ423" s="74">
        <f t="shared" si="3733"/>
        <v>8</v>
      </c>
      <c r="BR423" s="74">
        <f t="shared" si="3733"/>
        <v>8</v>
      </c>
      <c r="BT423" s="28">
        <f t="shared" ref="BT423:BW423" si="3734">if(U423&lt;0,U423+BT422,0)</f>
        <v>-8</v>
      </c>
      <c r="BU423" s="28">
        <f t="shared" si="3734"/>
        <v>-8</v>
      </c>
      <c r="BV423" s="28">
        <f t="shared" si="3734"/>
        <v>0</v>
      </c>
      <c r="BW423" s="28">
        <f t="shared" si="3734"/>
        <v>0</v>
      </c>
    </row>
    <row r="424">
      <c r="A424" s="53">
        <v>20.0</v>
      </c>
      <c r="B424" s="28">
        <f>'20_14-01-2023_Stasi Lørdag'!A6</f>
        <v>4</v>
      </c>
      <c r="C424" s="28">
        <f>'20_14-01-2023_Stasi Lørdag'!E6</f>
        <v>4</v>
      </c>
      <c r="D424" s="28">
        <f>'20_14-01-2023_Stasi Lørdag'!D6</f>
        <v>-4</v>
      </c>
      <c r="E424" s="28">
        <f>'20_14-01-2023_Stasi Lørdag'!C6</f>
        <v>-4</v>
      </c>
      <c r="F424" s="28">
        <f>'20_14-01-2023_Stasi Lørdag'!B6</f>
        <v>4</v>
      </c>
      <c r="G424" s="28">
        <f>'20_14-01-2023_Stasi Lørdag'!F6</f>
        <v>0</v>
      </c>
      <c r="H424" s="28" t="str">
        <f>'20_14-01-2023_Stasi Lørdag'!H6</f>
        <v>Thomas</v>
      </c>
      <c r="I424" s="28" t="str">
        <f>'20_14-01-2023_Stasi Lørdag'!I6</f>
        <v>Christian</v>
      </c>
      <c r="J424" s="76" t="str">
        <f>'20_14-01-2023_Stasi Lørdag'!J6</f>
        <v>Thomas</v>
      </c>
      <c r="K424" s="28" t="str">
        <f>'20_14-01-2023_Stasi Lørdag'!G6</f>
        <v>9 gode </v>
      </c>
      <c r="L424" s="56"/>
      <c r="M424" s="25">
        <v>9.0</v>
      </c>
      <c r="N424" s="25" t="s">
        <v>95</v>
      </c>
      <c r="T424" s="56"/>
      <c r="U424" s="77">
        <f t="shared" ref="U424:X424" si="3735">C424-C423</f>
        <v>16</v>
      </c>
      <c r="V424" s="28">
        <f t="shared" si="3735"/>
        <v>-16</v>
      </c>
      <c r="W424" s="28">
        <f t="shared" si="3735"/>
        <v>-16</v>
      </c>
      <c r="X424" s="28">
        <f t="shared" si="3735"/>
        <v>16</v>
      </c>
      <c r="AB424" s="28">
        <f t="shared" ref="AB424:AE424" si="3736">IF(AB$3=$H424,U424,"")</f>
        <v>16</v>
      </c>
      <c r="AC424" s="28" t="str">
        <f t="shared" si="3736"/>
        <v/>
      </c>
      <c r="AD424" s="28" t="str">
        <f t="shared" si="3736"/>
        <v/>
      </c>
      <c r="AE424" s="28" t="str">
        <f t="shared" si="3736"/>
        <v/>
      </c>
      <c r="AH424" s="28">
        <f t="shared" si="22"/>
        <v>16</v>
      </c>
      <c r="AI424" s="28">
        <f t="shared" si="23"/>
        <v>0</v>
      </c>
      <c r="AK424" s="78" t="str">
        <f t="shared" ref="AK424:AN424" si="3737">IF(U424&gt;0,AK$3,"")</f>
        <v>Thomas</v>
      </c>
      <c r="AL424" s="78" t="str">
        <f t="shared" si="3737"/>
        <v/>
      </c>
      <c r="AM424" s="78" t="str">
        <f t="shared" si="3737"/>
        <v/>
      </c>
      <c r="AN424" s="78" t="str">
        <f t="shared" si="3737"/>
        <v>Christian</v>
      </c>
      <c r="AO424" s="56">
        <f t="shared" si="25"/>
        <v>2</v>
      </c>
      <c r="AP424" s="8" t="str">
        <f t="shared" si="26"/>
        <v>Thomas</v>
      </c>
      <c r="AQ424" s="73" t="str">
        <f>IFERROR(__xludf.DUMMYFUNCTION("IFNA(QUERY(transpose(AY424:BB424),""Select Col1 where Col1 is not null limit 1"",0))"),"Christian")</f>
        <v>Christian</v>
      </c>
      <c r="AR424" s="56"/>
      <c r="AS424" s="28" t="str">
        <f t="shared" ref="AS424:AV424" si="3738">IF(AK424=AS$3,"",AS$3)</f>
        <v/>
      </c>
      <c r="AT424" s="28" t="str">
        <f t="shared" si="3738"/>
        <v>Peter</v>
      </c>
      <c r="AU424" s="28" t="str">
        <f t="shared" si="3738"/>
        <v>Janus</v>
      </c>
      <c r="AV424" s="28" t="str">
        <f t="shared" si="3738"/>
        <v/>
      </c>
      <c r="AW424" s="56">
        <f t="shared" si="28"/>
        <v>2</v>
      </c>
      <c r="AX424" s="28">
        <f t="shared" si="29"/>
        <v>16</v>
      </c>
      <c r="AY424" s="28" t="str">
        <f t="shared" ref="AY424:BB424" si="3739">IFNA(IFS(AY$3=$AP424,"",$AX424=U424,AY$3),"")</f>
        <v/>
      </c>
      <c r="AZ424" s="28" t="str">
        <f t="shared" si="3739"/>
        <v/>
      </c>
      <c r="BA424" s="28" t="str">
        <f t="shared" si="3739"/>
        <v/>
      </c>
      <c r="BB424" s="28" t="str">
        <f t="shared" si="3739"/>
        <v>Christian</v>
      </c>
      <c r="BC424" s="58">
        <f>OFFSET('00_Regnskab_01'!$A$1,MATCH(A424,'00_Regnskab_01'!$A$1:$A$25)-1,2)</f>
        <v>44940</v>
      </c>
      <c r="BE424" s="80">
        <f t="shared" ref="BE424:BH424" si="3740">if(U424&gt;0,1+BE423,0)</f>
        <v>1</v>
      </c>
      <c r="BF424" s="28">
        <f t="shared" si="3740"/>
        <v>0</v>
      </c>
      <c r="BG424" s="28">
        <f t="shared" si="3740"/>
        <v>0</v>
      </c>
      <c r="BH424" s="28">
        <f t="shared" si="3740"/>
        <v>2</v>
      </c>
      <c r="BJ424" s="28">
        <f t="shared" ref="BJ424:BM424" si="3741">if(U424&lt;0,1+BJ423,0)</f>
        <v>0</v>
      </c>
      <c r="BK424" s="28">
        <f t="shared" si="3741"/>
        <v>2</v>
      </c>
      <c r="BL424" s="28">
        <f t="shared" si="3741"/>
        <v>1</v>
      </c>
      <c r="BM424" s="28">
        <f t="shared" si="3741"/>
        <v>0</v>
      </c>
      <c r="BO424" s="74">
        <f t="shared" ref="BO424:BR424" si="3742">if(U424&gt;0,U424+BO423,0)</f>
        <v>16</v>
      </c>
      <c r="BP424" s="74">
        <f t="shared" si="3742"/>
        <v>0</v>
      </c>
      <c r="BQ424" s="74">
        <f t="shared" si="3742"/>
        <v>0</v>
      </c>
      <c r="BR424" s="74">
        <f t="shared" si="3742"/>
        <v>24</v>
      </c>
      <c r="BT424" s="28">
        <f t="shared" ref="BT424:BW424" si="3743">if(U424&lt;0,U424+BT423,0)</f>
        <v>0</v>
      </c>
      <c r="BU424" s="28">
        <f t="shared" si="3743"/>
        <v>-24</v>
      </c>
      <c r="BV424" s="28">
        <f t="shared" si="3743"/>
        <v>-16</v>
      </c>
      <c r="BW424" s="28">
        <f t="shared" si="3743"/>
        <v>0</v>
      </c>
    </row>
    <row r="425">
      <c r="A425" s="53">
        <v>20.0</v>
      </c>
      <c r="B425" s="28">
        <f>'20_14-01-2023_Stasi Lørdag'!A7</f>
        <v>5</v>
      </c>
      <c r="C425" s="28">
        <f>'20_14-01-2023_Stasi Lørdag'!E7</f>
        <v>28</v>
      </c>
      <c r="D425" s="28">
        <f>'20_14-01-2023_Stasi Lørdag'!D7</f>
        <v>-28</v>
      </c>
      <c r="E425" s="28">
        <f>'20_14-01-2023_Stasi Lørdag'!C7</f>
        <v>20</v>
      </c>
      <c r="F425" s="28">
        <f>'20_14-01-2023_Stasi Lørdag'!B7</f>
        <v>-20</v>
      </c>
      <c r="G425" s="28">
        <f>'20_14-01-2023_Stasi Lørdag'!F7</f>
        <v>0</v>
      </c>
      <c r="H425" s="28" t="str">
        <f>'20_14-01-2023_Stasi Lørdag'!H7</f>
        <v>Thomas</v>
      </c>
      <c r="I425" s="28" t="str">
        <f>'20_14-01-2023_Stasi Lørdag'!I7</f>
        <v>Janus</v>
      </c>
      <c r="J425" s="76" t="str">
        <f>'20_14-01-2023_Stasi Lørdag'!J7</f>
        <v>Christian</v>
      </c>
      <c r="K425" s="28" t="str">
        <f>'20_14-01-2023_Stasi Lørdag'!G7</f>
        <v>10 vip 1 - ruder</v>
      </c>
      <c r="L425" s="56"/>
      <c r="M425" s="25">
        <v>10.0</v>
      </c>
      <c r="N425" s="25" t="s">
        <v>86</v>
      </c>
      <c r="O425" s="25">
        <v>1.0</v>
      </c>
      <c r="T425" s="56"/>
      <c r="U425" s="77">
        <f t="shared" ref="U425:X425" si="3744">C425-C424</f>
        <v>24</v>
      </c>
      <c r="V425" s="28">
        <f t="shared" si="3744"/>
        <v>-24</v>
      </c>
      <c r="W425" s="28">
        <f t="shared" si="3744"/>
        <v>24</v>
      </c>
      <c r="X425" s="28">
        <f t="shared" si="3744"/>
        <v>-24</v>
      </c>
      <c r="AB425" s="28">
        <f t="shared" ref="AB425:AE425" si="3745">IF(AB$3=$H425,U425,"")</f>
        <v>24</v>
      </c>
      <c r="AC425" s="28" t="str">
        <f t="shared" si="3745"/>
        <v/>
      </c>
      <c r="AD425" s="28" t="str">
        <f t="shared" si="3745"/>
        <v/>
      </c>
      <c r="AE425" s="28" t="str">
        <f t="shared" si="3745"/>
        <v/>
      </c>
      <c r="AH425" s="28">
        <f t="shared" si="22"/>
        <v>24</v>
      </c>
      <c r="AI425" s="28">
        <f t="shared" si="23"/>
        <v>0</v>
      </c>
      <c r="AK425" s="78" t="str">
        <f t="shared" ref="AK425:AN425" si="3746">IF(U425&gt;0,AK$3,"")</f>
        <v>Thomas</v>
      </c>
      <c r="AL425" s="78" t="str">
        <f t="shared" si="3746"/>
        <v/>
      </c>
      <c r="AM425" s="78" t="str">
        <f t="shared" si="3746"/>
        <v>Janus</v>
      </c>
      <c r="AN425" s="78" t="str">
        <f t="shared" si="3746"/>
        <v/>
      </c>
      <c r="AO425" s="56">
        <f t="shared" si="25"/>
        <v>2</v>
      </c>
      <c r="AP425" s="8" t="str">
        <f t="shared" si="26"/>
        <v>Thomas</v>
      </c>
      <c r="AQ425" s="73" t="str">
        <f>IFERROR(__xludf.DUMMYFUNCTION("IFNA(QUERY(transpose(AY425:BB425),""Select Col1 where Col1 is not null limit 1"",0))"),"Janus")</f>
        <v>Janus</v>
      </c>
      <c r="AR425" s="56"/>
      <c r="AS425" s="28" t="str">
        <f t="shared" ref="AS425:AV425" si="3747">IF(AK425=AS$3,"",AS$3)</f>
        <v/>
      </c>
      <c r="AT425" s="28" t="str">
        <f t="shared" si="3747"/>
        <v>Peter</v>
      </c>
      <c r="AU425" s="28" t="str">
        <f t="shared" si="3747"/>
        <v/>
      </c>
      <c r="AV425" s="28" t="str">
        <f t="shared" si="3747"/>
        <v>Christian</v>
      </c>
      <c r="AW425" s="56">
        <f t="shared" si="28"/>
        <v>2</v>
      </c>
      <c r="AX425" s="28">
        <f t="shared" si="29"/>
        <v>24</v>
      </c>
      <c r="AY425" s="28" t="str">
        <f t="shared" ref="AY425:BB425" si="3748">IFNA(IFS(AY$3=$AP425,"",$AX425=U425,AY$3),"")</f>
        <v/>
      </c>
      <c r="AZ425" s="28" t="str">
        <f t="shared" si="3748"/>
        <v/>
      </c>
      <c r="BA425" s="28" t="str">
        <f t="shared" si="3748"/>
        <v>Janus</v>
      </c>
      <c r="BB425" s="28" t="str">
        <f t="shared" si="3748"/>
        <v/>
      </c>
      <c r="BC425" s="58">
        <f>OFFSET('00_Regnskab_01'!$A$1,MATCH(A425,'00_Regnskab_01'!$A$1:$A$25)-1,2)</f>
        <v>44940</v>
      </c>
      <c r="BE425" s="80">
        <f t="shared" ref="BE425:BH425" si="3749">if(U425&gt;0,1+BE424,0)</f>
        <v>2</v>
      </c>
      <c r="BF425" s="28">
        <f t="shared" si="3749"/>
        <v>0</v>
      </c>
      <c r="BG425" s="28">
        <f t="shared" si="3749"/>
        <v>1</v>
      </c>
      <c r="BH425" s="28">
        <f t="shared" si="3749"/>
        <v>0</v>
      </c>
      <c r="BJ425" s="28">
        <f t="shared" ref="BJ425:BM425" si="3750">if(U425&lt;0,1+BJ424,0)</f>
        <v>0</v>
      </c>
      <c r="BK425" s="28">
        <f t="shared" si="3750"/>
        <v>3</v>
      </c>
      <c r="BL425" s="28">
        <f t="shared" si="3750"/>
        <v>0</v>
      </c>
      <c r="BM425" s="28">
        <f t="shared" si="3750"/>
        <v>1</v>
      </c>
      <c r="BO425" s="74">
        <f t="shared" ref="BO425:BR425" si="3751">if(U425&gt;0,U425+BO424,0)</f>
        <v>40</v>
      </c>
      <c r="BP425" s="74">
        <f t="shared" si="3751"/>
        <v>0</v>
      </c>
      <c r="BQ425" s="74">
        <f t="shared" si="3751"/>
        <v>24</v>
      </c>
      <c r="BR425" s="74">
        <f t="shared" si="3751"/>
        <v>0</v>
      </c>
      <c r="BT425" s="28">
        <f t="shared" ref="BT425:BW425" si="3752">if(U425&lt;0,U425+BT424,0)</f>
        <v>0</v>
      </c>
      <c r="BU425" s="28">
        <f t="shared" si="3752"/>
        <v>-48</v>
      </c>
      <c r="BV425" s="28">
        <f t="shared" si="3752"/>
        <v>0</v>
      </c>
      <c r="BW425" s="28">
        <f t="shared" si="3752"/>
        <v>-24</v>
      </c>
    </row>
    <row r="426">
      <c r="A426" s="53">
        <v>20.0</v>
      </c>
      <c r="B426" s="28">
        <f>'20_14-01-2023_Stasi Lørdag'!A8</f>
        <v>6</v>
      </c>
      <c r="C426" s="28">
        <f>'20_14-01-2023_Stasi Lørdag'!E8</f>
        <v>22</v>
      </c>
      <c r="D426" s="28">
        <f>'20_14-01-2023_Stasi Lørdag'!D8</f>
        <v>-22</v>
      </c>
      <c r="E426" s="28">
        <f>'20_14-01-2023_Stasi Lørdag'!C8</f>
        <v>26</v>
      </c>
      <c r="F426" s="28">
        <f>'20_14-01-2023_Stasi Lørdag'!B8</f>
        <v>-26</v>
      </c>
      <c r="G426" s="28">
        <f>'20_14-01-2023_Stasi Lørdag'!F8</f>
        <v>0</v>
      </c>
      <c r="H426" s="28" t="str">
        <f>'20_14-01-2023_Stasi Lørdag'!H8</f>
        <v>Thomas</v>
      </c>
      <c r="I426" s="28" t="str">
        <f>'20_14-01-2023_Stasi Lørdag'!I8</f>
        <v>Christian</v>
      </c>
      <c r="J426" s="76" t="str">
        <f>'20_14-01-2023_Stasi Lørdag'!J8</f>
        <v>Janus</v>
      </c>
      <c r="K426" s="28" t="str">
        <f>'20_14-01-2023_Stasi Lørdag'!G8</f>
        <v>8 halve</v>
      </c>
      <c r="L426" s="56"/>
      <c r="M426" s="25">
        <v>8.0</v>
      </c>
      <c r="N426" s="25" t="s">
        <v>94</v>
      </c>
      <c r="T426" s="56"/>
      <c r="U426" s="77">
        <f t="shared" ref="U426:X426" si="3753">C426-C425</f>
        <v>-6</v>
      </c>
      <c r="V426" s="28">
        <f t="shared" si="3753"/>
        <v>6</v>
      </c>
      <c r="W426" s="28">
        <f t="shared" si="3753"/>
        <v>6</v>
      </c>
      <c r="X426" s="28">
        <f t="shared" si="3753"/>
        <v>-6</v>
      </c>
      <c r="AB426" s="28">
        <f t="shared" ref="AB426:AE426" si="3754">IF(AB$3=$H426,U426,"")</f>
        <v>-6</v>
      </c>
      <c r="AC426" s="28" t="str">
        <f t="shared" si="3754"/>
        <v/>
      </c>
      <c r="AD426" s="28" t="str">
        <f t="shared" si="3754"/>
        <v/>
      </c>
      <c r="AE426" s="28" t="str">
        <f t="shared" si="3754"/>
        <v/>
      </c>
      <c r="AH426" s="28">
        <f t="shared" si="22"/>
        <v>0</v>
      </c>
      <c r="AI426" s="28">
        <f t="shared" si="23"/>
        <v>-6</v>
      </c>
      <c r="AK426" s="78" t="str">
        <f t="shared" ref="AK426:AN426" si="3755">IF(U426&gt;0,AK$3,"")</f>
        <v/>
      </c>
      <c r="AL426" s="78" t="str">
        <f t="shared" si="3755"/>
        <v>Peter</v>
      </c>
      <c r="AM426" s="78" t="str">
        <f t="shared" si="3755"/>
        <v>Janus</v>
      </c>
      <c r="AN426" s="78" t="str">
        <f t="shared" si="3755"/>
        <v/>
      </c>
      <c r="AO426" s="56">
        <f t="shared" si="25"/>
        <v>2</v>
      </c>
      <c r="AP426" s="8" t="str">
        <f t="shared" si="26"/>
        <v>Thomas</v>
      </c>
      <c r="AQ426" s="73" t="str">
        <f>IFERROR(__xludf.DUMMYFUNCTION("IFNA(QUERY(transpose(AY426:BB426),""Select Col1 where Col1 is not null limit 1"",0))"),"Christian")</f>
        <v>Christian</v>
      </c>
      <c r="AR426" s="56"/>
      <c r="AS426" s="28" t="str">
        <f t="shared" ref="AS426:AV426" si="3756">IF(AK426=AS$3,"",AS$3)</f>
        <v>Thomas</v>
      </c>
      <c r="AT426" s="28" t="str">
        <f t="shared" si="3756"/>
        <v/>
      </c>
      <c r="AU426" s="28" t="str">
        <f t="shared" si="3756"/>
        <v/>
      </c>
      <c r="AV426" s="28" t="str">
        <f t="shared" si="3756"/>
        <v>Christian</v>
      </c>
      <c r="AW426" s="56">
        <f t="shared" si="28"/>
        <v>2</v>
      </c>
      <c r="AX426" s="28">
        <f t="shared" si="29"/>
        <v>-6</v>
      </c>
      <c r="AY426" s="28" t="str">
        <f t="shared" ref="AY426:BB426" si="3757">IFNA(IFS(AY$3=$AP426,"",$AX426=U426,AY$3),"")</f>
        <v/>
      </c>
      <c r="AZ426" s="28" t="str">
        <f t="shared" si="3757"/>
        <v/>
      </c>
      <c r="BA426" s="28" t="str">
        <f t="shared" si="3757"/>
        <v/>
      </c>
      <c r="BB426" s="28" t="str">
        <f t="shared" si="3757"/>
        <v>Christian</v>
      </c>
      <c r="BC426" s="58">
        <f>OFFSET('00_Regnskab_01'!$A$1,MATCH(A426,'00_Regnskab_01'!$A$1:$A$25)-1,2)</f>
        <v>44940</v>
      </c>
      <c r="BE426" s="80">
        <f t="shared" ref="BE426:BH426" si="3758">if(U426&gt;0,1+BE425,0)</f>
        <v>0</v>
      </c>
      <c r="BF426" s="28">
        <f t="shared" si="3758"/>
        <v>1</v>
      </c>
      <c r="BG426" s="28">
        <f t="shared" si="3758"/>
        <v>2</v>
      </c>
      <c r="BH426" s="28">
        <f t="shared" si="3758"/>
        <v>0</v>
      </c>
      <c r="BJ426" s="28">
        <f t="shared" ref="BJ426:BM426" si="3759">if(U426&lt;0,1+BJ425,0)</f>
        <v>1</v>
      </c>
      <c r="BK426" s="28">
        <f t="shared" si="3759"/>
        <v>0</v>
      </c>
      <c r="BL426" s="28">
        <f t="shared" si="3759"/>
        <v>0</v>
      </c>
      <c r="BM426" s="28">
        <f t="shared" si="3759"/>
        <v>2</v>
      </c>
      <c r="BO426" s="74">
        <f t="shared" ref="BO426:BR426" si="3760">if(U426&gt;0,U426+BO425,0)</f>
        <v>0</v>
      </c>
      <c r="BP426" s="74">
        <f t="shared" si="3760"/>
        <v>6</v>
      </c>
      <c r="BQ426" s="74">
        <f t="shared" si="3760"/>
        <v>30</v>
      </c>
      <c r="BR426" s="74">
        <f t="shared" si="3760"/>
        <v>0</v>
      </c>
      <c r="BT426" s="28">
        <f t="shared" ref="BT426:BW426" si="3761">if(U426&lt;0,U426+BT425,0)</f>
        <v>-6</v>
      </c>
      <c r="BU426" s="28">
        <f t="shared" si="3761"/>
        <v>0</v>
      </c>
      <c r="BV426" s="28">
        <f t="shared" si="3761"/>
        <v>0</v>
      </c>
      <c r="BW426" s="28">
        <f t="shared" si="3761"/>
        <v>-30</v>
      </c>
    </row>
    <row r="427">
      <c r="A427" s="53">
        <v>20.0</v>
      </c>
      <c r="B427" s="28">
        <f>'20_14-01-2023_Stasi Lørdag'!A9</f>
        <v>7</v>
      </c>
      <c r="C427" s="28">
        <f>'20_14-01-2023_Stasi Lørdag'!E9</f>
        <v>54</v>
      </c>
      <c r="D427" s="28">
        <f>'20_14-01-2023_Stasi Lørdag'!D9</f>
        <v>-54</v>
      </c>
      <c r="E427" s="28">
        <f>'20_14-01-2023_Stasi Lørdag'!C9</f>
        <v>58</v>
      </c>
      <c r="F427" s="28">
        <f>'20_14-01-2023_Stasi Lørdag'!B9</f>
        <v>-58</v>
      </c>
      <c r="G427" s="28">
        <f>'20_14-01-2023_Stasi Lørdag'!F9</f>
        <v>0</v>
      </c>
      <c r="H427" s="28" t="str">
        <f>'20_14-01-2023_Stasi Lørdag'!H9</f>
        <v>Thomas</v>
      </c>
      <c r="I427" s="28" t="str">
        <f>'20_14-01-2023_Stasi Lørdag'!I9</f>
        <v>Janus</v>
      </c>
      <c r="J427" s="76" t="str">
        <f>'20_14-01-2023_Stasi Lørdag'!J9</f>
        <v>Peter</v>
      </c>
      <c r="K427" s="28" t="str">
        <f>'20_14-01-2023_Stasi Lørdag'!G9</f>
        <v>9 vip i 3 </v>
      </c>
      <c r="L427" s="56"/>
      <c r="M427" s="25">
        <v>9.0</v>
      </c>
      <c r="N427" s="25" t="s">
        <v>86</v>
      </c>
      <c r="O427" s="25">
        <v>3.0</v>
      </c>
      <c r="T427" s="56"/>
      <c r="U427" s="77">
        <f t="shared" ref="U427:X427" si="3762">C427-C426</f>
        <v>32</v>
      </c>
      <c r="V427" s="28">
        <f t="shared" si="3762"/>
        <v>-32</v>
      </c>
      <c r="W427" s="28">
        <f t="shared" si="3762"/>
        <v>32</v>
      </c>
      <c r="X427" s="28">
        <f t="shared" si="3762"/>
        <v>-32</v>
      </c>
      <c r="AB427" s="28">
        <f t="shared" ref="AB427:AE427" si="3763">IF(AB$3=$H427,U427,"")</f>
        <v>32</v>
      </c>
      <c r="AC427" s="28" t="str">
        <f t="shared" si="3763"/>
        <v/>
      </c>
      <c r="AD427" s="28" t="str">
        <f t="shared" si="3763"/>
        <v/>
      </c>
      <c r="AE427" s="28" t="str">
        <f t="shared" si="3763"/>
        <v/>
      </c>
      <c r="AH427" s="28">
        <f t="shared" si="22"/>
        <v>32</v>
      </c>
      <c r="AI427" s="28">
        <f t="shared" si="23"/>
        <v>0</v>
      </c>
      <c r="AK427" s="78" t="str">
        <f t="shared" ref="AK427:AN427" si="3764">IF(U427&gt;0,AK$3,"")</f>
        <v>Thomas</v>
      </c>
      <c r="AL427" s="78" t="str">
        <f t="shared" si="3764"/>
        <v/>
      </c>
      <c r="AM427" s="78" t="str">
        <f t="shared" si="3764"/>
        <v>Janus</v>
      </c>
      <c r="AN427" s="78" t="str">
        <f t="shared" si="3764"/>
        <v/>
      </c>
      <c r="AO427" s="56">
        <f t="shared" si="25"/>
        <v>2</v>
      </c>
      <c r="AP427" s="8" t="str">
        <f t="shared" si="26"/>
        <v>Thomas</v>
      </c>
      <c r="AQ427" s="73" t="str">
        <f>IFERROR(__xludf.DUMMYFUNCTION("IFNA(QUERY(transpose(AY427:BB427),""Select Col1 where Col1 is not null limit 1"",0))"),"Janus")</f>
        <v>Janus</v>
      </c>
      <c r="AR427" s="56"/>
      <c r="AS427" s="28" t="str">
        <f t="shared" ref="AS427:AV427" si="3765">IF(AK427=AS$3,"",AS$3)</f>
        <v/>
      </c>
      <c r="AT427" s="28" t="str">
        <f t="shared" si="3765"/>
        <v>Peter</v>
      </c>
      <c r="AU427" s="28" t="str">
        <f t="shared" si="3765"/>
        <v/>
      </c>
      <c r="AV427" s="28" t="str">
        <f t="shared" si="3765"/>
        <v>Christian</v>
      </c>
      <c r="AW427" s="56">
        <f t="shared" si="28"/>
        <v>2</v>
      </c>
      <c r="AX427" s="28">
        <f t="shared" si="29"/>
        <v>32</v>
      </c>
      <c r="AY427" s="28" t="str">
        <f t="shared" ref="AY427:BB427" si="3766">IFNA(IFS(AY$3=$AP427,"",$AX427=U427,AY$3),"")</f>
        <v/>
      </c>
      <c r="AZ427" s="28" t="str">
        <f t="shared" si="3766"/>
        <v/>
      </c>
      <c r="BA427" s="28" t="str">
        <f t="shared" si="3766"/>
        <v>Janus</v>
      </c>
      <c r="BB427" s="28" t="str">
        <f t="shared" si="3766"/>
        <v/>
      </c>
      <c r="BC427" s="58">
        <f>OFFSET('00_Regnskab_01'!$A$1,MATCH(A427,'00_Regnskab_01'!$A$1:$A$25)-1,2)</f>
        <v>44940</v>
      </c>
      <c r="BE427" s="80">
        <f t="shared" ref="BE427:BH427" si="3767">if(U427&gt;0,1+BE426,0)</f>
        <v>1</v>
      </c>
      <c r="BF427" s="28">
        <f t="shared" si="3767"/>
        <v>0</v>
      </c>
      <c r="BG427" s="28">
        <f t="shared" si="3767"/>
        <v>3</v>
      </c>
      <c r="BH427" s="28">
        <f t="shared" si="3767"/>
        <v>0</v>
      </c>
      <c r="BJ427" s="28">
        <f t="shared" ref="BJ427:BM427" si="3768">if(U427&lt;0,1+BJ426,0)</f>
        <v>0</v>
      </c>
      <c r="BK427" s="28">
        <f t="shared" si="3768"/>
        <v>1</v>
      </c>
      <c r="BL427" s="28">
        <f t="shared" si="3768"/>
        <v>0</v>
      </c>
      <c r="BM427" s="28">
        <f t="shared" si="3768"/>
        <v>3</v>
      </c>
      <c r="BO427" s="74">
        <f t="shared" ref="BO427:BR427" si="3769">if(U427&gt;0,U427+BO426,0)</f>
        <v>32</v>
      </c>
      <c r="BP427" s="74">
        <f t="shared" si="3769"/>
        <v>0</v>
      </c>
      <c r="BQ427" s="74">
        <f t="shared" si="3769"/>
        <v>62</v>
      </c>
      <c r="BR427" s="74">
        <f t="shared" si="3769"/>
        <v>0</v>
      </c>
      <c r="BT427" s="28">
        <f t="shared" ref="BT427:BW427" si="3770">if(U427&lt;0,U427+BT426,0)</f>
        <v>0</v>
      </c>
      <c r="BU427" s="28">
        <f t="shared" si="3770"/>
        <v>-32</v>
      </c>
      <c r="BV427" s="28">
        <f t="shared" si="3770"/>
        <v>0</v>
      </c>
      <c r="BW427" s="28">
        <f t="shared" si="3770"/>
        <v>-62</v>
      </c>
    </row>
    <row r="428">
      <c r="A428" s="53">
        <v>20.0</v>
      </c>
      <c r="B428" s="28">
        <f>'20_14-01-2023_Stasi Lørdag'!A10</f>
        <v>8</v>
      </c>
      <c r="C428" s="28">
        <f>'20_14-01-2023_Stasi Lørdag'!E10</f>
        <v>42</v>
      </c>
      <c r="D428" s="28">
        <f>'20_14-01-2023_Stasi Lørdag'!D10</f>
        <v>-42</v>
      </c>
      <c r="E428" s="28">
        <f>'20_14-01-2023_Stasi Lørdag'!C10</f>
        <v>46</v>
      </c>
      <c r="F428" s="28">
        <f>'20_14-01-2023_Stasi Lørdag'!B10</f>
        <v>-46</v>
      </c>
      <c r="G428" s="28">
        <f>'20_14-01-2023_Stasi Lørdag'!F10</f>
        <v>0</v>
      </c>
      <c r="H428" s="28" t="str">
        <f>'20_14-01-2023_Stasi Lørdag'!H10</f>
        <v>Janus</v>
      </c>
      <c r="I428" s="28" t="str">
        <f>'20_14-01-2023_Stasi Lørdag'!I10</f>
        <v>Thomas</v>
      </c>
      <c r="J428" s="76" t="str">
        <f>'20_14-01-2023_Stasi Lørdag'!J10</f>
        <v>Thomas</v>
      </c>
      <c r="K428" s="28" t="str">
        <f>'20_14-01-2023_Stasi Lørdag'!G10</f>
        <v>9 halve</v>
      </c>
      <c r="L428" s="56"/>
      <c r="M428" s="25">
        <v>9.0</v>
      </c>
      <c r="N428" s="25" t="s">
        <v>94</v>
      </c>
      <c r="T428" s="56"/>
      <c r="U428" s="77">
        <f t="shared" ref="U428:X428" si="3771">C428-C427</f>
        <v>-12</v>
      </c>
      <c r="V428" s="28">
        <f t="shared" si="3771"/>
        <v>12</v>
      </c>
      <c r="W428" s="28">
        <f t="shared" si="3771"/>
        <v>-12</v>
      </c>
      <c r="X428" s="28">
        <f t="shared" si="3771"/>
        <v>12</v>
      </c>
      <c r="AB428" s="28" t="str">
        <f t="shared" ref="AB428:AE428" si="3772">IF(AB$3=$H428,U428,"")</f>
        <v/>
      </c>
      <c r="AC428" s="28" t="str">
        <f t="shared" si="3772"/>
        <v/>
      </c>
      <c r="AD428" s="28">
        <f t="shared" si="3772"/>
        <v>-12</v>
      </c>
      <c r="AE428" s="28" t="str">
        <f t="shared" si="3772"/>
        <v/>
      </c>
      <c r="AH428" s="28">
        <f t="shared" si="22"/>
        <v>0</v>
      </c>
      <c r="AI428" s="28">
        <f t="shared" si="23"/>
        <v>-12</v>
      </c>
      <c r="AK428" s="78" t="str">
        <f t="shared" ref="AK428:AN428" si="3773">IF(U428&gt;0,AK$3,"")</f>
        <v/>
      </c>
      <c r="AL428" s="78" t="str">
        <f t="shared" si="3773"/>
        <v>Peter</v>
      </c>
      <c r="AM428" s="78" t="str">
        <f t="shared" si="3773"/>
        <v/>
      </c>
      <c r="AN428" s="78" t="str">
        <f t="shared" si="3773"/>
        <v>Christian</v>
      </c>
      <c r="AO428" s="56">
        <f t="shared" si="25"/>
        <v>2</v>
      </c>
      <c r="AP428" s="8" t="str">
        <f t="shared" si="26"/>
        <v>Janus</v>
      </c>
      <c r="AQ428" s="73" t="str">
        <f>IFERROR(__xludf.DUMMYFUNCTION("IFNA(QUERY(transpose(AY428:BB428),""Select Col1 where Col1 is not null limit 1"",0))"),"Thomas")</f>
        <v>Thomas</v>
      </c>
      <c r="AR428" s="56"/>
      <c r="AS428" s="28" t="str">
        <f t="shared" ref="AS428:AV428" si="3774">IF(AK428=AS$3,"",AS$3)</f>
        <v>Thomas</v>
      </c>
      <c r="AT428" s="28" t="str">
        <f t="shared" si="3774"/>
        <v/>
      </c>
      <c r="AU428" s="28" t="str">
        <f t="shared" si="3774"/>
        <v>Janus</v>
      </c>
      <c r="AV428" s="28" t="str">
        <f t="shared" si="3774"/>
        <v/>
      </c>
      <c r="AW428" s="56">
        <f t="shared" si="28"/>
        <v>2</v>
      </c>
      <c r="AX428" s="28">
        <f t="shared" si="29"/>
        <v>-12</v>
      </c>
      <c r="AY428" s="28" t="str">
        <f t="shared" ref="AY428:BB428" si="3775">IFNA(IFS(AY$3=$AP428,"",$AX428=U428,AY$3),"")</f>
        <v>Thomas</v>
      </c>
      <c r="AZ428" s="28" t="str">
        <f t="shared" si="3775"/>
        <v/>
      </c>
      <c r="BA428" s="28" t="str">
        <f t="shared" si="3775"/>
        <v/>
      </c>
      <c r="BB428" s="28" t="str">
        <f t="shared" si="3775"/>
        <v/>
      </c>
      <c r="BC428" s="58">
        <f>OFFSET('00_Regnskab_01'!$A$1,MATCH(A428,'00_Regnskab_01'!$A$1:$A$25)-1,2)</f>
        <v>44940</v>
      </c>
      <c r="BE428" s="80">
        <f t="shared" ref="BE428:BH428" si="3776">if(U428&gt;0,1+BE427,0)</f>
        <v>0</v>
      </c>
      <c r="BF428" s="28">
        <f t="shared" si="3776"/>
        <v>1</v>
      </c>
      <c r="BG428" s="28">
        <f t="shared" si="3776"/>
        <v>0</v>
      </c>
      <c r="BH428" s="28">
        <f t="shared" si="3776"/>
        <v>1</v>
      </c>
      <c r="BJ428" s="28">
        <f t="shared" ref="BJ428:BM428" si="3777">if(U428&lt;0,1+BJ427,0)</f>
        <v>1</v>
      </c>
      <c r="BK428" s="28">
        <f t="shared" si="3777"/>
        <v>0</v>
      </c>
      <c r="BL428" s="28">
        <f t="shared" si="3777"/>
        <v>1</v>
      </c>
      <c r="BM428" s="28">
        <f t="shared" si="3777"/>
        <v>0</v>
      </c>
      <c r="BO428" s="74">
        <f t="shared" ref="BO428:BR428" si="3778">if(U428&gt;0,U428+BO427,0)</f>
        <v>0</v>
      </c>
      <c r="BP428" s="74">
        <f t="shared" si="3778"/>
        <v>12</v>
      </c>
      <c r="BQ428" s="74">
        <f t="shared" si="3778"/>
        <v>0</v>
      </c>
      <c r="BR428" s="74">
        <f t="shared" si="3778"/>
        <v>12</v>
      </c>
      <c r="BT428" s="28">
        <f t="shared" ref="BT428:BW428" si="3779">if(U428&lt;0,U428+BT427,0)</f>
        <v>-12</v>
      </c>
      <c r="BU428" s="28">
        <f t="shared" si="3779"/>
        <v>0</v>
      </c>
      <c r="BV428" s="28">
        <f t="shared" si="3779"/>
        <v>-12</v>
      </c>
      <c r="BW428" s="28">
        <f t="shared" si="3779"/>
        <v>0</v>
      </c>
    </row>
    <row r="429">
      <c r="A429" s="53">
        <v>20.0</v>
      </c>
      <c r="B429" s="28">
        <f>'20_14-01-2023_Stasi Lørdag'!A11</f>
        <v>9</v>
      </c>
      <c r="C429" s="28">
        <f>'20_14-01-2023_Stasi Lørdag'!E11</f>
        <v>66</v>
      </c>
      <c r="D429" s="28">
        <f>'20_14-01-2023_Stasi Lørdag'!D11</f>
        <v>-18</v>
      </c>
      <c r="E429" s="28">
        <f>'20_14-01-2023_Stasi Lørdag'!C11</f>
        <v>-26</v>
      </c>
      <c r="F429" s="28">
        <f>'20_14-01-2023_Stasi Lørdag'!B11</f>
        <v>-22</v>
      </c>
      <c r="G429" s="28">
        <f>'20_14-01-2023_Stasi Lørdag'!F11</f>
        <v>0</v>
      </c>
      <c r="H429" s="28" t="str">
        <f>'20_14-01-2023_Stasi Lørdag'!H11</f>
        <v>Janus</v>
      </c>
      <c r="I429" s="28" t="str">
        <f>'20_14-01-2023_Stasi Lørdag'!I11</f>
        <v>Peter</v>
      </c>
      <c r="J429" s="76" t="str">
        <f>'20_14-01-2023_Stasi Lørdag'!J11</f>
        <v>Christian</v>
      </c>
      <c r="K429" s="28" t="str">
        <f>'20_14-01-2023_Stasi Lørdag'!G11</f>
        <v>10 vip i 3</v>
      </c>
      <c r="L429" s="56"/>
      <c r="M429" s="25">
        <v>10.0</v>
      </c>
      <c r="N429" s="25" t="s">
        <v>86</v>
      </c>
      <c r="O429" s="25">
        <v>3.0</v>
      </c>
      <c r="T429" s="56"/>
      <c r="U429" s="77">
        <f t="shared" ref="U429:X429" si="3780">C429-C428</f>
        <v>24</v>
      </c>
      <c r="V429" s="28">
        <f t="shared" si="3780"/>
        <v>24</v>
      </c>
      <c r="W429" s="28">
        <f t="shared" si="3780"/>
        <v>-72</v>
      </c>
      <c r="X429" s="28">
        <f t="shared" si="3780"/>
        <v>24</v>
      </c>
      <c r="AB429" s="28" t="str">
        <f t="shared" ref="AB429:AE429" si="3781">IF(AB$3=$H429,U429,"")</f>
        <v/>
      </c>
      <c r="AC429" s="28" t="str">
        <f t="shared" si="3781"/>
        <v/>
      </c>
      <c r="AD429" s="28">
        <f t="shared" si="3781"/>
        <v>-72</v>
      </c>
      <c r="AE429" s="28" t="str">
        <f t="shared" si="3781"/>
        <v/>
      </c>
      <c r="AH429" s="28">
        <f t="shared" si="22"/>
        <v>0</v>
      </c>
      <c r="AI429" s="28">
        <f t="shared" si="23"/>
        <v>-72</v>
      </c>
      <c r="AK429" s="78" t="str">
        <f t="shared" ref="AK429:AN429" si="3782">IF(U429&gt;0,AK$3,"")</f>
        <v>Thomas</v>
      </c>
      <c r="AL429" s="78" t="str">
        <f t="shared" si="3782"/>
        <v>Peter</v>
      </c>
      <c r="AM429" s="78" t="str">
        <f t="shared" si="3782"/>
        <v/>
      </c>
      <c r="AN429" s="78" t="str">
        <f t="shared" si="3782"/>
        <v>Christian</v>
      </c>
      <c r="AO429" s="56">
        <f t="shared" si="25"/>
        <v>3</v>
      </c>
      <c r="AP429" s="8" t="str">
        <f t="shared" si="26"/>
        <v>Janus</v>
      </c>
      <c r="AQ429" s="73" t="str">
        <f>IFERROR(__xludf.DUMMYFUNCTION("IFNA(QUERY(transpose(AY429:BB429),""Select Col1 where Col1 is not null limit 1"",0))"),"")</f>
        <v/>
      </c>
      <c r="AR429" s="56"/>
      <c r="AS429" s="28" t="str">
        <f t="shared" ref="AS429:AV429" si="3783">IF(AK429=AS$3,"",AS$3)</f>
        <v/>
      </c>
      <c r="AT429" s="28" t="str">
        <f t="shared" si="3783"/>
        <v/>
      </c>
      <c r="AU429" s="28" t="str">
        <f t="shared" si="3783"/>
        <v>Janus</v>
      </c>
      <c r="AV429" s="28" t="str">
        <f t="shared" si="3783"/>
        <v/>
      </c>
      <c r="AW429" s="56">
        <f t="shared" si="28"/>
        <v>1</v>
      </c>
      <c r="AX429" s="28">
        <f t="shared" si="29"/>
        <v>-72</v>
      </c>
      <c r="AY429" s="28" t="str">
        <f t="shared" ref="AY429:BB429" si="3784">IFNA(IFS(AY$3=$AP429,"",$AX429=U429,AY$3),"")</f>
        <v/>
      </c>
      <c r="AZ429" s="28" t="str">
        <f t="shared" si="3784"/>
        <v/>
      </c>
      <c r="BA429" s="28" t="str">
        <f t="shared" si="3784"/>
        <v/>
      </c>
      <c r="BB429" s="28" t="str">
        <f t="shared" si="3784"/>
        <v/>
      </c>
      <c r="BC429" s="58">
        <f>OFFSET('00_Regnskab_01'!$A$1,MATCH(A429,'00_Regnskab_01'!$A$1:$A$25)-1,2)</f>
        <v>44940</v>
      </c>
      <c r="BE429" s="80">
        <f t="shared" ref="BE429:BH429" si="3785">if(U429&gt;0,1+BE428,0)</f>
        <v>1</v>
      </c>
      <c r="BF429" s="28">
        <f t="shared" si="3785"/>
        <v>2</v>
      </c>
      <c r="BG429" s="28">
        <f t="shared" si="3785"/>
        <v>0</v>
      </c>
      <c r="BH429" s="28">
        <f t="shared" si="3785"/>
        <v>2</v>
      </c>
      <c r="BJ429" s="28">
        <f t="shared" ref="BJ429:BM429" si="3786">if(U429&lt;0,1+BJ428,0)</f>
        <v>0</v>
      </c>
      <c r="BK429" s="28">
        <f t="shared" si="3786"/>
        <v>0</v>
      </c>
      <c r="BL429" s="28">
        <f t="shared" si="3786"/>
        <v>2</v>
      </c>
      <c r="BM429" s="28">
        <f t="shared" si="3786"/>
        <v>0</v>
      </c>
      <c r="BO429" s="74">
        <f t="shared" ref="BO429:BR429" si="3787">if(U429&gt;0,U429+BO428,0)</f>
        <v>24</v>
      </c>
      <c r="BP429" s="74">
        <f t="shared" si="3787"/>
        <v>36</v>
      </c>
      <c r="BQ429" s="74">
        <f t="shared" si="3787"/>
        <v>0</v>
      </c>
      <c r="BR429" s="74">
        <f t="shared" si="3787"/>
        <v>36</v>
      </c>
      <c r="BT429" s="28">
        <f t="shared" ref="BT429:BW429" si="3788">if(U429&lt;0,U429+BT428,0)</f>
        <v>0</v>
      </c>
      <c r="BU429" s="28">
        <f t="shared" si="3788"/>
        <v>0</v>
      </c>
      <c r="BV429" s="28">
        <f t="shared" si="3788"/>
        <v>-84</v>
      </c>
      <c r="BW429" s="28">
        <f t="shared" si="3788"/>
        <v>0</v>
      </c>
    </row>
    <row r="430">
      <c r="A430" s="53">
        <v>20.0</v>
      </c>
      <c r="B430" s="28">
        <f>'20_14-01-2023_Stasi Lørdag'!A12</f>
        <v>10</v>
      </c>
      <c r="C430" s="28">
        <f>'20_14-01-2023_Stasi Lørdag'!E12</f>
        <v>54</v>
      </c>
      <c r="D430" s="28">
        <f>'20_14-01-2023_Stasi Lørdag'!D12</f>
        <v>-6</v>
      </c>
      <c r="E430" s="28">
        <f>'20_14-01-2023_Stasi Lørdag'!C12</f>
        <v>-14</v>
      </c>
      <c r="F430" s="28">
        <f>'20_14-01-2023_Stasi Lørdag'!B12</f>
        <v>-34</v>
      </c>
      <c r="G430" s="28">
        <f>'20_14-01-2023_Stasi Lørdag'!F12</f>
        <v>0</v>
      </c>
      <c r="H430" s="28" t="str">
        <f>'20_14-01-2023_Stasi Lørdag'!H12</f>
        <v>Peter</v>
      </c>
      <c r="I430" s="28" t="str">
        <f>'20_14-01-2023_Stasi Lørdag'!I12</f>
        <v>Janus</v>
      </c>
      <c r="J430" s="76" t="str">
        <f>'20_14-01-2023_Stasi Lørdag'!J12</f>
        <v>Thomas</v>
      </c>
      <c r="K430" s="28" t="str">
        <f>'20_14-01-2023_Stasi Lørdag'!G12</f>
        <v>9 gode</v>
      </c>
      <c r="L430" s="56"/>
      <c r="M430" s="25">
        <v>9.0</v>
      </c>
      <c r="N430" s="25" t="s">
        <v>95</v>
      </c>
      <c r="T430" s="56"/>
      <c r="U430" s="77">
        <f t="shared" ref="U430:X430" si="3789">C430-C429</f>
        <v>-12</v>
      </c>
      <c r="V430" s="28">
        <f t="shared" si="3789"/>
        <v>12</v>
      </c>
      <c r="W430" s="28">
        <f t="shared" si="3789"/>
        <v>12</v>
      </c>
      <c r="X430" s="28">
        <f t="shared" si="3789"/>
        <v>-12</v>
      </c>
      <c r="AB430" s="28" t="str">
        <f t="shared" ref="AB430:AE430" si="3790">IF(AB$3=$H430,U430,"")</f>
        <v/>
      </c>
      <c r="AC430" s="28">
        <f t="shared" si="3790"/>
        <v>12</v>
      </c>
      <c r="AD430" s="28" t="str">
        <f t="shared" si="3790"/>
        <v/>
      </c>
      <c r="AE430" s="28" t="str">
        <f t="shared" si="3790"/>
        <v/>
      </c>
      <c r="AH430" s="28">
        <f t="shared" si="22"/>
        <v>12</v>
      </c>
      <c r="AI430" s="28">
        <f t="shared" si="23"/>
        <v>0</v>
      </c>
      <c r="AK430" s="78" t="str">
        <f t="shared" ref="AK430:AN430" si="3791">IF(U430&gt;0,AK$3,"")</f>
        <v/>
      </c>
      <c r="AL430" s="78" t="str">
        <f t="shared" si="3791"/>
        <v>Peter</v>
      </c>
      <c r="AM430" s="78" t="str">
        <f t="shared" si="3791"/>
        <v>Janus</v>
      </c>
      <c r="AN430" s="78" t="str">
        <f t="shared" si="3791"/>
        <v/>
      </c>
      <c r="AO430" s="56">
        <f t="shared" si="25"/>
        <v>2</v>
      </c>
      <c r="AP430" s="8" t="str">
        <f t="shared" si="26"/>
        <v>Peter</v>
      </c>
      <c r="AQ430" s="73" t="str">
        <f>IFERROR(__xludf.DUMMYFUNCTION("IFNA(QUERY(transpose(AY430:BB430),""Select Col1 where Col1 is not null limit 1"",0))"),"Janus")</f>
        <v>Janus</v>
      </c>
      <c r="AR430" s="56"/>
      <c r="AS430" s="28" t="str">
        <f t="shared" ref="AS430:AV430" si="3792">IF(AK430=AS$3,"",AS$3)</f>
        <v>Thomas</v>
      </c>
      <c r="AT430" s="28" t="str">
        <f t="shared" si="3792"/>
        <v/>
      </c>
      <c r="AU430" s="28" t="str">
        <f t="shared" si="3792"/>
        <v/>
      </c>
      <c r="AV430" s="28" t="str">
        <f t="shared" si="3792"/>
        <v>Christian</v>
      </c>
      <c r="AW430" s="56">
        <f t="shared" si="28"/>
        <v>2</v>
      </c>
      <c r="AX430" s="28">
        <f t="shared" si="29"/>
        <v>12</v>
      </c>
      <c r="AY430" s="28" t="str">
        <f t="shared" ref="AY430:BB430" si="3793">IFNA(IFS(AY$3=$AP430,"",$AX430=U430,AY$3),"")</f>
        <v/>
      </c>
      <c r="AZ430" s="28" t="str">
        <f t="shared" si="3793"/>
        <v/>
      </c>
      <c r="BA430" s="28" t="str">
        <f t="shared" si="3793"/>
        <v>Janus</v>
      </c>
      <c r="BB430" s="28" t="str">
        <f t="shared" si="3793"/>
        <v/>
      </c>
      <c r="BC430" s="58">
        <f>OFFSET('00_Regnskab_01'!$A$1,MATCH(A430,'00_Regnskab_01'!$A$1:$A$25)-1,2)</f>
        <v>44940</v>
      </c>
      <c r="BE430" s="80">
        <f t="shared" ref="BE430:BH430" si="3794">if(U430&gt;0,1+BE429,0)</f>
        <v>0</v>
      </c>
      <c r="BF430" s="28">
        <f t="shared" si="3794"/>
        <v>3</v>
      </c>
      <c r="BG430" s="28">
        <f t="shared" si="3794"/>
        <v>1</v>
      </c>
      <c r="BH430" s="28">
        <f t="shared" si="3794"/>
        <v>0</v>
      </c>
      <c r="BJ430" s="28">
        <f t="shared" ref="BJ430:BM430" si="3795">if(U430&lt;0,1+BJ429,0)</f>
        <v>1</v>
      </c>
      <c r="BK430" s="28">
        <f t="shared" si="3795"/>
        <v>0</v>
      </c>
      <c r="BL430" s="28">
        <f t="shared" si="3795"/>
        <v>0</v>
      </c>
      <c r="BM430" s="28">
        <f t="shared" si="3795"/>
        <v>1</v>
      </c>
      <c r="BO430" s="74">
        <f t="shared" ref="BO430:BR430" si="3796">if(U430&gt;0,U430+BO429,0)</f>
        <v>0</v>
      </c>
      <c r="BP430" s="74">
        <f t="shared" si="3796"/>
        <v>48</v>
      </c>
      <c r="BQ430" s="74">
        <f t="shared" si="3796"/>
        <v>12</v>
      </c>
      <c r="BR430" s="74">
        <f t="shared" si="3796"/>
        <v>0</v>
      </c>
      <c r="BT430" s="28">
        <f t="shared" ref="BT430:BW430" si="3797">if(U430&lt;0,U430+BT429,0)</f>
        <v>-12</v>
      </c>
      <c r="BU430" s="28">
        <f t="shared" si="3797"/>
        <v>0</v>
      </c>
      <c r="BV430" s="28">
        <f t="shared" si="3797"/>
        <v>0</v>
      </c>
      <c r="BW430" s="28">
        <f t="shared" si="3797"/>
        <v>-12</v>
      </c>
    </row>
    <row r="431">
      <c r="A431" s="53">
        <v>20.0</v>
      </c>
      <c r="B431" s="28">
        <f>'20_14-01-2023_Stasi Lørdag'!A13</f>
        <v>11</v>
      </c>
      <c r="C431" s="28">
        <f>'20_14-01-2023_Stasi Lørdag'!E13</f>
        <v>94</v>
      </c>
      <c r="D431" s="28">
        <f>'20_14-01-2023_Stasi Lørdag'!D13</f>
        <v>-46</v>
      </c>
      <c r="E431" s="28">
        <f>'20_14-01-2023_Stasi Lørdag'!C13</f>
        <v>26</v>
      </c>
      <c r="F431" s="28">
        <f>'20_14-01-2023_Stasi Lørdag'!B13</f>
        <v>-74</v>
      </c>
      <c r="G431" s="28">
        <f>'20_14-01-2023_Stasi Lørdag'!F13</f>
        <v>0</v>
      </c>
      <c r="H431" s="28" t="str">
        <f>'20_14-01-2023_Stasi Lørdag'!H13</f>
        <v>Thomas</v>
      </c>
      <c r="I431" s="28" t="str">
        <f>'20_14-01-2023_Stasi Lørdag'!I13</f>
        <v>Janus</v>
      </c>
      <c r="J431" s="76" t="str">
        <f>'20_14-01-2023_Stasi Lørdag'!J13</f>
        <v>Peter</v>
      </c>
      <c r="K431" s="28" t="str">
        <f>'20_14-01-2023_Stasi Lørdag'!G13</f>
        <v>10 alm</v>
      </c>
      <c r="L431" s="56"/>
      <c r="M431" s="25">
        <v>10.0</v>
      </c>
      <c r="N431" s="25" t="s">
        <v>100</v>
      </c>
      <c r="T431" s="56"/>
      <c r="U431" s="77">
        <f t="shared" ref="U431:X431" si="3798">C431-C430</f>
        <v>40</v>
      </c>
      <c r="V431" s="28">
        <f t="shared" si="3798"/>
        <v>-40</v>
      </c>
      <c r="W431" s="28">
        <f t="shared" si="3798"/>
        <v>40</v>
      </c>
      <c r="X431" s="28">
        <f t="shared" si="3798"/>
        <v>-40</v>
      </c>
      <c r="AB431" s="28">
        <f t="shared" ref="AB431:AE431" si="3799">IF(AB$3=$H431,U431,"")</f>
        <v>40</v>
      </c>
      <c r="AC431" s="28" t="str">
        <f t="shared" si="3799"/>
        <v/>
      </c>
      <c r="AD431" s="28" t="str">
        <f t="shared" si="3799"/>
        <v/>
      </c>
      <c r="AE431" s="28" t="str">
        <f t="shared" si="3799"/>
        <v/>
      </c>
      <c r="AH431" s="28">
        <f t="shared" si="22"/>
        <v>40</v>
      </c>
      <c r="AI431" s="28">
        <f t="shared" si="23"/>
        <v>0</v>
      </c>
      <c r="AK431" s="78" t="str">
        <f t="shared" ref="AK431:AN431" si="3800">IF(U431&gt;0,AK$3,"")</f>
        <v>Thomas</v>
      </c>
      <c r="AL431" s="78" t="str">
        <f t="shared" si="3800"/>
        <v/>
      </c>
      <c r="AM431" s="78" t="str">
        <f t="shared" si="3800"/>
        <v>Janus</v>
      </c>
      <c r="AN431" s="78" t="str">
        <f t="shared" si="3800"/>
        <v/>
      </c>
      <c r="AO431" s="56">
        <f t="shared" si="25"/>
        <v>2</v>
      </c>
      <c r="AP431" s="8" t="str">
        <f t="shared" si="26"/>
        <v>Thomas</v>
      </c>
      <c r="AQ431" s="73" t="str">
        <f>IFERROR(__xludf.DUMMYFUNCTION("IFNA(QUERY(transpose(AY431:BB431),""Select Col1 where Col1 is not null limit 1"",0))"),"Janus")</f>
        <v>Janus</v>
      </c>
      <c r="AR431" s="56"/>
      <c r="AS431" s="28" t="str">
        <f t="shared" ref="AS431:AV431" si="3801">IF(AK431=AS$3,"",AS$3)</f>
        <v/>
      </c>
      <c r="AT431" s="28" t="str">
        <f t="shared" si="3801"/>
        <v>Peter</v>
      </c>
      <c r="AU431" s="28" t="str">
        <f t="shared" si="3801"/>
        <v/>
      </c>
      <c r="AV431" s="28" t="str">
        <f t="shared" si="3801"/>
        <v>Christian</v>
      </c>
      <c r="AW431" s="56">
        <f t="shared" si="28"/>
        <v>2</v>
      </c>
      <c r="AX431" s="28">
        <f t="shared" si="29"/>
        <v>40</v>
      </c>
      <c r="AY431" s="28" t="str">
        <f t="shared" ref="AY431:BB431" si="3802">IFNA(IFS(AY$3=$AP431,"",$AX431=U431,AY$3),"")</f>
        <v/>
      </c>
      <c r="AZ431" s="28" t="str">
        <f t="shared" si="3802"/>
        <v/>
      </c>
      <c r="BA431" s="28" t="str">
        <f t="shared" si="3802"/>
        <v>Janus</v>
      </c>
      <c r="BB431" s="28" t="str">
        <f t="shared" si="3802"/>
        <v/>
      </c>
      <c r="BC431" s="58">
        <f>OFFSET('00_Regnskab_01'!$A$1,MATCH(A431,'00_Regnskab_01'!$A$1:$A$25)-1,2)</f>
        <v>44940</v>
      </c>
      <c r="BE431" s="80">
        <f t="shared" ref="BE431:BH431" si="3803">if(U431&gt;0,1+BE430,0)</f>
        <v>1</v>
      </c>
      <c r="BF431" s="28">
        <f t="shared" si="3803"/>
        <v>0</v>
      </c>
      <c r="BG431" s="28">
        <f t="shared" si="3803"/>
        <v>2</v>
      </c>
      <c r="BH431" s="28">
        <f t="shared" si="3803"/>
        <v>0</v>
      </c>
      <c r="BJ431" s="28">
        <f t="shared" ref="BJ431:BM431" si="3804">if(U431&lt;0,1+BJ430,0)</f>
        <v>0</v>
      </c>
      <c r="BK431" s="28">
        <f t="shared" si="3804"/>
        <v>1</v>
      </c>
      <c r="BL431" s="28">
        <f t="shared" si="3804"/>
        <v>0</v>
      </c>
      <c r="BM431" s="28">
        <f t="shared" si="3804"/>
        <v>2</v>
      </c>
      <c r="BO431" s="74">
        <f t="shared" ref="BO431:BR431" si="3805">if(U431&gt;0,U431+BO430,0)</f>
        <v>40</v>
      </c>
      <c r="BP431" s="74">
        <f t="shared" si="3805"/>
        <v>0</v>
      </c>
      <c r="BQ431" s="74">
        <f t="shared" si="3805"/>
        <v>52</v>
      </c>
      <c r="BR431" s="74">
        <f t="shared" si="3805"/>
        <v>0</v>
      </c>
      <c r="BT431" s="28">
        <f t="shared" ref="BT431:BW431" si="3806">if(U431&lt;0,U431+BT430,0)</f>
        <v>0</v>
      </c>
      <c r="BU431" s="28">
        <f t="shared" si="3806"/>
        <v>-40</v>
      </c>
      <c r="BV431" s="28">
        <f t="shared" si="3806"/>
        <v>0</v>
      </c>
      <c r="BW431" s="28">
        <f t="shared" si="3806"/>
        <v>-52</v>
      </c>
    </row>
    <row r="432">
      <c r="A432" s="53">
        <v>20.0</v>
      </c>
      <c r="B432" s="28">
        <f>'20_14-01-2023_Stasi Lørdag'!A14</f>
        <v>12</v>
      </c>
      <c r="C432" s="28">
        <f>'20_14-01-2023_Stasi Lørdag'!E14</f>
        <v>106</v>
      </c>
      <c r="D432" s="28">
        <f>'20_14-01-2023_Stasi Lørdag'!D14</f>
        <v>-50</v>
      </c>
      <c r="E432" s="28">
        <f>'20_14-01-2023_Stasi Lørdag'!C14</f>
        <v>22</v>
      </c>
      <c r="F432" s="28">
        <f>'20_14-01-2023_Stasi Lørdag'!B14</f>
        <v>-78</v>
      </c>
      <c r="G432" s="28">
        <f>'20_14-01-2023_Stasi Lørdag'!F14</f>
        <v>0</v>
      </c>
      <c r="H432" s="28" t="str">
        <f>'20_14-01-2023_Stasi Lørdag'!H14</f>
        <v>Thomas</v>
      </c>
      <c r="I432" s="28" t="str">
        <f>'20_14-01-2023_Stasi Lørdag'!I14</f>
        <v/>
      </c>
      <c r="J432" s="76" t="str">
        <f>'20_14-01-2023_Stasi Lørdag'!J14</f>
        <v>Janjus</v>
      </c>
      <c r="K432" s="28" t="str">
        <f>'20_14-01-2023_Stasi Lørdag'!G14</f>
        <v>Sol</v>
      </c>
      <c r="L432" s="56"/>
      <c r="N432" s="25" t="s">
        <v>99</v>
      </c>
      <c r="T432" s="56"/>
      <c r="U432" s="77">
        <f t="shared" ref="U432:X432" si="3807">C432-C431</f>
        <v>12</v>
      </c>
      <c r="V432" s="28">
        <f t="shared" si="3807"/>
        <v>-4</v>
      </c>
      <c r="W432" s="28">
        <f t="shared" si="3807"/>
        <v>-4</v>
      </c>
      <c r="X432" s="28">
        <f t="shared" si="3807"/>
        <v>-4</v>
      </c>
      <c r="AB432" s="28">
        <f t="shared" ref="AB432:AE432" si="3808">IF(AB$3=$H432,U432,"")</f>
        <v>12</v>
      </c>
      <c r="AC432" s="28" t="str">
        <f t="shared" si="3808"/>
        <v/>
      </c>
      <c r="AD432" s="28" t="str">
        <f t="shared" si="3808"/>
        <v/>
      </c>
      <c r="AE432" s="28" t="str">
        <f t="shared" si="3808"/>
        <v/>
      </c>
      <c r="AH432" s="28">
        <f t="shared" si="22"/>
        <v>12</v>
      </c>
      <c r="AI432" s="28">
        <f t="shared" si="23"/>
        <v>0</v>
      </c>
      <c r="AK432" s="78" t="str">
        <f t="shared" ref="AK432:AN432" si="3809">IF(U432&gt;0,AK$3,"")</f>
        <v>Thomas</v>
      </c>
      <c r="AL432" s="78" t="str">
        <f t="shared" si="3809"/>
        <v/>
      </c>
      <c r="AM432" s="78" t="str">
        <f t="shared" si="3809"/>
        <v/>
      </c>
      <c r="AN432" s="78" t="str">
        <f t="shared" si="3809"/>
        <v/>
      </c>
      <c r="AO432" s="56">
        <f t="shared" si="25"/>
        <v>1</v>
      </c>
      <c r="AP432" s="8" t="str">
        <f t="shared" si="26"/>
        <v>Thomas</v>
      </c>
      <c r="AQ432" s="73" t="str">
        <f>IFERROR(__xludf.DUMMYFUNCTION("IFNA(QUERY(transpose(AY432:BB432),""Select Col1 where Col1 is not null limit 1"",0))"),"")</f>
        <v/>
      </c>
      <c r="AR432" s="56"/>
      <c r="AS432" s="28" t="str">
        <f t="shared" ref="AS432:AV432" si="3810">IF(AK432=AS$3,"",AS$3)</f>
        <v/>
      </c>
      <c r="AT432" s="28" t="str">
        <f t="shared" si="3810"/>
        <v>Peter</v>
      </c>
      <c r="AU432" s="28" t="str">
        <f t="shared" si="3810"/>
        <v>Janus</v>
      </c>
      <c r="AV432" s="28" t="str">
        <f t="shared" si="3810"/>
        <v>Christian</v>
      </c>
      <c r="AW432" s="56">
        <f t="shared" si="28"/>
        <v>3</v>
      </c>
      <c r="AX432" s="28">
        <f t="shared" si="29"/>
        <v>12</v>
      </c>
      <c r="AY432" s="28" t="str">
        <f t="shared" ref="AY432:BB432" si="3811">IFNA(IFS(AY$3=$AP432,"",$AX432=U432,AY$3),"")</f>
        <v/>
      </c>
      <c r="AZ432" s="28" t="str">
        <f t="shared" si="3811"/>
        <v/>
      </c>
      <c r="BA432" s="28" t="str">
        <f t="shared" si="3811"/>
        <v/>
      </c>
      <c r="BB432" s="28" t="str">
        <f t="shared" si="3811"/>
        <v/>
      </c>
      <c r="BC432" s="58">
        <f>OFFSET('00_Regnskab_01'!$A$1,MATCH(A432,'00_Regnskab_01'!$A$1:$A$25)-1,2)</f>
        <v>44940</v>
      </c>
      <c r="BE432" s="80">
        <f t="shared" ref="BE432:BH432" si="3812">if(U432&gt;0,1+BE431,0)</f>
        <v>2</v>
      </c>
      <c r="BF432" s="28">
        <f t="shared" si="3812"/>
        <v>0</v>
      </c>
      <c r="BG432" s="28">
        <f t="shared" si="3812"/>
        <v>0</v>
      </c>
      <c r="BH432" s="28">
        <f t="shared" si="3812"/>
        <v>0</v>
      </c>
      <c r="BJ432" s="28">
        <f t="shared" ref="BJ432:BM432" si="3813">if(U432&lt;0,1+BJ431,0)</f>
        <v>0</v>
      </c>
      <c r="BK432" s="28">
        <f t="shared" si="3813"/>
        <v>2</v>
      </c>
      <c r="BL432" s="28">
        <f t="shared" si="3813"/>
        <v>1</v>
      </c>
      <c r="BM432" s="28">
        <f t="shared" si="3813"/>
        <v>3</v>
      </c>
      <c r="BO432" s="74">
        <f t="shared" ref="BO432:BR432" si="3814">if(U432&gt;0,U432+BO431,0)</f>
        <v>52</v>
      </c>
      <c r="BP432" s="74">
        <f t="shared" si="3814"/>
        <v>0</v>
      </c>
      <c r="BQ432" s="74">
        <f t="shared" si="3814"/>
        <v>0</v>
      </c>
      <c r="BR432" s="74">
        <f t="shared" si="3814"/>
        <v>0</v>
      </c>
      <c r="BT432" s="28">
        <f t="shared" ref="BT432:BW432" si="3815">if(U432&lt;0,U432+BT431,0)</f>
        <v>0</v>
      </c>
      <c r="BU432" s="28">
        <f t="shared" si="3815"/>
        <v>-44</v>
      </c>
      <c r="BV432" s="28">
        <f t="shared" si="3815"/>
        <v>-4</v>
      </c>
      <c r="BW432" s="28">
        <f t="shared" si="3815"/>
        <v>-56</v>
      </c>
    </row>
    <row r="433">
      <c r="A433" s="53">
        <v>20.0</v>
      </c>
      <c r="B433" s="28">
        <f>'20_14-01-2023_Stasi Lørdag'!A15</f>
        <v>13</v>
      </c>
      <c r="C433" s="28">
        <f>'20_14-01-2023_Stasi Lørdag'!E15</f>
        <v>108</v>
      </c>
      <c r="D433" s="28">
        <f>'20_14-01-2023_Stasi Lørdag'!D15</f>
        <v>-48</v>
      </c>
      <c r="E433" s="28">
        <f>'20_14-01-2023_Stasi Lørdag'!C15</f>
        <v>20</v>
      </c>
      <c r="F433" s="28">
        <f>'20_14-01-2023_Stasi Lørdag'!B15</f>
        <v>-80</v>
      </c>
      <c r="G433" s="28">
        <f>'20_14-01-2023_Stasi Lørdag'!F15</f>
        <v>0</v>
      </c>
      <c r="H433" s="28" t="str">
        <f>'20_14-01-2023_Stasi Lørdag'!H15</f>
        <v>Thomas</v>
      </c>
      <c r="I433" s="28" t="str">
        <f>'20_14-01-2023_Stasi Lørdag'!I15</f>
        <v>Peter</v>
      </c>
      <c r="J433" s="76" t="str">
        <f>'20_14-01-2023_Stasi Lørdag'!J15</f>
        <v>Christian</v>
      </c>
      <c r="K433" s="28" t="str">
        <f>'20_14-01-2023_Stasi Lørdag'!G15</f>
        <v>8 alm</v>
      </c>
      <c r="L433" s="56"/>
      <c r="M433" s="25">
        <v>8.0</v>
      </c>
      <c r="N433" s="25" t="s">
        <v>100</v>
      </c>
      <c r="T433" s="56"/>
      <c r="U433" s="77">
        <f t="shared" ref="U433:X433" si="3816">C433-C432</f>
        <v>2</v>
      </c>
      <c r="V433" s="28">
        <f t="shared" si="3816"/>
        <v>2</v>
      </c>
      <c r="W433" s="28">
        <f t="shared" si="3816"/>
        <v>-2</v>
      </c>
      <c r="X433" s="28">
        <f t="shared" si="3816"/>
        <v>-2</v>
      </c>
      <c r="AB433" s="28">
        <f t="shared" ref="AB433:AE433" si="3817">IF(AB$3=$H433,U433,"")</f>
        <v>2</v>
      </c>
      <c r="AC433" s="28" t="str">
        <f t="shared" si="3817"/>
        <v/>
      </c>
      <c r="AD433" s="28" t="str">
        <f t="shared" si="3817"/>
        <v/>
      </c>
      <c r="AE433" s="28" t="str">
        <f t="shared" si="3817"/>
        <v/>
      </c>
      <c r="AH433" s="28">
        <f t="shared" si="22"/>
        <v>2</v>
      </c>
      <c r="AI433" s="28">
        <f t="shared" si="23"/>
        <v>0</v>
      </c>
      <c r="AK433" s="78" t="str">
        <f t="shared" ref="AK433:AN433" si="3818">IF(U433&gt;0,AK$3,"")</f>
        <v>Thomas</v>
      </c>
      <c r="AL433" s="78" t="str">
        <f t="shared" si="3818"/>
        <v>Peter</v>
      </c>
      <c r="AM433" s="78" t="str">
        <f t="shared" si="3818"/>
        <v/>
      </c>
      <c r="AN433" s="78" t="str">
        <f t="shared" si="3818"/>
        <v/>
      </c>
      <c r="AO433" s="56">
        <f t="shared" si="25"/>
        <v>2</v>
      </c>
      <c r="AP433" s="8" t="str">
        <f t="shared" si="26"/>
        <v>Thomas</v>
      </c>
      <c r="AQ433" s="73" t="str">
        <f>IFERROR(__xludf.DUMMYFUNCTION("IFNA(QUERY(transpose(AY433:BB433),""Select Col1 where Col1 is not null limit 1"",0))"),"Peter")</f>
        <v>Peter</v>
      </c>
      <c r="AR433" s="56"/>
      <c r="AS433" s="28" t="str">
        <f t="shared" ref="AS433:AV433" si="3819">IF(AK433=AS$3,"",AS$3)</f>
        <v/>
      </c>
      <c r="AT433" s="28" t="str">
        <f t="shared" si="3819"/>
        <v/>
      </c>
      <c r="AU433" s="28" t="str">
        <f t="shared" si="3819"/>
        <v>Janus</v>
      </c>
      <c r="AV433" s="28" t="str">
        <f t="shared" si="3819"/>
        <v>Christian</v>
      </c>
      <c r="AW433" s="56">
        <f t="shared" si="28"/>
        <v>2</v>
      </c>
      <c r="AX433" s="28">
        <f t="shared" si="29"/>
        <v>2</v>
      </c>
      <c r="AY433" s="28" t="str">
        <f t="shared" ref="AY433:BB433" si="3820">IFNA(IFS(AY$3=$AP433,"",$AX433=U433,AY$3),"")</f>
        <v/>
      </c>
      <c r="AZ433" s="28" t="str">
        <f t="shared" si="3820"/>
        <v>Peter</v>
      </c>
      <c r="BA433" s="28" t="str">
        <f t="shared" si="3820"/>
        <v/>
      </c>
      <c r="BB433" s="28" t="str">
        <f t="shared" si="3820"/>
        <v/>
      </c>
      <c r="BC433" s="58">
        <f>OFFSET('00_Regnskab_01'!$A$1,MATCH(A433,'00_Regnskab_01'!$A$1:$A$25)-1,2)</f>
        <v>44940</v>
      </c>
      <c r="BE433" s="80">
        <f t="shared" ref="BE433:BH433" si="3821">if(U433&gt;0,1+BE432,0)</f>
        <v>3</v>
      </c>
      <c r="BF433" s="28">
        <f t="shared" si="3821"/>
        <v>1</v>
      </c>
      <c r="BG433" s="28">
        <f t="shared" si="3821"/>
        <v>0</v>
      </c>
      <c r="BH433" s="28">
        <f t="shared" si="3821"/>
        <v>0</v>
      </c>
      <c r="BJ433" s="28">
        <f t="shared" ref="BJ433:BM433" si="3822">if(U433&lt;0,1+BJ432,0)</f>
        <v>0</v>
      </c>
      <c r="BK433" s="28">
        <f t="shared" si="3822"/>
        <v>0</v>
      </c>
      <c r="BL433" s="28">
        <f t="shared" si="3822"/>
        <v>2</v>
      </c>
      <c r="BM433" s="28">
        <f t="shared" si="3822"/>
        <v>4</v>
      </c>
      <c r="BO433" s="74">
        <f t="shared" ref="BO433:BR433" si="3823">if(U433&gt;0,U433+BO432,0)</f>
        <v>54</v>
      </c>
      <c r="BP433" s="74">
        <f t="shared" si="3823"/>
        <v>2</v>
      </c>
      <c r="BQ433" s="74">
        <f t="shared" si="3823"/>
        <v>0</v>
      </c>
      <c r="BR433" s="74">
        <f t="shared" si="3823"/>
        <v>0</v>
      </c>
      <c r="BT433" s="28">
        <f t="shared" ref="BT433:BW433" si="3824">if(U433&lt;0,U433+BT432,0)</f>
        <v>0</v>
      </c>
      <c r="BU433" s="28">
        <f t="shared" si="3824"/>
        <v>0</v>
      </c>
      <c r="BV433" s="28">
        <f t="shared" si="3824"/>
        <v>-6</v>
      </c>
      <c r="BW433" s="28">
        <f t="shared" si="3824"/>
        <v>-58</v>
      </c>
    </row>
    <row r="434">
      <c r="A434" s="53">
        <v>20.0</v>
      </c>
      <c r="B434" s="28">
        <f>'20_14-01-2023_Stasi Lørdag'!A16</f>
        <v>14</v>
      </c>
      <c r="C434" s="28">
        <f>'20_14-01-2023_Stasi Lørdag'!E16</f>
        <v>92</v>
      </c>
      <c r="D434" s="28">
        <f>'20_14-01-2023_Stasi Lørdag'!D16</f>
        <v>-64</v>
      </c>
      <c r="E434" s="28">
        <f>'20_14-01-2023_Stasi Lørdag'!C16</f>
        <v>36</v>
      </c>
      <c r="F434" s="28">
        <f>'20_14-01-2023_Stasi Lørdag'!B16</f>
        <v>-64</v>
      </c>
      <c r="G434" s="28">
        <f>'20_14-01-2023_Stasi Lørdag'!F16</f>
        <v>0</v>
      </c>
      <c r="H434" s="28" t="str">
        <f>'20_14-01-2023_Stasi Lørdag'!H16</f>
        <v>Christian</v>
      </c>
      <c r="I434" s="28" t="str">
        <f>'20_14-01-2023_Stasi Lørdag'!I16</f>
        <v>Janjusz</v>
      </c>
      <c r="J434" s="76" t="str">
        <f>'20_14-01-2023_Stasi Lørdag'!J16</f>
        <v>Thomas</v>
      </c>
      <c r="K434" s="28" t="str">
        <f>'20_14-01-2023_Stasi Lørdag'!G16</f>
        <v>9 halve</v>
      </c>
      <c r="L434" s="56"/>
      <c r="M434" s="25">
        <v>9.0</v>
      </c>
      <c r="N434" s="25" t="s">
        <v>94</v>
      </c>
      <c r="T434" s="56"/>
      <c r="U434" s="77">
        <f t="shared" ref="U434:X434" si="3825">C434-C433</f>
        <v>-16</v>
      </c>
      <c r="V434" s="28">
        <f t="shared" si="3825"/>
        <v>-16</v>
      </c>
      <c r="W434" s="28">
        <f t="shared" si="3825"/>
        <v>16</v>
      </c>
      <c r="X434" s="28">
        <f t="shared" si="3825"/>
        <v>16</v>
      </c>
      <c r="AB434" s="28" t="str">
        <f t="shared" ref="AB434:AE434" si="3826">IF(AB$3=$H434,U434,"")</f>
        <v/>
      </c>
      <c r="AC434" s="28" t="str">
        <f t="shared" si="3826"/>
        <v/>
      </c>
      <c r="AD434" s="28" t="str">
        <f t="shared" si="3826"/>
        <v/>
      </c>
      <c r="AE434" s="28">
        <f t="shared" si="3826"/>
        <v>16</v>
      </c>
      <c r="AH434" s="28">
        <f t="shared" si="22"/>
        <v>16</v>
      </c>
      <c r="AI434" s="28">
        <f t="shared" si="23"/>
        <v>0</v>
      </c>
      <c r="AK434" s="78" t="str">
        <f t="shared" ref="AK434:AN434" si="3827">IF(U434&gt;0,AK$3,"")</f>
        <v/>
      </c>
      <c r="AL434" s="78" t="str">
        <f t="shared" si="3827"/>
        <v/>
      </c>
      <c r="AM434" s="78" t="str">
        <f t="shared" si="3827"/>
        <v>Janus</v>
      </c>
      <c r="AN434" s="78" t="str">
        <f t="shared" si="3827"/>
        <v>Christian</v>
      </c>
      <c r="AO434" s="56">
        <f t="shared" si="25"/>
        <v>2</v>
      </c>
      <c r="AP434" s="8" t="str">
        <f t="shared" si="26"/>
        <v>Christian</v>
      </c>
      <c r="AQ434" s="73" t="str">
        <f>IFERROR(__xludf.DUMMYFUNCTION("IFNA(QUERY(transpose(AY434:BB434),""Select Col1 where Col1 is not null limit 1"",0))"),"Janus")</f>
        <v>Janus</v>
      </c>
      <c r="AR434" s="56"/>
      <c r="AS434" s="28" t="str">
        <f t="shared" ref="AS434:AV434" si="3828">IF(AK434=AS$3,"",AS$3)</f>
        <v>Thomas</v>
      </c>
      <c r="AT434" s="28" t="str">
        <f t="shared" si="3828"/>
        <v>Peter</v>
      </c>
      <c r="AU434" s="28" t="str">
        <f t="shared" si="3828"/>
        <v/>
      </c>
      <c r="AV434" s="28" t="str">
        <f t="shared" si="3828"/>
        <v/>
      </c>
      <c r="AW434" s="56">
        <f t="shared" si="28"/>
        <v>2</v>
      </c>
      <c r="AX434" s="28">
        <f t="shared" si="29"/>
        <v>16</v>
      </c>
      <c r="AY434" s="28" t="str">
        <f t="shared" ref="AY434:BB434" si="3829">IFNA(IFS(AY$3=$AP434,"",$AX434=U434,AY$3),"")</f>
        <v/>
      </c>
      <c r="AZ434" s="28" t="str">
        <f t="shared" si="3829"/>
        <v/>
      </c>
      <c r="BA434" s="28" t="str">
        <f t="shared" si="3829"/>
        <v>Janus</v>
      </c>
      <c r="BB434" s="28" t="str">
        <f t="shared" si="3829"/>
        <v/>
      </c>
      <c r="BC434" s="58">
        <f>OFFSET('00_Regnskab_01'!$A$1,MATCH(A434,'00_Regnskab_01'!$A$1:$A$25)-1,2)</f>
        <v>44940</v>
      </c>
      <c r="BE434" s="80">
        <f t="shared" ref="BE434:BH434" si="3830">if(U434&gt;0,1+BE433,0)</f>
        <v>0</v>
      </c>
      <c r="BF434" s="28">
        <f t="shared" si="3830"/>
        <v>0</v>
      </c>
      <c r="BG434" s="28">
        <f t="shared" si="3830"/>
        <v>1</v>
      </c>
      <c r="BH434" s="28">
        <f t="shared" si="3830"/>
        <v>1</v>
      </c>
      <c r="BJ434" s="28">
        <f t="shared" ref="BJ434:BM434" si="3831">if(U434&lt;0,1+BJ433,0)</f>
        <v>1</v>
      </c>
      <c r="BK434" s="28">
        <f t="shared" si="3831"/>
        <v>1</v>
      </c>
      <c r="BL434" s="28">
        <f t="shared" si="3831"/>
        <v>0</v>
      </c>
      <c r="BM434" s="28">
        <f t="shared" si="3831"/>
        <v>0</v>
      </c>
      <c r="BO434" s="74">
        <f t="shared" ref="BO434:BR434" si="3832">if(U434&gt;0,U434+BO433,0)</f>
        <v>0</v>
      </c>
      <c r="BP434" s="74">
        <f t="shared" si="3832"/>
        <v>0</v>
      </c>
      <c r="BQ434" s="74">
        <f t="shared" si="3832"/>
        <v>16</v>
      </c>
      <c r="BR434" s="74">
        <f t="shared" si="3832"/>
        <v>16</v>
      </c>
      <c r="BT434" s="28">
        <f t="shared" ref="BT434:BW434" si="3833">if(U434&lt;0,U434+BT433,0)</f>
        <v>-16</v>
      </c>
      <c r="BU434" s="28">
        <f t="shared" si="3833"/>
        <v>-16</v>
      </c>
      <c r="BV434" s="28">
        <f t="shared" si="3833"/>
        <v>0</v>
      </c>
      <c r="BW434" s="28">
        <f t="shared" si="3833"/>
        <v>0</v>
      </c>
    </row>
    <row r="435">
      <c r="A435" s="53">
        <v>20.0</v>
      </c>
      <c r="B435" s="28">
        <f>'20_14-01-2023_Stasi Lørdag'!A17</f>
        <v>15</v>
      </c>
      <c r="C435" s="28">
        <f>'20_14-01-2023_Stasi Lørdag'!E17</f>
        <v>84</v>
      </c>
      <c r="D435" s="28">
        <f>'20_14-01-2023_Stasi Lørdag'!D17</f>
        <v>-72</v>
      </c>
      <c r="E435" s="28">
        <f>'20_14-01-2023_Stasi Lørdag'!C17</f>
        <v>44</v>
      </c>
      <c r="F435" s="28">
        <f>'20_14-01-2023_Stasi Lørdag'!B17</f>
        <v>-56</v>
      </c>
      <c r="G435" s="28">
        <f>'20_14-01-2023_Stasi Lørdag'!F17</f>
        <v>0</v>
      </c>
      <c r="H435" s="28" t="str">
        <f>'20_14-01-2023_Stasi Lørdag'!H17</f>
        <v>Christian</v>
      </c>
      <c r="I435" s="28" t="str">
        <f>'20_14-01-2023_Stasi Lørdag'!I17</f>
        <v>Janjusz</v>
      </c>
      <c r="J435" s="76" t="str">
        <f>'20_14-01-2023_Stasi Lørdag'!J17</f>
        <v>Peter</v>
      </c>
      <c r="K435" s="28" t="str">
        <f>'20_14-01-2023_Stasi Lørdag'!G17</f>
        <v>9 gode</v>
      </c>
      <c r="L435" s="56"/>
      <c r="M435" s="25">
        <v>9.0</v>
      </c>
      <c r="N435" s="25" t="s">
        <v>95</v>
      </c>
      <c r="T435" s="56"/>
      <c r="U435" s="77">
        <f t="shared" ref="U435:X435" si="3834">C435-C434</f>
        <v>-8</v>
      </c>
      <c r="V435" s="28">
        <f t="shared" si="3834"/>
        <v>-8</v>
      </c>
      <c r="W435" s="28">
        <f t="shared" si="3834"/>
        <v>8</v>
      </c>
      <c r="X435" s="28">
        <f t="shared" si="3834"/>
        <v>8</v>
      </c>
      <c r="AB435" s="28" t="str">
        <f t="shared" ref="AB435:AE435" si="3835">IF(AB$3=$H435,U435,"")</f>
        <v/>
      </c>
      <c r="AC435" s="28" t="str">
        <f t="shared" si="3835"/>
        <v/>
      </c>
      <c r="AD435" s="28" t="str">
        <f t="shared" si="3835"/>
        <v/>
      </c>
      <c r="AE435" s="28">
        <f t="shared" si="3835"/>
        <v>8</v>
      </c>
      <c r="AH435" s="28">
        <f t="shared" si="22"/>
        <v>8</v>
      </c>
      <c r="AI435" s="28">
        <f t="shared" si="23"/>
        <v>0</v>
      </c>
      <c r="AK435" s="78" t="str">
        <f t="shared" ref="AK435:AN435" si="3836">IF(U435&gt;0,AK$3,"")</f>
        <v/>
      </c>
      <c r="AL435" s="78" t="str">
        <f t="shared" si="3836"/>
        <v/>
      </c>
      <c r="AM435" s="78" t="str">
        <f t="shared" si="3836"/>
        <v>Janus</v>
      </c>
      <c r="AN435" s="78" t="str">
        <f t="shared" si="3836"/>
        <v>Christian</v>
      </c>
      <c r="AO435" s="56">
        <f t="shared" si="25"/>
        <v>2</v>
      </c>
      <c r="AP435" s="8" t="str">
        <f t="shared" si="26"/>
        <v>Christian</v>
      </c>
      <c r="AQ435" s="73" t="str">
        <f>IFERROR(__xludf.DUMMYFUNCTION("IFNA(QUERY(transpose(AY435:BB435),""Select Col1 where Col1 is not null limit 1"",0))"),"Janus")</f>
        <v>Janus</v>
      </c>
      <c r="AR435" s="56"/>
      <c r="AS435" s="28" t="str">
        <f t="shared" ref="AS435:AV435" si="3837">IF(AK435=AS$3,"",AS$3)</f>
        <v>Thomas</v>
      </c>
      <c r="AT435" s="28" t="str">
        <f t="shared" si="3837"/>
        <v>Peter</v>
      </c>
      <c r="AU435" s="28" t="str">
        <f t="shared" si="3837"/>
        <v/>
      </c>
      <c r="AV435" s="28" t="str">
        <f t="shared" si="3837"/>
        <v/>
      </c>
      <c r="AW435" s="56">
        <f t="shared" si="28"/>
        <v>2</v>
      </c>
      <c r="AX435" s="28">
        <f t="shared" si="29"/>
        <v>8</v>
      </c>
      <c r="AY435" s="28" t="str">
        <f t="shared" ref="AY435:BB435" si="3838">IFNA(IFS(AY$3=$AP435,"",$AX435=U435,AY$3),"")</f>
        <v/>
      </c>
      <c r="AZ435" s="28" t="str">
        <f t="shared" si="3838"/>
        <v/>
      </c>
      <c r="BA435" s="28" t="str">
        <f t="shared" si="3838"/>
        <v>Janus</v>
      </c>
      <c r="BB435" s="28" t="str">
        <f t="shared" si="3838"/>
        <v/>
      </c>
      <c r="BC435" s="58">
        <f>OFFSET('00_Regnskab_01'!$A$1,MATCH(A435,'00_Regnskab_01'!$A$1:$A$25)-1,2)</f>
        <v>44940</v>
      </c>
      <c r="BE435" s="80">
        <f t="shared" ref="BE435:BH435" si="3839">if(U435&gt;0,1+BE434,0)</f>
        <v>0</v>
      </c>
      <c r="BF435" s="28">
        <f t="shared" si="3839"/>
        <v>0</v>
      </c>
      <c r="BG435" s="28">
        <f t="shared" si="3839"/>
        <v>2</v>
      </c>
      <c r="BH435" s="28">
        <f t="shared" si="3839"/>
        <v>2</v>
      </c>
      <c r="BJ435" s="28">
        <f t="shared" ref="BJ435:BM435" si="3840">if(U435&lt;0,1+BJ434,0)</f>
        <v>2</v>
      </c>
      <c r="BK435" s="28">
        <f t="shared" si="3840"/>
        <v>2</v>
      </c>
      <c r="BL435" s="28">
        <f t="shared" si="3840"/>
        <v>0</v>
      </c>
      <c r="BM435" s="28">
        <f t="shared" si="3840"/>
        <v>0</v>
      </c>
      <c r="BO435" s="74">
        <f t="shared" ref="BO435:BR435" si="3841">if(U435&gt;0,U435+BO434,0)</f>
        <v>0</v>
      </c>
      <c r="BP435" s="74">
        <f t="shared" si="3841"/>
        <v>0</v>
      </c>
      <c r="BQ435" s="74">
        <f t="shared" si="3841"/>
        <v>24</v>
      </c>
      <c r="BR435" s="74">
        <f t="shared" si="3841"/>
        <v>24</v>
      </c>
      <c r="BT435" s="28">
        <f t="shared" ref="BT435:BW435" si="3842">if(U435&lt;0,U435+BT434,0)</f>
        <v>-24</v>
      </c>
      <c r="BU435" s="28">
        <f t="shared" si="3842"/>
        <v>-24</v>
      </c>
      <c r="BV435" s="28">
        <f t="shared" si="3842"/>
        <v>0</v>
      </c>
      <c r="BW435" s="28">
        <f t="shared" si="3842"/>
        <v>0</v>
      </c>
    </row>
    <row r="436">
      <c r="A436" s="53">
        <v>20.0</v>
      </c>
      <c r="B436" s="28">
        <f>'20_14-01-2023_Stasi Lørdag'!A18</f>
        <v>16</v>
      </c>
      <c r="C436" s="28">
        <f>'20_14-01-2023_Stasi Lørdag'!E18</f>
        <v>124</v>
      </c>
      <c r="D436" s="28">
        <f>'20_14-01-2023_Stasi Lørdag'!D18</f>
        <v>-32</v>
      </c>
      <c r="E436" s="28">
        <f>'20_14-01-2023_Stasi Lørdag'!C18</f>
        <v>4</v>
      </c>
      <c r="F436" s="28">
        <f>'20_14-01-2023_Stasi Lørdag'!B18</f>
        <v>-96</v>
      </c>
      <c r="G436" s="28">
        <f>'20_14-01-2023_Stasi Lørdag'!F18</f>
        <v>0</v>
      </c>
      <c r="H436" s="28" t="str">
        <f>'20_14-01-2023_Stasi Lørdag'!H18</f>
        <v>THomas</v>
      </c>
      <c r="I436" s="28" t="str">
        <f>'20_14-01-2023_Stasi Lørdag'!I18</f>
        <v>Peter</v>
      </c>
      <c r="J436" s="76" t="str">
        <f>'20_14-01-2023_Stasi Lørdag'!J18</f>
        <v>Janjusz</v>
      </c>
      <c r="K436" s="28" t="str">
        <f>'20_14-01-2023_Stasi Lørdag'!G18</f>
        <v>8 vip i 3 - ruder</v>
      </c>
      <c r="L436" s="56"/>
      <c r="M436" s="25">
        <v>8.0</v>
      </c>
      <c r="N436" s="25" t="s">
        <v>86</v>
      </c>
      <c r="O436" s="25">
        <v>3.0</v>
      </c>
      <c r="T436" s="56"/>
      <c r="U436" s="77">
        <f t="shared" ref="U436:X436" si="3843">C436-C435</f>
        <v>40</v>
      </c>
      <c r="V436" s="28">
        <f t="shared" si="3843"/>
        <v>40</v>
      </c>
      <c r="W436" s="28">
        <f t="shared" si="3843"/>
        <v>-40</v>
      </c>
      <c r="X436" s="28">
        <f t="shared" si="3843"/>
        <v>-40</v>
      </c>
      <c r="AB436" s="28">
        <f t="shared" ref="AB436:AE436" si="3844">IF(AB$3=$H436,U436,"")</f>
        <v>40</v>
      </c>
      <c r="AC436" s="28" t="str">
        <f t="shared" si="3844"/>
        <v/>
      </c>
      <c r="AD436" s="28" t="str">
        <f t="shared" si="3844"/>
        <v/>
      </c>
      <c r="AE436" s="28" t="str">
        <f t="shared" si="3844"/>
        <v/>
      </c>
      <c r="AH436" s="28">
        <f t="shared" si="22"/>
        <v>40</v>
      </c>
      <c r="AI436" s="28">
        <f t="shared" si="23"/>
        <v>0</v>
      </c>
      <c r="AK436" s="78" t="str">
        <f t="shared" ref="AK436:AN436" si="3845">IF(U436&gt;0,AK$3,"")</f>
        <v>Thomas</v>
      </c>
      <c r="AL436" s="78" t="str">
        <f t="shared" si="3845"/>
        <v>Peter</v>
      </c>
      <c r="AM436" s="78" t="str">
        <f t="shared" si="3845"/>
        <v/>
      </c>
      <c r="AN436" s="78" t="str">
        <f t="shared" si="3845"/>
        <v/>
      </c>
      <c r="AO436" s="56">
        <f t="shared" si="25"/>
        <v>2</v>
      </c>
      <c r="AP436" s="8" t="str">
        <f t="shared" si="26"/>
        <v>THomas</v>
      </c>
      <c r="AQ436" s="73" t="str">
        <f>IFERROR(__xludf.DUMMYFUNCTION("IFNA(QUERY(transpose(AY436:BB436),""Select Col1 where Col1 is not null limit 1"",0))"),"Peter")</f>
        <v>Peter</v>
      </c>
      <c r="AR436" s="56"/>
      <c r="AS436" s="28" t="str">
        <f t="shared" ref="AS436:AV436" si="3846">IF(AK436=AS$3,"",AS$3)</f>
        <v/>
      </c>
      <c r="AT436" s="28" t="str">
        <f t="shared" si="3846"/>
        <v/>
      </c>
      <c r="AU436" s="28" t="str">
        <f t="shared" si="3846"/>
        <v>Janus</v>
      </c>
      <c r="AV436" s="28" t="str">
        <f t="shared" si="3846"/>
        <v>Christian</v>
      </c>
      <c r="AW436" s="56">
        <f t="shared" si="28"/>
        <v>2</v>
      </c>
      <c r="AX436" s="28">
        <f t="shared" si="29"/>
        <v>40</v>
      </c>
      <c r="AY436" s="28" t="str">
        <f t="shared" ref="AY436:BB436" si="3847">IFNA(IFS(AY$3=$AP436,"",$AX436=U436,AY$3),"")</f>
        <v/>
      </c>
      <c r="AZ436" s="28" t="str">
        <f t="shared" si="3847"/>
        <v>Peter</v>
      </c>
      <c r="BA436" s="28" t="str">
        <f t="shared" si="3847"/>
        <v/>
      </c>
      <c r="BB436" s="28" t="str">
        <f t="shared" si="3847"/>
        <v/>
      </c>
      <c r="BC436" s="58">
        <f>OFFSET('00_Regnskab_01'!$A$1,MATCH(A436,'00_Regnskab_01'!$A$1:$A$25)-1,2)</f>
        <v>44940</v>
      </c>
      <c r="BE436" s="80">
        <f t="shared" ref="BE436:BH436" si="3848">if(U436&gt;0,1+BE435,0)</f>
        <v>1</v>
      </c>
      <c r="BF436" s="28">
        <f t="shared" si="3848"/>
        <v>1</v>
      </c>
      <c r="BG436" s="28">
        <f t="shared" si="3848"/>
        <v>0</v>
      </c>
      <c r="BH436" s="28">
        <f t="shared" si="3848"/>
        <v>0</v>
      </c>
      <c r="BJ436" s="28">
        <f t="shared" ref="BJ436:BM436" si="3849">if(U436&lt;0,1+BJ435,0)</f>
        <v>0</v>
      </c>
      <c r="BK436" s="28">
        <f t="shared" si="3849"/>
        <v>0</v>
      </c>
      <c r="BL436" s="28">
        <f t="shared" si="3849"/>
        <v>1</v>
      </c>
      <c r="BM436" s="28">
        <f t="shared" si="3849"/>
        <v>1</v>
      </c>
      <c r="BO436" s="74">
        <f t="shared" ref="BO436:BR436" si="3850">if(U436&gt;0,U436+BO435,0)</f>
        <v>40</v>
      </c>
      <c r="BP436" s="74">
        <f t="shared" si="3850"/>
        <v>40</v>
      </c>
      <c r="BQ436" s="74">
        <f t="shared" si="3850"/>
        <v>0</v>
      </c>
      <c r="BR436" s="74">
        <f t="shared" si="3850"/>
        <v>0</v>
      </c>
      <c r="BT436" s="28">
        <f t="shared" ref="BT436:BW436" si="3851">if(U436&lt;0,U436+BT435,0)</f>
        <v>0</v>
      </c>
      <c r="BU436" s="28">
        <f t="shared" si="3851"/>
        <v>0</v>
      </c>
      <c r="BV436" s="28">
        <f t="shared" si="3851"/>
        <v>-40</v>
      </c>
      <c r="BW436" s="28">
        <f t="shared" si="3851"/>
        <v>-40</v>
      </c>
    </row>
    <row r="437">
      <c r="A437" s="53">
        <v>20.0</v>
      </c>
      <c r="B437" s="28">
        <f>'20_14-01-2023_Stasi Lørdag'!A19</f>
        <v>17</v>
      </c>
      <c r="C437" s="28">
        <f>'20_14-01-2023_Stasi Lørdag'!E19</f>
        <v>116</v>
      </c>
      <c r="D437" s="28">
        <f>'20_14-01-2023_Stasi Lørdag'!D19</f>
        <v>-24</v>
      </c>
      <c r="E437" s="28">
        <f>'20_14-01-2023_Stasi Lørdag'!C19</f>
        <v>-4</v>
      </c>
      <c r="F437" s="28">
        <f>'20_14-01-2023_Stasi Lørdag'!B19</f>
        <v>-88</v>
      </c>
      <c r="G437" s="28">
        <f>'20_14-01-2023_Stasi Lørdag'!F19</f>
        <v>0</v>
      </c>
      <c r="H437" s="28" t="str">
        <f>'20_14-01-2023_Stasi Lørdag'!H19</f>
        <v>Christian</v>
      </c>
      <c r="I437" s="28" t="str">
        <f>'20_14-01-2023_Stasi Lørdag'!I19</f>
        <v>Peter</v>
      </c>
      <c r="J437" s="76" t="str">
        <f>'20_14-01-2023_Stasi Lørdag'!J19</f>
        <v>Christian</v>
      </c>
      <c r="K437" s="28" t="str">
        <f>'20_14-01-2023_Stasi Lørdag'!G19</f>
        <v>9 halve</v>
      </c>
      <c r="L437" s="56"/>
      <c r="M437" s="25">
        <v>9.0</v>
      </c>
      <c r="N437" s="25" t="s">
        <v>94</v>
      </c>
      <c r="T437" s="56"/>
      <c r="U437" s="77">
        <f t="shared" ref="U437:X437" si="3852">C437-C436</f>
        <v>-8</v>
      </c>
      <c r="V437" s="28">
        <f t="shared" si="3852"/>
        <v>8</v>
      </c>
      <c r="W437" s="28">
        <f t="shared" si="3852"/>
        <v>-8</v>
      </c>
      <c r="X437" s="28">
        <f t="shared" si="3852"/>
        <v>8</v>
      </c>
      <c r="AB437" s="28" t="str">
        <f t="shared" ref="AB437:AE437" si="3853">IF(AB$3=$H437,U437,"")</f>
        <v/>
      </c>
      <c r="AC437" s="28" t="str">
        <f t="shared" si="3853"/>
        <v/>
      </c>
      <c r="AD437" s="28" t="str">
        <f t="shared" si="3853"/>
        <v/>
      </c>
      <c r="AE437" s="28">
        <f t="shared" si="3853"/>
        <v>8</v>
      </c>
      <c r="AH437" s="28">
        <f t="shared" si="22"/>
        <v>8</v>
      </c>
      <c r="AI437" s="28">
        <f t="shared" si="23"/>
        <v>0</v>
      </c>
      <c r="AK437" s="78" t="str">
        <f t="shared" ref="AK437:AN437" si="3854">IF(U437&gt;0,AK$3,"")</f>
        <v/>
      </c>
      <c r="AL437" s="78" t="str">
        <f t="shared" si="3854"/>
        <v>Peter</v>
      </c>
      <c r="AM437" s="78" t="str">
        <f t="shared" si="3854"/>
        <v/>
      </c>
      <c r="AN437" s="78" t="str">
        <f t="shared" si="3854"/>
        <v>Christian</v>
      </c>
      <c r="AO437" s="56">
        <f t="shared" si="25"/>
        <v>2</v>
      </c>
      <c r="AP437" s="8" t="str">
        <f t="shared" si="26"/>
        <v>Christian</v>
      </c>
      <c r="AQ437" s="73" t="str">
        <f>IFERROR(__xludf.DUMMYFUNCTION("IFNA(QUERY(transpose(AY437:BB437),""Select Col1 where Col1 is not null limit 1"",0))"),"Peter")</f>
        <v>Peter</v>
      </c>
      <c r="AR437" s="56"/>
      <c r="AS437" s="28" t="str">
        <f t="shared" ref="AS437:AV437" si="3855">IF(AK437=AS$3,"",AS$3)</f>
        <v>Thomas</v>
      </c>
      <c r="AT437" s="28" t="str">
        <f t="shared" si="3855"/>
        <v/>
      </c>
      <c r="AU437" s="28" t="str">
        <f t="shared" si="3855"/>
        <v>Janus</v>
      </c>
      <c r="AV437" s="28" t="str">
        <f t="shared" si="3855"/>
        <v/>
      </c>
      <c r="AW437" s="56">
        <f t="shared" si="28"/>
        <v>2</v>
      </c>
      <c r="AX437" s="28">
        <f t="shared" si="29"/>
        <v>8</v>
      </c>
      <c r="AY437" s="28" t="str">
        <f t="shared" ref="AY437:BB437" si="3856">IFNA(IFS(AY$3=$AP437,"",$AX437=U437,AY$3),"")</f>
        <v/>
      </c>
      <c r="AZ437" s="28" t="str">
        <f t="shared" si="3856"/>
        <v>Peter</v>
      </c>
      <c r="BA437" s="28" t="str">
        <f t="shared" si="3856"/>
        <v/>
      </c>
      <c r="BB437" s="28" t="str">
        <f t="shared" si="3856"/>
        <v/>
      </c>
      <c r="BC437" s="58">
        <f>OFFSET('00_Regnskab_01'!$A$1,MATCH(A437,'00_Regnskab_01'!$A$1:$A$25)-1,2)</f>
        <v>44940</v>
      </c>
      <c r="BE437" s="80">
        <f t="shared" ref="BE437:BH437" si="3857">if(U437&gt;0,1+BE436,0)</f>
        <v>0</v>
      </c>
      <c r="BF437" s="28">
        <f t="shared" si="3857"/>
        <v>2</v>
      </c>
      <c r="BG437" s="28">
        <f t="shared" si="3857"/>
        <v>0</v>
      </c>
      <c r="BH437" s="28">
        <f t="shared" si="3857"/>
        <v>1</v>
      </c>
      <c r="BJ437" s="28">
        <f t="shared" ref="BJ437:BM437" si="3858">if(U437&lt;0,1+BJ436,0)</f>
        <v>1</v>
      </c>
      <c r="BK437" s="28">
        <f t="shared" si="3858"/>
        <v>0</v>
      </c>
      <c r="BL437" s="28">
        <f t="shared" si="3858"/>
        <v>2</v>
      </c>
      <c r="BM437" s="28">
        <f t="shared" si="3858"/>
        <v>0</v>
      </c>
      <c r="BO437" s="74">
        <f t="shared" ref="BO437:BR437" si="3859">if(U437&gt;0,U437+BO436,0)</f>
        <v>0</v>
      </c>
      <c r="BP437" s="74">
        <f t="shared" si="3859"/>
        <v>48</v>
      </c>
      <c r="BQ437" s="74">
        <f t="shared" si="3859"/>
        <v>0</v>
      </c>
      <c r="BR437" s="74">
        <f t="shared" si="3859"/>
        <v>8</v>
      </c>
      <c r="BT437" s="28">
        <f t="shared" ref="BT437:BW437" si="3860">if(U437&lt;0,U437+BT436,0)</f>
        <v>-8</v>
      </c>
      <c r="BU437" s="28">
        <f t="shared" si="3860"/>
        <v>0</v>
      </c>
      <c r="BV437" s="28">
        <f t="shared" si="3860"/>
        <v>-48</v>
      </c>
      <c r="BW437" s="28">
        <f t="shared" si="3860"/>
        <v>0</v>
      </c>
    </row>
    <row r="438">
      <c r="A438" s="53">
        <v>20.0</v>
      </c>
      <c r="B438" s="28">
        <f>'20_14-01-2023_Stasi Lørdag'!A20</f>
        <v>18</v>
      </c>
      <c r="C438" s="28">
        <f>'20_14-01-2023_Stasi Lørdag'!E20</f>
        <v>124</v>
      </c>
      <c r="D438" s="28">
        <f>'20_14-01-2023_Stasi Lørdag'!D20</f>
        <v>-48</v>
      </c>
      <c r="E438" s="28">
        <f>'20_14-01-2023_Stasi Lørdag'!C20</f>
        <v>4</v>
      </c>
      <c r="F438" s="28">
        <f>'20_14-01-2023_Stasi Lørdag'!B20</f>
        <v>-80</v>
      </c>
      <c r="G438" s="28">
        <f>'20_14-01-2023_Stasi Lørdag'!F20</f>
        <v>0</v>
      </c>
      <c r="H438" s="28" t="str">
        <f>'20_14-01-2023_Stasi Lørdag'!H20</f>
        <v>Peter</v>
      </c>
      <c r="I438" s="28" t="str">
        <f>'20_14-01-2023_Stasi Lørdag'!I20</f>
        <v/>
      </c>
      <c r="J438" s="76" t="str">
        <f>'20_14-01-2023_Stasi Lørdag'!J20</f>
        <v>Christian</v>
      </c>
      <c r="K438" s="28" t="str">
        <f>'20_14-01-2023_Stasi Lørdag'!G20</f>
        <v>Ren sol</v>
      </c>
      <c r="L438" s="56"/>
      <c r="N438" s="25" t="s">
        <v>97</v>
      </c>
      <c r="T438" s="56"/>
      <c r="U438" s="77">
        <f t="shared" ref="U438:X438" si="3861">C438-C437</f>
        <v>8</v>
      </c>
      <c r="V438" s="28">
        <f t="shared" si="3861"/>
        <v>-24</v>
      </c>
      <c r="W438" s="28">
        <f t="shared" si="3861"/>
        <v>8</v>
      </c>
      <c r="X438" s="28">
        <f t="shared" si="3861"/>
        <v>8</v>
      </c>
      <c r="AB438" s="28" t="str">
        <f t="shared" ref="AB438:AE438" si="3862">IF(AB$3=$H438,U438,"")</f>
        <v/>
      </c>
      <c r="AC438" s="28">
        <f t="shared" si="3862"/>
        <v>-24</v>
      </c>
      <c r="AD438" s="28" t="str">
        <f t="shared" si="3862"/>
        <v/>
      </c>
      <c r="AE438" s="28" t="str">
        <f t="shared" si="3862"/>
        <v/>
      </c>
      <c r="AH438" s="28">
        <f t="shared" si="22"/>
        <v>0</v>
      </c>
      <c r="AI438" s="28">
        <f t="shared" si="23"/>
        <v>-24</v>
      </c>
      <c r="AK438" s="78" t="str">
        <f t="shared" ref="AK438:AN438" si="3863">IF(U438&gt;0,AK$3,"")</f>
        <v>Thomas</v>
      </c>
      <c r="AL438" s="78" t="str">
        <f t="shared" si="3863"/>
        <v/>
      </c>
      <c r="AM438" s="78" t="str">
        <f t="shared" si="3863"/>
        <v>Janus</v>
      </c>
      <c r="AN438" s="78" t="str">
        <f t="shared" si="3863"/>
        <v>Christian</v>
      </c>
      <c r="AO438" s="56">
        <f t="shared" si="25"/>
        <v>3</v>
      </c>
      <c r="AP438" s="8" t="str">
        <f t="shared" si="26"/>
        <v>Peter</v>
      </c>
      <c r="AQ438" s="73" t="str">
        <f>IFERROR(__xludf.DUMMYFUNCTION("IFNA(QUERY(transpose(AY438:BB438),""Select Col1 where Col1 is not null limit 1"",0))"),"")</f>
        <v/>
      </c>
      <c r="AR438" s="56"/>
      <c r="AS438" s="28" t="str">
        <f t="shared" ref="AS438:AV438" si="3864">IF(AK438=AS$3,"",AS$3)</f>
        <v/>
      </c>
      <c r="AT438" s="28" t="str">
        <f t="shared" si="3864"/>
        <v>Peter</v>
      </c>
      <c r="AU438" s="28" t="str">
        <f t="shared" si="3864"/>
        <v/>
      </c>
      <c r="AV438" s="28" t="str">
        <f t="shared" si="3864"/>
        <v/>
      </c>
      <c r="AW438" s="56">
        <f t="shared" si="28"/>
        <v>1</v>
      </c>
      <c r="AX438" s="28">
        <f t="shared" si="29"/>
        <v>-24</v>
      </c>
      <c r="AY438" s="28" t="str">
        <f t="shared" ref="AY438:BB438" si="3865">IFNA(IFS(AY$3=$AP438,"",$AX438=U438,AY$3),"")</f>
        <v/>
      </c>
      <c r="AZ438" s="28" t="str">
        <f t="shared" si="3865"/>
        <v/>
      </c>
      <c r="BA438" s="28" t="str">
        <f t="shared" si="3865"/>
        <v/>
      </c>
      <c r="BB438" s="28" t="str">
        <f t="shared" si="3865"/>
        <v/>
      </c>
      <c r="BC438" s="58">
        <f>OFFSET('00_Regnskab_01'!$A$1,MATCH(A438,'00_Regnskab_01'!$A$1:$A$25)-1,2)</f>
        <v>44940</v>
      </c>
      <c r="BE438" s="80">
        <f t="shared" ref="BE438:BH438" si="3866">if(U438&gt;0,1+BE437,0)</f>
        <v>1</v>
      </c>
      <c r="BF438" s="28">
        <f t="shared" si="3866"/>
        <v>0</v>
      </c>
      <c r="BG438" s="28">
        <f t="shared" si="3866"/>
        <v>1</v>
      </c>
      <c r="BH438" s="28">
        <f t="shared" si="3866"/>
        <v>2</v>
      </c>
      <c r="BJ438" s="28">
        <f t="shared" ref="BJ438:BM438" si="3867">if(U438&lt;0,1+BJ437,0)</f>
        <v>0</v>
      </c>
      <c r="BK438" s="28">
        <f t="shared" si="3867"/>
        <v>1</v>
      </c>
      <c r="BL438" s="28">
        <f t="shared" si="3867"/>
        <v>0</v>
      </c>
      <c r="BM438" s="28">
        <f t="shared" si="3867"/>
        <v>0</v>
      </c>
      <c r="BO438" s="74">
        <f t="shared" ref="BO438:BR438" si="3868">if(U438&gt;0,U438+BO437,0)</f>
        <v>8</v>
      </c>
      <c r="BP438" s="74">
        <f t="shared" si="3868"/>
        <v>0</v>
      </c>
      <c r="BQ438" s="74">
        <f t="shared" si="3868"/>
        <v>8</v>
      </c>
      <c r="BR438" s="74">
        <f t="shared" si="3868"/>
        <v>16</v>
      </c>
      <c r="BT438" s="28">
        <f t="shared" ref="BT438:BW438" si="3869">if(U438&lt;0,U438+BT437,0)</f>
        <v>0</v>
      </c>
      <c r="BU438" s="28">
        <f t="shared" si="3869"/>
        <v>-24</v>
      </c>
      <c r="BV438" s="28">
        <f t="shared" si="3869"/>
        <v>0</v>
      </c>
      <c r="BW438" s="28">
        <f t="shared" si="3869"/>
        <v>0</v>
      </c>
    </row>
    <row r="439">
      <c r="A439" s="53">
        <v>20.0</v>
      </c>
      <c r="B439" s="28">
        <f>'20_14-01-2023_Stasi Lørdag'!A21</f>
        <v>19</v>
      </c>
      <c r="C439" s="28">
        <f>'20_14-01-2023_Stasi Lørdag'!E21</f>
        <v>156</v>
      </c>
      <c r="D439" s="28">
        <f>'20_14-01-2023_Stasi Lørdag'!D21</f>
        <v>-80</v>
      </c>
      <c r="E439" s="28">
        <f>'20_14-01-2023_Stasi Lørdag'!C21</f>
        <v>-28</v>
      </c>
      <c r="F439" s="28">
        <f>'20_14-01-2023_Stasi Lørdag'!B21</f>
        <v>-48</v>
      </c>
      <c r="G439" s="28">
        <f>'20_14-01-2023_Stasi Lørdag'!F21</f>
        <v>0</v>
      </c>
      <c r="H439" s="28" t="str">
        <f>'20_14-01-2023_Stasi Lørdag'!H21</f>
        <v>Peter</v>
      </c>
      <c r="I439" s="28" t="str">
        <f>'20_14-01-2023_Stasi Lørdag'!I21</f>
        <v>Janus</v>
      </c>
      <c r="J439" s="76" t="str">
        <f>'20_14-01-2023_Stasi Lørdag'!J21</f>
        <v>Peter</v>
      </c>
      <c r="K439" s="28" t="str">
        <f>'20_14-01-2023_Stasi Lørdag'!G21</f>
        <v>10 gode</v>
      </c>
      <c r="L439" s="56"/>
      <c r="M439" s="25">
        <v>10.0</v>
      </c>
      <c r="N439" s="25" t="s">
        <v>95</v>
      </c>
      <c r="T439" s="56"/>
      <c r="U439" s="77">
        <f t="shared" ref="U439:X439" si="3870">C439-C438</f>
        <v>32</v>
      </c>
      <c r="V439" s="28">
        <f t="shared" si="3870"/>
        <v>-32</v>
      </c>
      <c r="W439" s="28">
        <f t="shared" si="3870"/>
        <v>-32</v>
      </c>
      <c r="X439" s="28">
        <f t="shared" si="3870"/>
        <v>32</v>
      </c>
      <c r="AB439" s="28" t="str">
        <f t="shared" ref="AB439:AE439" si="3871">IF(AB$3=$H439,U439,"")</f>
        <v/>
      </c>
      <c r="AC439" s="28">
        <f t="shared" si="3871"/>
        <v>-32</v>
      </c>
      <c r="AD439" s="28" t="str">
        <f t="shared" si="3871"/>
        <v/>
      </c>
      <c r="AE439" s="28" t="str">
        <f t="shared" si="3871"/>
        <v/>
      </c>
      <c r="AH439" s="28">
        <f t="shared" si="22"/>
        <v>0</v>
      </c>
      <c r="AI439" s="28">
        <f t="shared" si="23"/>
        <v>-32</v>
      </c>
      <c r="AK439" s="78" t="str">
        <f t="shared" ref="AK439:AN439" si="3872">IF(U439&gt;0,AK$3,"")</f>
        <v>Thomas</v>
      </c>
      <c r="AL439" s="78" t="str">
        <f t="shared" si="3872"/>
        <v/>
      </c>
      <c r="AM439" s="78" t="str">
        <f t="shared" si="3872"/>
        <v/>
      </c>
      <c r="AN439" s="78" t="str">
        <f t="shared" si="3872"/>
        <v>Christian</v>
      </c>
      <c r="AO439" s="56">
        <f t="shared" si="25"/>
        <v>2</v>
      </c>
      <c r="AP439" s="8" t="str">
        <f t="shared" si="26"/>
        <v>Peter</v>
      </c>
      <c r="AQ439" s="73" t="str">
        <f>IFERROR(__xludf.DUMMYFUNCTION("IFNA(QUERY(transpose(AY439:BB439),""Select Col1 where Col1 is not null limit 1"",0))"),"Janus")</f>
        <v>Janus</v>
      </c>
      <c r="AR439" s="56"/>
      <c r="AS439" s="28" t="str">
        <f t="shared" ref="AS439:AV439" si="3873">IF(AK439=AS$3,"",AS$3)</f>
        <v/>
      </c>
      <c r="AT439" s="28" t="str">
        <f t="shared" si="3873"/>
        <v>Peter</v>
      </c>
      <c r="AU439" s="28" t="str">
        <f t="shared" si="3873"/>
        <v>Janus</v>
      </c>
      <c r="AV439" s="28" t="str">
        <f t="shared" si="3873"/>
        <v/>
      </c>
      <c r="AW439" s="56">
        <f t="shared" si="28"/>
        <v>2</v>
      </c>
      <c r="AX439" s="28">
        <f t="shared" si="29"/>
        <v>-32</v>
      </c>
      <c r="AY439" s="28" t="str">
        <f t="shared" ref="AY439:BB439" si="3874">IFNA(IFS(AY$3=$AP439,"",$AX439=U439,AY$3),"")</f>
        <v/>
      </c>
      <c r="AZ439" s="28" t="str">
        <f t="shared" si="3874"/>
        <v/>
      </c>
      <c r="BA439" s="28" t="str">
        <f t="shared" si="3874"/>
        <v>Janus</v>
      </c>
      <c r="BB439" s="28" t="str">
        <f t="shared" si="3874"/>
        <v/>
      </c>
      <c r="BC439" s="58">
        <f>OFFSET('00_Regnskab_01'!$A$1,MATCH(A439,'00_Regnskab_01'!$A$1:$A$25)-1,2)</f>
        <v>44940</v>
      </c>
      <c r="BE439" s="80">
        <f t="shared" ref="BE439:BH439" si="3875">if(U439&gt;0,1+BE438,0)</f>
        <v>2</v>
      </c>
      <c r="BF439" s="28">
        <f t="shared" si="3875"/>
        <v>0</v>
      </c>
      <c r="BG439" s="28">
        <f t="shared" si="3875"/>
        <v>0</v>
      </c>
      <c r="BH439" s="28">
        <f t="shared" si="3875"/>
        <v>3</v>
      </c>
      <c r="BJ439" s="28">
        <f t="shared" ref="BJ439:BM439" si="3876">if(U439&lt;0,1+BJ438,0)</f>
        <v>0</v>
      </c>
      <c r="BK439" s="28">
        <f t="shared" si="3876"/>
        <v>2</v>
      </c>
      <c r="BL439" s="28">
        <f t="shared" si="3876"/>
        <v>1</v>
      </c>
      <c r="BM439" s="28">
        <f t="shared" si="3876"/>
        <v>0</v>
      </c>
      <c r="BO439" s="74">
        <f t="shared" ref="BO439:BR439" si="3877">if(U439&gt;0,U439+BO438,0)</f>
        <v>40</v>
      </c>
      <c r="BP439" s="74">
        <f t="shared" si="3877"/>
        <v>0</v>
      </c>
      <c r="BQ439" s="74">
        <f t="shared" si="3877"/>
        <v>0</v>
      </c>
      <c r="BR439" s="74">
        <f t="shared" si="3877"/>
        <v>48</v>
      </c>
      <c r="BT439" s="28">
        <f t="shared" ref="BT439:BW439" si="3878">if(U439&lt;0,U439+BT438,0)</f>
        <v>0</v>
      </c>
      <c r="BU439" s="28">
        <f t="shared" si="3878"/>
        <v>-56</v>
      </c>
      <c r="BV439" s="28">
        <f t="shared" si="3878"/>
        <v>-32</v>
      </c>
      <c r="BW439" s="28">
        <f t="shared" si="3878"/>
        <v>0</v>
      </c>
    </row>
    <row r="440">
      <c r="A440" s="53">
        <v>20.0</v>
      </c>
      <c r="B440" s="28">
        <f>'20_14-01-2023_Stasi Lørdag'!A22</f>
        <v>20</v>
      </c>
      <c r="C440" s="28">
        <f>'20_14-01-2023_Stasi Lørdag'!E22</f>
        <v>192</v>
      </c>
      <c r="D440" s="28">
        <f>'20_14-01-2023_Stasi Lørdag'!D22</f>
        <v>-92</v>
      </c>
      <c r="E440" s="28">
        <f>'20_14-01-2023_Stasi Lørdag'!C22</f>
        <v>-40</v>
      </c>
      <c r="F440" s="28">
        <f>'20_14-01-2023_Stasi Lørdag'!B22</f>
        <v>-60</v>
      </c>
      <c r="G440" s="28">
        <f>'20_14-01-2023_Stasi Lørdag'!F22</f>
        <v>0</v>
      </c>
      <c r="H440" s="28" t="str">
        <f>'20_14-01-2023_Stasi Lørdag'!H22</f>
        <v>Thomas</v>
      </c>
      <c r="I440" s="28" t="str">
        <f>'20_14-01-2023_Stasi Lørdag'!I22</f>
        <v>Selvmakker</v>
      </c>
      <c r="J440" s="76" t="str">
        <f>'20_14-01-2023_Stasi Lørdag'!J22</f>
        <v>Janiz</v>
      </c>
      <c r="K440" s="28" t="str">
        <f>'20_14-01-2023_Stasi Lørdag'!G22</f>
        <v>10 alm</v>
      </c>
      <c r="L440" s="56"/>
      <c r="M440" s="25">
        <v>10.0</v>
      </c>
      <c r="N440" s="25" t="s">
        <v>100</v>
      </c>
      <c r="T440" s="56"/>
      <c r="U440" s="77">
        <f t="shared" ref="U440:X440" si="3879">C440-C439</f>
        <v>36</v>
      </c>
      <c r="V440" s="28">
        <f t="shared" si="3879"/>
        <v>-12</v>
      </c>
      <c r="W440" s="28">
        <f t="shared" si="3879"/>
        <v>-12</v>
      </c>
      <c r="X440" s="28">
        <f t="shared" si="3879"/>
        <v>-12</v>
      </c>
      <c r="AB440" s="28">
        <f t="shared" ref="AB440:AE440" si="3880">IF(AB$3=$H440,U440,"")</f>
        <v>36</v>
      </c>
      <c r="AC440" s="28" t="str">
        <f t="shared" si="3880"/>
        <v/>
      </c>
      <c r="AD440" s="28" t="str">
        <f t="shared" si="3880"/>
        <v/>
      </c>
      <c r="AE440" s="28" t="str">
        <f t="shared" si="3880"/>
        <v/>
      </c>
      <c r="AH440" s="28">
        <f t="shared" si="22"/>
        <v>36</v>
      </c>
      <c r="AI440" s="28">
        <f t="shared" si="23"/>
        <v>0</v>
      </c>
      <c r="AK440" s="78" t="str">
        <f t="shared" ref="AK440:AN440" si="3881">IF(U440&gt;0,AK$3,"")</f>
        <v>Thomas</v>
      </c>
      <c r="AL440" s="78" t="str">
        <f t="shared" si="3881"/>
        <v/>
      </c>
      <c r="AM440" s="78" t="str">
        <f t="shared" si="3881"/>
        <v/>
      </c>
      <c r="AN440" s="78" t="str">
        <f t="shared" si="3881"/>
        <v/>
      </c>
      <c r="AO440" s="56">
        <f t="shared" si="25"/>
        <v>1</v>
      </c>
      <c r="AP440" s="8" t="str">
        <f t="shared" si="26"/>
        <v>Thomas</v>
      </c>
      <c r="AQ440" s="73" t="str">
        <f>IFERROR(__xludf.DUMMYFUNCTION("IFNA(QUERY(transpose(AY440:BB440),""Select Col1 where Col1 is not null limit 1"",0))"),"")</f>
        <v/>
      </c>
      <c r="AR440" s="56"/>
      <c r="AS440" s="28" t="str">
        <f t="shared" ref="AS440:AV440" si="3882">IF(AK440=AS$3,"",AS$3)</f>
        <v/>
      </c>
      <c r="AT440" s="28" t="str">
        <f t="shared" si="3882"/>
        <v>Peter</v>
      </c>
      <c r="AU440" s="28" t="str">
        <f t="shared" si="3882"/>
        <v>Janus</v>
      </c>
      <c r="AV440" s="28" t="str">
        <f t="shared" si="3882"/>
        <v>Christian</v>
      </c>
      <c r="AW440" s="56">
        <f t="shared" si="28"/>
        <v>3</v>
      </c>
      <c r="AX440" s="28">
        <f t="shared" si="29"/>
        <v>36</v>
      </c>
      <c r="AY440" s="28" t="str">
        <f t="shared" ref="AY440:BB440" si="3883">IFNA(IFS(AY$3=$AP440,"",$AX440=U440,AY$3),"")</f>
        <v/>
      </c>
      <c r="AZ440" s="28" t="str">
        <f t="shared" si="3883"/>
        <v/>
      </c>
      <c r="BA440" s="28" t="str">
        <f t="shared" si="3883"/>
        <v/>
      </c>
      <c r="BB440" s="28" t="str">
        <f t="shared" si="3883"/>
        <v/>
      </c>
      <c r="BC440" s="58">
        <f>OFFSET('00_Regnskab_01'!$A$1,MATCH(A440,'00_Regnskab_01'!$A$1:$A$25)-1,2)</f>
        <v>44940</v>
      </c>
      <c r="BE440" s="80">
        <f t="shared" ref="BE440:BH440" si="3884">if(U440&gt;0,1+BE439,0)</f>
        <v>3</v>
      </c>
      <c r="BF440" s="28">
        <f t="shared" si="3884"/>
        <v>0</v>
      </c>
      <c r="BG440" s="28">
        <f t="shared" si="3884"/>
        <v>0</v>
      </c>
      <c r="BH440" s="28">
        <f t="shared" si="3884"/>
        <v>0</v>
      </c>
      <c r="BJ440" s="28">
        <f t="shared" ref="BJ440:BM440" si="3885">if(U440&lt;0,1+BJ439,0)</f>
        <v>0</v>
      </c>
      <c r="BK440" s="28">
        <f t="shared" si="3885"/>
        <v>3</v>
      </c>
      <c r="BL440" s="28">
        <f t="shared" si="3885"/>
        <v>2</v>
      </c>
      <c r="BM440" s="28">
        <f t="shared" si="3885"/>
        <v>1</v>
      </c>
      <c r="BO440" s="74">
        <f t="shared" ref="BO440:BR440" si="3886">if(U440&gt;0,U440+BO439,0)</f>
        <v>76</v>
      </c>
      <c r="BP440" s="74">
        <f t="shared" si="3886"/>
        <v>0</v>
      </c>
      <c r="BQ440" s="74">
        <f t="shared" si="3886"/>
        <v>0</v>
      </c>
      <c r="BR440" s="74">
        <f t="shared" si="3886"/>
        <v>0</v>
      </c>
      <c r="BT440" s="28">
        <f t="shared" ref="BT440:BW440" si="3887">if(U440&lt;0,U440+BT439,0)</f>
        <v>0</v>
      </c>
      <c r="BU440" s="28">
        <f t="shared" si="3887"/>
        <v>-68</v>
      </c>
      <c r="BV440" s="28">
        <f t="shared" si="3887"/>
        <v>-44</v>
      </c>
      <c r="BW440" s="28">
        <f t="shared" si="3887"/>
        <v>-12</v>
      </c>
    </row>
    <row r="441">
      <c r="A441" s="53">
        <v>20.0</v>
      </c>
      <c r="B441" s="28">
        <f>'20_14-01-2023_Stasi Lørdag'!A23</f>
        <v>21</v>
      </c>
      <c r="C441" s="28">
        <f>'20_14-01-2023_Stasi Lørdag'!E23</f>
        <v>200</v>
      </c>
      <c r="D441" s="28">
        <f>'20_14-01-2023_Stasi Lørdag'!D23</f>
        <v>-100</v>
      </c>
      <c r="E441" s="28">
        <f>'20_14-01-2023_Stasi Lørdag'!C23</f>
        <v>-32</v>
      </c>
      <c r="F441" s="28">
        <f>'20_14-01-2023_Stasi Lørdag'!B23</f>
        <v>-68</v>
      </c>
      <c r="G441" s="28">
        <f>'20_14-01-2023_Stasi Lørdag'!F23</f>
        <v>0</v>
      </c>
      <c r="H441" s="28" t="str">
        <f>'20_14-01-2023_Stasi Lørdag'!H23</f>
        <v>Peter</v>
      </c>
      <c r="I441" s="28" t="str">
        <f>'20_14-01-2023_Stasi Lørdag'!I23</f>
        <v>Christian</v>
      </c>
      <c r="J441" s="76" t="str">
        <f>'20_14-01-2023_Stasi Lørdag'!J23</f>
        <v>Thomas</v>
      </c>
      <c r="K441" s="28" t="str">
        <f>'20_14-01-2023_Stasi Lørdag'!G23</f>
        <v>9 vip  1- spar</v>
      </c>
      <c r="L441" s="56"/>
      <c r="M441" s="25">
        <v>9.0</v>
      </c>
      <c r="N441" s="25" t="s">
        <v>86</v>
      </c>
      <c r="O441" s="25">
        <v>1.0</v>
      </c>
      <c r="T441" s="56"/>
      <c r="U441" s="77">
        <f t="shared" ref="U441:X441" si="3888">C441-C440</f>
        <v>8</v>
      </c>
      <c r="V441" s="28">
        <f t="shared" si="3888"/>
        <v>-8</v>
      </c>
      <c r="W441" s="28">
        <f t="shared" si="3888"/>
        <v>8</v>
      </c>
      <c r="X441" s="28">
        <f t="shared" si="3888"/>
        <v>-8</v>
      </c>
      <c r="AB441" s="28" t="str">
        <f t="shared" ref="AB441:AE441" si="3889">IF(AB$3=$H441,U441,"")</f>
        <v/>
      </c>
      <c r="AC441" s="28">
        <f t="shared" si="3889"/>
        <v>-8</v>
      </c>
      <c r="AD441" s="28" t="str">
        <f t="shared" si="3889"/>
        <v/>
      </c>
      <c r="AE441" s="28" t="str">
        <f t="shared" si="3889"/>
        <v/>
      </c>
      <c r="AH441" s="28">
        <f t="shared" si="22"/>
        <v>0</v>
      </c>
      <c r="AI441" s="28">
        <f t="shared" si="23"/>
        <v>-8</v>
      </c>
      <c r="AK441" s="78" t="str">
        <f t="shared" ref="AK441:AN441" si="3890">IF(U441&gt;0,AK$3,"")</f>
        <v>Thomas</v>
      </c>
      <c r="AL441" s="78" t="str">
        <f t="shared" si="3890"/>
        <v/>
      </c>
      <c r="AM441" s="78" t="str">
        <f t="shared" si="3890"/>
        <v>Janus</v>
      </c>
      <c r="AN441" s="78" t="str">
        <f t="shared" si="3890"/>
        <v/>
      </c>
      <c r="AO441" s="56">
        <f t="shared" si="25"/>
        <v>2</v>
      </c>
      <c r="AP441" s="8" t="str">
        <f t="shared" si="26"/>
        <v>Peter</v>
      </c>
      <c r="AQ441" s="73" t="str">
        <f>IFERROR(__xludf.DUMMYFUNCTION("IFNA(QUERY(transpose(AY441:BB441),""Select Col1 where Col1 is not null limit 1"",0))"),"Christian")</f>
        <v>Christian</v>
      </c>
      <c r="AR441" s="56"/>
      <c r="AS441" s="28" t="str">
        <f t="shared" ref="AS441:AV441" si="3891">IF(AK441=AS$3,"",AS$3)</f>
        <v/>
      </c>
      <c r="AT441" s="28" t="str">
        <f t="shared" si="3891"/>
        <v>Peter</v>
      </c>
      <c r="AU441" s="28" t="str">
        <f t="shared" si="3891"/>
        <v/>
      </c>
      <c r="AV441" s="28" t="str">
        <f t="shared" si="3891"/>
        <v>Christian</v>
      </c>
      <c r="AW441" s="56">
        <f t="shared" si="28"/>
        <v>2</v>
      </c>
      <c r="AX441" s="28">
        <f t="shared" si="29"/>
        <v>-8</v>
      </c>
      <c r="AY441" s="28" t="str">
        <f t="shared" ref="AY441:BB441" si="3892">IFNA(IFS(AY$3=$AP441,"",$AX441=U441,AY$3),"")</f>
        <v/>
      </c>
      <c r="AZ441" s="28" t="str">
        <f t="shared" si="3892"/>
        <v/>
      </c>
      <c r="BA441" s="28" t="str">
        <f t="shared" si="3892"/>
        <v/>
      </c>
      <c r="BB441" s="28" t="str">
        <f t="shared" si="3892"/>
        <v>Christian</v>
      </c>
      <c r="BC441" s="58">
        <f>OFFSET('00_Regnskab_01'!$A$1,MATCH(A441,'00_Regnskab_01'!$A$1:$A$25)-1,2)</f>
        <v>44940</v>
      </c>
      <c r="BE441" s="80">
        <f t="shared" ref="BE441:BH441" si="3893">if(U441&gt;0,1+BE440,0)</f>
        <v>4</v>
      </c>
      <c r="BF441" s="28">
        <f t="shared" si="3893"/>
        <v>0</v>
      </c>
      <c r="BG441" s="28">
        <f t="shared" si="3893"/>
        <v>1</v>
      </c>
      <c r="BH441" s="28">
        <f t="shared" si="3893"/>
        <v>0</v>
      </c>
      <c r="BJ441" s="28">
        <f t="shared" ref="BJ441:BM441" si="3894">if(U441&lt;0,1+BJ440,0)</f>
        <v>0</v>
      </c>
      <c r="BK441" s="28">
        <f t="shared" si="3894"/>
        <v>4</v>
      </c>
      <c r="BL441" s="28">
        <f t="shared" si="3894"/>
        <v>0</v>
      </c>
      <c r="BM441" s="28">
        <f t="shared" si="3894"/>
        <v>2</v>
      </c>
      <c r="BO441" s="74">
        <f t="shared" ref="BO441:BR441" si="3895">if(U441&gt;0,U441+BO440,0)</f>
        <v>84</v>
      </c>
      <c r="BP441" s="74">
        <f t="shared" si="3895"/>
        <v>0</v>
      </c>
      <c r="BQ441" s="74">
        <f t="shared" si="3895"/>
        <v>8</v>
      </c>
      <c r="BR441" s="74">
        <f t="shared" si="3895"/>
        <v>0</v>
      </c>
      <c r="BT441" s="28">
        <f t="shared" ref="BT441:BW441" si="3896">if(U441&lt;0,U441+BT440,0)</f>
        <v>0</v>
      </c>
      <c r="BU441" s="28">
        <f t="shared" si="3896"/>
        <v>-76</v>
      </c>
      <c r="BV441" s="28">
        <f t="shared" si="3896"/>
        <v>0</v>
      </c>
      <c r="BW441" s="28">
        <f t="shared" si="3896"/>
        <v>-20</v>
      </c>
    </row>
    <row r="442">
      <c r="A442" s="53">
        <v>20.0</v>
      </c>
      <c r="B442" s="28">
        <f>'20_14-01-2023_Stasi Lørdag'!A24</f>
        <v>22</v>
      </c>
      <c r="C442" s="28">
        <f>'20_14-01-2023_Stasi Lørdag'!E24</f>
        <v>192</v>
      </c>
      <c r="D442" s="28">
        <f>'20_14-01-2023_Stasi Lørdag'!D24</f>
        <v>-76</v>
      </c>
      <c r="E442" s="28">
        <f>'20_14-01-2023_Stasi Lørdag'!C24</f>
        <v>-40</v>
      </c>
      <c r="F442" s="28">
        <f>'20_14-01-2023_Stasi Lørdag'!B24</f>
        <v>-76</v>
      </c>
      <c r="G442" s="28">
        <f>'20_14-01-2023_Stasi Lørdag'!F24</f>
        <v>0</v>
      </c>
      <c r="H442" s="28" t="str">
        <f>'20_14-01-2023_Stasi Lørdag'!H24</f>
        <v>Peter</v>
      </c>
      <c r="I442" s="28" t="str">
        <f>'20_14-01-2023_Stasi Lørdag'!I24</f>
        <v/>
      </c>
      <c r="J442" s="76" t="str">
        <f>'20_14-01-2023_Stasi Lørdag'!J24</f>
        <v>Christian</v>
      </c>
      <c r="K442" s="28" t="str">
        <f>'20_14-01-2023_Stasi Lørdag'!G24</f>
        <v>Ren sol</v>
      </c>
      <c r="L442" s="56"/>
      <c r="N442" s="25" t="s">
        <v>97</v>
      </c>
      <c r="T442" s="56"/>
      <c r="U442" s="77">
        <f t="shared" ref="U442:X442" si="3897">C442-C441</f>
        <v>-8</v>
      </c>
      <c r="V442" s="28">
        <f t="shared" si="3897"/>
        <v>24</v>
      </c>
      <c r="W442" s="28">
        <f t="shared" si="3897"/>
        <v>-8</v>
      </c>
      <c r="X442" s="28">
        <f t="shared" si="3897"/>
        <v>-8</v>
      </c>
      <c r="AB442" s="28" t="str">
        <f t="shared" ref="AB442:AE442" si="3898">IF(AB$3=$H442,U442,"")</f>
        <v/>
      </c>
      <c r="AC442" s="28">
        <f t="shared" si="3898"/>
        <v>24</v>
      </c>
      <c r="AD442" s="28" t="str">
        <f t="shared" si="3898"/>
        <v/>
      </c>
      <c r="AE442" s="28" t="str">
        <f t="shared" si="3898"/>
        <v/>
      </c>
      <c r="AH442" s="28">
        <f t="shared" si="22"/>
        <v>24</v>
      </c>
      <c r="AI442" s="28">
        <f t="shared" si="23"/>
        <v>0</v>
      </c>
      <c r="AK442" s="78" t="str">
        <f t="shared" ref="AK442:AN442" si="3899">IF(U442&gt;0,AK$3,"")</f>
        <v/>
      </c>
      <c r="AL442" s="78" t="str">
        <f t="shared" si="3899"/>
        <v>Peter</v>
      </c>
      <c r="AM442" s="78" t="str">
        <f t="shared" si="3899"/>
        <v/>
      </c>
      <c r="AN442" s="78" t="str">
        <f t="shared" si="3899"/>
        <v/>
      </c>
      <c r="AO442" s="56">
        <f t="shared" si="25"/>
        <v>1</v>
      </c>
      <c r="AP442" s="8" t="str">
        <f t="shared" si="26"/>
        <v>Peter</v>
      </c>
      <c r="AQ442" s="73" t="str">
        <f>IFERROR(__xludf.DUMMYFUNCTION("IFNA(QUERY(transpose(AY442:BB442),""Select Col1 where Col1 is not null limit 1"",0))"),"")</f>
        <v/>
      </c>
      <c r="AR442" s="56"/>
      <c r="AS442" s="28" t="str">
        <f t="shared" ref="AS442:AV442" si="3900">IF(AK442=AS$3,"",AS$3)</f>
        <v>Thomas</v>
      </c>
      <c r="AT442" s="28" t="str">
        <f t="shared" si="3900"/>
        <v/>
      </c>
      <c r="AU442" s="28" t="str">
        <f t="shared" si="3900"/>
        <v>Janus</v>
      </c>
      <c r="AV442" s="28" t="str">
        <f t="shared" si="3900"/>
        <v>Christian</v>
      </c>
      <c r="AW442" s="56">
        <f t="shared" si="28"/>
        <v>3</v>
      </c>
      <c r="AX442" s="28">
        <f t="shared" si="29"/>
        <v>24</v>
      </c>
      <c r="AY442" s="28" t="str">
        <f t="shared" ref="AY442:BB442" si="3901">IFNA(IFS(AY$3=$AP442,"",$AX442=U442,AY$3),"")</f>
        <v/>
      </c>
      <c r="AZ442" s="28" t="str">
        <f t="shared" si="3901"/>
        <v/>
      </c>
      <c r="BA442" s="28" t="str">
        <f t="shared" si="3901"/>
        <v/>
      </c>
      <c r="BB442" s="28" t="str">
        <f t="shared" si="3901"/>
        <v/>
      </c>
      <c r="BC442" s="58">
        <f>OFFSET('00_Regnskab_01'!$A$1,MATCH(A442,'00_Regnskab_01'!$A$1:$A$25)-1,2)</f>
        <v>44940</v>
      </c>
      <c r="BE442" s="80">
        <f t="shared" ref="BE442:BH442" si="3902">if(U442&gt;0,1+BE441,0)</f>
        <v>0</v>
      </c>
      <c r="BF442" s="28">
        <f t="shared" si="3902"/>
        <v>1</v>
      </c>
      <c r="BG442" s="28">
        <f t="shared" si="3902"/>
        <v>0</v>
      </c>
      <c r="BH442" s="28">
        <f t="shared" si="3902"/>
        <v>0</v>
      </c>
      <c r="BJ442" s="28">
        <f t="shared" ref="BJ442:BM442" si="3903">if(U442&lt;0,1+BJ441,0)</f>
        <v>1</v>
      </c>
      <c r="BK442" s="28">
        <f t="shared" si="3903"/>
        <v>0</v>
      </c>
      <c r="BL442" s="28">
        <f t="shared" si="3903"/>
        <v>1</v>
      </c>
      <c r="BM442" s="28">
        <f t="shared" si="3903"/>
        <v>3</v>
      </c>
      <c r="BO442" s="74">
        <f t="shared" ref="BO442:BR442" si="3904">if(U442&gt;0,U442+BO441,0)</f>
        <v>0</v>
      </c>
      <c r="BP442" s="74">
        <f t="shared" si="3904"/>
        <v>24</v>
      </c>
      <c r="BQ442" s="74">
        <f t="shared" si="3904"/>
        <v>0</v>
      </c>
      <c r="BR442" s="74">
        <f t="shared" si="3904"/>
        <v>0</v>
      </c>
      <c r="BT442" s="28">
        <f t="shared" ref="BT442:BW442" si="3905">if(U442&lt;0,U442+BT441,0)</f>
        <v>-8</v>
      </c>
      <c r="BU442" s="28">
        <f t="shared" si="3905"/>
        <v>0</v>
      </c>
      <c r="BV442" s="28">
        <f t="shared" si="3905"/>
        <v>-8</v>
      </c>
      <c r="BW442" s="28">
        <f t="shared" si="3905"/>
        <v>-28</v>
      </c>
    </row>
    <row r="443">
      <c r="A443" s="53">
        <v>20.0</v>
      </c>
      <c r="B443" s="28">
        <f>'20_14-01-2023_Stasi Lørdag'!A25</f>
        <v>23</v>
      </c>
      <c r="C443" s="28">
        <f>'20_14-01-2023_Stasi Lørdag'!E25</f>
        <v>224</v>
      </c>
      <c r="D443" s="28">
        <f>'20_14-01-2023_Stasi Lørdag'!D25</f>
        <v>-108</v>
      </c>
      <c r="E443" s="28">
        <f>'20_14-01-2023_Stasi Lørdag'!C25</f>
        <v>-8</v>
      </c>
      <c r="F443" s="28">
        <f>'20_14-01-2023_Stasi Lørdag'!B25</f>
        <v>-108</v>
      </c>
      <c r="G443" s="28">
        <f>'20_14-01-2023_Stasi Lørdag'!F25</f>
        <v>0</v>
      </c>
      <c r="H443" s="28" t="str">
        <f>'20_14-01-2023_Stasi Lørdag'!H25</f>
        <v>Thomas</v>
      </c>
      <c r="I443" s="28" t="str">
        <f>'20_14-01-2023_Stasi Lørdag'!I25</f>
        <v>Janus</v>
      </c>
      <c r="J443" s="76" t="str">
        <f>'20_14-01-2023_Stasi Lørdag'!J25</f>
        <v>Peter</v>
      </c>
      <c r="K443" s="28" t="str">
        <f>'20_14-01-2023_Stasi Lørdag'!G25</f>
        <v>9 vip i 2 </v>
      </c>
      <c r="L443" s="56"/>
      <c r="M443" s="25">
        <v>9.0</v>
      </c>
      <c r="N443" s="25" t="s">
        <v>86</v>
      </c>
      <c r="O443" s="25">
        <v>2.0</v>
      </c>
      <c r="T443" s="56"/>
      <c r="U443" s="77">
        <f t="shared" ref="U443:X443" si="3906">C443-C442</f>
        <v>32</v>
      </c>
      <c r="V443" s="28">
        <f t="shared" si="3906"/>
        <v>-32</v>
      </c>
      <c r="W443" s="28">
        <f t="shared" si="3906"/>
        <v>32</v>
      </c>
      <c r="X443" s="28">
        <f t="shared" si="3906"/>
        <v>-32</v>
      </c>
      <c r="AB443" s="28">
        <f t="shared" ref="AB443:AE443" si="3907">IF(AB$3=$H443,U443,"")</f>
        <v>32</v>
      </c>
      <c r="AC443" s="28" t="str">
        <f t="shared" si="3907"/>
        <v/>
      </c>
      <c r="AD443" s="28" t="str">
        <f t="shared" si="3907"/>
        <v/>
      </c>
      <c r="AE443" s="28" t="str">
        <f t="shared" si="3907"/>
        <v/>
      </c>
      <c r="AH443" s="28">
        <f t="shared" si="22"/>
        <v>32</v>
      </c>
      <c r="AI443" s="28">
        <f t="shared" si="23"/>
        <v>0</v>
      </c>
      <c r="AK443" s="78" t="str">
        <f t="shared" ref="AK443:AN443" si="3908">IF(U443&gt;0,AK$3,"")</f>
        <v>Thomas</v>
      </c>
      <c r="AL443" s="78" t="str">
        <f t="shared" si="3908"/>
        <v/>
      </c>
      <c r="AM443" s="78" t="str">
        <f t="shared" si="3908"/>
        <v>Janus</v>
      </c>
      <c r="AN443" s="78" t="str">
        <f t="shared" si="3908"/>
        <v/>
      </c>
      <c r="AO443" s="56">
        <f t="shared" si="25"/>
        <v>2</v>
      </c>
      <c r="AP443" s="8" t="str">
        <f t="shared" si="26"/>
        <v>Thomas</v>
      </c>
      <c r="AQ443" s="73" t="str">
        <f>IFERROR(__xludf.DUMMYFUNCTION("IFNA(QUERY(transpose(AY443:BB443),""Select Col1 where Col1 is not null limit 1"",0))"),"Janus")</f>
        <v>Janus</v>
      </c>
      <c r="AR443" s="56"/>
      <c r="AS443" s="28" t="str">
        <f t="shared" ref="AS443:AV443" si="3909">IF(AK443=AS$3,"",AS$3)</f>
        <v/>
      </c>
      <c r="AT443" s="28" t="str">
        <f t="shared" si="3909"/>
        <v>Peter</v>
      </c>
      <c r="AU443" s="28" t="str">
        <f t="shared" si="3909"/>
        <v/>
      </c>
      <c r="AV443" s="28" t="str">
        <f t="shared" si="3909"/>
        <v>Christian</v>
      </c>
      <c r="AW443" s="56">
        <f t="shared" si="28"/>
        <v>2</v>
      </c>
      <c r="AX443" s="28">
        <f t="shared" si="29"/>
        <v>32</v>
      </c>
      <c r="AY443" s="28" t="str">
        <f t="shared" ref="AY443:BB443" si="3910">IFNA(IFS(AY$3=$AP443,"",$AX443=U443,AY$3),"")</f>
        <v/>
      </c>
      <c r="AZ443" s="28" t="str">
        <f t="shared" si="3910"/>
        <v/>
      </c>
      <c r="BA443" s="28" t="str">
        <f t="shared" si="3910"/>
        <v>Janus</v>
      </c>
      <c r="BB443" s="28" t="str">
        <f t="shared" si="3910"/>
        <v/>
      </c>
      <c r="BC443" s="58">
        <f>OFFSET('00_Regnskab_01'!$A$1,MATCH(A443,'00_Regnskab_01'!$A$1:$A$25)-1,2)</f>
        <v>44940</v>
      </c>
      <c r="BE443" s="80">
        <f t="shared" ref="BE443:BH443" si="3911">if(U443&gt;0,1+BE442,0)</f>
        <v>1</v>
      </c>
      <c r="BF443" s="28">
        <f t="shared" si="3911"/>
        <v>0</v>
      </c>
      <c r="BG443" s="28">
        <f t="shared" si="3911"/>
        <v>1</v>
      </c>
      <c r="BH443" s="28">
        <f t="shared" si="3911"/>
        <v>0</v>
      </c>
      <c r="BJ443" s="28">
        <f t="shared" ref="BJ443:BM443" si="3912">if(U443&lt;0,1+BJ442,0)</f>
        <v>0</v>
      </c>
      <c r="BK443" s="28">
        <f t="shared" si="3912"/>
        <v>1</v>
      </c>
      <c r="BL443" s="28">
        <f t="shared" si="3912"/>
        <v>0</v>
      </c>
      <c r="BM443" s="28">
        <f t="shared" si="3912"/>
        <v>4</v>
      </c>
      <c r="BO443" s="74">
        <f t="shared" ref="BO443:BR443" si="3913">if(U443&gt;0,U443+BO442,0)</f>
        <v>32</v>
      </c>
      <c r="BP443" s="74">
        <f t="shared" si="3913"/>
        <v>0</v>
      </c>
      <c r="BQ443" s="74">
        <f t="shared" si="3913"/>
        <v>32</v>
      </c>
      <c r="BR443" s="74">
        <f t="shared" si="3913"/>
        <v>0</v>
      </c>
      <c r="BT443" s="28">
        <f t="shared" ref="BT443:BW443" si="3914">if(U443&lt;0,U443+BT442,0)</f>
        <v>0</v>
      </c>
      <c r="BU443" s="28">
        <f t="shared" si="3914"/>
        <v>-32</v>
      </c>
      <c r="BV443" s="28">
        <f t="shared" si="3914"/>
        <v>0</v>
      </c>
      <c r="BW443" s="28">
        <f t="shared" si="3914"/>
        <v>-60</v>
      </c>
    </row>
    <row r="444">
      <c r="A444" s="53">
        <v>20.0</v>
      </c>
      <c r="B444" s="28">
        <f>'20_14-01-2023_Stasi Lørdag'!A26</f>
        <v>24</v>
      </c>
      <c r="C444" s="28">
        <f>'20_14-01-2023_Stasi Lørdag'!E26</f>
        <v>264</v>
      </c>
      <c r="D444" s="28">
        <f>'20_14-01-2023_Stasi Lørdag'!D26</f>
        <v>-148</v>
      </c>
      <c r="E444" s="28">
        <f>'20_14-01-2023_Stasi Lørdag'!C26</f>
        <v>-48</v>
      </c>
      <c r="F444" s="28">
        <f>'20_14-01-2023_Stasi Lørdag'!B26</f>
        <v>-68</v>
      </c>
      <c r="G444" s="28">
        <f>'20_14-01-2023_Stasi Lørdag'!F26</f>
        <v>0</v>
      </c>
      <c r="H444" s="28" t="str">
        <f>'20_14-01-2023_Stasi Lørdag'!H26</f>
        <v>Thomas</v>
      </c>
      <c r="I444" s="28" t="str">
        <f>'20_14-01-2023_Stasi Lørdag'!I26</f>
        <v>Christian</v>
      </c>
      <c r="J444" s="76" t="str">
        <f>'20_14-01-2023_Stasi Lørdag'!J26</f>
        <v>Janiz</v>
      </c>
      <c r="K444" s="28" t="str">
        <f>'20_14-01-2023_Stasi Lørdag'!G26</f>
        <v>10 alm</v>
      </c>
      <c r="L444" s="56"/>
      <c r="M444" s="25">
        <v>10.0</v>
      </c>
      <c r="N444" s="25" t="s">
        <v>100</v>
      </c>
      <c r="T444" s="56"/>
      <c r="U444" s="77">
        <f t="shared" ref="U444:X444" si="3915">C444-C443</f>
        <v>40</v>
      </c>
      <c r="V444" s="28">
        <f t="shared" si="3915"/>
        <v>-40</v>
      </c>
      <c r="W444" s="28">
        <f t="shared" si="3915"/>
        <v>-40</v>
      </c>
      <c r="X444" s="28">
        <f t="shared" si="3915"/>
        <v>40</v>
      </c>
      <c r="AB444" s="28">
        <f t="shared" ref="AB444:AE444" si="3916">IF(AB$3=$H444,U444,"")</f>
        <v>40</v>
      </c>
      <c r="AC444" s="28" t="str">
        <f t="shared" si="3916"/>
        <v/>
      </c>
      <c r="AD444" s="28" t="str">
        <f t="shared" si="3916"/>
        <v/>
      </c>
      <c r="AE444" s="28" t="str">
        <f t="shared" si="3916"/>
        <v/>
      </c>
      <c r="AH444" s="28">
        <f t="shared" si="22"/>
        <v>40</v>
      </c>
      <c r="AI444" s="28">
        <f t="shared" si="23"/>
        <v>0</v>
      </c>
      <c r="AK444" s="78" t="str">
        <f t="shared" ref="AK444:AN444" si="3917">IF(U444&gt;0,AK$3,"")</f>
        <v>Thomas</v>
      </c>
      <c r="AL444" s="78" t="str">
        <f t="shared" si="3917"/>
        <v/>
      </c>
      <c r="AM444" s="78" t="str">
        <f t="shared" si="3917"/>
        <v/>
      </c>
      <c r="AN444" s="78" t="str">
        <f t="shared" si="3917"/>
        <v>Christian</v>
      </c>
      <c r="AO444" s="56">
        <f t="shared" si="25"/>
        <v>2</v>
      </c>
      <c r="AP444" s="8" t="str">
        <f t="shared" si="26"/>
        <v>Thomas</v>
      </c>
      <c r="AQ444" s="73" t="str">
        <f>IFERROR(__xludf.DUMMYFUNCTION("IFNA(QUERY(transpose(AY444:BB444),""Select Col1 where Col1 is not null limit 1"",0))"),"Christian")</f>
        <v>Christian</v>
      </c>
      <c r="AR444" s="56"/>
      <c r="AS444" s="28" t="str">
        <f t="shared" ref="AS444:AV444" si="3918">IF(AK444=AS$3,"",AS$3)</f>
        <v/>
      </c>
      <c r="AT444" s="28" t="str">
        <f t="shared" si="3918"/>
        <v>Peter</v>
      </c>
      <c r="AU444" s="28" t="str">
        <f t="shared" si="3918"/>
        <v>Janus</v>
      </c>
      <c r="AV444" s="28" t="str">
        <f t="shared" si="3918"/>
        <v/>
      </c>
      <c r="AW444" s="56">
        <f t="shared" si="28"/>
        <v>2</v>
      </c>
      <c r="AX444" s="28">
        <f t="shared" si="29"/>
        <v>40</v>
      </c>
      <c r="AY444" s="28" t="str">
        <f t="shared" ref="AY444:BB444" si="3919">IFNA(IFS(AY$3=$AP444,"",$AX444=U444,AY$3),"")</f>
        <v/>
      </c>
      <c r="AZ444" s="28" t="str">
        <f t="shared" si="3919"/>
        <v/>
      </c>
      <c r="BA444" s="28" t="str">
        <f t="shared" si="3919"/>
        <v/>
      </c>
      <c r="BB444" s="28" t="str">
        <f t="shared" si="3919"/>
        <v>Christian</v>
      </c>
      <c r="BC444" s="58">
        <f>OFFSET('00_Regnskab_01'!$A$1,MATCH(A444,'00_Regnskab_01'!$A$1:$A$25)-1,2)</f>
        <v>44940</v>
      </c>
      <c r="BE444" s="80">
        <f t="shared" ref="BE444:BH444" si="3920">if(U444&gt;0,1+BE443,0)</f>
        <v>2</v>
      </c>
      <c r="BF444" s="28">
        <f t="shared" si="3920"/>
        <v>0</v>
      </c>
      <c r="BG444" s="28">
        <f t="shared" si="3920"/>
        <v>0</v>
      </c>
      <c r="BH444" s="28">
        <f t="shared" si="3920"/>
        <v>1</v>
      </c>
      <c r="BJ444" s="28">
        <f t="shared" ref="BJ444:BM444" si="3921">if(U444&lt;0,1+BJ443,0)</f>
        <v>0</v>
      </c>
      <c r="BK444" s="28">
        <f t="shared" si="3921"/>
        <v>2</v>
      </c>
      <c r="BL444" s="28">
        <f t="shared" si="3921"/>
        <v>1</v>
      </c>
      <c r="BM444" s="28">
        <f t="shared" si="3921"/>
        <v>0</v>
      </c>
      <c r="BO444" s="74">
        <f t="shared" ref="BO444:BR444" si="3922">if(U444&gt;0,U444+BO443,0)</f>
        <v>72</v>
      </c>
      <c r="BP444" s="74">
        <f t="shared" si="3922"/>
        <v>0</v>
      </c>
      <c r="BQ444" s="74">
        <f t="shared" si="3922"/>
        <v>0</v>
      </c>
      <c r="BR444" s="74">
        <f t="shared" si="3922"/>
        <v>40</v>
      </c>
      <c r="BT444" s="28">
        <f t="shared" ref="BT444:BW444" si="3923">if(U444&lt;0,U444+BT443,0)</f>
        <v>0</v>
      </c>
      <c r="BU444" s="28">
        <f t="shared" si="3923"/>
        <v>-72</v>
      </c>
      <c r="BV444" s="28">
        <f t="shared" si="3923"/>
        <v>-40</v>
      </c>
      <c r="BW444" s="28">
        <f t="shared" si="3923"/>
        <v>0</v>
      </c>
    </row>
    <row r="445">
      <c r="A445" s="53">
        <v>20.0</v>
      </c>
      <c r="B445" s="28">
        <f>'20_14-01-2023_Stasi Lørdag'!A27</f>
        <v>25</v>
      </c>
      <c r="C445" s="28">
        <f>'20_14-01-2023_Stasi Lørdag'!E27</f>
        <v>272</v>
      </c>
      <c r="D445" s="28">
        <f>'20_14-01-2023_Stasi Lørdag'!D27</f>
        <v>-156</v>
      </c>
      <c r="E445" s="28">
        <f>'20_14-01-2023_Stasi Lørdag'!C27</f>
        <v>-56</v>
      </c>
      <c r="F445" s="28">
        <f>'20_14-01-2023_Stasi Lørdag'!B27</f>
        <v>-60</v>
      </c>
      <c r="G445" s="28">
        <f>'20_14-01-2023_Stasi Lørdag'!F27</f>
        <v>0</v>
      </c>
      <c r="H445" s="28" t="str">
        <f>'20_14-01-2023_Stasi Lørdag'!H27</f>
        <v>Peter</v>
      </c>
      <c r="I445" s="28" t="str">
        <f>'20_14-01-2023_Stasi Lørdag'!I27</f>
        <v>Janus</v>
      </c>
      <c r="J445" s="76" t="str">
        <f>'20_14-01-2023_Stasi Lørdag'!J27</f>
        <v>Thomas</v>
      </c>
      <c r="K445" s="28" t="str">
        <f>'20_14-01-2023_Stasi Lørdag'!G27</f>
        <v>9 halve</v>
      </c>
      <c r="L445" s="56"/>
      <c r="M445" s="25">
        <v>9.0</v>
      </c>
      <c r="N445" s="25" t="s">
        <v>94</v>
      </c>
      <c r="T445" s="56"/>
      <c r="U445" s="77">
        <f t="shared" ref="U445:X445" si="3924">C445-C444</f>
        <v>8</v>
      </c>
      <c r="V445" s="28">
        <f t="shared" si="3924"/>
        <v>-8</v>
      </c>
      <c r="W445" s="28">
        <f t="shared" si="3924"/>
        <v>-8</v>
      </c>
      <c r="X445" s="28">
        <f t="shared" si="3924"/>
        <v>8</v>
      </c>
      <c r="AB445" s="28" t="str">
        <f t="shared" ref="AB445:AE445" si="3925">IF(AB$3=$H445,U445,"")</f>
        <v/>
      </c>
      <c r="AC445" s="28">
        <f t="shared" si="3925"/>
        <v>-8</v>
      </c>
      <c r="AD445" s="28" t="str">
        <f t="shared" si="3925"/>
        <v/>
      </c>
      <c r="AE445" s="28" t="str">
        <f t="shared" si="3925"/>
        <v/>
      </c>
      <c r="AH445" s="28">
        <f t="shared" si="22"/>
        <v>0</v>
      </c>
      <c r="AI445" s="28">
        <f t="shared" si="23"/>
        <v>-8</v>
      </c>
      <c r="AK445" s="78" t="str">
        <f t="shared" ref="AK445:AN445" si="3926">IF(U445&gt;0,AK$3,"")</f>
        <v>Thomas</v>
      </c>
      <c r="AL445" s="78" t="str">
        <f t="shared" si="3926"/>
        <v/>
      </c>
      <c r="AM445" s="78" t="str">
        <f t="shared" si="3926"/>
        <v/>
      </c>
      <c r="AN445" s="78" t="str">
        <f t="shared" si="3926"/>
        <v>Christian</v>
      </c>
      <c r="AO445" s="56">
        <f t="shared" si="25"/>
        <v>2</v>
      </c>
      <c r="AP445" s="8" t="str">
        <f t="shared" si="26"/>
        <v>Peter</v>
      </c>
      <c r="AQ445" s="73" t="str">
        <f>IFERROR(__xludf.DUMMYFUNCTION("IFNA(QUERY(transpose(AY445:BB445),""Select Col1 where Col1 is not null limit 1"",0))"),"Janus")</f>
        <v>Janus</v>
      </c>
      <c r="AR445" s="56"/>
      <c r="AS445" s="28" t="str">
        <f t="shared" ref="AS445:AV445" si="3927">IF(AK445=AS$3,"",AS$3)</f>
        <v/>
      </c>
      <c r="AT445" s="28" t="str">
        <f t="shared" si="3927"/>
        <v>Peter</v>
      </c>
      <c r="AU445" s="28" t="str">
        <f t="shared" si="3927"/>
        <v>Janus</v>
      </c>
      <c r="AV445" s="28" t="str">
        <f t="shared" si="3927"/>
        <v/>
      </c>
      <c r="AW445" s="56">
        <f t="shared" si="28"/>
        <v>2</v>
      </c>
      <c r="AX445" s="28">
        <f t="shared" si="29"/>
        <v>-8</v>
      </c>
      <c r="AY445" s="28" t="str">
        <f t="shared" ref="AY445:BB445" si="3928">IFNA(IFS(AY$3=$AP445,"",$AX445=U445,AY$3),"")</f>
        <v/>
      </c>
      <c r="AZ445" s="28" t="str">
        <f t="shared" si="3928"/>
        <v/>
      </c>
      <c r="BA445" s="28" t="str">
        <f t="shared" si="3928"/>
        <v>Janus</v>
      </c>
      <c r="BB445" s="28" t="str">
        <f t="shared" si="3928"/>
        <v/>
      </c>
      <c r="BC445" s="58">
        <f>OFFSET('00_Regnskab_01'!$A$1,MATCH(A445,'00_Regnskab_01'!$A$1:$A$25)-1,2)</f>
        <v>44940</v>
      </c>
      <c r="BE445" s="80">
        <f t="shared" ref="BE445:BH445" si="3929">if(U445&gt;0,1+BE444,0)</f>
        <v>3</v>
      </c>
      <c r="BF445" s="28">
        <f t="shared" si="3929"/>
        <v>0</v>
      </c>
      <c r="BG445" s="28">
        <f t="shared" si="3929"/>
        <v>0</v>
      </c>
      <c r="BH445" s="28">
        <f t="shared" si="3929"/>
        <v>2</v>
      </c>
      <c r="BJ445" s="28">
        <f t="shared" ref="BJ445:BM445" si="3930">if(U445&lt;0,1+BJ444,0)</f>
        <v>0</v>
      </c>
      <c r="BK445" s="28">
        <f t="shared" si="3930"/>
        <v>3</v>
      </c>
      <c r="BL445" s="28">
        <f t="shared" si="3930"/>
        <v>2</v>
      </c>
      <c r="BM445" s="28">
        <f t="shared" si="3930"/>
        <v>0</v>
      </c>
      <c r="BO445" s="74">
        <f t="shared" ref="BO445:BR445" si="3931">if(U445&gt;0,U445+BO444,0)</f>
        <v>80</v>
      </c>
      <c r="BP445" s="74">
        <f t="shared" si="3931"/>
        <v>0</v>
      </c>
      <c r="BQ445" s="74">
        <f t="shared" si="3931"/>
        <v>0</v>
      </c>
      <c r="BR445" s="74">
        <f t="shared" si="3931"/>
        <v>48</v>
      </c>
      <c r="BT445" s="28">
        <f t="shared" ref="BT445:BW445" si="3932">if(U445&lt;0,U445+BT444,0)</f>
        <v>0</v>
      </c>
      <c r="BU445" s="28">
        <f t="shared" si="3932"/>
        <v>-80</v>
      </c>
      <c r="BV445" s="28">
        <f t="shared" si="3932"/>
        <v>-48</v>
      </c>
      <c r="BW445" s="28">
        <f t="shared" si="3932"/>
        <v>0</v>
      </c>
    </row>
    <row r="446">
      <c r="A446" s="53">
        <v>20.0</v>
      </c>
      <c r="B446" s="28">
        <f>'20_14-01-2023_Stasi Lørdag'!A28</f>
        <v>26</v>
      </c>
      <c r="C446" s="28">
        <f>'20_14-01-2023_Stasi Lørdag'!E28</f>
        <v>252</v>
      </c>
      <c r="D446" s="28">
        <f>'20_14-01-2023_Stasi Lørdag'!D28</f>
        <v>-136</v>
      </c>
      <c r="E446" s="28">
        <f>'20_14-01-2023_Stasi Lørdag'!C28</f>
        <v>-76</v>
      </c>
      <c r="F446" s="28">
        <f>'20_14-01-2023_Stasi Lørdag'!B28</f>
        <v>-40</v>
      </c>
      <c r="G446" s="28">
        <f>'20_14-01-2023_Stasi Lørdag'!F28</f>
        <v>0</v>
      </c>
      <c r="H446" s="28" t="str">
        <f>'20_14-01-2023_Stasi Lørdag'!H28</f>
        <v>Christian</v>
      </c>
      <c r="I446" s="28" t="str">
        <f>'20_14-01-2023_Stasi Lørdag'!I28</f>
        <v>Peter</v>
      </c>
      <c r="J446" s="76" t="str">
        <f>'20_14-01-2023_Stasi Lørdag'!J28</f>
        <v>Christian</v>
      </c>
      <c r="K446" s="28" t="str">
        <f>'20_14-01-2023_Stasi Lørdag'!G28</f>
        <v>9 gode</v>
      </c>
      <c r="L446" s="56"/>
      <c r="M446" s="25">
        <v>9.0</v>
      </c>
      <c r="N446" s="25" t="s">
        <v>95</v>
      </c>
      <c r="T446" s="56"/>
      <c r="U446" s="77">
        <f t="shared" ref="U446:X446" si="3933">C446-C445</f>
        <v>-20</v>
      </c>
      <c r="V446" s="28">
        <f t="shared" si="3933"/>
        <v>20</v>
      </c>
      <c r="W446" s="28">
        <f t="shared" si="3933"/>
        <v>-20</v>
      </c>
      <c r="X446" s="28">
        <f t="shared" si="3933"/>
        <v>20</v>
      </c>
      <c r="AB446" s="28" t="str">
        <f t="shared" ref="AB446:AE446" si="3934">IF(AB$3=$H446,U446,"")</f>
        <v/>
      </c>
      <c r="AC446" s="28" t="str">
        <f t="shared" si="3934"/>
        <v/>
      </c>
      <c r="AD446" s="28" t="str">
        <f t="shared" si="3934"/>
        <v/>
      </c>
      <c r="AE446" s="28">
        <f t="shared" si="3934"/>
        <v>20</v>
      </c>
      <c r="AH446" s="28">
        <f t="shared" si="22"/>
        <v>20</v>
      </c>
      <c r="AI446" s="28">
        <f t="shared" si="23"/>
        <v>0</v>
      </c>
      <c r="AK446" s="78" t="str">
        <f t="shared" ref="AK446:AN446" si="3935">IF(U446&gt;0,AK$3,"")</f>
        <v/>
      </c>
      <c r="AL446" s="78" t="str">
        <f t="shared" si="3935"/>
        <v>Peter</v>
      </c>
      <c r="AM446" s="78" t="str">
        <f t="shared" si="3935"/>
        <v/>
      </c>
      <c r="AN446" s="78" t="str">
        <f t="shared" si="3935"/>
        <v>Christian</v>
      </c>
      <c r="AO446" s="56">
        <f t="shared" si="25"/>
        <v>2</v>
      </c>
      <c r="AP446" s="8" t="str">
        <f t="shared" si="26"/>
        <v>Christian</v>
      </c>
      <c r="AQ446" s="73" t="str">
        <f>IFERROR(__xludf.DUMMYFUNCTION("IFNA(QUERY(transpose(AY446:BB446),""Select Col1 where Col1 is not null limit 1"",0))"),"Peter")</f>
        <v>Peter</v>
      </c>
      <c r="AR446" s="56"/>
      <c r="AS446" s="28" t="str">
        <f t="shared" ref="AS446:AV446" si="3936">IF(AK446=AS$3,"",AS$3)</f>
        <v>Thomas</v>
      </c>
      <c r="AT446" s="28" t="str">
        <f t="shared" si="3936"/>
        <v/>
      </c>
      <c r="AU446" s="28" t="str">
        <f t="shared" si="3936"/>
        <v>Janus</v>
      </c>
      <c r="AV446" s="28" t="str">
        <f t="shared" si="3936"/>
        <v/>
      </c>
      <c r="AW446" s="56">
        <f t="shared" si="28"/>
        <v>2</v>
      </c>
      <c r="AX446" s="28">
        <f t="shared" si="29"/>
        <v>20</v>
      </c>
      <c r="AY446" s="28" t="str">
        <f t="shared" ref="AY446:BB446" si="3937">IFNA(IFS(AY$3=$AP446,"",$AX446=U446,AY$3),"")</f>
        <v/>
      </c>
      <c r="AZ446" s="28" t="str">
        <f t="shared" si="3937"/>
        <v>Peter</v>
      </c>
      <c r="BA446" s="28" t="str">
        <f t="shared" si="3937"/>
        <v/>
      </c>
      <c r="BB446" s="28" t="str">
        <f t="shared" si="3937"/>
        <v/>
      </c>
      <c r="BC446" s="58">
        <f>OFFSET('00_Regnskab_01'!$A$1,MATCH(A446,'00_Regnskab_01'!$A$1:$A$25)-1,2)</f>
        <v>44940</v>
      </c>
      <c r="BE446" s="80">
        <f t="shared" ref="BE446:BH446" si="3938">if(U446&gt;0,1+BE445,0)</f>
        <v>0</v>
      </c>
      <c r="BF446" s="28">
        <f t="shared" si="3938"/>
        <v>1</v>
      </c>
      <c r="BG446" s="28">
        <f t="shared" si="3938"/>
        <v>0</v>
      </c>
      <c r="BH446" s="28">
        <f t="shared" si="3938"/>
        <v>3</v>
      </c>
      <c r="BJ446" s="28">
        <f t="shared" ref="BJ446:BM446" si="3939">if(U446&lt;0,1+BJ445,0)</f>
        <v>1</v>
      </c>
      <c r="BK446" s="28">
        <f t="shared" si="3939"/>
        <v>0</v>
      </c>
      <c r="BL446" s="28">
        <f t="shared" si="3939"/>
        <v>3</v>
      </c>
      <c r="BM446" s="28">
        <f t="shared" si="3939"/>
        <v>0</v>
      </c>
      <c r="BO446" s="74">
        <f t="shared" ref="BO446:BR446" si="3940">if(U446&gt;0,U446+BO445,0)</f>
        <v>0</v>
      </c>
      <c r="BP446" s="74">
        <f t="shared" si="3940"/>
        <v>20</v>
      </c>
      <c r="BQ446" s="74">
        <f t="shared" si="3940"/>
        <v>0</v>
      </c>
      <c r="BR446" s="74">
        <f t="shared" si="3940"/>
        <v>68</v>
      </c>
      <c r="BT446" s="28">
        <f t="shared" ref="BT446:BW446" si="3941">if(U446&lt;0,U446+BT445,0)</f>
        <v>-20</v>
      </c>
      <c r="BU446" s="28">
        <f t="shared" si="3941"/>
        <v>0</v>
      </c>
      <c r="BV446" s="28">
        <f t="shared" si="3941"/>
        <v>-68</v>
      </c>
      <c r="BW446" s="28">
        <f t="shared" si="3941"/>
        <v>0</v>
      </c>
    </row>
    <row r="447">
      <c r="A447" s="53">
        <v>20.0</v>
      </c>
      <c r="B447" s="28">
        <f>'20_14-01-2023_Stasi Lørdag'!A29</f>
        <v>27</v>
      </c>
      <c r="C447" s="28">
        <f>'20_14-01-2023_Stasi Lørdag'!E29</f>
        <v>268</v>
      </c>
      <c r="D447" s="28">
        <f>'20_14-01-2023_Stasi Lørdag'!D29</f>
        <v>-152</v>
      </c>
      <c r="E447" s="28">
        <f>'20_14-01-2023_Stasi Lørdag'!C29</f>
        <v>-60</v>
      </c>
      <c r="F447" s="28">
        <f>'20_14-01-2023_Stasi Lørdag'!B29</f>
        <v>-56</v>
      </c>
      <c r="G447" s="28">
        <f>'20_14-01-2023_Stasi Lørdag'!F29</f>
        <v>0</v>
      </c>
      <c r="H447" s="28" t="str">
        <f>'20_14-01-2023_Stasi Lørdag'!H29</f>
        <v>Thomas</v>
      </c>
      <c r="I447" s="28" t="str">
        <f>'20_14-01-2023_Stasi Lørdag'!I29</f>
        <v>Janus</v>
      </c>
      <c r="J447" s="76" t="str">
        <f>'20_14-01-2023_Stasi Lørdag'!J29</f>
        <v>Peter</v>
      </c>
      <c r="K447" s="28" t="str">
        <f>'20_14-01-2023_Stasi Lørdag'!G29</f>
        <v>9 vip i 2 - spar</v>
      </c>
      <c r="L447" s="56"/>
      <c r="M447" s="25">
        <v>9.0</v>
      </c>
      <c r="N447" s="25" t="s">
        <v>86</v>
      </c>
      <c r="O447" s="25">
        <v>2.0</v>
      </c>
      <c r="T447" s="56"/>
      <c r="U447" s="77">
        <f t="shared" ref="U447:X447" si="3942">C447-C446</f>
        <v>16</v>
      </c>
      <c r="V447" s="28">
        <f t="shared" si="3942"/>
        <v>-16</v>
      </c>
      <c r="W447" s="28">
        <f t="shared" si="3942"/>
        <v>16</v>
      </c>
      <c r="X447" s="28">
        <f t="shared" si="3942"/>
        <v>-16</v>
      </c>
      <c r="AB447" s="28">
        <f t="shared" ref="AB447:AE447" si="3943">IF(AB$3=$H447,U447,"")</f>
        <v>16</v>
      </c>
      <c r="AC447" s="28" t="str">
        <f t="shared" si="3943"/>
        <v/>
      </c>
      <c r="AD447" s="28" t="str">
        <f t="shared" si="3943"/>
        <v/>
      </c>
      <c r="AE447" s="28" t="str">
        <f t="shared" si="3943"/>
        <v/>
      </c>
      <c r="AH447" s="28">
        <f t="shared" si="22"/>
        <v>16</v>
      </c>
      <c r="AI447" s="28">
        <f t="shared" si="23"/>
        <v>0</v>
      </c>
      <c r="AK447" s="78" t="str">
        <f t="shared" ref="AK447:AN447" si="3944">IF(U447&gt;0,AK$3,"")</f>
        <v>Thomas</v>
      </c>
      <c r="AL447" s="78" t="str">
        <f t="shared" si="3944"/>
        <v/>
      </c>
      <c r="AM447" s="78" t="str">
        <f t="shared" si="3944"/>
        <v>Janus</v>
      </c>
      <c r="AN447" s="78" t="str">
        <f t="shared" si="3944"/>
        <v/>
      </c>
      <c r="AO447" s="56">
        <f t="shared" si="25"/>
        <v>2</v>
      </c>
      <c r="AP447" s="8" t="str">
        <f t="shared" si="26"/>
        <v>Thomas</v>
      </c>
      <c r="AQ447" s="73" t="str">
        <f>IFERROR(__xludf.DUMMYFUNCTION("IFNA(QUERY(transpose(AY447:BB447),""Select Col1 where Col1 is not null limit 1"",0))"),"Janus")</f>
        <v>Janus</v>
      </c>
      <c r="AR447" s="56"/>
      <c r="AS447" s="28" t="str">
        <f t="shared" ref="AS447:AV447" si="3945">IF(AK447=AS$3,"",AS$3)</f>
        <v/>
      </c>
      <c r="AT447" s="28" t="str">
        <f t="shared" si="3945"/>
        <v>Peter</v>
      </c>
      <c r="AU447" s="28" t="str">
        <f t="shared" si="3945"/>
        <v/>
      </c>
      <c r="AV447" s="28" t="str">
        <f t="shared" si="3945"/>
        <v>Christian</v>
      </c>
      <c r="AW447" s="56">
        <f t="shared" si="28"/>
        <v>2</v>
      </c>
      <c r="AX447" s="28">
        <f t="shared" si="29"/>
        <v>16</v>
      </c>
      <c r="AY447" s="28" t="str">
        <f t="shared" ref="AY447:BB447" si="3946">IFNA(IFS(AY$3=$AP447,"",$AX447=U447,AY$3),"")</f>
        <v/>
      </c>
      <c r="AZ447" s="28" t="str">
        <f t="shared" si="3946"/>
        <v/>
      </c>
      <c r="BA447" s="28" t="str">
        <f t="shared" si="3946"/>
        <v>Janus</v>
      </c>
      <c r="BB447" s="28" t="str">
        <f t="shared" si="3946"/>
        <v/>
      </c>
      <c r="BC447" s="58">
        <f>OFFSET('00_Regnskab_01'!$A$1,MATCH(A447,'00_Regnskab_01'!$A$1:$A$25)-1,2)</f>
        <v>44940</v>
      </c>
      <c r="BE447" s="80">
        <f t="shared" ref="BE447:BH447" si="3947">if(U447&gt;0,1+BE446,0)</f>
        <v>1</v>
      </c>
      <c r="BF447" s="28">
        <f t="shared" si="3947"/>
        <v>0</v>
      </c>
      <c r="BG447" s="28">
        <f t="shared" si="3947"/>
        <v>1</v>
      </c>
      <c r="BH447" s="28">
        <f t="shared" si="3947"/>
        <v>0</v>
      </c>
      <c r="BJ447" s="28">
        <f t="shared" ref="BJ447:BM447" si="3948">if(U447&lt;0,1+BJ446,0)</f>
        <v>0</v>
      </c>
      <c r="BK447" s="28">
        <f t="shared" si="3948"/>
        <v>1</v>
      </c>
      <c r="BL447" s="28">
        <f t="shared" si="3948"/>
        <v>0</v>
      </c>
      <c r="BM447" s="28">
        <f t="shared" si="3948"/>
        <v>1</v>
      </c>
      <c r="BO447" s="74">
        <f t="shared" ref="BO447:BR447" si="3949">if(U447&gt;0,U447+BO446,0)</f>
        <v>16</v>
      </c>
      <c r="BP447" s="74">
        <f t="shared" si="3949"/>
        <v>0</v>
      </c>
      <c r="BQ447" s="74">
        <f t="shared" si="3949"/>
        <v>16</v>
      </c>
      <c r="BR447" s="74">
        <f t="shared" si="3949"/>
        <v>0</v>
      </c>
      <c r="BT447" s="28">
        <f t="shared" ref="BT447:BW447" si="3950">if(U447&lt;0,U447+BT446,0)</f>
        <v>0</v>
      </c>
      <c r="BU447" s="28">
        <f t="shared" si="3950"/>
        <v>-16</v>
      </c>
      <c r="BV447" s="28">
        <f t="shared" si="3950"/>
        <v>0</v>
      </c>
      <c r="BW447" s="28">
        <f t="shared" si="3950"/>
        <v>-16</v>
      </c>
    </row>
    <row r="448">
      <c r="A448" s="53">
        <v>20.0</v>
      </c>
      <c r="B448" s="28">
        <f>'20_14-01-2023_Stasi Lørdag'!A30</f>
        <v>28</v>
      </c>
      <c r="C448" s="28">
        <f>'20_14-01-2023_Stasi Lørdag'!E30</f>
        <v>252</v>
      </c>
      <c r="D448" s="28">
        <f>'20_14-01-2023_Stasi Lørdag'!D30</f>
        <v>-136</v>
      </c>
      <c r="E448" s="28">
        <f>'20_14-01-2023_Stasi Lørdag'!C30</f>
        <v>-76</v>
      </c>
      <c r="F448" s="28">
        <f>'20_14-01-2023_Stasi Lørdag'!B30</f>
        <v>-40</v>
      </c>
      <c r="G448" s="28">
        <f>'20_14-01-2023_Stasi Lørdag'!F30</f>
        <v>0</v>
      </c>
      <c r="H448" s="28" t="str">
        <f>'20_14-01-2023_Stasi Lørdag'!H30</f>
        <v>Christian</v>
      </c>
      <c r="I448" s="28" t="str">
        <f>'20_14-01-2023_Stasi Lørdag'!I30</f>
        <v>Peter</v>
      </c>
      <c r="J448" s="76" t="str">
        <f>'20_14-01-2023_Stasi Lørdag'!J30</f>
        <v>Jansicz</v>
      </c>
      <c r="K448" s="28" t="str">
        <f>'20_14-01-2023_Stasi Lørdag'!G30</f>
        <v>9 halve</v>
      </c>
      <c r="L448" s="56"/>
      <c r="M448" s="25">
        <v>9.0</v>
      </c>
      <c r="N448" s="25" t="s">
        <v>94</v>
      </c>
      <c r="T448" s="56"/>
      <c r="U448" s="77">
        <f t="shared" ref="U448:X448" si="3951">C448-C447</f>
        <v>-16</v>
      </c>
      <c r="V448" s="28">
        <f t="shared" si="3951"/>
        <v>16</v>
      </c>
      <c r="W448" s="28">
        <f t="shared" si="3951"/>
        <v>-16</v>
      </c>
      <c r="X448" s="28">
        <f t="shared" si="3951"/>
        <v>16</v>
      </c>
      <c r="AB448" s="28" t="str">
        <f t="shared" ref="AB448:AE448" si="3952">IF(AB$3=$H448,U448,"")</f>
        <v/>
      </c>
      <c r="AC448" s="28" t="str">
        <f t="shared" si="3952"/>
        <v/>
      </c>
      <c r="AD448" s="28" t="str">
        <f t="shared" si="3952"/>
        <v/>
      </c>
      <c r="AE448" s="28">
        <f t="shared" si="3952"/>
        <v>16</v>
      </c>
      <c r="AH448" s="28">
        <f t="shared" si="22"/>
        <v>16</v>
      </c>
      <c r="AI448" s="28">
        <f t="shared" si="23"/>
        <v>0</v>
      </c>
      <c r="AK448" s="78" t="str">
        <f t="shared" ref="AK448:AN448" si="3953">IF(U448&gt;0,AK$3,"")</f>
        <v/>
      </c>
      <c r="AL448" s="78" t="str">
        <f t="shared" si="3953"/>
        <v>Peter</v>
      </c>
      <c r="AM448" s="78" t="str">
        <f t="shared" si="3953"/>
        <v/>
      </c>
      <c r="AN448" s="78" t="str">
        <f t="shared" si="3953"/>
        <v>Christian</v>
      </c>
      <c r="AO448" s="56">
        <f t="shared" si="25"/>
        <v>2</v>
      </c>
      <c r="AP448" s="8" t="str">
        <f t="shared" si="26"/>
        <v>Christian</v>
      </c>
      <c r="AQ448" s="73" t="str">
        <f>IFERROR(__xludf.DUMMYFUNCTION("IFNA(QUERY(transpose(AY448:BB448),""Select Col1 where Col1 is not null limit 1"",0))"),"Peter")</f>
        <v>Peter</v>
      </c>
      <c r="AR448" s="56"/>
      <c r="AS448" s="28" t="str">
        <f t="shared" ref="AS448:AV448" si="3954">IF(AK448=AS$3,"",AS$3)</f>
        <v>Thomas</v>
      </c>
      <c r="AT448" s="28" t="str">
        <f t="shared" si="3954"/>
        <v/>
      </c>
      <c r="AU448" s="28" t="str">
        <f t="shared" si="3954"/>
        <v>Janus</v>
      </c>
      <c r="AV448" s="28" t="str">
        <f t="shared" si="3954"/>
        <v/>
      </c>
      <c r="AW448" s="56">
        <f t="shared" si="28"/>
        <v>2</v>
      </c>
      <c r="AX448" s="28">
        <f t="shared" si="29"/>
        <v>16</v>
      </c>
      <c r="AY448" s="28" t="str">
        <f t="shared" ref="AY448:BB448" si="3955">IFNA(IFS(AY$3=$AP448,"",$AX448=U448,AY$3),"")</f>
        <v/>
      </c>
      <c r="AZ448" s="28" t="str">
        <f t="shared" si="3955"/>
        <v>Peter</v>
      </c>
      <c r="BA448" s="28" t="str">
        <f t="shared" si="3955"/>
        <v/>
      </c>
      <c r="BB448" s="28" t="str">
        <f t="shared" si="3955"/>
        <v/>
      </c>
      <c r="BC448" s="58">
        <f>OFFSET('00_Regnskab_01'!$A$1,MATCH(A448,'00_Regnskab_01'!$A$1:$A$25)-1,2)</f>
        <v>44940</v>
      </c>
      <c r="BE448" s="80">
        <f t="shared" ref="BE448:BH448" si="3956">if(U448&gt;0,1+BE447,0)</f>
        <v>0</v>
      </c>
      <c r="BF448" s="28">
        <f t="shared" si="3956"/>
        <v>1</v>
      </c>
      <c r="BG448" s="28">
        <f t="shared" si="3956"/>
        <v>0</v>
      </c>
      <c r="BH448" s="28">
        <f t="shared" si="3956"/>
        <v>1</v>
      </c>
      <c r="BJ448" s="28">
        <f t="shared" ref="BJ448:BM448" si="3957">if(U448&lt;0,1+BJ447,0)</f>
        <v>1</v>
      </c>
      <c r="BK448" s="28">
        <f t="shared" si="3957"/>
        <v>0</v>
      </c>
      <c r="BL448" s="28">
        <f t="shared" si="3957"/>
        <v>1</v>
      </c>
      <c r="BM448" s="28">
        <f t="shared" si="3957"/>
        <v>0</v>
      </c>
      <c r="BO448" s="74">
        <f t="shared" ref="BO448:BR448" si="3958">if(U448&gt;0,U448+BO447,0)</f>
        <v>0</v>
      </c>
      <c r="BP448" s="74">
        <f t="shared" si="3958"/>
        <v>16</v>
      </c>
      <c r="BQ448" s="74">
        <f t="shared" si="3958"/>
        <v>0</v>
      </c>
      <c r="BR448" s="74">
        <f t="shared" si="3958"/>
        <v>16</v>
      </c>
      <c r="BT448" s="28">
        <f t="shared" ref="BT448:BW448" si="3959">if(U448&lt;0,U448+BT447,0)</f>
        <v>-16</v>
      </c>
      <c r="BU448" s="28">
        <f t="shared" si="3959"/>
        <v>0</v>
      </c>
      <c r="BV448" s="28">
        <f t="shared" si="3959"/>
        <v>-16</v>
      </c>
      <c r="BW448" s="28">
        <f t="shared" si="3959"/>
        <v>0</v>
      </c>
    </row>
    <row r="449">
      <c r="A449" s="53">
        <v>20.0</v>
      </c>
      <c r="B449" s="28">
        <f>'20_14-01-2023_Stasi Lørdag'!A31</f>
        <v>29</v>
      </c>
      <c r="C449" s="28">
        <f>'20_14-01-2023_Stasi Lørdag'!E31</f>
        <v>300</v>
      </c>
      <c r="D449" s="28">
        <f>'20_14-01-2023_Stasi Lørdag'!D31</f>
        <v>-88</v>
      </c>
      <c r="E449" s="28">
        <f>'20_14-01-2023_Stasi Lørdag'!C31</f>
        <v>-124</v>
      </c>
      <c r="F449" s="28">
        <f>'20_14-01-2023_Stasi Lørdag'!B31</f>
        <v>-88</v>
      </c>
      <c r="G449" s="28">
        <f>'20_14-01-2023_Stasi Lørdag'!F31</f>
        <v>0</v>
      </c>
      <c r="H449" s="28" t="str">
        <f>'20_14-01-2023_Stasi Lørdag'!H31</f>
        <v>Thomas</v>
      </c>
      <c r="I449" s="28" t="str">
        <f>'20_14-01-2023_Stasi Lørdag'!I31</f>
        <v>Peter</v>
      </c>
      <c r="J449" s="76" t="str">
        <f>'20_14-01-2023_Stasi Lørdag'!J31</f>
        <v>Thomas</v>
      </c>
      <c r="K449" s="28" t="str">
        <f>'20_14-01-2023_Stasi Lørdag'!G31</f>
        <v>9 vip i 3 </v>
      </c>
      <c r="L449" s="56"/>
      <c r="M449" s="25">
        <v>9.0</v>
      </c>
      <c r="N449" s="25" t="s">
        <v>86</v>
      </c>
      <c r="O449" s="25">
        <v>3.0</v>
      </c>
      <c r="T449" s="56"/>
      <c r="U449" s="77">
        <f t="shared" ref="U449:X449" si="3960">C449-C448</f>
        <v>48</v>
      </c>
      <c r="V449" s="28">
        <f t="shared" si="3960"/>
        <v>48</v>
      </c>
      <c r="W449" s="28">
        <f t="shared" si="3960"/>
        <v>-48</v>
      </c>
      <c r="X449" s="28">
        <f t="shared" si="3960"/>
        <v>-48</v>
      </c>
      <c r="AB449" s="28">
        <f t="shared" ref="AB449:AE449" si="3961">IF(AB$3=$H449,U449,"")</f>
        <v>48</v>
      </c>
      <c r="AC449" s="28" t="str">
        <f t="shared" si="3961"/>
        <v/>
      </c>
      <c r="AD449" s="28" t="str">
        <f t="shared" si="3961"/>
        <v/>
      </c>
      <c r="AE449" s="28" t="str">
        <f t="shared" si="3961"/>
        <v/>
      </c>
      <c r="AH449" s="28">
        <f t="shared" si="22"/>
        <v>48</v>
      </c>
      <c r="AI449" s="28">
        <f t="shared" si="23"/>
        <v>0</v>
      </c>
      <c r="AK449" s="78" t="str">
        <f t="shared" ref="AK449:AN449" si="3962">IF(U449&gt;0,AK$3,"")</f>
        <v>Thomas</v>
      </c>
      <c r="AL449" s="78" t="str">
        <f t="shared" si="3962"/>
        <v>Peter</v>
      </c>
      <c r="AM449" s="78" t="str">
        <f t="shared" si="3962"/>
        <v/>
      </c>
      <c r="AN449" s="78" t="str">
        <f t="shared" si="3962"/>
        <v/>
      </c>
      <c r="AO449" s="56">
        <f t="shared" si="25"/>
        <v>2</v>
      </c>
      <c r="AP449" s="8" t="str">
        <f t="shared" si="26"/>
        <v>Thomas</v>
      </c>
      <c r="AQ449" s="73" t="str">
        <f>IFERROR(__xludf.DUMMYFUNCTION("IFNA(QUERY(transpose(AY449:BB449),""Select Col1 where Col1 is not null limit 1"",0))"),"Peter")</f>
        <v>Peter</v>
      </c>
      <c r="AR449" s="56"/>
      <c r="AS449" s="28" t="str">
        <f t="shared" ref="AS449:AV449" si="3963">IF(AK449=AS$3,"",AS$3)</f>
        <v/>
      </c>
      <c r="AT449" s="28" t="str">
        <f t="shared" si="3963"/>
        <v/>
      </c>
      <c r="AU449" s="28" t="str">
        <f t="shared" si="3963"/>
        <v>Janus</v>
      </c>
      <c r="AV449" s="28" t="str">
        <f t="shared" si="3963"/>
        <v>Christian</v>
      </c>
      <c r="AW449" s="56">
        <f t="shared" si="28"/>
        <v>2</v>
      </c>
      <c r="AX449" s="28">
        <f t="shared" si="29"/>
        <v>48</v>
      </c>
      <c r="AY449" s="28" t="str">
        <f t="shared" ref="AY449:BB449" si="3964">IFNA(IFS(AY$3=$AP449,"",$AX449=U449,AY$3),"")</f>
        <v/>
      </c>
      <c r="AZ449" s="28" t="str">
        <f t="shared" si="3964"/>
        <v>Peter</v>
      </c>
      <c r="BA449" s="28" t="str">
        <f t="shared" si="3964"/>
        <v/>
      </c>
      <c r="BB449" s="28" t="str">
        <f t="shared" si="3964"/>
        <v/>
      </c>
      <c r="BC449" s="58">
        <f>OFFSET('00_Regnskab_01'!$A$1,MATCH(A449,'00_Regnskab_01'!$A$1:$A$25)-1,2)</f>
        <v>44940</v>
      </c>
      <c r="BE449" s="80">
        <f t="shared" ref="BE449:BH449" si="3965">if(U449&gt;0,1+BE448,0)</f>
        <v>1</v>
      </c>
      <c r="BF449" s="28">
        <f t="shared" si="3965"/>
        <v>2</v>
      </c>
      <c r="BG449" s="28">
        <f t="shared" si="3965"/>
        <v>0</v>
      </c>
      <c r="BH449" s="28">
        <f t="shared" si="3965"/>
        <v>0</v>
      </c>
      <c r="BJ449" s="28">
        <f t="shared" ref="BJ449:BM449" si="3966">if(U449&lt;0,1+BJ448,0)</f>
        <v>0</v>
      </c>
      <c r="BK449" s="28">
        <f t="shared" si="3966"/>
        <v>0</v>
      </c>
      <c r="BL449" s="28">
        <f t="shared" si="3966"/>
        <v>2</v>
      </c>
      <c r="BM449" s="28">
        <f t="shared" si="3966"/>
        <v>1</v>
      </c>
      <c r="BO449" s="74">
        <f t="shared" ref="BO449:BR449" si="3967">if(U449&gt;0,U449+BO448,0)</f>
        <v>48</v>
      </c>
      <c r="BP449" s="74">
        <f t="shared" si="3967"/>
        <v>64</v>
      </c>
      <c r="BQ449" s="74">
        <f t="shared" si="3967"/>
        <v>0</v>
      </c>
      <c r="BR449" s="74">
        <f t="shared" si="3967"/>
        <v>0</v>
      </c>
      <c r="BT449" s="28">
        <f t="shared" ref="BT449:BW449" si="3968">if(U449&lt;0,U449+BT448,0)</f>
        <v>0</v>
      </c>
      <c r="BU449" s="28">
        <f t="shared" si="3968"/>
        <v>0</v>
      </c>
      <c r="BV449" s="28">
        <f t="shared" si="3968"/>
        <v>-64</v>
      </c>
      <c r="BW449" s="28">
        <f t="shared" si="3968"/>
        <v>-48</v>
      </c>
    </row>
    <row r="450">
      <c r="A450" s="83">
        <v>20.0</v>
      </c>
      <c r="B450" s="84">
        <f>'20_14-01-2023_Stasi Lørdag'!A32</f>
        <v>30</v>
      </c>
      <c r="C450" s="84">
        <f>'20_14-01-2023_Stasi Lørdag'!E32</f>
        <v>312</v>
      </c>
      <c r="D450" s="84">
        <f>'20_14-01-2023_Stasi Lørdag'!D32</f>
        <v>-100</v>
      </c>
      <c r="E450" s="84">
        <f>'20_14-01-2023_Stasi Lørdag'!C32</f>
        <v>-136</v>
      </c>
      <c r="F450" s="84">
        <f>'20_14-01-2023_Stasi Lørdag'!B32</f>
        <v>-76</v>
      </c>
      <c r="G450" s="84">
        <f>'20_14-01-2023_Stasi Lørdag'!F32</f>
        <v>0</v>
      </c>
      <c r="H450" s="84" t="str">
        <f>'20_14-01-2023_Stasi Lørdag'!H32</f>
        <v>Thomas</v>
      </c>
      <c r="I450" s="84" t="str">
        <f>'20_14-01-2023_Stasi Lørdag'!I32</f>
        <v>Christian</v>
      </c>
      <c r="J450" s="86" t="str">
        <f>'20_14-01-2023_Stasi Lørdag'!J32</f>
        <v>Christian</v>
      </c>
      <c r="K450" s="84" t="str">
        <f>'20_14-01-2023_Stasi Lørdag'!G32</f>
        <v>9 vip 1.</v>
      </c>
      <c r="L450" s="84"/>
      <c r="M450" s="87">
        <v>9.0</v>
      </c>
      <c r="N450" s="87" t="s">
        <v>86</v>
      </c>
      <c r="O450" s="87">
        <v>1.0</v>
      </c>
      <c r="P450" s="84"/>
      <c r="Q450" s="84"/>
      <c r="R450" s="84"/>
      <c r="S450" s="84"/>
      <c r="T450" s="84"/>
      <c r="U450" s="88">
        <f t="shared" ref="U450:X450" si="3969">C450-C449</f>
        <v>12</v>
      </c>
      <c r="V450" s="84">
        <f t="shared" si="3969"/>
        <v>-12</v>
      </c>
      <c r="W450" s="84">
        <f t="shared" si="3969"/>
        <v>-12</v>
      </c>
      <c r="X450" s="84">
        <f t="shared" si="3969"/>
        <v>12</v>
      </c>
      <c r="Y450" s="84"/>
      <c r="Z450" s="84"/>
      <c r="AA450" s="84"/>
      <c r="AB450" s="84">
        <f t="shared" ref="AB450:AE450" si="3970">IF(AB$3=$H450,U450,"")</f>
        <v>12</v>
      </c>
      <c r="AC450" s="84" t="str">
        <f t="shared" si="3970"/>
        <v/>
      </c>
      <c r="AD450" s="84" t="str">
        <f t="shared" si="3970"/>
        <v/>
      </c>
      <c r="AE450" s="84" t="str">
        <f t="shared" si="3970"/>
        <v/>
      </c>
      <c r="AF450" s="84"/>
      <c r="AG450" s="84"/>
      <c r="AH450" s="84">
        <f t="shared" si="22"/>
        <v>12</v>
      </c>
      <c r="AI450" s="84">
        <f t="shared" si="23"/>
        <v>0</v>
      </c>
      <c r="AJ450" s="84"/>
      <c r="AK450" s="93" t="str">
        <f t="shared" ref="AK450:AN450" si="3971">IF(U450&gt;0,AK$3,"")</f>
        <v>Thomas</v>
      </c>
      <c r="AL450" s="93" t="str">
        <f t="shared" si="3971"/>
        <v/>
      </c>
      <c r="AM450" s="93" t="str">
        <f t="shared" si="3971"/>
        <v/>
      </c>
      <c r="AN450" s="93" t="str">
        <f t="shared" si="3971"/>
        <v>Christian</v>
      </c>
      <c r="AO450" s="84">
        <f t="shared" si="25"/>
        <v>2</v>
      </c>
      <c r="AP450" s="94" t="str">
        <f t="shared" si="26"/>
        <v>Thomas</v>
      </c>
      <c r="AQ450" s="95" t="str">
        <f>IFERROR(__xludf.DUMMYFUNCTION("IFNA(QUERY(transpose(AY450:BB450),""Select Col1 where Col1 is not null limit 1"",0))"),"Christian")</f>
        <v>Christian</v>
      </c>
      <c r="AR450" s="84"/>
      <c r="AS450" s="84" t="str">
        <f t="shared" ref="AS450:AV450" si="3972">IF(AK450=AS$3,"",AS$3)</f>
        <v/>
      </c>
      <c r="AT450" s="84" t="str">
        <f t="shared" si="3972"/>
        <v>Peter</v>
      </c>
      <c r="AU450" s="84" t="str">
        <f t="shared" si="3972"/>
        <v>Janus</v>
      </c>
      <c r="AV450" s="84" t="str">
        <f t="shared" si="3972"/>
        <v/>
      </c>
      <c r="AW450" s="84">
        <f t="shared" si="28"/>
        <v>2</v>
      </c>
      <c r="AX450" s="84">
        <f t="shared" si="29"/>
        <v>12</v>
      </c>
      <c r="AY450" s="84" t="str">
        <f t="shared" ref="AY450:BB450" si="3973">IFNA(IFS(AY$3=$AP450,"",$AX450=U450,AY$3),"")</f>
        <v/>
      </c>
      <c r="AZ450" s="84" t="str">
        <f t="shared" si="3973"/>
        <v/>
      </c>
      <c r="BA450" s="84" t="str">
        <f t="shared" si="3973"/>
        <v/>
      </c>
      <c r="BB450" s="84" t="str">
        <f t="shared" si="3973"/>
        <v>Christian</v>
      </c>
      <c r="BC450" s="96">
        <f>OFFSET('00_Regnskab_01'!$A$1,MATCH(A450,'00_Regnskab_01'!$A$1:$A$25)-1,2)</f>
        <v>44940</v>
      </c>
      <c r="BD450" s="84"/>
      <c r="BE450" s="97">
        <f t="shared" ref="BE450:BH450" si="3974">if(U450&gt;0,1+BE449,0)</f>
        <v>2</v>
      </c>
      <c r="BF450" s="84">
        <f t="shared" si="3974"/>
        <v>0</v>
      </c>
      <c r="BG450" s="84">
        <f t="shared" si="3974"/>
        <v>0</v>
      </c>
      <c r="BH450" s="84">
        <f t="shared" si="3974"/>
        <v>1</v>
      </c>
      <c r="BI450" s="84"/>
      <c r="BJ450" s="28">
        <f t="shared" ref="BJ450:BM450" si="3975">if(U450&lt;0,1+BJ449,0)</f>
        <v>0</v>
      </c>
      <c r="BK450" s="28">
        <f t="shared" si="3975"/>
        <v>1</v>
      </c>
      <c r="BL450" s="28">
        <f t="shared" si="3975"/>
        <v>3</v>
      </c>
      <c r="BM450" s="28">
        <f t="shared" si="3975"/>
        <v>0</v>
      </c>
      <c r="BN450" s="84"/>
      <c r="BO450" s="98">
        <f t="shared" ref="BO450:BR450" si="3976">if(U450&gt;0,U450+BO449,0)</f>
        <v>60</v>
      </c>
      <c r="BP450" s="98">
        <f t="shared" si="3976"/>
        <v>0</v>
      </c>
      <c r="BQ450" s="98">
        <f t="shared" si="3976"/>
        <v>0</v>
      </c>
      <c r="BR450" s="98">
        <f t="shared" si="3976"/>
        <v>12</v>
      </c>
      <c r="BS450" s="84"/>
      <c r="BT450" s="84">
        <f t="shared" ref="BT450:BW450" si="3977">if(U450&lt;0,U450+BT449,0)</f>
        <v>0</v>
      </c>
      <c r="BU450" s="84">
        <f t="shared" si="3977"/>
        <v>-12</v>
      </c>
      <c r="BV450" s="84">
        <f t="shared" si="3977"/>
        <v>-76</v>
      </c>
      <c r="BW450" s="84">
        <f t="shared" si="3977"/>
        <v>0</v>
      </c>
      <c r="BX450" s="84"/>
      <c r="BY450" s="84"/>
    </row>
    <row r="451">
      <c r="A451" s="51">
        <v>21.0</v>
      </c>
      <c r="B451" s="32">
        <f>'21_08-06-2023'!A3</f>
        <v>1</v>
      </c>
      <c r="C451" s="32">
        <f>'21_08-06-2023'!C3</f>
        <v>-64</v>
      </c>
      <c r="D451" s="32">
        <f>'21_08-06-2023'!E3</f>
        <v>64</v>
      </c>
      <c r="E451" s="32">
        <f>'21_08-06-2023'!D3</f>
        <v>-64</v>
      </c>
      <c r="F451" s="32">
        <f>'21_08-06-2023'!B3</f>
        <v>64</v>
      </c>
      <c r="G451" s="32">
        <f>'21_08-06-2023'!F3</f>
        <v>0</v>
      </c>
      <c r="H451" s="32" t="str">
        <f>'21_08-06-2023'!H3</f>
        <v>Thomas</v>
      </c>
      <c r="I451" s="32" t="str">
        <f>'21_08-06-2023'!I3</f>
        <v>Janus</v>
      </c>
      <c r="J451" s="70" t="str">
        <f>'21_08-06-2023'!J3</f>
        <v>Christian</v>
      </c>
      <c r="K451" s="32" t="str">
        <f>'21_08-06-2023'!G3</f>
        <v>10 vip i 2.</v>
      </c>
      <c r="L451" s="32"/>
      <c r="M451" s="48">
        <v>10.0</v>
      </c>
      <c r="N451" s="25" t="s">
        <v>86</v>
      </c>
      <c r="O451" s="48">
        <v>2.0</v>
      </c>
      <c r="P451" s="32"/>
      <c r="Q451" s="32"/>
      <c r="R451" s="32"/>
      <c r="S451" s="32"/>
      <c r="T451" s="32"/>
      <c r="U451" s="71">
        <f t="shared" ref="U451:X451" si="3978">C451</f>
        <v>-64</v>
      </c>
      <c r="V451" s="32">
        <f t="shared" si="3978"/>
        <v>64</v>
      </c>
      <c r="W451" s="32">
        <f t="shared" si="3978"/>
        <v>-64</v>
      </c>
      <c r="X451" s="32">
        <f t="shared" si="3978"/>
        <v>64</v>
      </c>
      <c r="Y451" s="32"/>
      <c r="Z451" s="32"/>
      <c r="AA451" s="32"/>
      <c r="AB451" s="28">
        <f t="shared" ref="AB451:AE451" si="3979">IF(AB$3=$H451,U451,"")</f>
        <v>-64</v>
      </c>
      <c r="AC451" s="28" t="str">
        <f t="shared" si="3979"/>
        <v/>
      </c>
      <c r="AD451" s="28" t="str">
        <f t="shared" si="3979"/>
        <v/>
      </c>
      <c r="AE451" s="28" t="str">
        <f t="shared" si="3979"/>
        <v/>
      </c>
      <c r="AH451" s="28">
        <f t="shared" si="22"/>
        <v>0</v>
      </c>
      <c r="AI451" s="28">
        <f t="shared" si="23"/>
        <v>-64</v>
      </c>
      <c r="AJ451" s="32"/>
      <c r="AK451" s="78" t="str">
        <f t="shared" ref="AK451:AN451" si="3980">IF(U451&gt;0,AK$3,"")</f>
        <v/>
      </c>
      <c r="AL451" s="78" t="str">
        <f t="shared" si="3980"/>
        <v>Peter</v>
      </c>
      <c r="AM451" s="78" t="str">
        <f t="shared" si="3980"/>
        <v/>
      </c>
      <c r="AN451" s="78" t="str">
        <f t="shared" si="3980"/>
        <v>Christian</v>
      </c>
      <c r="AO451" s="56">
        <f t="shared" si="25"/>
        <v>2</v>
      </c>
      <c r="AP451" s="8" t="str">
        <f t="shared" si="26"/>
        <v>Thomas</v>
      </c>
      <c r="AQ451" s="73" t="str">
        <f>IFERROR(__xludf.DUMMYFUNCTION("IFNA(QUERY(transpose(AY451:BB451),""Select Col1 where Col1 is not null limit 1"",0))"),"Janus")</f>
        <v>Janus</v>
      </c>
      <c r="AR451" s="56"/>
      <c r="AS451" s="28" t="str">
        <f t="shared" ref="AS451:AV451" si="3981">IF(AK451=AS$3,"",AS$3)</f>
        <v>Thomas</v>
      </c>
      <c r="AT451" s="28" t="str">
        <f t="shared" si="3981"/>
        <v/>
      </c>
      <c r="AU451" s="28" t="str">
        <f t="shared" si="3981"/>
        <v>Janus</v>
      </c>
      <c r="AV451" s="28" t="str">
        <f t="shared" si="3981"/>
        <v/>
      </c>
      <c r="AW451" s="56">
        <f t="shared" si="28"/>
        <v>2</v>
      </c>
      <c r="AX451" s="28">
        <f t="shared" si="29"/>
        <v>-64</v>
      </c>
      <c r="AY451" s="28" t="str">
        <f t="shared" ref="AY451:BB451" si="3982">IFNA(IFS(AY$3=$AP451,"",$AX451=U451,AY$3),"")</f>
        <v/>
      </c>
      <c r="AZ451" s="28" t="str">
        <f t="shared" si="3982"/>
        <v/>
      </c>
      <c r="BA451" s="28" t="str">
        <f t="shared" si="3982"/>
        <v>Janus</v>
      </c>
      <c r="BB451" s="28" t="str">
        <f t="shared" si="3982"/>
        <v/>
      </c>
      <c r="BC451" s="58">
        <f>OFFSET('00_Regnskab_01'!$A$1,MATCH(A451,'00_Regnskab_01'!$A$1:$A$25)-1,2)</f>
        <v>45085</v>
      </c>
      <c r="BD451" s="32"/>
      <c r="BE451" s="80">
        <f t="shared" ref="BE451:BH451" si="3983">if(U451&gt;0,1+BE450,0)</f>
        <v>0</v>
      </c>
      <c r="BF451" s="28">
        <f t="shared" si="3983"/>
        <v>1</v>
      </c>
      <c r="BG451" s="28">
        <f t="shared" si="3983"/>
        <v>0</v>
      </c>
      <c r="BH451" s="28">
        <f t="shared" si="3983"/>
        <v>2</v>
      </c>
      <c r="BI451" s="32"/>
      <c r="BJ451" s="28">
        <f t="shared" ref="BJ451:BM451" si="3984">if(U451&lt;0,1+BJ450,0)</f>
        <v>1</v>
      </c>
      <c r="BK451" s="28">
        <f t="shared" si="3984"/>
        <v>0</v>
      </c>
      <c r="BL451" s="28">
        <f t="shared" si="3984"/>
        <v>4</v>
      </c>
      <c r="BM451" s="28">
        <f t="shared" si="3984"/>
        <v>0</v>
      </c>
      <c r="BO451" s="74">
        <f t="shared" ref="BO451:BR451" si="3985">if(U451&gt;0,U451+BO450,0)</f>
        <v>0</v>
      </c>
      <c r="BP451" s="74">
        <f t="shared" si="3985"/>
        <v>64</v>
      </c>
      <c r="BQ451" s="74">
        <f t="shared" si="3985"/>
        <v>0</v>
      </c>
      <c r="BR451" s="74">
        <f t="shared" si="3985"/>
        <v>76</v>
      </c>
      <c r="BT451" s="28">
        <f t="shared" ref="BT451:BW451" si="3986">if(U451&lt;0,U451+BT450,0)</f>
        <v>-64</v>
      </c>
      <c r="BU451" s="28">
        <f t="shared" si="3986"/>
        <v>0</v>
      </c>
      <c r="BV451" s="28">
        <f t="shared" si="3986"/>
        <v>-140</v>
      </c>
      <c r="BW451" s="28">
        <f t="shared" si="3986"/>
        <v>0</v>
      </c>
      <c r="BX451" s="32"/>
      <c r="BY451" s="32"/>
    </row>
    <row r="452">
      <c r="A452" s="53">
        <v>21.0</v>
      </c>
      <c r="B452" s="28">
        <f>'21_08-06-2023'!A4</f>
        <v>2</v>
      </c>
      <c r="C452" s="28">
        <f>'21_08-06-2023'!C4</f>
        <v>-52</v>
      </c>
      <c r="D452" s="28">
        <f>'21_08-06-2023'!E4</f>
        <v>52</v>
      </c>
      <c r="E452" s="28">
        <f>'21_08-06-2023'!D4</f>
        <v>-76</v>
      </c>
      <c r="F452" s="28">
        <f>'21_08-06-2023'!B4</f>
        <v>76</v>
      </c>
      <c r="G452" s="28">
        <f>'21_08-06-2023'!F4</f>
        <v>0</v>
      </c>
      <c r="H452" s="28" t="str">
        <f>'21_08-06-2023'!H4</f>
        <v>Peter</v>
      </c>
      <c r="I452" s="28" t="str">
        <f>'21_08-06-2023'!I4</f>
        <v>Janus</v>
      </c>
      <c r="J452" s="76" t="str">
        <f>'21_08-06-2023'!J4</f>
        <v>Thomas</v>
      </c>
      <c r="K452" s="28" t="str">
        <f>'21_08-06-2023'!G4</f>
        <v>9 halve</v>
      </c>
      <c r="L452" s="56"/>
      <c r="M452" s="25">
        <v>9.0</v>
      </c>
      <c r="N452" s="25" t="s">
        <v>94</v>
      </c>
      <c r="T452" s="56"/>
      <c r="U452" s="77">
        <f t="shared" ref="U452:X452" si="3987">C452-C451</f>
        <v>12</v>
      </c>
      <c r="V452" s="28">
        <f t="shared" si="3987"/>
        <v>-12</v>
      </c>
      <c r="W452" s="28">
        <f t="shared" si="3987"/>
        <v>-12</v>
      </c>
      <c r="X452" s="28">
        <f t="shared" si="3987"/>
        <v>12</v>
      </c>
      <c r="AB452" s="28" t="str">
        <f t="shared" ref="AB452:AE452" si="3988">IF(AB$3=$H452,U452,"")</f>
        <v/>
      </c>
      <c r="AC452" s="28">
        <f t="shared" si="3988"/>
        <v>-12</v>
      </c>
      <c r="AD452" s="28" t="str">
        <f t="shared" si="3988"/>
        <v/>
      </c>
      <c r="AE452" s="28" t="str">
        <f t="shared" si="3988"/>
        <v/>
      </c>
      <c r="AH452" s="28">
        <f t="shared" si="22"/>
        <v>0</v>
      </c>
      <c r="AI452" s="28">
        <f t="shared" si="23"/>
        <v>-12</v>
      </c>
      <c r="AK452" s="78" t="str">
        <f t="shared" ref="AK452:AN452" si="3989">IF(U452&gt;0,AK$3,"")</f>
        <v>Thomas</v>
      </c>
      <c r="AL452" s="78" t="str">
        <f t="shared" si="3989"/>
        <v/>
      </c>
      <c r="AM452" s="78" t="str">
        <f t="shared" si="3989"/>
        <v/>
      </c>
      <c r="AN452" s="78" t="str">
        <f t="shared" si="3989"/>
        <v>Christian</v>
      </c>
      <c r="AO452" s="56">
        <f t="shared" si="25"/>
        <v>2</v>
      </c>
      <c r="AP452" s="8" t="str">
        <f t="shared" si="26"/>
        <v>Peter</v>
      </c>
      <c r="AQ452" s="73" t="str">
        <f>IFERROR(__xludf.DUMMYFUNCTION("IFNA(QUERY(transpose(AY452:BB452),""Select Col1 where Col1 is not null limit 1"",0))"),"Janus")</f>
        <v>Janus</v>
      </c>
      <c r="AR452" s="56"/>
      <c r="AS452" s="28" t="str">
        <f t="shared" ref="AS452:AV452" si="3990">IF(AK452=AS$3,"",AS$3)</f>
        <v/>
      </c>
      <c r="AT452" s="28" t="str">
        <f t="shared" si="3990"/>
        <v>Peter</v>
      </c>
      <c r="AU452" s="28" t="str">
        <f t="shared" si="3990"/>
        <v>Janus</v>
      </c>
      <c r="AV452" s="28" t="str">
        <f t="shared" si="3990"/>
        <v/>
      </c>
      <c r="AW452" s="56">
        <f t="shared" si="28"/>
        <v>2</v>
      </c>
      <c r="AX452" s="28">
        <f t="shared" si="29"/>
        <v>-12</v>
      </c>
      <c r="AY452" s="28" t="str">
        <f t="shared" ref="AY452:BB452" si="3991">IFNA(IFS(AY$3=$AP452,"",$AX452=U452,AY$3),"")</f>
        <v/>
      </c>
      <c r="AZ452" s="28" t="str">
        <f t="shared" si="3991"/>
        <v/>
      </c>
      <c r="BA452" s="28" t="str">
        <f t="shared" si="3991"/>
        <v>Janus</v>
      </c>
      <c r="BB452" s="28" t="str">
        <f t="shared" si="3991"/>
        <v/>
      </c>
      <c r="BC452" s="58">
        <f>OFFSET('00_Regnskab_01'!$A$1,MATCH(A452,'00_Regnskab_01'!$A$1:$A$25)-1,2)</f>
        <v>45085</v>
      </c>
      <c r="BE452" s="80">
        <f t="shared" ref="BE452:BH452" si="3992">if(U452&gt;0,1+BE451,0)</f>
        <v>1</v>
      </c>
      <c r="BF452" s="28">
        <f t="shared" si="3992"/>
        <v>0</v>
      </c>
      <c r="BG452" s="28">
        <f t="shared" si="3992"/>
        <v>0</v>
      </c>
      <c r="BH452" s="28">
        <f t="shared" si="3992"/>
        <v>3</v>
      </c>
      <c r="BJ452" s="28">
        <f t="shared" ref="BJ452:BM452" si="3993">if(U452&lt;0,1+BJ451,0)</f>
        <v>0</v>
      </c>
      <c r="BK452" s="28">
        <f t="shared" si="3993"/>
        <v>1</v>
      </c>
      <c r="BL452" s="28">
        <f t="shared" si="3993"/>
        <v>5</v>
      </c>
      <c r="BM452" s="28">
        <f t="shared" si="3993"/>
        <v>0</v>
      </c>
      <c r="BO452" s="74">
        <f t="shared" ref="BO452:BR452" si="3994">if(U452&gt;0,U452+BO451,0)</f>
        <v>12</v>
      </c>
      <c r="BP452" s="74">
        <f t="shared" si="3994"/>
        <v>0</v>
      </c>
      <c r="BQ452" s="74">
        <f t="shared" si="3994"/>
        <v>0</v>
      </c>
      <c r="BR452" s="74">
        <f t="shared" si="3994"/>
        <v>88</v>
      </c>
      <c r="BT452" s="28">
        <f t="shared" ref="BT452:BW452" si="3995">if(U452&lt;0,U452+BT451,0)</f>
        <v>0</v>
      </c>
      <c r="BU452" s="28">
        <f t="shared" si="3995"/>
        <v>-12</v>
      </c>
      <c r="BV452" s="28">
        <f t="shared" si="3995"/>
        <v>-152</v>
      </c>
      <c r="BW452" s="28">
        <f t="shared" si="3995"/>
        <v>0</v>
      </c>
    </row>
    <row r="453">
      <c r="A453" s="53">
        <v>21.0</v>
      </c>
      <c r="B453" s="28">
        <f>'21_08-06-2023'!A5</f>
        <v>3</v>
      </c>
      <c r="C453" s="28">
        <f>'21_08-06-2023'!C5</f>
        <v>-68</v>
      </c>
      <c r="D453" s="28">
        <f>'21_08-06-2023'!E5</f>
        <v>68</v>
      </c>
      <c r="E453" s="28">
        <f>'21_08-06-2023'!D5</f>
        <v>-60</v>
      </c>
      <c r="F453" s="28">
        <f>'21_08-06-2023'!B5</f>
        <v>60</v>
      </c>
      <c r="G453" s="28">
        <f>'21_08-06-2023'!F5</f>
        <v>0</v>
      </c>
      <c r="H453" s="28" t="str">
        <f>'21_08-06-2023'!H5</f>
        <v>Christian</v>
      </c>
      <c r="I453" s="28" t="str">
        <f>'21_08-06-2023'!I5</f>
        <v>Thomas</v>
      </c>
      <c r="J453" s="76" t="str">
        <f>'21_08-06-2023'!J5</f>
        <v>Janus</v>
      </c>
      <c r="K453" s="28" t="str">
        <f>'21_08-06-2023'!G5</f>
        <v>9 halve</v>
      </c>
      <c r="L453" s="56"/>
      <c r="M453" s="25">
        <v>9.0</v>
      </c>
      <c r="N453" s="25" t="s">
        <v>94</v>
      </c>
      <c r="T453" s="56"/>
      <c r="U453" s="77">
        <f t="shared" ref="U453:X453" si="3996">C453-C452</f>
        <v>-16</v>
      </c>
      <c r="V453" s="28">
        <f t="shared" si="3996"/>
        <v>16</v>
      </c>
      <c r="W453" s="28">
        <f t="shared" si="3996"/>
        <v>16</v>
      </c>
      <c r="X453" s="28">
        <f t="shared" si="3996"/>
        <v>-16</v>
      </c>
      <c r="AB453" s="28" t="str">
        <f t="shared" ref="AB453:AE453" si="3997">IF(AB$3=$H453,U453,"")</f>
        <v/>
      </c>
      <c r="AC453" s="28" t="str">
        <f t="shared" si="3997"/>
        <v/>
      </c>
      <c r="AD453" s="28" t="str">
        <f t="shared" si="3997"/>
        <v/>
      </c>
      <c r="AE453" s="28">
        <f t="shared" si="3997"/>
        <v>-16</v>
      </c>
      <c r="AH453" s="28">
        <f t="shared" si="22"/>
        <v>0</v>
      </c>
      <c r="AI453" s="28">
        <f t="shared" si="23"/>
        <v>-16</v>
      </c>
      <c r="AK453" s="78" t="str">
        <f t="shared" ref="AK453:AN453" si="3998">IF(U453&gt;0,AK$3,"")</f>
        <v/>
      </c>
      <c r="AL453" s="78" t="str">
        <f t="shared" si="3998"/>
        <v>Peter</v>
      </c>
      <c r="AM453" s="78" t="str">
        <f t="shared" si="3998"/>
        <v>Janus</v>
      </c>
      <c r="AN453" s="78" t="str">
        <f t="shared" si="3998"/>
        <v/>
      </c>
      <c r="AO453" s="56">
        <f t="shared" si="25"/>
        <v>2</v>
      </c>
      <c r="AP453" s="8" t="str">
        <f t="shared" si="26"/>
        <v>Christian</v>
      </c>
      <c r="AQ453" s="73" t="str">
        <f>IFERROR(__xludf.DUMMYFUNCTION("IFNA(QUERY(transpose(AY453:BB453),""Select Col1 where Col1 is not null limit 1"",0))"),"Thomas")</f>
        <v>Thomas</v>
      </c>
      <c r="AR453" s="56"/>
      <c r="AS453" s="28" t="str">
        <f t="shared" ref="AS453:AV453" si="3999">IF(AK453=AS$3,"",AS$3)</f>
        <v>Thomas</v>
      </c>
      <c r="AT453" s="28" t="str">
        <f t="shared" si="3999"/>
        <v/>
      </c>
      <c r="AU453" s="28" t="str">
        <f t="shared" si="3999"/>
        <v/>
      </c>
      <c r="AV453" s="28" t="str">
        <f t="shared" si="3999"/>
        <v>Christian</v>
      </c>
      <c r="AW453" s="56">
        <f t="shared" si="28"/>
        <v>2</v>
      </c>
      <c r="AX453" s="28">
        <f t="shared" si="29"/>
        <v>-16</v>
      </c>
      <c r="AY453" s="28" t="str">
        <f t="shared" ref="AY453:BB453" si="4000">IFNA(IFS(AY$3=$AP453,"",$AX453=U453,AY$3),"")</f>
        <v>Thomas</v>
      </c>
      <c r="AZ453" s="28" t="str">
        <f t="shared" si="4000"/>
        <v/>
      </c>
      <c r="BA453" s="28" t="str">
        <f t="shared" si="4000"/>
        <v/>
      </c>
      <c r="BB453" s="28" t="str">
        <f t="shared" si="4000"/>
        <v/>
      </c>
      <c r="BC453" s="58">
        <f>OFFSET('00_Regnskab_01'!$A$1,MATCH(A453,'00_Regnskab_01'!$A$1:$A$25)-1,2)</f>
        <v>45085</v>
      </c>
      <c r="BE453" s="80">
        <f t="shared" ref="BE453:BH453" si="4001">if(U453&gt;0,1+BE452,0)</f>
        <v>0</v>
      </c>
      <c r="BF453" s="28">
        <f t="shared" si="4001"/>
        <v>1</v>
      </c>
      <c r="BG453" s="28">
        <f t="shared" si="4001"/>
        <v>1</v>
      </c>
      <c r="BH453" s="28">
        <f t="shared" si="4001"/>
        <v>0</v>
      </c>
      <c r="BJ453" s="28">
        <f t="shared" ref="BJ453:BM453" si="4002">if(U453&lt;0,1+BJ452,0)</f>
        <v>1</v>
      </c>
      <c r="BK453" s="28">
        <f t="shared" si="4002"/>
        <v>0</v>
      </c>
      <c r="BL453" s="28">
        <f t="shared" si="4002"/>
        <v>0</v>
      </c>
      <c r="BM453" s="28">
        <f t="shared" si="4002"/>
        <v>1</v>
      </c>
      <c r="BO453" s="74">
        <f t="shared" ref="BO453:BR453" si="4003">if(U453&gt;0,U453+BO452,0)</f>
        <v>0</v>
      </c>
      <c r="BP453" s="74">
        <f t="shared" si="4003"/>
        <v>16</v>
      </c>
      <c r="BQ453" s="74">
        <f t="shared" si="4003"/>
        <v>16</v>
      </c>
      <c r="BR453" s="74">
        <f t="shared" si="4003"/>
        <v>0</v>
      </c>
      <c r="BT453" s="28">
        <f t="shared" ref="BT453:BW453" si="4004">if(U453&lt;0,U453+BT452,0)</f>
        <v>-16</v>
      </c>
      <c r="BU453" s="28">
        <f t="shared" si="4004"/>
        <v>0</v>
      </c>
      <c r="BV453" s="28">
        <f t="shared" si="4004"/>
        <v>0</v>
      </c>
      <c r="BW453" s="28">
        <f t="shared" si="4004"/>
        <v>-16</v>
      </c>
    </row>
    <row r="454">
      <c r="A454" s="53">
        <v>21.0</v>
      </c>
      <c r="B454" s="28">
        <f>'21_08-06-2023'!A6</f>
        <v>4</v>
      </c>
      <c r="C454" s="28">
        <f>'21_08-06-2023'!C6</f>
        <v>-36</v>
      </c>
      <c r="D454" s="28">
        <f>'21_08-06-2023'!E6</f>
        <v>36</v>
      </c>
      <c r="E454" s="28">
        <f>'21_08-06-2023'!D6</f>
        <v>-28</v>
      </c>
      <c r="F454" s="28">
        <f>'21_08-06-2023'!B6</f>
        <v>28</v>
      </c>
      <c r="G454" s="28">
        <f>'21_08-06-2023'!F6</f>
        <v>0</v>
      </c>
      <c r="H454" s="28" t="str">
        <f>'21_08-06-2023'!H6</f>
        <v>Peter</v>
      </c>
      <c r="I454" s="28" t="str">
        <f>'21_08-06-2023'!I6</f>
        <v>Christian</v>
      </c>
      <c r="J454" s="76" t="str">
        <f>'21_08-06-2023'!J6</f>
        <v>Peter</v>
      </c>
      <c r="K454" s="28" t="str">
        <f>'21_08-06-2023'!G6</f>
        <v>10 gode</v>
      </c>
      <c r="L454" s="56"/>
      <c r="M454" s="25">
        <v>10.0</v>
      </c>
      <c r="N454" s="25" t="s">
        <v>95</v>
      </c>
      <c r="T454" s="56"/>
      <c r="U454" s="77">
        <f t="shared" ref="U454:X454" si="4005">C454-C453</f>
        <v>32</v>
      </c>
      <c r="V454" s="28">
        <f t="shared" si="4005"/>
        <v>-32</v>
      </c>
      <c r="W454" s="28">
        <f t="shared" si="4005"/>
        <v>32</v>
      </c>
      <c r="X454" s="28">
        <f t="shared" si="4005"/>
        <v>-32</v>
      </c>
      <c r="AB454" s="28" t="str">
        <f t="shared" ref="AB454:AE454" si="4006">IF(AB$3=$H454,U454,"")</f>
        <v/>
      </c>
      <c r="AC454" s="28">
        <f t="shared" si="4006"/>
        <v>-32</v>
      </c>
      <c r="AD454" s="28" t="str">
        <f t="shared" si="4006"/>
        <v/>
      </c>
      <c r="AE454" s="28" t="str">
        <f t="shared" si="4006"/>
        <v/>
      </c>
      <c r="AH454" s="28">
        <f t="shared" si="22"/>
        <v>0</v>
      </c>
      <c r="AI454" s="28">
        <f t="shared" si="23"/>
        <v>-32</v>
      </c>
      <c r="AK454" s="78" t="str">
        <f t="shared" ref="AK454:AN454" si="4007">IF(U454&gt;0,AK$3,"")</f>
        <v>Thomas</v>
      </c>
      <c r="AL454" s="78" t="str">
        <f t="shared" si="4007"/>
        <v/>
      </c>
      <c r="AM454" s="78" t="str">
        <f t="shared" si="4007"/>
        <v>Janus</v>
      </c>
      <c r="AN454" s="78" t="str">
        <f t="shared" si="4007"/>
        <v/>
      </c>
      <c r="AO454" s="56">
        <f t="shared" si="25"/>
        <v>2</v>
      </c>
      <c r="AP454" s="8" t="str">
        <f t="shared" si="26"/>
        <v>Peter</v>
      </c>
      <c r="AQ454" s="73" t="str">
        <f>IFERROR(__xludf.DUMMYFUNCTION("IFNA(QUERY(transpose(AY454:BB454),""Select Col1 where Col1 is not null limit 1"",0))"),"Christian")</f>
        <v>Christian</v>
      </c>
      <c r="AR454" s="56"/>
      <c r="AS454" s="28" t="str">
        <f t="shared" ref="AS454:AV454" si="4008">IF(AK454=AS$3,"",AS$3)</f>
        <v/>
      </c>
      <c r="AT454" s="28" t="str">
        <f t="shared" si="4008"/>
        <v>Peter</v>
      </c>
      <c r="AU454" s="28" t="str">
        <f t="shared" si="4008"/>
        <v/>
      </c>
      <c r="AV454" s="28" t="str">
        <f t="shared" si="4008"/>
        <v>Christian</v>
      </c>
      <c r="AW454" s="56">
        <f t="shared" si="28"/>
        <v>2</v>
      </c>
      <c r="AX454" s="28">
        <f t="shared" si="29"/>
        <v>-32</v>
      </c>
      <c r="AY454" s="28" t="str">
        <f t="shared" ref="AY454:BB454" si="4009">IFNA(IFS(AY$3=$AP454,"",$AX454=U454,AY$3),"")</f>
        <v/>
      </c>
      <c r="AZ454" s="28" t="str">
        <f t="shared" si="4009"/>
        <v/>
      </c>
      <c r="BA454" s="28" t="str">
        <f t="shared" si="4009"/>
        <v/>
      </c>
      <c r="BB454" s="28" t="str">
        <f t="shared" si="4009"/>
        <v>Christian</v>
      </c>
      <c r="BC454" s="58">
        <f>OFFSET('00_Regnskab_01'!$A$1,MATCH(A454,'00_Regnskab_01'!$A$1:$A$25)-1,2)</f>
        <v>45085</v>
      </c>
      <c r="BE454" s="80">
        <f t="shared" ref="BE454:BH454" si="4010">if(U454&gt;0,1+BE453,0)</f>
        <v>1</v>
      </c>
      <c r="BF454" s="28">
        <f t="shared" si="4010"/>
        <v>0</v>
      </c>
      <c r="BG454" s="28">
        <f t="shared" si="4010"/>
        <v>2</v>
      </c>
      <c r="BH454" s="28">
        <f t="shared" si="4010"/>
        <v>0</v>
      </c>
      <c r="BJ454" s="28">
        <f t="shared" ref="BJ454:BM454" si="4011">if(U454&lt;0,1+BJ453,0)</f>
        <v>0</v>
      </c>
      <c r="BK454" s="28">
        <f t="shared" si="4011"/>
        <v>1</v>
      </c>
      <c r="BL454" s="28">
        <f t="shared" si="4011"/>
        <v>0</v>
      </c>
      <c r="BM454" s="28">
        <f t="shared" si="4011"/>
        <v>2</v>
      </c>
      <c r="BO454" s="74">
        <f t="shared" ref="BO454:BR454" si="4012">if(U454&gt;0,U454+BO453,0)</f>
        <v>32</v>
      </c>
      <c r="BP454" s="74">
        <f t="shared" si="4012"/>
        <v>0</v>
      </c>
      <c r="BQ454" s="74">
        <f t="shared" si="4012"/>
        <v>48</v>
      </c>
      <c r="BR454" s="74">
        <f t="shared" si="4012"/>
        <v>0</v>
      </c>
      <c r="BT454" s="28">
        <f t="shared" ref="BT454:BW454" si="4013">if(U454&lt;0,U454+BT453,0)</f>
        <v>0</v>
      </c>
      <c r="BU454" s="28">
        <f t="shared" si="4013"/>
        <v>-32</v>
      </c>
      <c r="BV454" s="28">
        <f t="shared" si="4013"/>
        <v>0</v>
      </c>
      <c r="BW454" s="28">
        <f t="shared" si="4013"/>
        <v>-48</v>
      </c>
    </row>
    <row r="455">
      <c r="A455" s="53">
        <v>21.0</v>
      </c>
      <c r="B455" s="28">
        <f>'21_08-06-2023'!A7</f>
        <v>5</v>
      </c>
      <c r="C455" s="28">
        <f>'21_08-06-2023'!C7</f>
        <v>-28</v>
      </c>
      <c r="D455" s="28">
        <f>'21_08-06-2023'!E7</f>
        <v>28</v>
      </c>
      <c r="E455" s="28">
        <f>'21_08-06-2023'!D7</f>
        <v>-20</v>
      </c>
      <c r="F455" s="28">
        <f>'21_08-06-2023'!B7</f>
        <v>20</v>
      </c>
      <c r="G455" s="28">
        <f>'21_08-06-2023'!F7</f>
        <v>0</v>
      </c>
      <c r="H455" s="28" t="str">
        <f>'21_08-06-2023'!H7</f>
        <v>Thomas</v>
      </c>
      <c r="I455" s="28" t="str">
        <f>'21_08-06-2023'!I7</f>
        <v>Janus</v>
      </c>
      <c r="J455" s="76" t="str">
        <f>'21_08-06-2023'!J7</f>
        <v>Christian</v>
      </c>
      <c r="K455" s="28" t="str">
        <f>'21_08-06-2023'!G7</f>
        <v>8 gode</v>
      </c>
      <c r="L455" s="56"/>
      <c r="M455" s="25">
        <v>8.0</v>
      </c>
      <c r="N455" s="25" t="s">
        <v>95</v>
      </c>
      <c r="T455" s="56"/>
      <c r="U455" s="77">
        <f t="shared" ref="U455:X455" si="4014">C455-C454</f>
        <v>8</v>
      </c>
      <c r="V455" s="28">
        <f t="shared" si="4014"/>
        <v>-8</v>
      </c>
      <c r="W455" s="28">
        <f t="shared" si="4014"/>
        <v>8</v>
      </c>
      <c r="X455" s="28">
        <f t="shared" si="4014"/>
        <v>-8</v>
      </c>
      <c r="AB455" s="28">
        <f t="shared" ref="AB455:AE455" si="4015">IF(AB$3=$H455,U455,"")</f>
        <v>8</v>
      </c>
      <c r="AC455" s="28" t="str">
        <f t="shared" si="4015"/>
        <v/>
      </c>
      <c r="AD455" s="28" t="str">
        <f t="shared" si="4015"/>
        <v/>
      </c>
      <c r="AE455" s="28" t="str">
        <f t="shared" si="4015"/>
        <v/>
      </c>
      <c r="AH455" s="28">
        <f t="shared" si="22"/>
        <v>8</v>
      </c>
      <c r="AI455" s="28">
        <f t="shared" si="23"/>
        <v>0</v>
      </c>
      <c r="AK455" s="78" t="str">
        <f t="shared" ref="AK455:AN455" si="4016">IF(U455&gt;0,AK$3,"")</f>
        <v>Thomas</v>
      </c>
      <c r="AL455" s="78" t="str">
        <f t="shared" si="4016"/>
        <v/>
      </c>
      <c r="AM455" s="78" t="str">
        <f t="shared" si="4016"/>
        <v>Janus</v>
      </c>
      <c r="AN455" s="78" t="str">
        <f t="shared" si="4016"/>
        <v/>
      </c>
      <c r="AO455" s="56">
        <f t="shared" si="25"/>
        <v>2</v>
      </c>
      <c r="AP455" s="8" t="str">
        <f t="shared" si="26"/>
        <v>Thomas</v>
      </c>
      <c r="AQ455" s="73" t="str">
        <f>IFERROR(__xludf.DUMMYFUNCTION("IFNA(QUERY(transpose(AY455:BB455),""Select Col1 where Col1 is not null limit 1"",0))"),"Janus")</f>
        <v>Janus</v>
      </c>
      <c r="AR455" s="56"/>
      <c r="AS455" s="28" t="str">
        <f t="shared" ref="AS455:AV455" si="4017">IF(AK455=AS$3,"",AS$3)</f>
        <v/>
      </c>
      <c r="AT455" s="28" t="str">
        <f t="shared" si="4017"/>
        <v>Peter</v>
      </c>
      <c r="AU455" s="28" t="str">
        <f t="shared" si="4017"/>
        <v/>
      </c>
      <c r="AV455" s="28" t="str">
        <f t="shared" si="4017"/>
        <v>Christian</v>
      </c>
      <c r="AW455" s="56">
        <f t="shared" si="28"/>
        <v>2</v>
      </c>
      <c r="AX455" s="28">
        <f t="shared" si="29"/>
        <v>8</v>
      </c>
      <c r="AY455" s="28" t="str">
        <f t="shared" ref="AY455:BB455" si="4018">IFNA(IFS(AY$3=$AP455,"",$AX455=U455,AY$3),"")</f>
        <v/>
      </c>
      <c r="AZ455" s="28" t="str">
        <f t="shared" si="4018"/>
        <v/>
      </c>
      <c r="BA455" s="28" t="str">
        <f t="shared" si="4018"/>
        <v>Janus</v>
      </c>
      <c r="BB455" s="28" t="str">
        <f t="shared" si="4018"/>
        <v/>
      </c>
      <c r="BC455" s="58">
        <f>OFFSET('00_Regnskab_01'!$A$1,MATCH(A455,'00_Regnskab_01'!$A$1:$A$25)-1,2)</f>
        <v>45085</v>
      </c>
      <c r="BE455" s="80">
        <f t="shared" ref="BE455:BH455" si="4019">if(U455&gt;0,1+BE454,0)</f>
        <v>2</v>
      </c>
      <c r="BF455" s="28">
        <f t="shared" si="4019"/>
        <v>0</v>
      </c>
      <c r="BG455" s="28">
        <f t="shared" si="4019"/>
        <v>3</v>
      </c>
      <c r="BH455" s="28">
        <f t="shared" si="4019"/>
        <v>0</v>
      </c>
      <c r="BJ455" s="28">
        <f t="shared" ref="BJ455:BM455" si="4020">if(U455&lt;0,1+BJ454,0)</f>
        <v>0</v>
      </c>
      <c r="BK455" s="28">
        <f t="shared" si="4020"/>
        <v>2</v>
      </c>
      <c r="BL455" s="28">
        <f t="shared" si="4020"/>
        <v>0</v>
      </c>
      <c r="BM455" s="28">
        <f t="shared" si="4020"/>
        <v>3</v>
      </c>
      <c r="BO455" s="74">
        <f t="shared" ref="BO455:BR455" si="4021">if(U455&gt;0,U455+BO454,0)</f>
        <v>40</v>
      </c>
      <c r="BP455" s="74">
        <f t="shared" si="4021"/>
        <v>0</v>
      </c>
      <c r="BQ455" s="74">
        <f t="shared" si="4021"/>
        <v>56</v>
      </c>
      <c r="BR455" s="74">
        <f t="shared" si="4021"/>
        <v>0</v>
      </c>
      <c r="BT455" s="28">
        <f t="shared" ref="BT455:BW455" si="4022">if(U455&lt;0,U455+BT454,0)</f>
        <v>0</v>
      </c>
      <c r="BU455" s="28">
        <f t="shared" si="4022"/>
        <v>-40</v>
      </c>
      <c r="BV455" s="28">
        <f t="shared" si="4022"/>
        <v>0</v>
      </c>
      <c r="BW455" s="28">
        <f t="shared" si="4022"/>
        <v>-56</v>
      </c>
    </row>
    <row r="456">
      <c r="A456" s="53">
        <v>21.0</v>
      </c>
      <c r="B456" s="28">
        <f>'21_08-06-2023'!A8</f>
        <v>6</v>
      </c>
      <c r="C456" s="28">
        <f>'21_08-06-2023'!C8</f>
        <v>-20</v>
      </c>
      <c r="D456" s="28">
        <f>'21_08-06-2023'!E8</f>
        <v>36</v>
      </c>
      <c r="E456" s="28">
        <f>'21_08-06-2023'!D8</f>
        <v>-12</v>
      </c>
      <c r="F456" s="28">
        <f>'21_08-06-2023'!B8</f>
        <v>-4</v>
      </c>
      <c r="G456" s="28">
        <f>'21_08-06-2023'!F8</f>
        <v>0</v>
      </c>
      <c r="H456" s="28" t="str">
        <f>'21_08-06-2023'!H8</f>
        <v>Christian</v>
      </c>
      <c r="I456" s="28" t="str">
        <f>'21_08-06-2023'!I8</f>
        <v/>
      </c>
      <c r="J456" s="76" t="str">
        <f>'21_08-06-2023'!J8</f>
        <v>Thomas</v>
      </c>
      <c r="K456" s="28" t="str">
        <f>'21_08-06-2023'!G8</f>
        <v>Ren sol</v>
      </c>
      <c r="L456" s="56"/>
      <c r="N456" s="25" t="s">
        <v>97</v>
      </c>
      <c r="T456" s="56"/>
      <c r="U456" s="77">
        <f t="shared" ref="U456:X456" si="4023">C456-C455</f>
        <v>8</v>
      </c>
      <c r="V456" s="28">
        <f t="shared" si="4023"/>
        <v>8</v>
      </c>
      <c r="W456" s="28">
        <f t="shared" si="4023"/>
        <v>8</v>
      </c>
      <c r="X456" s="28">
        <f t="shared" si="4023"/>
        <v>-24</v>
      </c>
      <c r="AB456" s="28" t="str">
        <f t="shared" ref="AB456:AE456" si="4024">IF(AB$3=$H456,U456,"")</f>
        <v/>
      </c>
      <c r="AC456" s="28" t="str">
        <f t="shared" si="4024"/>
        <v/>
      </c>
      <c r="AD456" s="28" t="str">
        <f t="shared" si="4024"/>
        <v/>
      </c>
      <c r="AE456" s="28">
        <f t="shared" si="4024"/>
        <v>-24</v>
      </c>
      <c r="AH456" s="28">
        <f t="shared" si="22"/>
        <v>0</v>
      </c>
      <c r="AI456" s="28">
        <f t="shared" si="23"/>
        <v>-24</v>
      </c>
      <c r="AK456" s="78" t="str">
        <f t="shared" ref="AK456:AN456" si="4025">IF(U456&gt;0,AK$3,"")</f>
        <v>Thomas</v>
      </c>
      <c r="AL456" s="78" t="str">
        <f t="shared" si="4025"/>
        <v>Peter</v>
      </c>
      <c r="AM456" s="78" t="str">
        <f t="shared" si="4025"/>
        <v>Janus</v>
      </c>
      <c r="AN456" s="78" t="str">
        <f t="shared" si="4025"/>
        <v/>
      </c>
      <c r="AO456" s="56">
        <f t="shared" si="25"/>
        <v>3</v>
      </c>
      <c r="AP456" s="8" t="str">
        <f t="shared" si="26"/>
        <v>Christian</v>
      </c>
      <c r="AQ456" s="73" t="str">
        <f>IFERROR(__xludf.DUMMYFUNCTION("IFNA(QUERY(transpose(AY456:BB456),""Select Col1 where Col1 is not null limit 1"",0))"),"")</f>
        <v/>
      </c>
      <c r="AR456" s="56"/>
      <c r="AS456" s="28" t="str">
        <f t="shared" ref="AS456:AV456" si="4026">IF(AK456=AS$3,"",AS$3)</f>
        <v/>
      </c>
      <c r="AT456" s="28" t="str">
        <f t="shared" si="4026"/>
        <v/>
      </c>
      <c r="AU456" s="28" t="str">
        <f t="shared" si="4026"/>
        <v/>
      </c>
      <c r="AV456" s="28" t="str">
        <f t="shared" si="4026"/>
        <v>Christian</v>
      </c>
      <c r="AW456" s="56">
        <f t="shared" si="28"/>
        <v>1</v>
      </c>
      <c r="AX456" s="28">
        <f t="shared" si="29"/>
        <v>-24</v>
      </c>
      <c r="AY456" s="28" t="str">
        <f t="shared" ref="AY456:BB456" si="4027">IFNA(IFS(AY$3=$AP456,"",$AX456=U456,AY$3),"")</f>
        <v/>
      </c>
      <c r="AZ456" s="28" t="str">
        <f t="shared" si="4027"/>
        <v/>
      </c>
      <c r="BA456" s="28" t="str">
        <f t="shared" si="4027"/>
        <v/>
      </c>
      <c r="BB456" s="28" t="str">
        <f t="shared" si="4027"/>
        <v/>
      </c>
      <c r="BC456" s="58">
        <f>OFFSET('00_Regnskab_01'!$A$1,MATCH(A456,'00_Regnskab_01'!$A$1:$A$25)-1,2)</f>
        <v>45085</v>
      </c>
      <c r="BE456" s="80">
        <f t="shared" ref="BE456:BH456" si="4028">if(U456&gt;0,1+BE455,0)</f>
        <v>3</v>
      </c>
      <c r="BF456" s="28">
        <f t="shared" si="4028"/>
        <v>1</v>
      </c>
      <c r="BG456" s="28">
        <f t="shared" si="4028"/>
        <v>4</v>
      </c>
      <c r="BH456" s="28">
        <f t="shared" si="4028"/>
        <v>0</v>
      </c>
      <c r="BJ456" s="28">
        <f t="shared" ref="BJ456:BM456" si="4029">if(U456&lt;0,1+BJ455,0)</f>
        <v>0</v>
      </c>
      <c r="BK456" s="28">
        <f t="shared" si="4029"/>
        <v>0</v>
      </c>
      <c r="BL456" s="28">
        <f t="shared" si="4029"/>
        <v>0</v>
      </c>
      <c r="BM456" s="28">
        <f t="shared" si="4029"/>
        <v>4</v>
      </c>
      <c r="BO456" s="74">
        <f t="shared" ref="BO456:BR456" si="4030">if(U456&gt;0,U456+BO455,0)</f>
        <v>48</v>
      </c>
      <c r="BP456" s="74">
        <f t="shared" si="4030"/>
        <v>8</v>
      </c>
      <c r="BQ456" s="74">
        <f t="shared" si="4030"/>
        <v>64</v>
      </c>
      <c r="BR456" s="74">
        <f t="shared" si="4030"/>
        <v>0</v>
      </c>
      <c r="BT456" s="28">
        <f t="shared" ref="BT456:BW456" si="4031">if(U456&lt;0,U456+BT455,0)</f>
        <v>0</v>
      </c>
      <c r="BU456" s="28">
        <f t="shared" si="4031"/>
        <v>0</v>
      </c>
      <c r="BV456" s="28">
        <f t="shared" si="4031"/>
        <v>0</v>
      </c>
      <c r="BW456" s="28">
        <f t="shared" si="4031"/>
        <v>-80</v>
      </c>
    </row>
    <row r="457">
      <c r="A457" s="53">
        <v>21.0</v>
      </c>
      <c r="B457" s="28">
        <f>'21_08-06-2023'!A9</f>
        <v>7</v>
      </c>
      <c r="C457" s="28">
        <f>'21_08-06-2023'!C9</f>
        <v>-28</v>
      </c>
      <c r="D457" s="28">
        <f>'21_08-06-2023'!E9</f>
        <v>44</v>
      </c>
      <c r="E457" s="28">
        <f>'21_08-06-2023'!D9</f>
        <v>-20</v>
      </c>
      <c r="F457" s="28">
        <f>'21_08-06-2023'!B9</f>
        <v>4</v>
      </c>
      <c r="G457" s="28">
        <f>'21_08-06-2023'!F9</f>
        <v>0</v>
      </c>
      <c r="H457" s="28" t="str">
        <f>'21_08-06-2023'!H9</f>
        <v>Christian</v>
      </c>
      <c r="I457" s="28" t="str">
        <f>'21_08-06-2023'!I9</f>
        <v>Peter</v>
      </c>
      <c r="J457" s="76" t="str">
        <f>'21_08-06-2023'!J9</f>
        <v>Janus</v>
      </c>
      <c r="K457" s="28" t="str">
        <f>'21_08-06-2023'!G9</f>
        <v>9 gode</v>
      </c>
      <c r="L457" s="56"/>
      <c r="M457" s="25">
        <v>9.0</v>
      </c>
      <c r="N457" s="25" t="s">
        <v>95</v>
      </c>
      <c r="T457" s="56"/>
      <c r="U457" s="77">
        <f t="shared" ref="U457:X457" si="4032">C457-C456</f>
        <v>-8</v>
      </c>
      <c r="V457" s="28">
        <f t="shared" si="4032"/>
        <v>8</v>
      </c>
      <c r="W457" s="28">
        <f t="shared" si="4032"/>
        <v>-8</v>
      </c>
      <c r="X457" s="28">
        <f t="shared" si="4032"/>
        <v>8</v>
      </c>
      <c r="AB457" s="28" t="str">
        <f t="shared" ref="AB457:AE457" si="4033">IF(AB$3=$H457,U457,"")</f>
        <v/>
      </c>
      <c r="AC457" s="28" t="str">
        <f t="shared" si="4033"/>
        <v/>
      </c>
      <c r="AD457" s="28" t="str">
        <f t="shared" si="4033"/>
        <v/>
      </c>
      <c r="AE457" s="28">
        <f t="shared" si="4033"/>
        <v>8</v>
      </c>
      <c r="AH457" s="28">
        <f t="shared" si="22"/>
        <v>8</v>
      </c>
      <c r="AI457" s="28">
        <f t="shared" si="23"/>
        <v>0</v>
      </c>
      <c r="AK457" s="78" t="str">
        <f t="shared" ref="AK457:AN457" si="4034">IF(U457&gt;0,AK$3,"")</f>
        <v/>
      </c>
      <c r="AL457" s="78" t="str">
        <f t="shared" si="4034"/>
        <v>Peter</v>
      </c>
      <c r="AM457" s="78" t="str">
        <f t="shared" si="4034"/>
        <v/>
      </c>
      <c r="AN457" s="78" t="str">
        <f t="shared" si="4034"/>
        <v>Christian</v>
      </c>
      <c r="AO457" s="56">
        <f t="shared" si="25"/>
        <v>2</v>
      </c>
      <c r="AP457" s="8" t="str">
        <f t="shared" si="26"/>
        <v>Christian</v>
      </c>
      <c r="AQ457" s="73" t="str">
        <f>IFERROR(__xludf.DUMMYFUNCTION("IFNA(QUERY(transpose(AY457:BB457),""Select Col1 where Col1 is not null limit 1"",0))"),"Peter")</f>
        <v>Peter</v>
      </c>
      <c r="AR457" s="56"/>
      <c r="AS457" s="28" t="str">
        <f t="shared" ref="AS457:AV457" si="4035">IF(AK457=AS$3,"",AS$3)</f>
        <v>Thomas</v>
      </c>
      <c r="AT457" s="28" t="str">
        <f t="shared" si="4035"/>
        <v/>
      </c>
      <c r="AU457" s="28" t="str">
        <f t="shared" si="4035"/>
        <v>Janus</v>
      </c>
      <c r="AV457" s="28" t="str">
        <f t="shared" si="4035"/>
        <v/>
      </c>
      <c r="AW457" s="56">
        <f t="shared" si="28"/>
        <v>2</v>
      </c>
      <c r="AX457" s="28">
        <f t="shared" si="29"/>
        <v>8</v>
      </c>
      <c r="AY457" s="28" t="str">
        <f t="shared" ref="AY457:BB457" si="4036">IFNA(IFS(AY$3=$AP457,"",$AX457=U457,AY$3),"")</f>
        <v/>
      </c>
      <c r="AZ457" s="28" t="str">
        <f t="shared" si="4036"/>
        <v>Peter</v>
      </c>
      <c r="BA457" s="28" t="str">
        <f t="shared" si="4036"/>
        <v/>
      </c>
      <c r="BB457" s="28" t="str">
        <f t="shared" si="4036"/>
        <v/>
      </c>
      <c r="BC457" s="58">
        <f>OFFSET('00_Regnskab_01'!$A$1,MATCH(A457,'00_Regnskab_01'!$A$1:$A$25)-1,2)</f>
        <v>45085</v>
      </c>
      <c r="BE457" s="80">
        <f t="shared" ref="BE457:BH457" si="4037">if(U457&gt;0,1+BE456,0)</f>
        <v>0</v>
      </c>
      <c r="BF457" s="28">
        <f t="shared" si="4037"/>
        <v>2</v>
      </c>
      <c r="BG457" s="28">
        <f t="shared" si="4037"/>
        <v>0</v>
      </c>
      <c r="BH457" s="28">
        <f t="shared" si="4037"/>
        <v>1</v>
      </c>
      <c r="BJ457" s="28">
        <f t="shared" ref="BJ457:BM457" si="4038">if(U457&lt;0,1+BJ456,0)</f>
        <v>1</v>
      </c>
      <c r="BK457" s="28">
        <f t="shared" si="4038"/>
        <v>0</v>
      </c>
      <c r="BL457" s="28">
        <f t="shared" si="4038"/>
        <v>1</v>
      </c>
      <c r="BM457" s="28">
        <f t="shared" si="4038"/>
        <v>0</v>
      </c>
      <c r="BO457" s="74">
        <f t="shared" ref="BO457:BR457" si="4039">if(U457&gt;0,U457+BO456,0)</f>
        <v>0</v>
      </c>
      <c r="BP457" s="74">
        <f t="shared" si="4039"/>
        <v>16</v>
      </c>
      <c r="BQ457" s="74">
        <f t="shared" si="4039"/>
        <v>0</v>
      </c>
      <c r="BR457" s="74">
        <f t="shared" si="4039"/>
        <v>8</v>
      </c>
      <c r="BT457" s="28">
        <f t="shared" ref="BT457:BW457" si="4040">if(U457&lt;0,U457+BT456,0)</f>
        <v>-8</v>
      </c>
      <c r="BU457" s="28">
        <f t="shared" si="4040"/>
        <v>0</v>
      </c>
      <c r="BV457" s="28">
        <f t="shared" si="4040"/>
        <v>-8</v>
      </c>
      <c r="BW457" s="28">
        <f t="shared" si="4040"/>
        <v>0</v>
      </c>
    </row>
    <row r="458">
      <c r="A458" s="53">
        <v>21.0</v>
      </c>
      <c r="B458" s="28">
        <f>'21_08-06-2023'!A10</f>
        <v>8</v>
      </c>
      <c r="C458" s="28">
        <f>'21_08-06-2023'!C10</f>
        <v>-88</v>
      </c>
      <c r="D458" s="28">
        <f>'21_08-06-2023'!E10</f>
        <v>64</v>
      </c>
      <c r="E458" s="28">
        <f>'21_08-06-2023'!D10</f>
        <v>0</v>
      </c>
      <c r="F458" s="28">
        <f>'21_08-06-2023'!B10</f>
        <v>24</v>
      </c>
      <c r="G458" s="28">
        <f>'21_08-06-2023'!F10</f>
        <v>0</v>
      </c>
      <c r="H458" s="28" t="str">
        <f>'21_08-06-2023'!H10</f>
        <v>Thomas</v>
      </c>
      <c r="I458" s="28" t="str">
        <f>'21_08-06-2023'!I10</f>
        <v/>
      </c>
      <c r="J458" s="76" t="str">
        <f>'21_08-06-2023'!J10</f>
        <v>Peter</v>
      </c>
      <c r="K458" s="28" t="str">
        <f>'21_08-06-2023'!G10</f>
        <v>9 halve selvmakker ruder</v>
      </c>
      <c r="L458" s="56"/>
      <c r="M458" s="25">
        <v>9.0</v>
      </c>
      <c r="N458" s="25" t="s">
        <v>94</v>
      </c>
      <c r="R458" s="25" t="s">
        <v>15</v>
      </c>
      <c r="T458" s="56"/>
      <c r="U458" s="77">
        <f t="shared" ref="U458:X458" si="4041">C458-C457</f>
        <v>-60</v>
      </c>
      <c r="V458" s="28">
        <f t="shared" si="4041"/>
        <v>20</v>
      </c>
      <c r="W458" s="28">
        <f t="shared" si="4041"/>
        <v>20</v>
      </c>
      <c r="X458" s="28">
        <f t="shared" si="4041"/>
        <v>20</v>
      </c>
      <c r="AB458" s="28">
        <f t="shared" ref="AB458:AE458" si="4042">IF(AB$3=$H458,U458,"")</f>
        <v>-60</v>
      </c>
      <c r="AC458" s="28" t="str">
        <f t="shared" si="4042"/>
        <v/>
      </c>
      <c r="AD458" s="28" t="str">
        <f t="shared" si="4042"/>
        <v/>
      </c>
      <c r="AE458" s="28" t="str">
        <f t="shared" si="4042"/>
        <v/>
      </c>
      <c r="AH458" s="28">
        <f t="shared" si="22"/>
        <v>0</v>
      </c>
      <c r="AI458" s="28">
        <f t="shared" si="23"/>
        <v>-60</v>
      </c>
      <c r="AK458" s="78" t="str">
        <f t="shared" ref="AK458:AN458" si="4043">IF(U458&gt;0,AK$3,"")</f>
        <v/>
      </c>
      <c r="AL458" s="78" t="str">
        <f t="shared" si="4043"/>
        <v>Peter</v>
      </c>
      <c r="AM458" s="78" t="str">
        <f t="shared" si="4043"/>
        <v>Janus</v>
      </c>
      <c r="AN458" s="78" t="str">
        <f t="shared" si="4043"/>
        <v>Christian</v>
      </c>
      <c r="AO458" s="56">
        <f t="shared" si="25"/>
        <v>3</v>
      </c>
      <c r="AP458" s="8" t="str">
        <f t="shared" si="26"/>
        <v>Thomas</v>
      </c>
      <c r="AQ458" s="73" t="str">
        <f>IFERROR(__xludf.DUMMYFUNCTION("IFNA(QUERY(transpose(AY458:BB458),""Select Col1 where Col1 is not null limit 1"",0))"),"")</f>
        <v/>
      </c>
      <c r="AR458" s="56"/>
      <c r="AS458" s="28" t="str">
        <f t="shared" ref="AS458:AV458" si="4044">IF(AK458=AS$3,"",AS$3)</f>
        <v>Thomas</v>
      </c>
      <c r="AT458" s="28" t="str">
        <f t="shared" si="4044"/>
        <v/>
      </c>
      <c r="AU458" s="28" t="str">
        <f t="shared" si="4044"/>
        <v/>
      </c>
      <c r="AV458" s="28" t="str">
        <f t="shared" si="4044"/>
        <v/>
      </c>
      <c r="AW458" s="56">
        <f t="shared" si="28"/>
        <v>1</v>
      </c>
      <c r="AX458" s="28">
        <f t="shared" si="29"/>
        <v>-60</v>
      </c>
      <c r="AY458" s="28" t="str">
        <f t="shared" ref="AY458:BB458" si="4045">IFNA(IFS(AY$3=$AP458,"",$AX458=U458,AY$3),"")</f>
        <v/>
      </c>
      <c r="AZ458" s="28" t="str">
        <f t="shared" si="4045"/>
        <v/>
      </c>
      <c r="BA458" s="28" t="str">
        <f t="shared" si="4045"/>
        <v/>
      </c>
      <c r="BB458" s="28" t="str">
        <f t="shared" si="4045"/>
        <v/>
      </c>
      <c r="BC458" s="58">
        <f>OFFSET('00_Regnskab_01'!$A$1,MATCH(A458,'00_Regnskab_01'!$A$1:$A$25)-1,2)</f>
        <v>45085</v>
      </c>
      <c r="BE458" s="80">
        <f t="shared" ref="BE458:BH458" si="4046">if(U458&gt;0,1+BE457,0)</f>
        <v>0</v>
      </c>
      <c r="BF458" s="28">
        <f t="shared" si="4046"/>
        <v>3</v>
      </c>
      <c r="BG458" s="28">
        <f t="shared" si="4046"/>
        <v>1</v>
      </c>
      <c r="BH458" s="28">
        <f t="shared" si="4046"/>
        <v>2</v>
      </c>
      <c r="BJ458" s="28">
        <f t="shared" ref="BJ458:BM458" si="4047">if(U458&lt;0,1+BJ457,0)</f>
        <v>2</v>
      </c>
      <c r="BK458" s="28">
        <f t="shared" si="4047"/>
        <v>0</v>
      </c>
      <c r="BL458" s="28">
        <f t="shared" si="4047"/>
        <v>0</v>
      </c>
      <c r="BM458" s="28">
        <f t="shared" si="4047"/>
        <v>0</v>
      </c>
      <c r="BO458" s="74">
        <f t="shared" ref="BO458:BR458" si="4048">if(U458&gt;0,U458+BO457,0)</f>
        <v>0</v>
      </c>
      <c r="BP458" s="74">
        <f t="shared" si="4048"/>
        <v>36</v>
      </c>
      <c r="BQ458" s="74">
        <f t="shared" si="4048"/>
        <v>20</v>
      </c>
      <c r="BR458" s="74">
        <f t="shared" si="4048"/>
        <v>28</v>
      </c>
      <c r="BT458" s="28">
        <f t="shared" ref="BT458:BW458" si="4049">if(U458&lt;0,U458+BT457,0)</f>
        <v>-68</v>
      </c>
      <c r="BU458" s="28">
        <f t="shared" si="4049"/>
        <v>0</v>
      </c>
      <c r="BV458" s="28">
        <f t="shared" si="4049"/>
        <v>0</v>
      </c>
      <c r="BW458" s="28">
        <f t="shared" si="4049"/>
        <v>0</v>
      </c>
    </row>
    <row r="459">
      <c r="A459" s="53">
        <v>21.0</v>
      </c>
      <c r="B459" s="28">
        <f>'21_08-06-2023'!A11</f>
        <v>9</v>
      </c>
      <c r="C459" s="28">
        <f>'21_08-06-2023'!C11</f>
        <v>-112</v>
      </c>
      <c r="D459" s="28">
        <f>'21_08-06-2023'!E11</f>
        <v>40</v>
      </c>
      <c r="E459" s="28">
        <f>'21_08-06-2023'!D11</f>
        <v>24</v>
      </c>
      <c r="F459" s="28">
        <f>'21_08-06-2023'!B11</f>
        <v>48</v>
      </c>
      <c r="G459" s="28">
        <f>'21_08-06-2023'!F11</f>
        <v>0</v>
      </c>
      <c r="H459" s="28" t="str">
        <f>'21_08-06-2023'!H11</f>
        <v>Thomas</v>
      </c>
      <c r="I459" s="28" t="str">
        <f>'21_08-06-2023'!I11</f>
        <v>Christian</v>
      </c>
      <c r="J459" s="76" t="str">
        <f>'21_08-06-2023'!J11</f>
        <v>Christian</v>
      </c>
      <c r="K459" s="28" t="str">
        <f>'21_08-06-2023'!G11</f>
        <v>8 vip i 3. </v>
      </c>
      <c r="L459" s="56"/>
      <c r="M459" s="25">
        <v>8.0</v>
      </c>
      <c r="N459" s="25" t="s">
        <v>86</v>
      </c>
      <c r="O459" s="25">
        <v>3.0</v>
      </c>
      <c r="T459" s="56"/>
      <c r="U459" s="77">
        <f t="shared" ref="U459:X459" si="4050">C459-C458</f>
        <v>-24</v>
      </c>
      <c r="V459" s="28">
        <f t="shared" si="4050"/>
        <v>-24</v>
      </c>
      <c r="W459" s="28">
        <f t="shared" si="4050"/>
        <v>24</v>
      </c>
      <c r="X459" s="28">
        <f t="shared" si="4050"/>
        <v>24</v>
      </c>
      <c r="AB459" s="28">
        <f t="shared" ref="AB459:AE459" si="4051">IF(AB$3=$H459,U459,"")</f>
        <v>-24</v>
      </c>
      <c r="AC459" s="28" t="str">
        <f t="shared" si="4051"/>
        <v/>
      </c>
      <c r="AD459" s="28" t="str">
        <f t="shared" si="4051"/>
        <v/>
      </c>
      <c r="AE459" s="28" t="str">
        <f t="shared" si="4051"/>
        <v/>
      </c>
      <c r="AH459" s="28">
        <f t="shared" si="22"/>
        <v>0</v>
      </c>
      <c r="AI459" s="28">
        <f t="shared" si="23"/>
        <v>-24</v>
      </c>
      <c r="AK459" s="78" t="str">
        <f t="shared" ref="AK459:AN459" si="4052">IF(U459&gt;0,AK$3,"")</f>
        <v/>
      </c>
      <c r="AL459" s="78" t="str">
        <f t="shared" si="4052"/>
        <v/>
      </c>
      <c r="AM459" s="78" t="str">
        <f t="shared" si="4052"/>
        <v>Janus</v>
      </c>
      <c r="AN459" s="78" t="str">
        <f t="shared" si="4052"/>
        <v>Christian</v>
      </c>
      <c r="AO459" s="56">
        <f t="shared" si="25"/>
        <v>2</v>
      </c>
      <c r="AP459" s="8" t="str">
        <f t="shared" si="26"/>
        <v>Thomas</v>
      </c>
      <c r="AQ459" s="73" t="str">
        <f>IFERROR(__xludf.DUMMYFUNCTION("IFNA(QUERY(transpose(AY459:BB459),""Select Col1 where Col1 is not null limit 1"",0))"),"Peter")</f>
        <v>Peter</v>
      </c>
      <c r="AR459" s="56"/>
      <c r="AS459" s="28" t="str">
        <f t="shared" ref="AS459:AV459" si="4053">IF(AK459=AS$3,"",AS$3)</f>
        <v>Thomas</v>
      </c>
      <c r="AT459" s="28" t="str">
        <f t="shared" si="4053"/>
        <v>Peter</v>
      </c>
      <c r="AU459" s="28" t="str">
        <f t="shared" si="4053"/>
        <v/>
      </c>
      <c r="AV459" s="28" t="str">
        <f t="shared" si="4053"/>
        <v/>
      </c>
      <c r="AW459" s="56">
        <f t="shared" si="28"/>
        <v>2</v>
      </c>
      <c r="AX459" s="28">
        <f t="shared" si="29"/>
        <v>-24</v>
      </c>
      <c r="AY459" s="28" t="str">
        <f t="shared" ref="AY459:BB459" si="4054">IFNA(IFS(AY$3=$AP459,"",$AX459=U459,AY$3),"")</f>
        <v/>
      </c>
      <c r="AZ459" s="28" t="str">
        <f t="shared" si="4054"/>
        <v>Peter</v>
      </c>
      <c r="BA459" s="28" t="str">
        <f t="shared" si="4054"/>
        <v/>
      </c>
      <c r="BB459" s="28" t="str">
        <f t="shared" si="4054"/>
        <v/>
      </c>
      <c r="BC459" s="58">
        <f>OFFSET('00_Regnskab_01'!$A$1,MATCH(A459,'00_Regnskab_01'!$A$1:$A$25)-1,2)</f>
        <v>45085</v>
      </c>
      <c r="BE459" s="80">
        <f t="shared" ref="BE459:BH459" si="4055">if(U459&gt;0,1+BE458,0)</f>
        <v>0</v>
      </c>
      <c r="BF459" s="28">
        <f t="shared" si="4055"/>
        <v>0</v>
      </c>
      <c r="BG459" s="28">
        <f t="shared" si="4055"/>
        <v>2</v>
      </c>
      <c r="BH459" s="28">
        <f t="shared" si="4055"/>
        <v>3</v>
      </c>
      <c r="BJ459" s="28">
        <f t="shared" ref="BJ459:BM459" si="4056">if(U459&lt;0,1+BJ458,0)</f>
        <v>3</v>
      </c>
      <c r="BK459" s="28">
        <f t="shared" si="4056"/>
        <v>1</v>
      </c>
      <c r="BL459" s="28">
        <f t="shared" si="4056"/>
        <v>0</v>
      </c>
      <c r="BM459" s="28">
        <f t="shared" si="4056"/>
        <v>0</v>
      </c>
      <c r="BO459" s="74">
        <f t="shared" ref="BO459:BR459" si="4057">if(U459&gt;0,U459+BO458,0)</f>
        <v>0</v>
      </c>
      <c r="BP459" s="74">
        <f t="shared" si="4057"/>
        <v>0</v>
      </c>
      <c r="BQ459" s="74">
        <f t="shared" si="4057"/>
        <v>44</v>
      </c>
      <c r="BR459" s="74">
        <f t="shared" si="4057"/>
        <v>52</v>
      </c>
      <c r="BT459" s="28">
        <f t="shared" ref="BT459:BW459" si="4058">if(U459&lt;0,U459+BT458,0)</f>
        <v>-92</v>
      </c>
      <c r="BU459" s="28">
        <f t="shared" si="4058"/>
        <v>-24</v>
      </c>
      <c r="BV459" s="28">
        <f t="shared" si="4058"/>
        <v>0</v>
      </c>
      <c r="BW459" s="28">
        <f t="shared" si="4058"/>
        <v>0</v>
      </c>
    </row>
    <row r="460">
      <c r="A460" s="53">
        <v>21.0</v>
      </c>
      <c r="B460" s="28">
        <f>'21_08-06-2023'!A12</f>
        <v>10</v>
      </c>
      <c r="C460" s="28">
        <f>'21_08-06-2023'!C12</f>
        <v>-104</v>
      </c>
      <c r="D460" s="28">
        <f>'21_08-06-2023'!E12</f>
        <v>48</v>
      </c>
      <c r="E460" s="28">
        <f>'21_08-06-2023'!D12</f>
        <v>32</v>
      </c>
      <c r="F460" s="28">
        <f>'21_08-06-2023'!B12</f>
        <v>24</v>
      </c>
      <c r="G460" s="28">
        <f>'21_08-06-2023'!F12</f>
        <v>0</v>
      </c>
      <c r="H460" s="28" t="str">
        <f>'21_08-06-2023'!H12</f>
        <v>Christian</v>
      </c>
      <c r="I460" s="28" t="str">
        <f>'21_08-06-2023'!I12</f>
        <v/>
      </c>
      <c r="J460" s="76" t="str">
        <f>'21_08-06-2023'!J12</f>
        <v>Thomas</v>
      </c>
      <c r="K460" s="28" t="str">
        <f>'21_08-06-2023'!G12</f>
        <v>ren sol</v>
      </c>
      <c r="L460" s="56"/>
      <c r="N460" s="25" t="s">
        <v>97</v>
      </c>
      <c r="T460" s="56"/>
      <c r="U460" s="77">
        <f t="shared" ref="U460:X460" si="4059">C460-C459</f>
        <v>8</v>
      </c>
      <c r="V460" s="28">
        <f t="shared" si="4059"/>
        <v>8</v>
      </c>
      <c r="W460" s="28">
        <f t="shared" si="4059"/>
        <v>8</v>
      </c>
      <c r="X460" s="28">
        <f t="shared" si="4059"/>
        <v>-24</v>
      </c>
      <c r="AB460" s="28" t="str">
        <f t="shared" ref="AB460:AE460" si="4060">IF(AB$3=$H460,U460,"")</f>
        <v/>
      </c>
      <c r="AC460" s="28" t="str">
        <f t="shared" si="4060"/>
        <v/>
      </c>
      <c r="AD460" s="28" t="str">
        <f t="shared" si="4060"/>
        <v/>
      </c>
      <c r="AE460" s="28">
        <f t="shared" si="4060"/>
        <v>-24</v>
      </c>
      <c r="AH460" s="28">
        <f t="shared" si="22"/>
        <v>0</v>
      </c>
      <c r="AI460" s="28">
        <f t="shared" si="23"/>
        <v>-24</v>
      </c>
      <c r="AK460" s="78" t="str">
        <f t="shared" ref="AK460:AN460" si="4061">IF(U460&gt;0,AK$3,"")</f>
        <v>Thomas</v>
      </c>
      <c r="AL460" s="78" t="str">
        <f t="shared" si="4061"/>
        <v>Peter</v>
      </c>
      <c r="AM460" s="78" t="str">
        <f t="shared" si="4061"/>
        <v>Janus</v>
      </c>
      <c r="AN460" s="78" t="str">
        <f t="shared" si="4061"/>
        <v/>
      </c>
      <c r="AO460" s="56">
        <f t="shared" si="25"/>
        <v>3</v>
      </c>
      <c r="AP460" s="8" t="str">
        <f t="shared" si="26"/>
        <v>Christian</v>
      </c>
      <c r="AQ460" s="73" t="str">
        <f>IFERROR(__xludf.DUMMYFUNCTION("IFNA(QUERY(transpose(AY460:BB460),""Select Col1 where Col1 is not null limit 1"",0))"),"")</f>
        <v/>
      </c>
      <c r="AR460" s="56"/>
      <c r="AS460" s="28" t="str">
        <f t="shared" ref="AS460:AV460" si="4062">IF(AK460=AS$3,"",AS$3)</f>
        <v/>
      </c>
      <c r="AT460" s="28" t="str">
        <f t="shared" si="4062"/>
        <v/>
      </c>
      <c r="AU460" s="28" t="str">
        <f t="shared" si="4062"/>
        <v/>
      </c>
      <c r="AV460" s="28" t="str">
        <f t="shared" si="4062"/>
        <v>Christian</v>
      </c>
      <c r="AW460" s="56">
        <f t="shared" si="28"/>
        <v>1</v>
      </c>
      <c r="AX460" s="28">
        <f t="shared" si="29"/>
        <v>-24</v>
      </c>
      <c r="AY460" s="28" t="str">
        <f t="shared" ref="AY460:BB460" si="4063">IFNA(IFS(AY$3=$AP460,"",$AX460=U460,AY$3),"")</f>
        <v/>
      </c>
      <c r="AZ460" s="28" t="str">
        <f t="shared" si="4063"/>
        <v/>
      </c>
      <c r="BA460" s="28" t="str">
        <f t="shared" si="4063"/>
        <v/>
      </c>
      <c r="BB460" s="28" t="str">
        <f t="shared" si="4063"/>
        <v/>
      </c>
      <c r="BC460" s="58">
        <f>OFFSET('00_Regnskab_01'!$A$1,MATCH(A460,'00_Regnskab_01'!$A$1:$A$25)-1,2)</f>
        <v>45085</v>
      </c>
      <c r="BE460" s="80">
        <f t="shared" ref="BE460:BH460" si="4064">if(U460&gt;0,1+BE459,0)</f>
        <v>1</v>
      </c>
      <c r="BF460" s="28">
        <f t="shared" si="4064"/>
        <v>1</v>
      </c>
      <c r="BG460" s="28">
        <f t="shared" si="4064"/>
        <v>3</v>
      </c>
      <c r="BH460" s="28">
        <f t="shared" si="4064"/>
        <v>0</v>
      </c>
      <c r="BJ460" s="28">
        <f t="shared" ref="BJ460:BM460" si="4065">if(U460&lt;0,1+BJ459,0)</f>
        <v>0</v>
      </c>
      <c r="BK460" s="28">
        <f t="shared" si="4065"/>
        <v>0</v>
      </c>
      <c r="BL460" s="28">
        <f t="shared" si="4065"/>
        <v>0</v>
      </c>
      <c r="BM460" s="28">
        <f t="shared" si="4065"/>
        <v>1</v>
      </c>
      <c r="BO460" s="74">
        <f t="shared" ref="BO460:BR460" si="4066">if(U460&gt;0,U460+BO459,0)</f>
        <v>8</v>
      </c>
      <c r="BP460" s="74">
        <f t="shared" si="4066"/>
        <v>8</v>
      </c>
      <c r="BQ460" s="74">
        <f t="shared" si="4066"/>
        <v>52</v>
      </c>
      <c r="BR460" s="74">
        <f t="shared" si="4066"/>
        <v>0</v>
      </c>
      <c r="BT460" s="28">
        <f t="shared" ref="BT460:BW460" si="4067">if(U460&lt;0,U460+BT459,0)</f>
        <v>0</v>
      </c>
      <c r="BU460" s="28">
        <f t="shared" si="4067"/>
        <v>0</v>
      </c>
      <c r="BV460" s="28">
        <f t="shared" si="4067"/>
        <v>0</v>
      </c>
      <c r="BW460" s="28">
        <f t="shared" si="4067"/>
        <v>-24</v>
      </c>
    </row>
    <row r="461">
      <c r="A461" s="53">
        <v>21.0</v>
      </c>
      <c r="B461" s="28">
        <f>'21_08-06-2023'!A13</f>
        <v>11</v>
      </c>
      <c r="C461" s="28">
        <f>'21_08-06-2023'!C13</f>
        <v>-96</v>
      </c>
      <c r="D461" s="28">
        <f>'21_08-06-2023'!E13</f>
        <v>40</v>
      </c>
      <c r="E461" s="28">
        <f>'21_08-06-2023'!D13</f>
        <v>40</v>
      </c>
      <c r="F461" s="28">
        <f>'21_08-06-2023'!B13</f>
        <v>16</v>
      </c>
      <c r="G461" s="28">
        <f>'21_08-06-2023'!F13</f>
        <v>0</v>
      </c>
      <c r="H461" s="28" t="str">
        <f>'21_08-06-2023'!H13</f>
        <v>Thomas</v>
      </c>
      <c r="I461" s="28" t="str">
        <f>'21_08-06-2023'!I13</f>
        <v>Janus</v>
      </c>
      <c r="J461" s="76" t="str">
        <f>'21_08-06-2023'!J13</f>
        <v>Janus</v>
      </c>
      <c r="K461" s="28" t="str">
        <f>'21_08-06-2023'!G13</f>
        <v>9 vip i 1.</v>
      </c>
      <c r="L461" s="56"/>
      <c r="M461" s="25">
        <v>9.0</v>
      </c>
      <c r="N461" s="25" t="s">
        <v>86</v>
      </c>
      <c r="O461" s="25">
        <v>1.0</v>
      </c>
      <c r="T461" s="56"/>
      <c r="U461" s="77">
        <f t="shared" ref="U461:X461" si="4068">C461-C460</f>
        <v>8</v>
      </c>
      <c r="V461" s="28">
        <f t="shared" si="4068"/>
        <v>-8</v>
      </c>
      <c r="W461" s="28">
        <f t="shared" si="4068"/>
        <v>8</v>
      </c>
      <c r="X461" s="28">
        <f t="shared" si="4068"/>
        <v>-8</v>
      </c>
      <c r="AB461" s="28">
        <f t="shared" ref="AB461:AE461" si="4069">IF(AB$3=$H461,U461,"")</f>
        <v>8</v>
      </c>
      <c r="AC461" s="28" t="str">
        <f t="shared" si="4069"/>
        <v/>
      </c>
      <c r="AD461" s="28" t="str">
        <f t="shared" si="4069"/>
        <v/>
      </c>
      <c r="AE461" s="28" t="str">
        <f t="shared" si="4069"/>
        <v/>
      </c>
      <c r="AH461" s="28">
        <f t="shared" si="22"/>
        <v>8</v>
      </c>
      <c r="AI461" s="28">
        <f t="shared" si="23"/>
        <v>0</v>
      </c>
      <c r="AK461" s="78" t="str">
        <f t="shared" ref="AK461:AN461" si="4070">IF(U461&gt;0,AK$3,"")</f>
        <v>Thomas</v>
      </c>
      <c r="AL461" s="78" t="str">
        <f t="shared" si="4070"/>
        <v/>
      </c>
      <c r="AM461" s="78" t="str">
        <f t="shared" si="4070"/>
        <v>Janus</v>
      </c>
      <c r="AN461" s="78" t="str">
        <f t="shared" si="4070"/>
        <v/>
      </c>
      <c r="AO461" s="56">
        <f t="shared" si="25"/>
        <v>2</v>
      </c>
      <c r="AP461" s="8" t="str">
        <f t="shared" si="26"/>
        <v>Thomas</v>
      </c>
      <c r="AQ461" s="73" t="str">
        <f>IFERROR(__xludf.DUMMYFUNCTION("IFNA(QUERY(transpose(AY461:BB461),""Select Col1 where Col1 is not null limit 1"",0))"),"Janus")</f>
        <v>Janus</v>
      </c>
      <c r="AR461" s="56"/>
      <c r="AS461" s="28" t="str">
        <f t="shared" ref="AS461:AV461" si="4071">IF(AK461=AS$3,"",AS$3)</f>
        <v/>
      </c>
      <c r="AT461" s="28" t="str">
        <f t="shared" si="4071"/>
        <v>Peter</v>
      </c>
      <c r="AU461" s="28" t="str">
        <f t="shared" si="4071"/>
        <v/>
      </c>
      <c r="AV461" s="28" t="str">
        <f t="shared" si="4071"/>
        <v>Christian</v>
      </c>
      <c r="AW461" s="56">
        <f t="shared" si="28"/>
        <v>2</v>
      </c>
      <c r="AX461" s="28">
        <f t="shared" si="29"/>
        <v>8</v>
      </c>
      <c r="AY461" s="28" t="str">
        <f t="shared" ref="AY461:BB461" si="4072">IFNA(IFS(AY$3=$AP461,"",$AX461=U461,AY$3),"")</f>
        <v/>
      </c>
      <c r="AZ461" s="28" t="str">
        <f t="shared" si="4072"/>
        <v/>
      </c>
      <c r="BA461" s="28" t="str">
        <f t="shared" si="4072"/>
        <v>Janus</v>
      </c>
      <c r="BB461" s="28" t="str">
        <f t="shared" si="4072"/>
        <v/>
      </c>
      <c r="BC461" s="58">
        <f>OFFSET('00_Regnskab_01'!$A$1,MATCH(A461,'00_Regnskab_01'!$A$1:$A$25)-1,2)</f>
        <v>45085</v>
      </c>
      <c r="BE461" s="80">
        <f t="shared" ref="BE461:BH461" si="4073">if(U461&gt;0,1+BE460,0)</f>
        <v>2</v>
      </c>
      <c r="BF461" s="28">
        <f t="shared" si="4073"/>
        <v>0</v>
      </c>
      <c r="BG461" s="28">
        <f t="shared" si="4073"/>
        <v>4</v>
      </c>
      <c r="BH461" s="28">
        <f t="shared" si="4073"/>
        <v>0</v>
      </c>
      <c r="BJ461" s="28">
        <f t="shared" ref="BJ461:BM461" si="4074">if(U461&lt;0,1+BJ460,0)</f>
        <v>0</v>
      </c>
      <c r="BK461" s="28">
        <f t="shared" si="4074"/>
        <v>1</v>
      </c>
      <c r="BL461" s="28">
        <f t="shared" si="4074"/>
        <v>0</v>
      </c>
      <c r="BM461" s="28">
        <f t="shared" si="4074"/>
        <v>2</v>
      </c>
      <c r="BO461" s="74">
        <f t="shared" ref="BO461:BR461" si="4075">if(U461&gt;0,U461+BO460,0)</f>
        <v>16</v>
      </c>
      <c r="BP461" s="74">
        <f t="shared" si="4075"/>
        <v>0</v>
      </c>
      <c r="BQ461" s="74">
        <f t="shared" si="4075"/>
        <v>60</v>
      </c>
      <c r="BR461" s="74">
        <f t="shared" si="4075"/>
        <v>0</v>
      </c>
      <c r="BT461" s="28">
        <f t="shared" ref="BT461:BW461" si="4076">if(U461&lt;0,U461+BT460,0)</f>
        <v>0</v>
      </c>
      <c r="BU461" s="28">
        <f t="shared" si="4076"/>
        <v>-8</v>
      </c>
      <c r="BV461" s="28">
        <f t="shared" si="4076"/>
        <v>0</v>
      </c>
      <c r="BW461" s="28">
        <f t="shared" si="4076"/>
        <v>-32</v>
      </c>
    </row>
    <row r="462">
      <c r="A462" s="53">
        <v>21.0</v>
      </c>
      <c r="B462" s="28">
        <f>'21_08-06-2023'!A14</f>
        <v>12</v>
      </c>
      <c r="C462" s="28">
        <f>'21_08-06-2023'!C14</f>
        <v>-48</v>
      </c>
      <c r="D462" s="28">
        <f>'21_08-06-2023'!E14</f>
        <v>-8</v>
      </c>
      <c r="E462" s="28">
        <f>'21_08-06-2023'!D14</f>
        <v>-8</v>
      </c>
      <c r="F462" s="28">
        <f>'21_08-06-2023'!B14</f>
        <v>64</v>
      </c>
      <c r="G462" s="28">
        <f>'21_08-06-2023'!F14</f>
        <v>0</v>
      </c>
      <c r="H462" s="28" t="str">
        <f>'21_08-06-2023'!H14</f>
        <v>Thomas</v>
      </c>
      <c r="I462" s="28" t="str">
        <f>'21_08-06-2023'!I14</f>
        <v>Christian</v>
      </c>
      <c r="J462" s="76" t="str">
        <f>'21_08-06-2023'!J14</f>
        <v>Peter</v>
      </c>
      <c r="K462" s="28" t="str">
        <f>'21_08-06-2023'!G14</f>
        <v>9 vip i 1. </v>
      </c>
      <c r="L462" s="56"/>
      <c r="M462" s="25">
        <v>9.0</v>
      </c>
      <c r="N462" s="25" t="s">
        <v>86</v>
      </c>
      <c r="O462" s="25">
        <v>1.0</v>
      </c>
      <c r="T462" s="56"/>
      <c r="U462" s="77">
        <f t="shared" ref="U462:X462" si="4077">C462-C461</f>
        <v>48</v>
      </c>
      <c r="V462" s="28">
        <f t="shared" si="4077"/>
        <v>-48</v>
      </c>
      <c r="W462" s="28">
        <f t="shared" si="4077"/>
        <v>-48</v>
      </c>
      <c r="X462" s="28">
        <f t="shared" si="4077"/>
        <v>48</v>
      </c>
      <c r="AB462" s="28">
        <f t="shared" ref="AB462:AE462" si="4078">IF(AB$3=$H462,U462,"")</f>
        <v>48</v>
      </c>
      <c r="AC462" s="28" t="str">
        <f t="shared" si="4078"/>
        <v/>
      </c>
      <c r="AD462" s="28" t="str">
        <f t="shared" si="4078"/>
        <v/>
      </c>
      <c r="AE462" s="28" t="str">
        <f t="shared" si="4078"/>
        <v/>
      </c>
      <c r="AH462" s="28">
        <f t="shared" si="22"/>
        <v>48</v>
      </c>
      <c r="AI462" s="28">
        <f t="shared" si="23"/>
        <v>0</v>
      </c>
      <c r="AK462" s="78" t="str">
        <f t="shared" ref="AK462:AN462" si="4079">IF(U462&gt;0,AK$3,"")</f>
        <v>Thomas</v>
      </c>
      <c r="AL462" s="78" t="str">
        <f t="shared" si="4079"/>
        <v/>
      </c>
      <c r="AM462" s="78" t="str">
        <f t="shared" si="4079"/>
        <v/>
      </c>
      <c r="AN462" s="78" t="str">
        <f t="shared" si="4079"/>
        <v>Christian</v>
      </c>
      <c r="AO462" s="56">
        <f t="shared" si="25"/>
        <v>2</v>
      </c>
      <c r="AP462" s="8" t="str">
        <f t="shared" si="26"/>
        <v>Thomas</v>
      </c>
      <c r="AQ462" s="73" t="str">
        <f>IFERROR(__xludf.DUMMYFUNCTION("IFNA(QUERY(transpose(AY462:BB462),""Select Col1 where Col1 is not null limit 1"",0))"),"Christian")</f>
        <v>Christian</v>
      </c>
      <c r="AR462" s="56"/>
      <c r="AS462" s="28" t="str">
        <f t="shared" ref="AS462:AV462" si="4080">IF(AK462=AS$3,"",AS$3)</f>
        <v/>
      </c>
      <c r="AT462" s="28" t="str">
        <f t="shared" si="4080"/>
        <v>Peter</v>
      </c>
      <c r="AU462" s="28" t="str">
        <f t="shared" si="4080"/>
        <v>Janus</v>
      </c>
      <c r="AV462" s="28" t="str">
        <f t="shared" si="4080"/>
        <v/>
      </c>
      <c r="AW462" s="56">
        <f t="shared" si="28"/>
        <v>2</v>
      </c>
      <c r="AX462" s="28">
        <f t="shared" si="29"/>
        <v>48</v>
      </c>
      <c r="AY462" s="28" t="str">
        <f t="shared" ref="AY462:BB462" si="4081">IFNA(IFS(AY$3=$AP462,"",$AX462=U462,AY$3),"")</f>
        <v/>
      </c>
      <c r="AZ462" s="28" t="str">
        <f t="shared" si="4081"/>
        <v/>
      </c>
      <c r="BA462" s="28" t="str">
        <f t="shared" si="4081"/>
        <v/>
      </c>
      <c r="BB462" s="28" t="str">
        <f t="shared" si="4081"/>
        <v>Christian</v>
      </c>
      <c r="BC462" s="58">
        <f>OFFSET('00_Regnskab_01'!$A$1,MATCH(A462,'00_Regnskab_01'!$A$1:$A$25)-1,2)</f>
        <v>45085</v>
      </c>
      <c r="BE462" s="80">
        <f t="shared" ref="BE462:BH462" si="4082">if(U462&gt;0,1+BE461,0)</f>
        <v>3</v>
      </c>
      <c r="BF462" s="28">
        <f t="shared" si="4082"/>
        <v>0</v>
      </c>
      <c r="BG462" s="28">
        <f t="shared" si="4082"/>
        <v>0</v>
      </c>
      <c r="BH462" s="28">
        <f t="shared" si="4082"/>
        <v>1</v>
      </c>
      <c r="BJ462" s="28">
        <f t="shared" ref="BJ462:BM462" si="4083">if(U462&lt;0,1+BJ461,0)</f>
        <v>0</v>
      </c>
      <c r="BK462" s="28">
        <f t="shared" si="4083"/>
        <v>2</v>
      </c>
      <c r="BL462" s="28">
        <f t="shared" si="4083"/>
        <v>1</v>
      </c>
      <c r="BM462" s="28">
        <f t="shared" si="4083"/>
        <v>0</v>
      </c>
      <c r="BO462" s="74">
        <f t="shared" ref="BO462:BR462" si="4084">if(U462&gt;0,U462+BO461,0)</f>
        <v>64</v>
      </c>
      <c r="BP462" s="74">
        <f t="shared" si="4084"/>
        <v>0</v>
      </c>
      <c r="BQ462" s="74">
        <f t="shared" si="4084"/>
        <v>0</v>
      </c>
      <c r="BR462" s="74">
        <f t="shared" si="4084"/>
        <v>48</v>
      </c>
      <c r="BT462" s="28">
        <f t="shared" ref="BT462:BW462" si="4085">if(U462&lt;0,U462+BT461,0)</f>
        <v>0</v>
      </c>
      <c r="BU462" s="28">
        <f t="shared" si="4085"/>
        <v>-56</v>
      </c>
      <c r="BV462" s="28">
        <f t="shared" si="4085"/>
        <v>-48</v>
      </c>
      <c r="BW462" s="28">
        <f t="shared" si="4085"/>
        <v>0</v>
      </c>
    </row>
    <row r="463">
      <c r="A463" s="53">
        <v>21.0</v>
      </c>
      <c r="B463" s="28">
        <f>'21_08-06-2023'!A15</f>
        <v>13</v>
      </c>
      <c r="C463" s="28">
        <f>'21_08-06-2023'!C15</f>
        <v>-44</v>
      </c>
      <c r="D463" s="28">
        <f>'21_08-06-2023'!E15</f>
        <v>-12</v>
      </c>
      <c r="E463" s="28">
        <f>'21_08-06-2023'!D15</f>
        <v>-12</v>
      </c>
      <c r="F463" s="28">
        <f>'21_08-06-2023'!B15</f>
        <v>68</v>
      </c>
      <c r="G463" s="28">
        <f>'21_08-06-2023'!F15</f>
        <v>0</v>
      </c>
      <c r="H463" s="28" t="str">
        <f>'21_08-06-2023'!H15</f>
        <v>Thomas</v>
      </c>
      <c r="I463" s="28" t="str">
        <f>'21_08-06-2023'!I15</f>
        <v>Christian</v>
      </c>
      <c r="J463" s="76" t="str">
        <f>'21_08-06-2023'!J15</f>
        <v>Christian</v>
      </c>
      <c r="K463" s="28" t="str">
        <f>'21_08-06-2023'!G15</f>
        <v>8 gode</v>
      </c>
      <c r="L463" s="56"/>
      <c r="M463" s="25">
        <v>8.0</v>
      </c>
      <c r="N463" s="25" t="s">
        <v>95</v>
      </c>
      <c r="T463" s="56"/>
      <c r="U463" s="77">
        <f t="shared" ref="U463:X463" si="4086">C463-C462</f>
        <v>4</v>
      </c>
      <c r="V463" s="28">
        <f t="shared" si="4086"/>
        <v>-4</v>
      </c>
      <c r="W463" s="28">
        <f t="shared" si="4086"/>
        <v>-4</v>
      </c>
      <c r="X463" s="28">
        <f t="shared" si="4086"/>
        <v>4</v>
      </c>
      <c r="AB463" s="28">
        <f t="shared" ref="AB463:AE463" si="4087">IF(AB$3=$H463,U463,"")</f>
        <v>4</v>
      </c>
      <c r="AC463" s="28" t="str">
        <f t="shared" si="4087"/>
        <v/>
      </c>
      <c r="AD463" s="28" t="str">
        <f t="shared" si="4087"/>
        <v/>
      </c>
      <c r="AE463" s="28" t="str">
        <f t="shared" si="4087"/>
        <v/>
      </c>
      <c r="AH463" s="28">
        <f t="shared" si="22"/>
        <v>4</v>
      </c>
      <c r="AI463" s="28">
        <f t="shared" si="23"/>
        <v>0</v>
      </c>
      <c r="AK463" s="78" t="str">
        <f t="shared" ref="AK463:AN463" si="4088">IF(U463&gt;0,AK$3,"")</f>
        <v>Thomas</v>
      </c>
      <c r="AL463" s="78" t="str">
        <f t="shared" si="4088"/>
        <v/>
      </c>
      <c r="AM463" s="78" t="str">
        <f t="shared" si="4088"/>
        <v/>
      </c>
      <c r="AN463" s="78" t="str">
        <f t="shared" si="4088"/>
        <v>Christian</v>
      </c>
      <c r="AO463" s="56">
        <f t="shared" si="25"/>
        <v>2</v>
      </c>
      <c r="AP463" s="8" t="str">
        <f t="shared" si="26"/>
        <v>Thomas</v>
      </c>
      <c r="AQ463" s="73" t="str">
        <f>IFERROR(__xludf.DUMMYFUNCTION("IFNA(QUERY(transpose(AY463:BB463),""Select Col1 where Col1 is not null limit 1"",0))"),"Christian")</f>
        <v>Christian</v>
      </c>
      <c r="AR463" s="56"/>
      <c r="AS463" s="28" t="str">
        <f t="shared" ref="AS463:AV463" si="4089">IF(AK463=AS$3,"",AS$3)</f>
        <v/>
      </c>
      <c r="AT463" s="28" t="str">
        <f t="shared" si="4089"/>
        <v>Peter</v>
      </c>
      <c r="AU463" s="28" t="str">
        <f t="shared" si="4089"/>
        <v>Janus</v>
      </c>
      <c r="AV463" s="28" t="str">
        <f t="shared" si="4089"/>
        <v/>
      </c>
      <c r="AW463" s="56">
        <f t="shared" si="28"/>
        <v>2</v>
      </c>
      <c r="AX463" s="28">
        <f t="shared" si="29"/>
        <v>4</v>
      </c>
      <c r="AY463" s="28" t="str">
        <f t="shared" ref="AY463:BB463" si="4090">IFNA(IFS(AY$3=$AP463,"",$AX463=U463,AY$3),"")</f>
        <v/>
      </c>
      <c r="AZ463" s="28" t="str">
        <f t="shared" si="4090"/>
        <v/>
      </c>
      <c r="BA463" s="28" t="str">
        <f t="shared" si="4090"/>
        <v/>
      </c>
      <c r="BB463" s="28" t="str">
        <f t="shared" si="4090"/>
        <v>Christian</v>
      </c>
      <c r="BC463" s="58">
        <f>OFFSET('00_Regnskab_01'!$A$1,MATCH(A463,'00_Regnskab_01'!$A$1:$A$25)-1,2)</f>
        <v>45085</v>
      </c>
      <c r="BE463" s="80">
        <f t="shared" ref="BE463:BH463" si="4091">if(U463&gt;0,1+BE462,0)</f>
        <v>4</v>
      </c>
      <c r="BF463" s="28">
        <f t="shared" si="4091"/>
        <v>0</v>
      </c>
      <c r="BG463" s="28">
        <f t="shared" si="4091"/>
        <v>0</v>
      </c>
      <c r="BH463" s="28">
        <f t="shared" si="4091"/>
        <v>2</v>
      </c>
      <c r="BJ463" s="28">
        <f t="shared" ref="BJ463:BM463" si="4092">if(U463&lt;0,1+BJ462,0)</f>
        <v>0</v>
      </c>
      <c r="BK463" s="28">
        <f t="shared" si="4092"/>
        <v>3</v>
      </c>
      <c r="BL463" s="28">
        <f t="shared" si="4092"/>
        <v>2</v>
      </c>
      <c r="BM463" s="28">
        <f t="shared" si="4092"/>
        <v>0</v>
      </c>
      <c r="BO463" s="74">
        <f t="shared" ref="BO463:BR463" si="4093">if(U463&gt;0,U463+BO462,0)</f>
        <v>68</v>
      </c>
      <c r="BP463" s="74">
        <f t="shared" si="4093"/>
        <v>0</v>
      </c>
      <c r="BQ463" s="74">
        <f t="shared" si="4093"/>
        <v>0</v>
      </c>
      <c r="BR463" s="74">
        <f t="shared" si="4093"/>
        <v>52</v>
      </c>
      <c r="BT463" s="28">
        <f t="shared" ref="BT463:BW463" si="4094">if(U463&lt;0,U463+BT462,0)</f>
        <v>0</v>
      </c>
      <c r="BU463" s="28">
        <f t="shared" si="4094"/>
        <v>-60</v>
      </c>
      <c r="BV463" s="28">
        <f t="shared" si="4094"/>
        <v>-52</v>
      </c>
      <c r="BW463" s="28">
        <f t="shared" si="4094"/>
        <v>0</v>
      </c>
    </row>
    <row r="464">
      <c r="A464" s="53">
        <v>21.0</v>
      </c>
      <c r="B464" s="28">
        <f>'21_08-06-2023'!A16</f>
        <v>14</v>
      </c>
      <c r="C464" s="28">
        <f>'21_08-06-2023'!C16</f>
        <v>-52</v>
      </c>
      <c r="D464" s="28">
        <f>'21_08-06-2023'!E16</f>
        <v>-20</v>
      </c>
      <c r="E464" s="28">
        <f>'21_08-06-2023'!D16</f>
        <v>12</v>
      </c>
      <c r="F464" s="28">
        <f>'21_08-06-2023'!B16</f>
        <v>60</v>
      </c>
      <c r="G464" s="28">
        <f>'21_08-06-2023'!F16</f>
        <v>0</v>
      </c>
      <c r="H464" s="28" t="str">
        <f>'21_08-06-2023'!H16</f>
        <v>Peter</v>
      </c>
      <c r="I464" s="28" t="str">
        <f>'21_08-06-2023'!I16</f>
        <v/>
      </c>
      <c r="J464" s="76" t="str">
        <f>'21_08-06-2023'!J16</f>
        <v>Thomas</v>
      </c>
      <c r="K464" s="28" t="str">
        <f>'21_08-06-2023'!G16</f>
        <v>ren sol</v>
      </c>
      <c r="L464" s="56"/>
      <c r="N464" s="25" t="s">
        <v>97</v>
      </c>
      <c r="T464" s="56"/>
      <c r="U464" s="77">
        <f t="shared" ref="U464:X464" si="4095">C464-C463</f>
        <v>-8</v>
      </c>
      <c r="V464" s="28">
        <f t="shared" si="4095"/>
        <v>-8</v>
      </c>
      <c r="W464" s="28">
        <f t="shared" si="4095"/>
        <v>24</v>
      </c>
      <c r="X464" s="28">
        <f t="shared" si="4095"/>
        <v>-8</v>
      </c>
      <c r="AB464" s="28" t="str">
        <f t="shared" ref="AB464:AE464" si="4096">IF(AB$3=$H464,U464,"")</f>
        <v/>
      </c>
      <c r="AC464" s="28">
        <f t="shared" si="4096"/>
        <v>-8</v>
      </c>
      <c r="AD464" s="28" t="str">
        <f t="shared" si="4096"/>
        <v/>
      </c>
      <c r="AE464" s="28" t="str">
        <f t="shared" si="4096"/>
        <v/>
      </c>
      <c r="AH464" s="28">
        <f t="shared" si="22"/>
        <v>0</v>
      </c>
      <c r="AI464" s="28">
        <f t="shared" si="23"/>
        <v>-8</v>
      </c>
      <c r="AK464" s="78" t="str">
        <f t="shared" ref="AK464:AN464" si="4097">IF(U464&gt;0,AK$3,"")</f>
        <v/>
      </c>
      <c r="AL464" s="78" t="str">
        <f t="shared" si="4097"/>
        <v/>
      </c>
      <c r="AM464" s="78" t="str">
        <f t="shared" si="4097"/>
        <v>Janus</v>
      </c>
      <c r="AN464" s="78" t="str">
        <f t="shared" si="4097"/>
        <v/>
      </c>
      <c r="AO464" s="56">
        <f t="shared" si="25"/>
        <v>1</v>
      </c>
      <c r="AP464" s="8" t="str">
        <f t="shared" si="26"/>
        <v>Peter</v>
      </c>
      <c r="AQ464" s="73" t="str">
        <f>IFERROR(__xludf.DUMMYFUNCTION("IFNA(QUERY(transpose(AY464:BB464),""Select Col1 where Col1 is not null limit 1"",0))"),"Thomas")</f>
        <v>Thomas</v>
      </c>
      <c r="AR464" s="56"/>
      <c r="AS464" s="28" t="str">
        <f t="shared" ref="AS464:AV464" si="4098">IF(AK464=AS$3,"",AS$3)</f>
        <v>Thomas</v>
      </c>
      <c r="AT464" s="28" t="str">
        <f t="shared" si="4098"/>
        <v>Peter</v>
      </c>
      <c r="AU464" s="28" t="str">
        <f t="shared" si="4098"/>
        <v/>
      </c>
      <c r="AV464" s="28" t="str">
        <f t="shared" si="4098"/>
        <v>Christian</v>
      </c>
      <c r="AW464" s="56">
        <f t="shared" si="28"/>
        <v>3</v>
      </c>
      <c r="AX464" s="28">
        <f t="shared" si="29"/>
        <v>-8</v>
      </c>
      <c r="AY464" s="28" t="str">
        <f t="shared" ref="AY464:BB464" si="4099">IFNA(IFS(AY$3=$AP464,"",$AX464=U464,AY$3),"")</f>
        <v>Thomas</v>
      </c>
      <c r="AZ464" s="28" t="str">
        <f t="shared" si="4099"/>
        <v/>
      </c>
      <c r="BA464" s="28" t="str">
        <f t="shared" si="4099"/>
        <v/>
      </c>
      <c r="BB464" s="28" t="str">
        <f t="shared" si="4099"/>
        <v>Christian</v>
      </c>
      <c r="BC464" s="58">
        <f>OFFSET('00_Regnskab_01'!$A$1,MATCH(A464,'00_Regnskab_01'!$A$1:$A$25)-1,2)</f>
        <v>45085</v>
      </c>
      <c r="BE464" s="80">
        <f t="shared" ref="BE464:BH464" si="4100">if(U464&gt;0,1+BE463,0)</f>
        <v>0</v>
      </c>
      <c r="BF464" s="28">
        <f t="shared" si="4100"/>
        <v>0</v>
      </c>
      <c r="BG464" s="28">
        <f t="shared" si="4100"/>
        <v>1</v>
      </c>
      <c r="BH464" s="28">
        <f t="shared" si="4100"/>
        <v>0</v>
      </c>
      <c r="BJ464" s="28">
        <f t="shared" ref="BJ464:BM464" si="4101">if(U464&lt;0,1+BJ463,0)</f>
        <v>1</v>
      </c>
      <c r="BK464" s="28">
        <f t="shared" si="4101"/>
        <v>4</v>
      </c>
      <c r="BL464" s="28">
        <f t="shared" si="4101"/>
        <v>0</v>
      </c>
      <c r="BM464" s="28">
        <f t="shared" si="4101"/>
        <v>1</v>
      </c>
      <c r="BO464" s="74">
        <f t="shared" ref="BO464:BR464" si="4102">if(U464&gt;0,U464+BO463,0)</f>
        <v>0</v>
      </c>
      <c r="BP464" s="74">
        <f t="shared" si="4102"/>
        <v>0</v>
      </c>
      <c r="BQ464" s="74">
        <f t="shared" si="4102"/>
        <v>24</v>
      </c>
      <c r="BR464" s="74">
        <f t="shared" si="4102"/>
        <v>0</v>
      </c>
      <c r="BT464" s="28">
        <f t="shared" ref="BT464:BW464" si="4103">if(U464&lt;0,U464+BT463,0)</f>
        <v>-8</v>
      </c>
      <c r="BU464" s="28">
        <f t="shared" si="4103"/>
        <v>-68</v>
      </c>
      <c r="BV464" s="28">
        <f t="shared" si="4103"/>
        <v>0</v>
      </c>
      <c r="BW464" s="28">
        <f t="shared" si="4103"/>
        <v>-8</v>
      </c>
    </row>
    <row r="465">
      <c r="A465" s="53">
        <v>21.0</v>
      </c>
      <c r="B465" s="28">
        <f>'21_08-06-2023'!A17</f>
        <v>15</v>
      </c>
      <c r="C465" s="28">
        <f>'21_08-06-2023'!C17</f>
        <v>-48</v>
      </c>
      <c r="D465" s="28">
        <f>'21_08-06-2023'!E17</f>
        <v>-32</v>
      </c>
      <c r="E465" s="28">
        <f>'21_08-06-2023'!D17</f>
        <v>16</v>
      </c>
      <c r="F465" s="28">
        <f>'21_08-06-2023'!B17</f>
        <v>64</v>
      </c>
      <c r="G465" s="28">
        <f>'21_08-06-2023'!F17</f>
        <v>0</v>
      </c>
      <c r="H465" s="28" t="str">
        <f>'21_08-06-2023'!H17</f>
        <v/>
      </c>
      <c r="I465" s="28" t="str">
        <f>'21_08-06-2023'!I17</f>
        <v/>
      </c>
      <c r="J465" s="76" t="str">
        <f>'21_08-06-2023'!J17</f>
        <v>Janus</v>
      </c>
      <c r="K465" s="28" t="str">
        <f>'21_08-06-2023'!G17</f>
        <v>sol</v>
      </c>
      <c r="L465" s="56"/>
      <c r="N465" s="25" t="s">
        <v>99</v>
      </c>
      <c r="T465" s="56"/>
      <c r="U465" s="77">
        <f t="shared" ref="U465:X465" si="4104">C465-C464</f>
        <v>4</v>
      </c>
      <c r="V465" s="28">
        <f t="shared" si="4104"/>
        <v>-12</v>
      </c>
      <c r="W465" s="28">
        <f t="shared" si="4104"/>
        <v>4</v>
      </c>
      <c r="X465" s="28">
        <f t="shared" si="4104"/>
        <v>4</v>
      </c>
      <c r="AB465" s="28" t="str">
        <f t="shared" ref="AB465:AE465" si="4105">IF(AB$3=$H465,U465,"")</f>
        <v/>
      </c>
      <c r="AC465" s="28" t="str">
        <f t="shared" si="4105"/>
        <v/>
      </c>
      <c r="AD465" s="28" t="str">
        <f t="shared" si="4105"/>
        <v/>
      </c>
      <c r="AE465" s="28" t="str">
        <f t="shared" si="4105"/>
        <v/>
      </c>
      <c r="AH465" s="28">
        <f t="shared" si="22"/>
        <v>0</v>
      </c>
      <c r="AI465" s="28">
        <f t="shared" si="23"/>
        <v>0</v>
      </c>
      <c r="AK465" s="78" t="str">
        <f t="shared" ref="AK465:AN465" si="4106">IF(U465&gt;0,AK$3,"")</f>
        <v>Thomas</v>
      </c>
      <c r="AL465" s="78" t="str">
        <f t="shared" si="4106"/>
        <v/>
      </c>
      <c r="AM465" s="78" t="str">
        <f t="shared" si="4106"/>
        <v>Janus</v>
      </c>
      <c r="AN465" s="78" t="str">
        <f t="shared" si="4106"/>
        <v>Christian</v>
      </c>
      <c r="AO465" s="56">
        <f t="shared" si="25"/>
        <v>3</v>
      </c>
      <c r="AP465" s="8" t="str">
        <f t="shared" si="26"/>
        <v/>
      </c>
      <c r="AQ465" s="73" t="str">
        <f>IFERROR(__xludf.DUMMYFUNCTION("IFNA(QUERY(transpose(AY465:BB465),""Select Col1 where Col1 is not null limit 1"",0))"),"")</f>
        <v/>
      </c>
      <c r="AR465" s="56"/>
      <c r="AS465" s="28" t="str">
        <f t="shared" ref="AS465:AV465" si="4107">IF(AK465=AS$3,"",AS$3)</f>
        <v/>
      </c>
      <c r="AT465" s="28" t="str">
        <f t="shared" si="4107"/>
        <v>Peter</v>
      </c>
      <c r="AU465" s="28" t="str">
        <f t="shared" si="4107"/>
        <v/>
      </c>
      <c r="AV465" s="28" t="str">
        <f t="shared" si="4107"/>
        <v/>
      </c>
      <c r="AW465" s="56">
        <f t="shared" si="28"/>
        <v>1</v>
      </c>
      <c r="AX465" s="28">
        <f t="shared" si="29"/>
        <v>0</v>
      </c>
      <c r="AY465" s="28" t="str">
        <f t="shared" ref="AY465:BB465" si="4108">IFNA(IFS(AY$3=$AP465,"",$AX465=U465,AY$3),"")</f>
        <v/>
      </c>
      <c r="AZ465" s="28" t="str">
        <f t="shared" si="4108"/>
        <v/>
      </c>
      <c r="BA465" s="28" t="str">
        <f t="shared" si="4108"/>
        <v/>
      </c>
      <c r="BB465" s="28" t="str">
        <f t="shared" si="4108"/>
        <v/>
      </c>
      <c r="BC465" s="58">
        <f>OFFSET('00_Regnskab_01'!$A$1,MATCH(A465,'00_Regnskab_01'!$A$1:$A$25)-1,2)</f>
        <v>45085</v>
      </c>
      <c r="BE465" s="80">
        <f t="shared" ref="BE465:BH465" si="4109">if(U465&gt;0,1+BE464,0)</f>
        <v>1</v>
      </c>
      <c r="BF465" s="28">
        <f t="shared" si="4109"/>
        <v>0</v>
      </c>
      <c r="BG465" s="28">
        <f t="shared" si="4109"/>
        <v>2</v>
      </c>
      <c r="BH465" s="28">
        <f t="shared" si="4109"/>
        <v>1</v>
      </c>
      <c r="BJ465" s="28">
        <f t="shared" ref="BJ465:BM465" si="4110">if(U465&lt;0,1+BJ464,0)</f>
        <v>0</v>
      </c>
      <c r="BK465" s="28">
        <f t="shared" si="4110"/>
        <v>5</v>
      </c>
      <c r="BL465" s="28">
        <f t="shared" si="4110"/>
        <v>0</v>
      </c>
      <c r="BM465" s="28">
        <f t="shared" si="4110"/>
        <v>0</v>
      </c>
      <c r="BO465" s="74">
        <f t="shared" ref="BO465:BR465" si="4111">if(U465&gt;0,U465+BO464,0)</f>
        <v>4</v>
      </c>
      <c r="BP465" s="74">
        <f t="shared" si="4111"/>
        <v>0</v>
      </c>
      <c r="BQ465" s="74">
        <f t="shared" si="4111"/>
        <v>28</v>
      </c>
      <c r="BR465" s="74">
        <f t="shared" si="4111"/>
        <v>4</v>
      </c>
      <c r="BT465" s="28">
        <f t="shared" ref="BT465:BW465" si="4112">if(U465&lt;0,U465+BT464,0)</f>
        <v>0</v>
      </c>
      <c r="BU465" s="28">
        <f t="shared" si="4112"/>
        <v>-80</v>
      </c>
      <c r="BV465" s="28">
        <f t="shared" si="4112"/>
        <v>0</v>
      </c>
      <c r="BW465" s="28">
        <f t="shared" si="4112"/>
        <v>0</v>
      </c>
    </row>
    <row r="466">
      <c r="A466" s="53">
        <v>21.0</v>
      </c>
      <c r="B466" s="28">
        <f>'21_08-06-2023'!A18</f>
        <v>16</v>
      </c>
      <c r="C466" s="28">
        <f>'21_08-06-2023'!C18</f>
        <v>-96</v>
      </c>
      <c r="D466" s="28">
        <f>'21_08-06-2023'!E18</f>
        <v>-80</v>
      </c>
      <c r="E466" s="28">
        <f>'21_08-06-2023'!D18</f>
        <v>64</v>
      </c>
      <c r="F466" s="28">
        <f>'21_08-06-2023'!B18</f>
        <v>112</v>
      </c>
      <c r="G466" s="28">
        <f>'21_08-06-2023'!F18</f>
        <v>0</v>
      </c>
      <c r="H466" s="28" t="str">
        <f>'21_08-06-2023'!H18</f>
        <v>Thomas</v>
      </c>
      <c r="I466" s="28" t="str">
        <f>'21_08-06-2023'!I18</f>
        <v>Peter</v>
      </c>
      <c r="J466" s="76" t="str">
        <f>'21_08-06-2023'!J18</f>
        <v>Thomas</v>
      </c>
      <c r="K466" s="28" t="str">
        <f>'21_08-06-2023'!G18</f>
        <v>9 vip 3</v>
      </c>
      <c r="L466" s="56"/>
      <c r="M466" s="25">
        <v>9.0</v>
      </c>
      <c r="N466" s="25" t="s">
        <v>86</v>
      </c>
      <c r="O466" s="25">
        <v>3.0</v>
      </c>
      <c r="T466" s="56"/>
      <c r="U466" s="77">
        <f t="shared" ref="U466:X466" si="4113">C466-C465</f>
        <v>-48</v>
      </c>
      <c r="V466" s="28">
        <f t="shared" si="4113"/>
        <v>-48</v>
      </c>
      <c r="W466" s="28">
        <f t="shared" si="4113"/>
        <v>48</v>
      </c>
      <c r="X466" s="28">
        <f t="shared" si="4113"/>
        <v>48</v>
      </c>
      <c r="AB466" s="28">
        <f t="shared" ref="AB466:AE466" si="4114">IF(AB$3=$H466,U466,"")</f>
        <v>-48</v>
      </c>
      <c r="AC466" s="28" t="str">
        <f t="shared" si="4114"/>
        <v/>
      </c>
      <c r="AD466" s="28" t="str">
        <f t="shared" si="4114"/>
        <v/>
      </c>
      <c r="AE466" s="28" t="str">
        <f t="shared" si="4114"/>
        <v/>
      </c>
      <c r="AH466" s="28">
        <f t="shared" si="22"/>
        <v>0</v>
      </c>
      <c r="AI466" s="28">
        <f t="shared" si="23"/>
        <v>-48</v>
      </c>
      <c r="AK466" s="78" t="str">
        <f t="shared" ref="AK466:AN466" si="4115">IF(U466&gt;0,AK$3,"")</f>
        <v/>
      </c>
      <c r="AL466" s="78" t="str">
        <f t="shared" si="4115"/>
        <v/>
      </c>
      <c r="AM466" s="78" t="str">
        <f t="shared" si="4115"/>
        <v>Janus</v>
      </c>
      <c r="AN466" s="78" t="str">
        <f t="shared" si="4115"/>
        <v>Christian</v>
      </c>
      <c r="AO466" s="56">
        <f t="shared" si="25"/>
        <v>2</v>
      </c>
      <c r="AP466" s="8" t="str">
        <f t="shared" si="26"/>
        <v>Thomas</v>
      </c>
      <c r="AQ466" s="73" t="str">
        <f>IFERROR(__xludf.DUMMYFUNCTION("IFNA(QUERY(transpose(AY466:BB466),""Select Col1 where Col1 is not null limit 1"",0))"),"Peter")</f>
        <v>Peter</v>
      </c>
      <c r="AR466" s="56"/>
      <c r="AS466" s="28" t="str">
        <f t="shared" ref="AS466:AV466" si="4116">IF(AK466=AS$3,"",AS$3)</f>
        <v>Thomas</v>
      </c>
      <c r="AT466" s="28" t="str">
        <f t="shared" si="4116"/>
        <v>Peter</v>
      </c>
      <c r="AU466" s="28" t="str">
        <f t="shared" si="4116"/>
        <v/>
      </c>
      <c r="AV466" s="28" t="str">
        <f t="shared" si="4116"/>
        <v/>
      </c>
      <c r="AW466" s="56">
        <f t="shared" si="28"/>
        <v>2</v>
      </c>
      <c r="AX466" s="28">
        <f t="shared" si="29"/>
        <v>-48</v>
      </c>
      <c r="AY466" s="28" t="str">
        <f t="shared" ref="AY466:BB466" si="4117">IFNA(IFS(AY$3=$AP466,"",$AX466=U466,AY$3),"")</f>
        <v/>
      </c>
      <c r="AZ466" s="28" t="str">
        <f t="shared" si="4117"/>
        <v>Peter</v>
      </c>
      <c r="BA466" s="28" t="str">
        <f t="shared" si="4117"/>
        <v/>
      </c>
      <c r="BB466" s="28" t="str">
        <f t="shared" si="4117"/>
        <v/>
      </c>
      <c r="BC466" s="58">
        <f>OFFSET('00_Regnskab_01'!$A$1,MATCH(A466,'00_Regnskab_01'!$A$1:$A$25)-1,2)</f>
        <v>45085</v>
      </c>
      <c r="BE466" s="80">
        <f t="shared" ref="BE466:BH466" si="4118">if(U466&gt;0,1+BE465,0)</f>
        <v>0</v>
      </c>
      <c r="BF466" s="28">
        <f t="shared" si="4118"/>
        <v>0</v>
      </c>
      <c r="BG466" s="28">
        <f t="shared" si="4118"/>
        <v>3</v>
      </c>
      <c r="BH466" s="28">
        <f t="shared" si="4118"/>
        <v>2</v>
      </c>
      <c r="BJ466" s="28">
        <f t="shared" ref="BJ466:BM466" si="4119">if(U466&lt;0,1+BJ465,0)</f>
        <v>1</v>
      </c>
      <c r="BK466" s="28">
        <f t="shared" si="4119"/>
        <v>6</v>
      </c>
      <c r="BL466" s="28">
        <f t="shared" si="4119"/>
        <v>0</v>
      </c>
      <c r="BM466" s="28">
        <f t="shared" si="4119"/>
        <v>0</v>
      </c>
      <c r="BO466" s="74">
        <f t="shared" ref="BO466:BR466" si="4120">if(U466&gt;0,U466+BO465,0)</f>
        <v>0</v>
      </c>
      <c r="BP466" s="74">
        <f t="shared" si="4120"/>
        <v>0</v>
      </c>
      <c r="BQ466" s="74">
        <f t="shared" si="4120"/>
        <v>76</v>
      </c>
      <c r="BR466" s="74">
        <f t="shared" si="4120"/>
        <v>52</v>
      </c>
      <c r="BT466" s="28">
        <f t="shared" ref="BT466:BW466" si="4121">if(U466&lt;0,U466+BT465,0)</f>
        <v>-48</v>
      </c>
      <c r="BU466" s="28">
        <f t="shared" si="4121"/>
        <v>-128</v>
      </c>
      <c r="BV466" s="28">
        <f t="shared" si="4121"/>
        <v>0</v>
      </c>
      <c r="BW466" s="28">
        <f t="shared" si="4121"/>
        <v>0</v>
      </c>
    </row>
    <row r="467">
      <c r="A467" s="53">
        <v>21.0</v>
      </c>
      <c r="B467" s="28">
        <f>'21_08-06-2023'!A19</f>
        <v>17</v>
      </c>
      <c r="C467" s="28">
        <f>'21_08-06-2023'!C19</f>
        <v>-104</v>
      </c>
      <c r="D467" s="28">
        <f>'21_08-06-2023'!E19</f>
        <v>-88</v>
      </c>
      <c r="E467" s="28">
        <f>'21_08-06-2023'!D19</f>
        <v>72</v>
      </c>
      <c r="F467" s="28">
        <f>'21_08-06-2023'!B19</f>
        <v>120</v>
      </c>
      <c r="G467" s="28">
        <f>'21_08-06-2023'!F19</f>
        <v>0</v>
      </c>
      <c r="H467" s="28" t="str">
        <f>'21_08-06-2023'!H19</f>
        <v>Thomas</v>
      </c>
      <c r="I467" s="28" t="str">
        <f>'21_08-06-2023'!I19</f>
        <v>Peter</v>
      </c>
      <c r="J467" s="76" t="str">
        <f>'21_08-06-2023'!J19</f>
        <v>Peter</v>
      </c>
      <c r="K467" s="28" t="str">
        <f>'21_08-06-2023'!G19</f>
        <v>9 halve</v>
      </c>
      <c r="L467" s="56"/>
      <c r="M467" s="25">
        <v>9.0</v>
      </c>
      <c r="N467" s="25" t="s">
        <v>94</v>
      </c>
      <c r="T467" s="56"/>
      <c r="U467" s="77">
        <f t="shared" ref="U467:X467" si="4122">C467-C466</f>
        <v>-8</v>
      </c>
      <c r="V467" s="28">
        <f t="shared" si="4122"/>
        <v>-8</v>
      </c>
      <c r="W467" s="28">
        <f t="shared" si="4122"/>
        <v>8</v>
      </c>
      <c r="X467" s="28">
        <f t="shared" si="4122"/>
        <v>8</v>
      </c>
      <c r="AB467" s="28">
        <f t="shared" ref="AB467:AE467" si="4123">IF(AB$3=$H467,U467,"")</f>
        <v>-8</v>
      </c>
      <c r="AC467" s="28" t="str">
        <f t="shared" si="4123"/>
        <v/>
      </c>
      <c r="AD467" s="28" t="str">
        <f t="shared" si="4123"/>
        <v/>
      </c>
      <c r="AE467" s="28" t="str">
        <f t="shared" si="4123"/>
        <v/>
      </c>
      <c r="AH467" s="28">
        <f t="shared" si="22"/>
        <v>0</v>
      </c>
      <c r="AI467" s="28">
        <f t="shared" si="23"/>
        <v>-8</v>
      </c>
      <c r="AK467" s="78" t="str">
        <f t="shared" ref="AK467:AN467" si="4124">IF(U467&gt;0,AK$3,"")</f>
        <v/>
      </c>
      <c r="AL467" s="78" t="str">
        <f t="shared" si="4124"/>
        <v/>
      </c>
      <c r="AM467" s="78" t="str">
        <f t="shared" si="4124"/>
        <v>Janus</v>
      </c>
      <c r="AN467" s="78" t="str">
        <f t="shared" si="4124"/>
        <v>Christian</v>
      </c>
      <c r="AO467" s="56">
        <f t="shared" si="25"/>
        <v>2</v>
      </c>
      <c r="AP467" s="8" t="str">
        <f t="shared" si="26"/>
        <v>Thomas</v>
      </c>
      <c r="AQ467" s="73" t="str">
        <f>IFERROR(__xludf.DUMMYFUNCTION("IFNA(QUERY(transpose(AY467:BB467),""Select Col1 where Col1 is not null limit 1"",0))"),"Peter")</f>
        <v>Peter</v>
      </c>
      <c r="AR467" s="56"/>
      <c r="AS467" s="28" t="str">
        <f t="shared" ref="AS467:AV467" si="4125">IF(AK467=AS$3,"",AS$3)</f>
        <v>Thomas</v>
      </c>
      <c r="AT467" s="28" t="str">
        <f t="shared" si="4125"/>
        <v>Peter</v>
      </c>
      <c r="AU467" s="28" t="str">
        <f t="shared" si="4125"/>
        <v/>
      </c>
      <c r="AV467" s="28" t="str">
        <f t="shared" si="4125"/>
        <v/>
      </c>
      <c r="AW467" s="56">
        <f t="shared" si="28"/>
        <v>2</v>
      </c>
      <c r="AX467" s="28">
        <f t="shared" si="29"/>
        <v>-8</v>
      </c>
      <c r="AY467" s="28" t="str">
        <f t="shared" ref="AY467:BB467" si="4126">IFNA(IFS(AY$3=$AP467,"",$AX467=U467,AY$3),"")</f>
        <v/>
      </c>
      <c r="AZ467" s="28" t="str">
        <f t="shared" si="4126"/>
        <v>Peter</v>
      </c>
      <c r="BA467" s="28" t="str">
        <f t="shared" si="4126"/>
        <v/>
      </c>
      <c r="BB467" s="28" t="str">
        <f t="shared" si="4126"/>
        <v/>
      </c>
      <c r="BC467" s="58">
        <f>OFFSET('00_Regnskab_01'!$A$1,MATCH(A467,'00_Regnskab_01'!$A$1:$A$25)-1,2)</f>
        <v>45085</v>
      </c>
      <c r="BE467" s="80">
        <f t="shared" ref="BE467:BH467" si="4127">if(U467&gt;0,1+BE466,0)</f>
        <v>0</v>
      </c>
      <c r="BF467" s="28">
        <f t="shared" si="4127"/>
        <v>0</v>
      </c>
      <c r="BG467" s="28">
        <f t="shared" si="4127"/>
        <v>4</v>
      </c>
      <c r="BH467" s="28">
        <f t="shared" si="4127"/>
        <v>3</v>
      </c>
      <c r="BJ467" s="28">
        <f t="shared" ref="BJ467:BM467" si="4128">if(U467&lt;0,1+BJ466,0)</f>
        <v>2</v>
      </c>
      <c r="BK467" s="28">
        <f t="shared" si="4128"/>
        <v>7</v>
      </c>
      <c r="BL467" s="28">
        <f t="shared" si="4128"/>
        <v>0</v>
      </c>
      <c r="BM467" s="28">
        <f t="shared" si="4128"/>
        <v>0</v>
      </c>
      <c r="BO467" s="74">
        <f t="shared" ref="BO467:BR467" si="4129">if(U467&gt;0,U467+BO466,0)</f>
        <v>0</v>
      </c>
      <c r="BP467" s="74">
        <f t="shared" si="4129"/>
        <v>0</v>
      </c>
      <c r="BQ467" s="74">
        <f t="shared" si="4129"/>
        <v>84</v>
      </c>
      <c r="BR467" s="74">
        <f t="shared" si="4129"/>
        <v>60</v>
      </c>
      <c r="BT467" s="28">
        <f t="shared" ref="BT467:BW467" si="4130">if(U467&lt;0,U467+BT466,0)</f>
        <v>-56</v>
      </c>
      <c r="BU467" s="28">
        <f t="shared" si="4130"/>
        <v>-136</v>
      </c>
      <c r="BV467" s="28">
        <f t="shared" si="4130"/>
        <v>0</v>
      </c>
      <c r="BW467" s="28">
        <f t="shared" si="4130"/>
        <v>0</v>
      </c>
    </row>
    <row r="468">
      <c r="A468" s="53">
        <v>21.0</v>
      </c>
      <c r="B468" s="28">
        <f>'21_08-06-2023'!A20</f>
        <v>18</v>
      </c>
      <c r="C468" s="28">
        <f>'21_08-06-2023'!C20</f>
        <v>-96</v>
      </c>
      <c r="D468" s="28">
        <f>'21_08-06-2023'!E20</f>
        <v>-112</v>
      </c>
      <c r="E468" s="28">
        <f>'21_08-06-2023'!D20</f>
        <v>80</v>
      </c>
      <c r="F468" s="28">
        <f>'21_08-06-2023'!B20</f>
        <v>128</v>
      </c>
      <c r="G468" s="28">
        <f>'21_08-06-2023'!F20</f>
        <v>0</v>
      </c>
      <c r="H468" s="28" t="str">
        <f>'21_08-06-2023'!H20</f>
        <v>Peter</v>
      </c>
      <c r="I468" s="28" t="str">
        <f>'21_08-06-2023'!I20</f>
        <v/>
      </c>
      <c r="J468" s="76" t="str">
        <f>'21_08-06-2023'!J20</f>
        <v>Christian</v>
      </c>
      <c r="K468" s="28" t="str">
        <f>'21_08-06-2023'!G20</f>
        <v>rent sol</v>
      </c>
      <c r="L468" s="56"/>
      <c r="N468" s="25" t="s">
        <v>97</v>
      </c>
      <c r="T468" s="56"/>
      <c r="U468" s="77">
        <f t="shared" ref="U468:X468" si="4131">C468-C467</f>
        <v>8</v>
      </c>
      <c r="V468" s="28">
        <f t="shared" si="4131"/>
        <v>-24</v>
      </c>
      <c r="W468" s="28">
        <f t="shared" si="4131"/>
        <v>8</v>
      </c>
      <c r="X468" s="28">
        <f t="shared" si="4131"/>
        <v>8</v>
      </c>
      <c r="AB468" s="28" t="str">
        <f t="shared" ref="AB468:AE468" si="4132">IF(AB$3=$H468,U468,"")</f>
        <v/>
      </c>
      <c r="AC468" s="28">
        <f t="shared" si="4132"/>
        <v>-24</v>
      </c>
      <c r="AD468" s="28" t="str">
        <f t="shared" si="4132"/>
        <v/>
      </c>
      <c r="AE468" s="28" t="str">
        <f t="shared" si="4132"/>
        <v/>
      </c>
      <c r="AH468" s="28">
        <f t="shared" si="22"/>
        <v>0</v>
      </c>
      <c r="AI468" s="28">
        <f t="shared" si="23"/>
        <v>-24</v>
      </c>
      <c r="AK468" s="78" t="str">
        <f t="shared" ref="AK468:AN468" si="4133">IF(U468&gt;0,AK$3,"")</f>
        <v>Thomas</v>
      </c>
      <c r="AL468" s="78" t="str">
        <f t="shared" si="4133"/>
        <v/>
      </c>
      <c r="AM468" s="78" t="str">
        <f t="shared" si="4133"/>
        <v>Janus</v>
      </c>
      <c r="AN468" s="78" t="str">
        <f t="shared" si="4133"/>
        <v>Christian</v>
      </c>
      <c r="AO468" s="56">
        <f t="shared" si="25"/>
        <v>3</v>
      </c>
      <c r="AP468" s="8" t="str">
        <f t="shared" si="26"/>
        <v>Peter</v>
      </c>
      <c r="AQ468" s="73" t="str">
        <f>IFERROR(__xludf.DUMMYFUNCTION("IFNA(QUERY(transpose(AY468:BB468),""Select Col1 where Col1 is not null limit 1"",0))"),"")</f>
        <v/>
      </c>
      <c r="AR468" s="56"/>
      <c r="AS468" s="28" t="str">
        <f t="shared" ref="AS468:AV468" si="4134">IF(AK468=AS$3,"",AS$3)</f>
        <v/>
      </c>
      <c r="AT468" s="28" t="str">
        <f t="shared" si="4134"/>
        <v>Peter</v>
      </c>
      <c r="AU468" s="28" t="str">
        <f t="shared" si="4134"/>
        <v/>
      </c>
      <c r="AV468" s="28" t="str">
        <f t="shared" si="4134"/>
        <v/>
      </c>
      <c r="AW468" s="56">
        <f t="shared" si="28"/>
        <v>1</v>
      </c>
      <c r="AX468" s="28">
        <f t="shared" si="29"/>
        <v>-24</v>
      </c>
      <c r="AY468" s="28" t="str">
        <f t="shared" ref="AY468:BB468" si="4135">IFNA(IFS(AY$3=$AP468,"",$AX468=U468,AY$3),"")</f>
        <v/>
      </c>
      <c r="AZ468" s="28" t="str">
        <f t="shared" si="4135"/>
        <v/>
      </c>
      <c r="BA468" s="28" t="str">
        <f t="shared" si="4135"/>
        <v/>
      </c>
      <c r="BB468" s="28" t="str">
        <f t="shared" si="4135"/>
        <v/>
      </c>
      <c r="BC468" s="58">
        <f>OFFSET('00_Regnskab_01'!$A$1,MATCH(A468,'00_Regnskab_01'!$A$1:$A$25)-1,2)</f>
        <v>45085</v>
      </c>
      <c r="BE468" s="80">
        <f t="shared" ref="BE468:BH468" si="4136">if(U468&gt;0,1+BE467,0)</f>
        <v>1</v>
      </c>
      <c r="BF468" s="28">
        <f t="shared" si="4136"/>
        <v>0</v>
      </c>
      <c r="BG468" s="28">
        <f t="shared" si="4136"/>
        <v>5</v>
      </c>
      <c r="BH468" s="28">
        <f t="shared" si="4136"/>
        <v>4</v>
      </c>
      <c r="BJ468" s="28">
        <f t="shared" ref="BJ468:BM468" si="4137">if(U468&lt;0,1+BJ467,0)</f>
        <v>0</v>
      </c>
      <c r="BK468" s="28">
        <f t="shared" si="4137"/>
        <v>8</v>
      </c>
      <c r="BL468" s="28">
        <f t="shared" si="4137"/>
        <v>0</v>
      </c>
      <c r="BM468" s="28">
        <f t="shared" si="4137"/>
        <v>0</v>
      </c>
      <c r="BO468" s="74">
        <f t="shared" ref="BO468:BR468" si="4138">if(U468&gt;0,U468+BO467,0)</f>
        <v>8</v>
      </c>
      <c r="BP468" s="74">
        <f t="shared" si="4138"/>
        <v>0</v>
      </c>
      <c r="BQ468" s="74">
        <f t="shared" si="4138"/>
        <v>92</v>
      </c>
      <c r="BR468" s="74">
        <f t="shared" si="4138"/>
        <v>68</v>
      </c>
      <c r="BT468" s="28">
        <f t="shared" ref="BT468:BW468" si="4139">if(U468&lt;0,U468+BT467,0)</f>
        <v>0</v>
      </c>
      <c r="BU468" s="28">
        <f t="shared" si="4139"/>
        <v>-160</v>
      </c>
      <c r="BV468" s="28">
        <f t="shared" si="4139"/>
        <v>0</v>
      </c>
      <c r="BW468" s="28">
        <f t="shared" si="4139"/>
        <v>0</v>
      </c>
    </row>
    <row r="469">
      <c r="A469" s="53">
        <v>21.0</v>
      </c>
      <c r="B469" s="28">
        <f>'21_08-06-2023'!A21</f>
        <v>19</v>
      </c>
      <c r="C469" s="28">
        <f>'21_08-06-2023'!C21</f>
        <v>-84</v>
      </c>
      <c r="D469" s="28">
        <f>'21_08-06-2023'!E21</f>
        <v>-124</v>
      </c>
      <c r="E469" s="28">
        <f>'21_08-06-2023'!D21</f>
        <v>68</v>
      </c>
      <c r="F469" s="28">
        <f>'21_08-06-2023'!B21</f>
        <v>140</v>
      </c>
      <c r="G469" s="28">
        <f>'21_08-06-2023'!F21</f>
        <v>0</v>
      </c>
      <c r="H469" s="28" t="str">
        <f>'21_08-06-2023'!H21</f>
        <v>Thomas</v>
      </c>
      <c r="I469" s="28" t="str">
        <f>'21_08-06-2023'!I21</f>
        <v>Christian</v>
      </c>
      <c r="J469" s="76" t="str">
        <f>'21_08-06-2023'!J21</f>
        <v>Janus</v>
      </c>
      <c r="K469" s="28" t="str">
        <f>'21_08-06-2023'!G21</f>
        <v>9 gode</v>
      </c>
      <c r="L469" s="56"/>
      <c r="M469" s="25">
        <v>9.0</v>
      </c>
      <c r="N469" s="25" t="s">
        <v>95</v>
      </c>
      <c r="T469" s="56"/>
      <c r="U469" s="77">
        <f t="shared" ref="U469:X469" si="4140">C469-C468</f>
        <v>12</v>
      </c>
      <c r="V469" s="28">
        <f t="shared" si="4140"/>
        <v>-12</v>
      </c>
      <c r="W469" s="28">
        <f t="shared" si="4140"/>
        <v>-12</v>
      </c>
      <c r="X469" s="28">
        <f t="shared" si="4140"/>
        <v>12</v>
      </c>
      <c r="AB469" s="28">
        <f t="shared" ref="AB469:AE469" si="4141">IF(AB$3=$H469,U469,"")</f>
        <v>12</v>
      </c>
      <c r="AC469" s="28" t="str">
        <f t="shared" si="4141"/>
        <v/>
      </c>
      <c r="AD469" s="28" t="str">
        <f t="shared" si="4141"/>
        <v/>
      </c>
      <c r="AE469" s="28" t="str">
        <f t="shared" si="4141"/>
        <v/>
      </c>
      <c r="AH469" s="28">
        <f t="shared" si="22"/>
        <v>12</v>
      </c>
      <c r="AI469" s="28">
        <f t="shared" si="23"/>
        <v>0</v>
      </c>
      <c r="AK469" s="78" t="str">
        <f t="shared" ref="AK469:AN469" si="4142">IF(U469&gt;0,AK$3,"")</f>
        <v>Thomas</v>
      </c>
      <c r="AL469" s="78" t="str">
        <f t="shared" si="4142"/>
        <v/>
      </c>
      <c r="AM469" s="78" t="str">
        <f t="shared" si="4142"/>
        <v/>
      </c>
      <c r="AN469" s="78" t="str">
        <f t="shared" si="4142"/>
        <v>Christian</v>
      </c>
      <c r="AO469" s="56">
        <f t="shared" si="25"/>
        <v>2</v>
      </c>
      <c r="AP469" s="8" t="str">
        <f t="shared" si="26"/>
        <v>Thomas</v>
      </c>
      <c r="AQ469" s="73" t="str">
        <f>IFERROR(__xludf.DUMMYFUNCTION("IFNA(QUERY(transpose(AY469:BB469),""Select Col1 where Col1 is not null limit 1"",0))"),"Christian")</f>
        <v>Christian</v>
      </c>
      <c r="AR469" s="56"/>
      <c r="AS469" s="28" t="str">
        <f t="shared" ref="AS469:AV469" si="4143">IF(AK469=AS$3,"",AS$3)</f>
        <v/>
      </c>
      <c r="AT469" s="28" t="str">
        <f t="shared" si="4143"/>
        <v>Peter</v>
      </c>
      <c r="AU469" s="28" t="str">
        <f t="shared" si="4143"/>
        <v>Janus</v>
      </c>
      <c r="AV469" s="28" t="str">
        <f t="shared" si="4143"/>
        <v/>
      </c>
      <c r="AW469" s="56">
        <f t="shared" si="28"/>
        <v>2</v>
      </c>
      <c r="AX469" s="28">
        <f t="shared" si="29"/>
        <v>12</v>
      </c>
      <c r="AY469" s="28" t="str">
        <f t="shared" ref="AY469:BB469" si="4144">IFNA(IFS(AY$3=$AP469,"",$AX469=U469,AY$3),"")</f>
        <v/>
      </c>
      <c r="AZ469" s="28" t="str">
        <f t="shared" si="4144"/>
        <v/>
      </c>
      <c r="BA469" s="28" t="str">
        <f t="shared" si="4144"/>
        <v/>
      </c>
      <c r="BB469" s="28" t="str">
        <f t="shared" si="4144"/>
        <v>Christian</v>
      </c>
      <c r="BC469" s="58">
        <f>OFFSET('00_Regnskab_01'!$A$1,MATCH(A469,'00_Regnskab_01'!$A$1:$A$25)-1,2)</f>
        <v>45085</v>
      </c>
      <c r="BE469" s="80">
        <f t="shared" ref="BE469:BH469" si="4145">if(U469&gt;0,1+BE468,0)</f>
        <v>2</v>
      </c>
      <c r="BF469" s="28">
        <f t="shared" si="4145"/>
        <v>0</v>
      </c>
      <c r="BG469" s="28">
        <f t="shared" si="4145"/>
        <v>0</v>
      </c>
      <c r="BH469" s="28">
        <f t="shared" si="4145"/>
        <v>5</v>
      </c>
      <c r="BJ469" s="28">
        <f t="shared" ref="BJ469:BM469" si="4146">if(U469&lt;0,1+BJ468,0)</f>
        <v>0</v>
      </c>
      <c r="BK469" s="28">
        <f t="shared" si="4146"/>
        <v>9</v>
      </c>
      <c r="BL469" s="28">
        <f t="shared" si="4146"/>
        <v>1</v>
      </c>
      <c r="BM469" s="28">
        <f t="shared" si="4146"/>
        <v>0</v>
      </c>
      <c r="BO469" s="74">
        <f t="shared" ref="BO469:BR469" si="4147">if(U469&gt;0,U469+BO468,0)</f>
        <v>20</v>
      </c>
      <c r="BP469" s="74">
        <f t="shared" si="4147"/>
        <v>0</v>
      </c>
      <c r="BQ469" s="74">
        <f t="shared" si="4147"/>
        <v>0</v>
      </c>
      <c r="BR469" s="74">
        <f t="shared" si="4147"/>
        <v>80</v>
      </c>
      <c r="BT469" s="28">
        <f t="shared" ref="BT469:BW469" si="4148">if(U469&lt;0,U469+BT468,0)</f>
        <v>0</v>
      </c>
      <c r="BU469" s="28">
        <f t="shared" si="4148"/>
        <v>-172</v>
      </c>
      <c r="BV469" s="28">
        <f t="shared" si="4148"/>
        <v>-12</v>
      </c>
      <c r="BW469" s="28">
        <f t="shared" si="4148"/>
        <v>0</v>
      </c>
    </row>
    <row r="470">
      <c r="A470" s="53">
        <v>21.0</v>
      </c>
      <c r="B470" s="28">
        <f>'21_08-06-2023'!A22</f>
        <v>20</v>
      </c>
      <c r="C470" s="28">
        <f>'21_08-06-2023'!C22</f>
        <v>-88</v>
      </c>
      <c r="D470" s="28">
        <f>'21_08-06-2023'!E22</f>
        <v>-128</v>
      </c>
      <c r="E470" s="28">
        <f>'21_08-06-2023'!D22</f>
        <v>64</v>
      </c>
      <c r="F470" s="28">
        <f>'21_08-06-2023'!B22</f>
        <v>152</v>
      </c>
      <c r="G470" s="28">
        <f>'21_08-06-2023'!F22</f>
        <v>0</v>
      </c>
      <c r="H470" s="28" t="str">
        <f>'21_08-06-2023'!H22</f>
        <v>Christian</v>
      </c>
      <c r="I470" s="28" t="str">
        <f>'21_08-06-2023'!I22</f>
        <v/>
      </c>
      <c r="J470" s="76" t="str">
        <f>'21_08-06-2023'!J22</f>
        <v>Thomas</v>
      </c>
      <c r="K470" s="28" t="str">
        <f>'21_08-06-2023'!G22</f>
        <v>sol</v>
      </c>
      <c r="L470" s="56"/>
      <c r="N470" s="25" t="s">
        <v>99</v>
      </c>
      <c r="T470" s="56"/>
      <c r="U470" s="77">
        <f t="shared" ref="U470:X470" si="4149">C470-C469</f>
        <v>-4</v>
      </c>
      <c r="V470" s="28">
        <f t="shared" si="4149"/>
        <v>-4</v>
      </c>
      <c r="W470" s="28">
        <f t="shared" si="4149"/>
        <v>-4</v>
      </c>
      <c r="X470" s="28">
        <f t="shared" si="4149"/>
        <v>12</v>
      </c>
      <c r="AB470" s="28" t="str">
        <f t="shared" ref="AB470:AE470" si="4150">IF(AB$3=$H470,U470,"")</f>
        <v/>
      </c>
      <c r="AC470" s="28" t="str">
        <f t="shared" si="4150"/>
        <v/>
      </c>
      <c r="AD470" s="28" t="str">
        <f t="shared" si="4150"/>
        <v/>
      </c>
      <c r="AE470" s="28">
        <f t="shared" si="4150"/>
        <v>12</v>
      </c>
      <c r="AH470" s="28">
        <f t="shared" si="22"/>
        <v>12</v>
      </c>
      <c r="AI470" s="28">
        <f t="shared" si="23"/>
        <v>0</v>
      </c>
      <c r="AK470" s="78" t="str">
        <f t="shared" ref="AK470:AN470" si="4151">IF(U470&gt;0,AK$3,"")</f>
        <v/>
      </c>
      <c r="AL470" s="78" t="str">
        <f t="shared" si="4151"/>
        <v/>
      </c>
      <c r="AM470" s="78" t="str">
        <f t="shared" si="4151"/>
        <v/>
      </c>
      <c r="AN470" s="78" t="str">
        <f t="shared" si="4151"/>
        <v>Christian</v>
      </c>
      <c r="AO470" s="56">
        <f t="shared" si="25"/>
        <v>1</v>
      </c>
      <c r="AP470" s="8" t="str">
        <f t="shared" si="26"/>
        <v>Christian</v>
      </c>
      <c r="AQ470" s="73" t="str">
        <f>IFERROR(__xludf.DUMMYFUNCTION("IFNA(QUERY(transpose(AY470:BB470),""Select Col1 where Col1 is not null limit 1"",0))"),"")</f>
        <v/>
      </c>
      <c r="AR470" s="56"/>
      <c r="AS470" s="28" t="str">
        <f t="shared" ref="AS470:AV470" si="4152">IF(AK470=AS$3,"",AS$3)</f>
        <v>Thomas</v>
      </c>
      <c r="AT470" s="28" t="str">
        <f t="shared" si="4152"/>
        <v>Peter</v>
      </c>
      <c r="AU470" s="28" t="str">
        <f t="shared" si="4152"/>
        <v>Janus</v>
      </c>
      <c r="AV470" s="28" t="str">
        <f t="shared" si="4152"/>
        <v/>
      </c>
      <c r="AW470" s="56">
        <f t="shared" si="28"/>
        <v>3</v>
      </c>
      <c r="AX470" s="28">
        <f t="shared" si="29"/>
        <v>12</v>
      </c>
      <c r="AY470" s="28" t="str">
        <f t="shared" ref="AY470:BB470" si="4153">IFNA(IFS(AY$3=$AP470,"",$AX470=U470,AY$3),"")</f>
        <v/>
      </c>
      <c r="AZ470" s="28" t="str">
        <f t="shared" si="4153"/>
        <v/>
      </c>
      <c r="BA470" s="28" t="str">
        <f t="shared" si="4153"/>
        <v/>
      </c>
      <c r="BB470" s="28" t="str">
        <f t="shared" si="4153"/>
        <v/>
      </c>
      <c r="BC470" s="58">
        <f>OFFSET('00_Regnskab_01'!$A$1,MATCH(A470,'00_Regnskab_01'!$A$1:$A$25)-1,2)</f>
        <v>45085</v>
      </c>
      <c r="BE470" s="80">
        <f t="shared" ref="BE470:BH470" si="4154">if(U470&gt;0,1+BE469,0)</f>
        <v>0</v>
      </c>
      <c r="BF470" s="28">
        <f t="shared" si="4154"/>
        <v>0</v>
      </c>
      <c r="BG470" s="28">
        <f t="shared" si="4154"/>
        <v>0</v>
      </c>
      <c r="BH470" s="28">
        <f t="shared" si="4154"/>
        <v>6</v>
      </c>
      <c r="BJ470" s="28">
        <f t="shared" ref="BJ470:BM470" si="4155">if(U470&lt;0,1+BJ469,0)</f>
        <v>1</v>
      </c>
      <c r="BK470" s="28">
        <f t="shared" si="4155"/>
        <v>10</v>
      </c>
      <c r="BL470" s="28">
        <f t="shared" si="4155"/>
        <v>2</v>
      </c>
      <c r="BM470" s="28">
        <f t="shared" si="4155"/>
        <v>0</v>
      </c>
      <c r="BO470" s="74">
        <f t="shared" ref="BO470:BR470" si="4156">if(U470&gt;0,U470+BO469,0)</f>
        <v>0</v>
      </c>
      <c r="BP470" s="74">
        <f t="shared" si="4156"/>
        <v>0</v>
      </c>
      <c r="BQ470" s="74">
        <f t="shared" si="4156"/>
        <v>0</v>
      </c>
      <c r="BR470" s="74">
        <f t="shared" si="4156"/>
        <v>92</v>
      </c>
      <c r="BT470" s="28">
        <f t="shared" ref="BT470:BW470" si="4157">if(U470&lt;0,U470+BT469,0)</f>
        <v>-4</v>
      </c>
      <c r="BU470" s="28">
        <f t="shared" si="4157"/>
        <v>-176</v>
      </c>
      <c r="BV470" s="28">
        <f t="shared" si="4157"/>
        <v>-16</v>
      </c>
      <c r="BW470" s="28">
        <f t="shared" si="4157"/>
        <v>0</v>
      </c>
    </row>
    <row r="471">
      <c r="A471" s="53">
        <v>21.0</v>
      </c>
      <c r="B471" s="28">
        <f>'21_08-06-2023'!A23</f>
        <v>21</v>
      </c>
      <c r="C471" s="28">
        <f>'21_08-06-2023'!C23</f>
        <v>-104</v>
      </c>
      <c r="D471" s="28">
        <f>'21_08-06-2023'!E23</f>
        <v>-144</v>
      </c>
      <c r="E471" s="28">
        <f>'21_08-06-2023'!D23</f>
        <v>112</v>
      </c>
      <c r="F471" s="28">
        <f>'21_08-06-2023'!B23</f>
        <v>136</v>
      </c>
      <c r="G471" s="28">
        <f>'21_08-06-2023'!F23</f>
        <v>0</v>
      </c>
      <c r="H471" s="28" t="str">
        <f>'21_08-06-2023'!H23</f>
        <v>Janus</v>
      </c>
      <c r="I471" s="28" t="str">
        <f>'21_08-06-2023'!I23</f>
        <v/>
      </c>
      <c r="J471" s="76" t="str">
        <f>'21_08-06-2023'!J23</f>
        <v>Peter</v>
      </c>
      <c r="K471" s="28" t="str">
        <f>'21_08-06-2023'!G23</f>
        <v>halv bordlægger</v>
      </c>
      <c r="L471" s="56"/>
      <c r="N471" s="25" t="s">
        <v>101</v>
      </c>
      <c r="T471" s="56"/>
      <c r="U471" s="77">
        <f t="shared" ref="U471:X471" si="4158">C471-C470</f>
        <v>-16</v>
      </c>
      <c r="V471" s="28">
        <f t="shared" si="4158"/>
        <v>-16</v>
      </c>
      <c r="W471" s="28">
        <f t="shared" si="4158"/>
        <v>48</v>
      </c>
      <c r="X471" s="28">
        <f t="shared" si="4158"/>
        <v>-16</v>
      </c>
      <c r="AB471" s="28" t="str">
        <f t="shared" ref="AB471:AE471" si="4159">IF(AB$3=$H471,U471,"")</f>
        <v/>
      </c>
      <c r="AC471" s="28" t="str">
        <f t="shared" si="4159"/>
        <v/>
      </c>
      <c r="AD471" s="28">
        <f t="shared" si="4159"/>
        <v>48</v>
      </c>
      <c r="AE471" s="28" t="str">
        <f t="shared" si="4159"/>
        <v/>
      </c>
      <c r="AH471" s="28">
        <f t="shared" si="22"/>
        <v>48</v>
      </c>
      <c r="AI471" s="28">
        <f t="shared" si="23"/>
        <v>0</v>
      </c>
      <c r="AK471" s="78" t="str">
        <f t="shared" ref="AK471:AN471" si="4160">IF(U471&gt;0,AK$3,"")</f>
        <v/>
      </c>
      <c r="AL471" s="78" t="str">
        <f t="shared" si="4160"/>
        <v/>
      </c>
      <c r="AM471" s="78" t="str">
        <f t="shared" si="4160"/>
        <v>Janus</v>
      </c>
      <c r="AN471" s="78" t="str">
        <f t="shared" si="4160"/>
        <v/>
      </c>
      <c r="AO471" s="56">
        <f t="shared" si="25"/>
        <v>1</v>
      </c>
      <c r="AP471" s="8" t="str">
        <f t="shared" si="26"/>
        <v>Janus</v>
      </c>
      <c r="AQ471" s="73" t="str">
        <f>IFERROR(__xludf.DUMMYFUNCTION("IFNA(QUERY(transpose(AY471:BB471),""Select Col1 where Col1 is not null limit 1"",0))"),"")</f>
        <v/>
      </c>
      <c r="AR471" s="56"/>
      <c r="AS471" s="28" t="str">
        <f t="shared" ref="AS471:AV471" si="4161">IF(AK471=AS$3,"",AS$3)</f>
        <v>Thomas</v>
      </c>
      <c r="AT471" s="28" t="str">
        <f t="shared" si="4161"/>
        <v>Peter</v>
      </c>
      <c r="AU471" s="28" t="str">
        <f t="shared" si="4161"/>
        <v/>
      </c>
      <c r="AV471" s="28" t="str">
        <f t="shared" si="4161"/>
        <v>Christian</v>
      </c>
      <c r="AW471" s="56">
        <f t="shared" si="28"/>
        <v>3</v>
      </c>
      <c r="AX471" s="28">
        <f t="shared" si="29"/>
        <v>48</v>
      </c>
      <c r="AY471" s="28" t="str">
        <f t="shared" ref="AY471:BB471" si="4162">IFNA(IFS(AY$3=$AP471,"",$AX471=U471,AY$3),"")</f>
        <v/>
      </c>
      <c r="AZ471" s="28" t="str">
        <f t="shared" si="4162"/>
        <v/>
      </c>
      <c r="BA471" s="28" t="str">
        <f t="shared" si="4162"/>
        <v/>
      </c>
      <c r="BB471" s="28" t="str">
        <f t="shared" si="4162"/>
        <v/>
      </c>
      <c r="BC471" s="58">
        <f>OFFSET('00_Regnskab_01'!$A$1,MATCH(A471,'00_Regnskab_01'!$A$1:$A$25)-1,2)</f>
        <v>45085</v>
      </c>
      <c r="BE471" s="80">
        <f t="shared" ref="BE471:BH471" si="4163">if(U471&gt;0,1+BE470,0)</f>
        <v>0</v>
      </c>
      <c r="BF471" s="28">
        <f t="shared" si="4163"/>
        <v>0</v>
      </c>
      <c r="BG471" s="28">
        <f t="shared" si="4163"/>
        <v>1</v>
      </c>
      <c r="BH471" s="28">
        <f t="shared" si="4163"/>
        <v>0</v>
      </c>
      <c r="BJ471" s="28">
        <f t="shared" ref="BJ471:BM471" si="4164">if(U471&lt;0,1+BJ470,0)</f>
        <v>2</v>
      </c>
      <c r="BK471" s="28">
        <f t="shared" si="4164"/>
        <v>11</v>
      </c>
      <c r="BL471" s="28">
        <f t="shared" si="4164"/>
        <v>0</v>
      </c>
      <c r="BM471" s="28">
        <f t="shared" si="4164"/>
        <v>1</v>
      </c>
      <c r="BO471" s="74">
        <f t="shared" ref="BO471:BR471" si="4165">if(U471&gt;0,U471+BO470,0)</f>
        <v>0</v>
      </c>
      <c r="BP471" s="74">
        <f t="shared" si="4165"/>
        <v>0</v>
      </c>
      <c r="BQ471" s="74">
        <f t="shared" si="4165"/>
        <v>48</v>
      </c>
      <c r="BR471" s="74">
        <f t="shared" si="4165"/>
        <v>0</v>
      </c>
      <c r="BT471" s="28">
        <f t="shared" ref="BT471:BW471" si="4166">if(U471&lt;0,U471+BT470,0)</f>
        <v>-20</v>
      </c>
      <c r="BU471" s="28">
        <f t="shared" si="4166"/>
        <v>-192</v>
      </c>
      <c r="BV471" s="28">
        <f t="shared" si="4166"/>
        <v>0</v>
      </c>
      <c r="BW471" s="28">
        <f t="shared" si="4166"/>
        <v>-16</v>
      </c>
    </row>
    <row r="472">
      <c r="A472" s="83">
        <v>21.0</v>
      </c>
      <c r="B472" s="84">
        <f>'21_08-06-2023'!A24</f>
        <v>22</v>
      </c>
      <c r="C472" s="84">
        <f>'21_08-06-2023'!C24</f>
        <v>-80</v>
      </c>
      <c r="D472" s="84">
        <f>'21_08-06-2023'!E24</f>
        <v>-168</v>
      </c>
      <c r="E472" s="84">
        <f>'21_08-06-2023'!D24</f>
        <v>88</v>
      </c>
      <c r="F472" s="84">
        <f>'21_08-06-2023'!B24</f>
        <v>160</v>
      </c>
      <c r="G472" s="84">
        <f>'21_08-06-2023'!F24</f>
        <v>0</v>
      </c>
      <c r="H472" s="84" t="str">
        <f>'21_08-06-2023'!H24</f>
        <v>Christian</v>
      </c>
      <c r="I472" s="84" t="str">
        <f>'21_08-06-2023'!I24</f>
        <v>Thomas</v>
      </c>
      <c r="J472" s="86" t="str">
        <f>'21_08-06-2023'!J24</f>
        <v>Christian</v>
      </c>
      <c r="K472" s="84" t="str">
        <f>'21_08-06-2023'!G24</f>
        <v>9 vip 2</v>
      </c>
      <c r="L472" s="84"/>
      <c r="M472" s="87">
        <v>9.0</v>
      </c>
      <c r="N472" s="87" t="s">
        <v>86</v>
      </c>
      <c r="O472" s="87">
        <v>2.0</v>
      </c>
      <c r="P472" s="84"/>
      <c r="Q472" s="84"/>
      <c r="R472" s="84"/>
      <c r="S472" s="84"/>
      <c r="T472" s="84"/>
      <c r="U472" s="88">
        <f t="shared" ref="U472:X472" si="4167">C472-C471</f>
        <v>24</v>
      </c>
      <c r="V472" s="84">
        <f t="shared" si="4167"/>
        <v>-24</v>
      </c>
      <c r="W472" s="84">
        <f t="shared" si="4167"/>
        <v>-24</v>
      </c>
      <c r="X472" s="84">
        <f t="shared" si="4167"/>
        <v>24</v>
      </c>
      <c r="Y472" s="84"/>
      <c r="Z472" s="84"/>
      <c r="AA472" s="84"/>
      <c r="AB472" s="84" t="str">
        <f t="shared" ref="AB472:AE472" si="4168">IF(AB$3=$H472,U472,"")</f>
        <v/>
      </c>
      <c r="AC472" s="84" t="str">
        <f t="shared" si="4168"/>
        <v/>
      </c>
      <c r="AD472" s="84" t="str">
        <f t="shared" si="4168"/>
        <v/>
      </c>
      <c r="AE472" s="84">
        <f t="shared" si="4168"/>
        <v>24</v>
      </c>
      <c r="AF472" s="84"/>
      <c r="AG472" s="84"/>
      <c r="AH472" s="84">
        <f t="shared" si="22"/>
        <v>24</v>
      </c>
      <c r="AI472" s="84">
        <f t="shared" si="23"/>
        <v>0</v>
      </c>
      <c r="AJ472" s="84"/>
      <c r="AK472" s="93" t="str">
        <f t="shared" ref="AK472:AN472" si="4169">IF(U472&gt;0,AK$3,"")</f>
        <v>Thomas</v>
      </c>
      <c r="AL472" s="93" t="str">
        <f t="shared" si="4169"/>
        <v/>
      </c>
      <c r="AM472" s="93" t="str">
        <f t="shared" si="4169"/>
        <v/>
      </c>
      <c r="AN472" s="93" t="str">
        <f t="shared" si="4169"/>
        <v>Christian</v>
      </c>
      <c r="AO472" s="84">
        <f t="shared" si="25"/>
        <v>2</v>
      </c>
      <c r="AP472" s="94" t="str">
        <f t="shared" si="26"/>
        <v>Christian</v>
      </c>
      <c r="AQ472" s="95" t="str">
        <f>IFERROR(__xludf.DUMMYFUNCTION("IFNA(QUERY(transpose(AY472:BB472),""Select Col1 where Col1 is not null limit 1"",0))"),"Thomas")</f>
        <v>Thomas</v>
      </c>
      <c r="AR472" s="84"/>
      <c r="AS472" s="84" t="str">
        <f t="shared" ref="AS472:AV472" si="4170">IF(AK472=AS$3,"",AS$3)</f>
        <v/>
      </c>
      <c r="AT472" s="84" t="str">
        <f t="shared" si="4170"/>
        <v>Peter</v>
      </c>
      <c r="AU472" s="84" t="str">
        <f t="shared" si="4170"/>
        <v>Janus</v>
      </c>
      <c r="AV472" s="84" t="str">
        <f t="shared" si="4170"/>
        <v/>
      </c>
      <c r="AW472" s="84">
        <f t="shared" si="28"/>
        <v>2</v>
      </c>
      <c r="AX472" s="84">
        <f t="shared" si="29"/>
        <v>24</v>
      </c>
      <c r="AY472" s="84" t="str">
        <f t="shared" ref="AY472:BB472" si="4171">IFNA(IFS(AY$3=$AP472,"",$AX472=U472,AY$3),"")</f>
        <v>Thomas</v>
      </c>
      <c r="AZ472" s="84" t="str">
        <f t="shared" si="4171"/>
        <v/>
      </c>
      <c r="BA472" s="84" t="str">
        <f t="shared" si="4171"/>
        <v/>
      </c>
      <c r="BB472" s="84" t="str">
        <f t="shared" si="4171"/>
        <v/>
      </c>
      <c r="BC472" s="58">
        <f>OFFSET('00_Regnskab_01'!$A$1,MATCH(A472,'00_Regnskab_01'!$A$1:$A$25)-1,2)</f>
        <v>45085</v>
      </c>
      <c r="BD472" s="84"/>
      <c r="BE472" s="80">
        <f t="shared" ref="BE472:BH472" si="4172">if(U472&gt;0,1+BE471,0)</f>
        <v>1</v>
      </c>
      <c r="BF472" s="28">
        <f t="shared" si="4172"/>
        <v>0</v>
      </c>
      <c r="BG472" s="28">
        <f t="shared" si="4172"/>
        <v>0</v>
      </c>
      <c r="BH472" s="28">
        <f t="shared" si="4172"/>
        <v>1</v>
      </c>
      <c r="BI472" s="84"/>
      <c r="BJ472" s="28">
        <f t="shared" ref="BJ472:BM472" si="4173">if(U472&lt;0,1+BJ471,0)</f>
        <v>0</v>
      </c>
      <c r="BK472" s="28">
        <f t="shared" si="4173"/>
        <v>12</v>
      </c>
      <c r="BL472" s="28">
        <f t="shared" si="4173"/>
        <v>1</v>
      </c>
      <c r="BM472" s="28">
        <f t="shared" si="4173"/>
        <v>0</v>
      </c>
      <c r="BO472" s="74">
        <f t="shared" ref="BO472:BR472" si="4174">if(U472&gt;0,U472+BO471,0)</f>
        <v>24</v>
      </c>
      <c r="BP472" s="74">
        <f t="shared" si="4174"/>
        <v>0</v>
      </c>
      <c r="BQ472" s="74">
        <f t="shared" si="4174"/>
        <v>0</v>
      </c>
      <c r="BR472" s="74">
        <f t="shared" si="4174"/>
        <v>24</v>
      </c>
      <c r="BT472" s="28">
        <f t="shared" ref="BT472:BW472" si="4175">if(U472&lt;0,U472+BT471,0)</f>
        <v>0</v>
      </c>
      <c r="BU472" s="28">
        <f t="shared" si="4175"/>
        <v>-216</v>
      </c>
      <c r="BV472" s="28">
        <f t="shared" si="4175"/>
        <v>-24</v>
      </c>
      <c r="BW472" s="28">
        <f t="shared" si="4175"/>
        <v>0</v>
      </c>
      <c r="BX472" s="84"/>
      <c r="BY472" s="84"/>
    </row>
    <row r="473">
      <c r="A473" s="51">
        <v>22.0</v>
      </c>
      <c r="B473" s="27">
        <f>'22_31-09-2023_RETTET'!A3</f>
        <v>1</v>
      </c>
      <c r="C473" s="27">
        <f>'22_31-09-2023_RETTET'!B3</f>
        <v>-4</v>
      </c>
      <c r="D473" s="27">
        <f>'22_31-09-2023_RETTET'!C3</f>
        <v>-4</v>
      </c>
      <c r="E473" s="27">
        <f>'22_31-09-2023_RETTET'!D3</f>
        <v>-4</v>
      </c>
      <c r="F473" s="27">
        <f>'22_31-09-2023_RETTET'!E3</f>
        <v>12</v>
      </c>
      <c r="G473" s="27">
        <f>'22_31-09-2023_RETTET'!F3</f>
        <v>0</v>
      </c>
      <c r="H473" s="27" t="str">
        <f>'22_31-09-2023_RETTET'!H3</f>
        <v>Christian</v>
      </c>
      <c r="I473" s="27" t="str">
        <f>'22_31-09-2023_RETTET'!I3</f>
        <v/>
      </c>
      <c r="J473" s="27" t="str">
        <f>'22_31-09-2023_RETTET'!J3</f>
        <v>Thomas</v>
      </c>
      <c r="K473" s="27" t="str">
        <f>'22_31-09-2023_RETTET'!G3</f>
        <v>Ren sol</v>
      </c>
      <c r="L473" s="32"/>
      <c r="M473" s="32"/>
      <c r="N473" s="48" t="s">
        <v>97</v>
      </c>
      <c r="O473" s="32"/>
      <c r="P473" s="32"/>
      <c r="Q473" s="32"/>
      <c r="R473" s="32"/>
      <c r="S473" s="32"/>
      <c r="T473" s="32"/>
      <c r="U473" s="107">
        <f t="shared" ref="U473:X473" si="4176">C473</f>
        <v>-4</v>
      </c>
      <c r="V473" s="27">
        <f t="shared" si="4176"/>
        <v>-4</v>
      </c>
      <c r="W473" s="27">
        <f t="shared" si="4176"/>
        <v>-4</v>
      </c>
      <c r="X473" s="27">
        <f t="shared" si="4176"/>
        <v>12</v>
      </c>
      <c r="Y473" s="32"/>
      <c r="Z473" s="32"/>
      <c r="AA473" s="32"/>
      <c r="AB473" s="32" t="str">
        <f t="shared" ref="AB473:AE473" si="4177">IF(AB$3=$H473,U473,"")</f>
        <v/>
      </c>
      <c r="AC473" s="32" t="str">
        <f t="shared" si="4177"/>
        <v/>
      </c>
      <c r="AD473" s="32" t="str">
        <f t="shared" si="4177"/>
        <v/>
      </c>
      <c r="AE473" s="27">
        <f t="shared" si="4177"/>
        <v>12</v>
      </c>
      <c r="AF473" s="32"/>
      <c r="AG473" s="32"/>
      <c r="AH473" s="32">
        <f t="shared" si="22"/>
        <v>12</v>
      </c>
      <c r="AI473" s="32">
        <f t="shared" si="23"/>
        <v>0</v>
      </c>
      <c r="AJ473" s="32"/>
      <c r="AK473" s="72" t="str">
        <f t="shared" ref="AK473:AN473" si="4178">IF(U473&gt;0,AK$3,"")</f>
        <v/>
      </c>
      <c r="AL473" s="72" t="str">
        <f t="shared" si="4178"/>
        <v/>
      </c>
      <c r="AM473" s="72" t="str">
        <f t="shared" si="4178"/>
        <v/>
      </c>
      <c r="AN473" s="72" t="str">
        <f t="shared" si="4178"/>
        <v>Christian</v>
      </c>
      <c r="AO473" s="32">
        <f t="shared" si="25"/>
        <v>1</v>
      </c>
      <c r="AP473" s="108" t="str">
        <f t="shared" si="26"/>
        <v>Christian</v>
      </c>
      <c r="AQ473" s="109" t="str">
        <f>IFERROR(__xludf.DUMMYFUNCTION("IFNA(QUERY(transpose(AY473:BB473),""Select Col1 where Col1 is not null limit 1"",0))"),"")</f>
        <v/>
      </c>
      <c r="AR473" s="32"/>
      <c r="AS473" s="32" t="str">
        <f t="shared" ref="AS473:AV473" si="4179">IF(AK473=AS$3,"",AS$3)</f>
        <v>Thomas</v>
      </c>
      <c r="AT473" s="32" t="str">
        <f t="shared" si="4179"/>
        <v>Peter</v>
      </c>
      <c r="AU473" s="32" t="str">
        <f t="shared" si="4179"/>
        <v>Janus</v>
      </c>
      <c r="AV473" s="32" t="str">
        <f t="shared" si="4179"/>
        <v/>
      </c>
      <c r="AW473" s="32">
        <f t="shared" si="28"/>
        <v>3</v>
      </c>
      <c r="AX473" s="32">
        <f t="shared" si="29"/>
        <v>12</v>
      </c>
      <c r="AY473" s="32" t="str">
        <f t="shared" ref="AY473:BB473" si="4180">IFNA(IFS(AY$3=$AP473,"",$AX473=U473,AY$3),"")</f>
        <v/>
      </c>
      <c r="AZ473" s="32" t="str">
        <f t="shared" si="4180"/>
        <v/>
      </c>
      <c r="BA473" s="32" t="str">
        <f t="shared" si="4180"/>
        <v/>
      </c>
      <c r="BB473" s="32" t="str">
        <f t="shared" si="4180"/>
        <v/>
      </c>
      <c r="BC473" s="58">
        <f>OFFSET('00_Regnskab_01'!$A$1,MATCH(A473,'00_Regnskab_01'!$A$1:$A$25)-1,2)</f>
        <v>45199</v>
      </c>
      <c r="BD473" s="32"/>
      <c r="BE473" s="80">
        <f t="shared" ref="BE473:BH473" si="4181">if(U473&gt;0,1+BE472,0)</f>
        <v>0</v>
      </c>
      <c r="BF473" s="28">
        <f t="shared" si="4181"/>
        <v>0</v>
      </c>
      <c r="BG473" s="28">
        <f t="shared" si="4181"/>
        <v>0</v>
      </c>
      <c r="BH473" s="28">
        <f t="shared" si="4181"/>
        <v>2</v>
      </c>
      <c r="BI473" s="32"/>
      <c r="BJ473" s="28">
        <f t="shared" ref="BJ473:BM473" si="4182">if(U473&lt;0,1+BJ472,0)</f>
        <v>1</v>
      </c>
      <c r="BK473" s="28">
        <f t="shared" si="4182"/>
        <v>13</v>
      </c>
      <c r="BL473" s="28">
        <f t="shared" si="4182"/>
        <v>2</v>
      </c>
      <c r="BM473" s="28">
        <f t="shared" si="4182"/>
        <v>0</v>
      </c>
      <c r="BO473" s="74">
        <f t="shared" ref="BO473:BR473" si="4183">if(U473&gt;0,U473+BO472,0)</f>
        <v>0</v>
      </c>
      <c r="BP473" s="74">
        <f t="shared" si="4183"/>
        <v>0</v>
      </c>
      <c r="BQ473" s="74">
        <f t="shared" si="4183"/>
        <v>0</v>
      </c>
      <c r="BR473" s="110">
        <f t="shared" si="4183"/>
        <v>36</v>
      </c>
      <c r="BT473" s="80">
        <f t="shared" ref="BT473:BW473" si="4184">if(U473&lt;0,U473+BT472,0)</f>
        <v>-4</v>
      </c>
      <c r="BU473" s="80">
        <f t="shared" si="4184"/>
        <v>-220</v>
      </c>
      <c r="BV473" s="80">
        <f t="shared" si="4184"/>
        <v>-28</v>
      </c>
      <c r="BW473" s="28">
        <f t="shared" si="4184"/>
        <v>0</v>
      </c>
      <c r="BX473" s="32"/>
      <c r="BY473" s="32"/>
    </row>
    <row r="474">
      <c r="A474" s="53">
        <v>22.0</v>
      </c>
      <c r="B474" s="80">
        <f>'22_31-09-2023_RETTET'!A4</f>
        <v>2</v>
      </c>
      <c r="C474" s="80">
        <f>'22_31-09-2023_RETTET'!B4</f>
        <v>8</v>
      </c>
      <c r="D474" s="80">
        <f>'22_31-09-2023_RETTET'!C4</f>
        <v>-16</v>
      </c>
      <c r="E474" s="80">
        <f>'22_31-09-2023_RETTET'!D4</f>
        <v>-16</v>
      </c>
      <c r="F474" s="80">
        <f>'22_31-09-2023_RETTET'!E4</f>
        <v>24</v>
      </c>
      <c r="G474" s="80">
        <f>'22_31-09-2023_RETTET'!F4</f>
        <v>0</v>
      </c>
      <c r="H474" s="80" t="str">
        <f>'22_31-09-2023_RETTET'!H4</f>
        <v>Christian</v>
      </c>
      <c r="I474" s="80" t="str">
        <f>'22_31-09-2023_RETTET'!I4</f>
        <v>Thomas</v>
      </c>
      <c r="J474" s="80" t="str">
        <f>'22_31-09-2023_RETTET'!J4</f>
        <v>Peter</v>
      </c>
      <c r="K474" s="80" t="str">
        <f>'22_31-09-2023_RETTET'!G4</f>
        <v>10 alm</v>
      </c>
      <c r="L474" s="56"/>
      <c r="M474" s="25">
        <v>10.0</v>
      </c>
      <c r="N474" s="25" t="s">
        <v>100</v>
      </c>
      <c r="T474" s="56"/>
      <c r="U474" s="111">
        <f t="shared" ref="U474:X474" si="4185">C474-C473</f>
        <v>12</v>
      </c>
      <c r="V474" s="80">
        <f t="shared" si="4185"/>
        <v>-12</v>
      </c>
      <c r="W474" s="80">
        <f t="shared" si="4185"/>
        <v>-12</v>
      </c>
      <c r="X474" s="80">
        <f t="shared" si="4185"/>
        <v>12</v>
      </c>
      <c r="AB474" s="28" t="str">
        <f t="shared" ref="AB474:AE474" si="4186">IF(AB$3=$H474,U474,"")</f>
        <v/>
      </c>
      <c r="AC474" s="28" t="str">
        <f t="shared" si="4186"/>
        <v/>
      </c>
      <c r="AD474" s="28" t="str">
        <f t="shared" si="4186"/>
        <v/>
      </c>
      <c r="AE474" s="80">
        <f t="shared" si="4186"/>
        <v>12</v>
      </c>
      <c r="AH474" s="28">
        <f t="shared" si="22"/>
        <v>12</v>
      </c>
      <c r="AI474" s="28">
        <f t="shared" si="23"/>
        <v>0</v>
      </c>
      <c r="AK474" s="78" t="str">
        <f t="shared" ref="AK474:AN474" si="4187">IF(U474&gt;0,AK$3,"")</f>
        <v>Thomas</v>
      </c>
      <c r="AL474" s="78" t="str">
        <f t="shared" si="4187"/>
        <v/>
      </c>
      <c r="AM474" s="78" t="str">
        <f t="shared" si="4187"/>
        <v/>
      </c>
      <c r="AN474" s="78" t="str">
        <f t="shared" si="4187"/>
        <v>Christian</v>
      </c>
      <c r="AO474" s="56">
        <f t="shared" si="25"/>
        <v>2</v>
      </c>
      <c r="AP474" s="5" t="str">
        <f t="shared" si="26"/>
        <v>Christian</v>
      </c>
      <c r="AQ474" s="73" t="str">
        <f>IFERROR(__xludf.DUMMYFUNCTION("IFNA(QUERY(transpose(AY474:BB474),""Select Col1 where Col1 is not null limit 1"",0))"),"Thomas")</f>
        <v>Thomas</v>
      </c>
      <c r="AR474" s="56"/>
      <c r="AS474" s="28" t="str">
        <f t="shared" ref="AS474:AV474" si="4188">IF(AK474=AS$3,"",AS$3)</f>
        <v/>
      </c>
      <c r="AT474" s="28" t="str">
        <f t="shared" si="4188"/>
        <v>Peter</v>
      </c>
      <c r="AU474" s="28" t="str">
        <f t="shared" si="4188"/>
        <v>Janus</v>
      </c>
      <c r="AV474" s="28" t="str">
        <f t="shared" si="4188"/>
        <v/>
      </c>
      <c r="AW474" s="56">
        <f t="shared" si="28"/>
        <v>2</v>
      </c>
      <c r="AX474" s="28">
        <f t="shared" si="29"/>
        <v>12</v>
      </c>
      <c r="AY474" s="28" t="str">
        <f t="shared" ref="AY474:BB474" si="4189">IFNA(IFS(AY$3=$AP474,"",$AX474=U474,AY$3),"")</f>
        <v>Thomas</v>
      </c>
      <c r="AZ474" s="28" t="str">
        <f t="shared" si="4189"/>
        <v/>
      </c>
      <c r="BA474" s="28" t="str">
        <f t="shared" si="4189"/>
        <v/>
      </c>
      <c r="BB474" s="28" t="str">
        <f t="shared" si="4189"/>
        <v/>
      </c>
      <c r="BC474" s="58">
        <f>OFFSET('00_Regnskab_01'!$A$1,MATCH(A474,'00_Regnskab_01'!$A$1:$A$25)-1,2)</f>
        <v>45199</v>
      </c>
      <c r="BE474" s="80">
        <f t="shared" ref="BE474:BH474" si="4190">if(U474&gt;0,1+BE473,0)</f>
        <v>1</v>
      </c>
      <c r="BF474" s="28">
        <f t="shared" si="4190"/>
        <v>0</v>
      </c>
      <c r="BG474" s="28">
        <f t="shared" si="4190"/>
        <v>0</v>
      </c>
      <c r="BH474" s="28">
        <f t="shared" si="4190"/>
        <v>3</v>
      </c>
      <c r="BJ474" s="28">
        <f t="shared" ref="BJ474:BM474" si="4191">if(U474&lt;0,1+BJ473,0)</f>
        <v>0</v>
      </c>
      <c r="BK474" s="28">
        <f t="shared" si="4191"/>
        <v>14</v>
      </c>
      <c r="BL474" s="28">
        <f t="shared" si="4191"/>
        <v>3</v>
      </c>
      <c r="BM474" s="28">
        <f t="shared" si="4191"/>
        <v>0</v>
      </c>
      <c r="BO474" s="110">
        <f t="shared" ref="BO474:BR474" si="4192">if(U474&gt;0,U474+BO473,0)</f>
        <v>12</v>
      </c>
      <c r="BP474" s="74">
        <f t="shared" si="4192"/>
        <v>0</v>
      </c>
      <c r="BQ474" s="74">
        <f t="shared" si="4192"/>
        <v>0</v>
      </c>
      <c r="BR474" s="110">
        <f t="shared" si="4192"/>
        <v>48</v>
      </c>
      <c r="BT474" s="28">
        <f t="shared" ref="BT474:BW474" si="4193">if(U474&lt;0,U474+BT473,0)</f>
        <v>0</v>
      </c>
      <c r="BU474" s="80">
        <f t="shared" si="4193"/>
        <v>-232</v>
      </c>
      <c r="BV474" s="80">
        <f t="shared" si="4193"/>
        <v>-40</v>
      </c>
      <c r="BW474" s="28">
        <f t="shared" si="4193"/>
        <v>0</v>
      </c>
    </row>
    <row r="475">
      <c r="A475" s="53">
        <v>22.0</v>
      </c>
      <c r="B475" s="80">
        <f>'22_31-09-2023_RETTET'!A5</f>
        <v>3</v>
      </c>
      <c r="C475" s="80">
        <f>'22_31-09-2023_RETTET'!B5</f>
        <v>20</v>
      </c>
      <c r="D475" s="80">
        <f>'22_31-09-2023_RETTET'!C5</f>
        <v>-28</v>
      </c>
      <c r="E475" s="80">
        <f>'22_31-09-2023_RETTET'!D5</f>
        <v>-28</v>
      </c>
      <c r="F475" s="80">
        <f>'22_31-09-2023_RETTET'!E5</f>
        <v>36</v>
      </c>
      <c r="G475" s="80">
        <f>'22_31-09-2023_RETTET'!F5</f>
        <v>0</v>
      </c>
      <c r="H475" s="80" t="str">
        <f>'22_31-09-2023_RETTET'!H5</f>
        <v>Christian</v>
      </c>
      <c r="I475" s="80" t="str">
        <f>'22_31-09-2023_RETTET'!I5</f>
        <v>Thomas</v>
      </c>
      <c r="J475" s="80" t="str">
        <f>'22_31-09-2023_RETTET'!J5</f>
        <v>Janus</v>
      </c>
      <c r="K475" s="80" t="str">
        <f>'22_31-09-2023_RETTET'!G5</f>
        <v>9 gode</v>
      </c>
      <c r="L475" s="56"/>
      <c r="M475" s="25">
        <v>9.0</v>
      </c>
      <c r="N475" s="25" t="s">
        <v>95</v>
      </c>
      <c r="T475" s="56"/>
      <c r="U475" s="111">
        <f t="shared" ref="U475:X475" si="4194">C475-C474</f>
        <v>12</v>
      </c>
      <c r="V475" s="80">
        <f t="shared" si="4194"/>
        <v>-12</v>
      </c>
      <c r="W475" s="80">
        <f t="shared" si="4194"/>
        <v>-12</v>
      </c>
      <c r="X475" s="80">
        <f t="shared" si="4194"/>
        <v>12</v>
      </c>
      <c r="AB475" s="28" t="str">
        <f t="shared" ref="AB475:AE475" si="4195">IF(AB$3=$H475,U475,"")</f>
        <v/>
      </c>
      <c r="AC475" s="28" t="str">
        <f t="shared" si="4195"/>
        <v/>
      </c>
      <c r="AD475" s="28" t="str">
        <f t="shared" si="4195"/>
        <v/>
      </c>
      <c r="AE475" s="80">
        <f t="shared" si="4195"/>
        <v>12</v>
      </c>
      <c r="AH475" s="28">
        <f t="shared" si="22"/>
        <v>12</v>
      </c>
      <c r="AI475" s="28">
        <f t="shared" si="23"/>
        <v>0</v>
      </c>
      <c r="AK475" s="78" t="str">
        <f t="shared" ref="AK475:AN475" si="4196">IF(U475&gt;0,AK$3,"")</f>
        <v>Thomas</v>
      </c>
      <c r="AL475" s="78" t="str">
        <f t="shared" si="4196"/>
        <v/>
      </c>
      <c r="AM475" s="78" t="str">
        <f t="shared" si="4196"/>
        <v/>
      </c>
      <c r="AN475" s="78" t="str">
        <f t="shared" si="4196"/>
        <v>Christian</v>
      </c>
      <c r="AO475" s="56">
        <f t="shared" si="25"/>
        <v>2</v>
      </c>
      <c r="AP475" s="5" t="str">
        <f t="shared" si="26"/>
        <v>Christian</v>
      </c>
      <c r="AQ475" s="73" t="str">
        <f>IFERROR(__xludf.DUMMYFUNCTION("IFNA(QUERY(transpose(AY475:BB475),""Select Col1 where Col1 is not null limit 1"",0))"),"Thomas")</f>
        <v>Thomas</v>
      </c>
      <c r="AR475" s="56"/>
      <c r="AS475" s="28" t="str">
        <f t="shared" ref="AS475:AV475" si="4197">IF(AK475=AS$3,"",AS$3)</f>
        <v/>
      </c>
      <c r="AT475" s="28" t="str">
        <f t="shared" si="4197"/>
        <v>Peter</v>
      </c>
      <c r="AU475" s="28" t="str">
        <f t="shared" si="4197"/>
        <v>Janus</v>
      </c>
      <c r="AV475" s="28" t="str">
        <f t="shared" si="4197"/>
        <v/>
      </c>
      <c r="AW475" s="56">
        <f t="shared" si="28"/>
        <v>2</v>
      </c>
      <c r="AX475" s="28">
        <f t="shared" si="29"/>
        <v>12</v>
      </c>
      <c r="AY475" s="28" t="str">
        <f t="shared" ref="AY475:BB475" si="4198">IFNA(IFS(AY$3=$AP475,"",$AX475=U475,AY$3),"")</f>
        <v>Thomas</v>
      </c>
      <c r="AZ475" s="28" t="str">
        <f t="shared" si="4198"/>
        <v/>
      </c>
      <c r="BA475" s="28" t="str">
        <f t="shared" si="4198"/>
        <v/>
      </c>
      <c r="BB475" s="28" t="str">
        <f t="shared" si="4198"/>
        <v/>
      </c>
      <c r="BC475" s="58">
        <f>OFFSET('00_Regnskab_01'!$A$1,MATCH(A475,'00_Regnskab_01'!$A$1:$A$25)-1,2)</f>
        <v>45199</v>
      </c>
      <c r="BE475" s="80">
        <f t="shared" ref="BE475:BH475" si="4199">if(U475&gt;0,1+BE474,0)</f>
        <v>2</v>
      </c>
      <c r="BF475" s="28">
        <f t="shared" si="4199"/>
        <v>0</v>
      </c>
      <c r="BG475" s="28">
        <f t="shared" si="4199"/>
        <v>0</v>
      </c>
      <c r="BH475" s="28">
        <f t="shared" si="4199"/>
        <v>4</v>
      </c>
      <c r="BJ475" s="28">
        <f t="shared" ref="BJ475:BM475" si="4200">if(U475&lt;0,1+BJ474,0)</f>
        <v>0</v>
      </c>
      <c r="BK475" s="28">
        <f t="shared" si="4200"/>
        <v>15</v>
      </c>
      <c r="BL475" s="28">
        <f t="shared" si="4200"/>
        <v>4</v>
      </c>
      <c r="BM475" s="28">
        <f t="shared" si="4200"/>
        <v>0</v>
      </c>
      <c r="BO475" s="110">
        <f t="shared" ref="BO475:BR475" si="4201">if(U475&gt;0,U475+BO474,0)</f>
        <v>24</v>
      </c>
      <c r="BP475" s="74">
        <f t="shared" si="4201"/>
        <v>0</v>
      </c>
      <c r="BQ475" s="74">
        <f t="shared" si="4201"/>
        <v>0</v>
      </c>
      <c r="BR475" s="110">
        <f t="shared" si="4201"/>
        <v>60</v>
      </c>
      <c r="BT475" s="28">
        <f t="shared" ref="BT475:BW475" si="4202">if(U475&lt;0,U475+BT474,0)</f>
        <v>0</v>
      </c>
      <c r="BU475" s="80">
        <f t="shared" si="4202"/>
        <v>-244</v>
      </c>
      <c r="BV475" s="80">
        <f t="shared" si="4202"/>
        <v>-52</v>
      </c>
      <c r="BW475" s="28">
        <f t="shared" si="4202"/>
        <v>0</v>
      </c>
    </row>
    <row r="476">
      <c r="A476" s="53">
        <v>22.0</v>
      </c>
      <c r="B476" s="80">
        <f>'22_31-09-2023_RETTET'!A6</f>
        <v>4</v>
      </c>
      <c r="C476" s="80">
        <f>'22_31-09-2023_RETTET'!B6</f>
        <v>8</v>
      </c>
      <c r="D476" s="80">
        <f>'22_31-09-2023_RETTET'!C6</f>
        <v>-24</v>
      </c>
      <c r="E476" s="80">
        <f>'22_31-09-2023_RETTET'!D6</f>
        <v>-24</v>
      </c>
      <c r="F476" s="80">
        <f>'22_31-09-2023_RETTET'!E6</f>
        <v>40</v>
      </c>
      <c r="G476" s="80">
        <f>'22_31-09-2023_RETTET'!F6</f>
        <v>0</v>
      </c>
      <c r="H476" s="80" t="str">
        <f>'22_31-09-2023_RETTET'!H6</f>
        <v>Thomas</v>
      </c>
      <c r="I476" s="80" t="str">
        <f>'22_31-09-2023_RETTET'!I6</f>
        <v/>
      </c>
      <c r="J476" s="80" t="str">
        <f>'22_31-09-2023_RETTET'!J6</f>
        <v>Christian</v>
      </c>
      <c r="K476" s="80" t="str">
        <f>'22_31-09-2023_RETTET'!G6</f>
        <v>vip</v>
      </c>
      <c r="L476" s="56"/>
      <c r="N476" s="25" t="s">
        <v>86</v>
      </c>
      <c r="T476" s="56"/>
      <c r="U476" s="111">
        <f t="shared" ref="U476:X476" si="4203">C476-C475</f>
        <v>-12</v>
      </c>
      <c r="V476" s="80">
        <f t="shared" si="4203"/>
        <v>4</v>
      </c>
      <c r="W476" s="80">
        <f t="shared" si="4203"/>
        <v>4</v>
      </c>
      <c r="X476" s="80">
        <f t="shared" si="4203"/>
        <v>4</v>
      </c>
      <c r="AB476" s="80">
        <f t="shared" ref="AB476:AE476" si="4204">IF(AB$3=$H476,U476,"")</f>
        <v>-12</v>
      </c>
      <c r="AC476" s="28" t="str">
        <f t="shared" si="4204"/>
        <v/>
      </c>
      <c r="AD476" s="28" t="str">
        <f t="shared" si="4204"/>
        <v/>
      </c>
      <c r="AE476" s="28" t="str">
        <f t="shared" si="4204"/>
        <v/>
      </c>
      <c r="AH476" s="28">
        <f t="shared" si="22"/>
        <v>0</v>
      </c>
      <c r="AI476" s="28">
        <f t="shared" si="23"/>
        <v>-12</v>
      </c>
      <c r="AK476" s="78" t="str">
        <f t="shared" ref="AK476:AN476" si="4205">IF(U476&gt;0,AK$3,"")</f>
        <v/>
      </c>
      <c r="AL476" s="78" t="str">
        <f t="shared" si="4205"/>
        <v>Peter</v>
      </c>
      <c r="AM476" s="78" t="str">
        <f t="shared" si="4205"/>
        <v>Janus</v>
      </c>
      <c r="AN476" s="78" t="str">
        <f t="shared" si="4205"/>
        <v>Christian</v>
      </c>
      <c r="AO476" s="56">
        <f t="shared" si="25"/>
        <v>3</v>
      </c>
      <c r="AP476" s="5" t="str">
        <f t="shared" si="26"/>
        <v>Thomas</v>
      </c>
      <c r="AQ476" s="73" t="str">
        <f>IFERROR(__xludf.DUMMYFUNCTION("IFNA(QUERY(transpose(AY476:BB476),""Select Col1 where Col1 is not null limit 1"",0))"),"")</f>
        <v/>
      </c>
      <c r="AR476" s="56"/>
      <c r="AS476" s="28" t="str">
        <f t="shared" ref="AS476:AV476" si="4206">IF(AK476=AS$3,"",AS$3)</f>
        <v>Thomas</v>
      </c>
      <c r="AT476" s="28" t="str">
        <f t="shared" si="4206"/>
        <v/>
      </c>
      <c r="AU476" s="28" t="str">
        <f t="shared" si="4206"/>
        <v/>
      </c>
      <c r="AV476" s="28" t="str">
        <f t="shared" si="4206"/>
        <v/>
      </c>
      <c r="AW476" s="56">
        <f t="shared" si="28"/>
        <v>1</v>
      </c>
      <c r="AX476" s="80">
        <f t="shared" si="29"/>
        <v>-12</v>
      </c>
      <c r="AY476" s="28" t="str">
        <f t="shared" ref="AY476:BB476" si="4207">IFNA(IFS(AY$3=$AP476,"",$AX476=U476,AY$3),"")</f>
        <v/>
      </c>
      <c r="AZ476" s="28" t="str">
        <f t="shared" si="4207"/>
        <v/>
      </c>
      <c r="BA476" s="28" t="str">
        <f t="shared" si="4207"/>
        <v/>
      </c>
      <c r="BB476" s="28" t="str">
        <f t="shared" si="4207"/>
        <v/>
      </c>
      <c r="BC476" s="58">
        <f>OFFSET('00_Regnskab_01'!$A$1,MATCH(A476,'00_Regnskab_01'!$A$1:$A$25)-1,2)</f>
        <v>45199</v>
      </c>
      <c r="BE476" s="80">
        <f t="shared" ref="BE476:BH476" si="4208">if(U476&gt;0,1+BE475,0)</f>
        <v>0</v>
      </c>
      <c r="BF476" s="28">
        <f t="shared" si="4208"/>
        <v>1</v>
      </c>
      <c r="BG476" s="28">
        <f t="shared" si="4208"/>
        <v>1</v>
      </c>
      <c r="BH476" s="28">
        <f t="shared" si="4208"/>
        <v>5</v>
      </c>
      <c r="BJ476" s="28">
        <f t="shared" ref="BJ476:BM476" si="4209">if(U476&lt;0,1+BJ475,0)</f>
        <v>1</v>
      </c>
      <c r="BK476" s="28">
        <f t="shared" si="4209"/>
        <v>0</v>
      </c>
      <c r="BL476" s="28">
        <f t="shared" si="4209"/>
        <v>0</v>
      </c>
      <c r="BM476" s="28">
        <f t="shared" si="4209"/>
        <v>0</v>
      </c>
      <c r="BO476" s="74">
        <f t="shared" ref="BO476:BR476" si="4210">if(U476&gt;0,U476+BO475,0)</f>
        <v>0</v>
      </c>
      <c r="BP476" s="110">
        <f t="shared" si="4210"/>
        <v>4</v>
      </c>
      <c r="BQ476" s="110">
        <f t="shared" si="4210"/>
        <v>4</v>
      </c>
      <c r="BR476" s="110">
        <f t="shared" si="4210"/>
        <v>64</v>
      </c>
      <c r="BT476" s="80">
        <f t="shared" ref="BT476:BW476" si="4211">if(U476&lt;0,U476+BT475,0)</f>
        <v>-12</v>
      </c>
      <c r="BU476" s="28">
        <f t="shared" si="4211"/>
        <v>0</v>
      </c>
      <c r="BV476" s="28">
        <f t="shared" si="4211"/>
        <v>0</v>
      </c>
      <c r="BW476" s="28">
        <f t="shared" si="4211"/>
        <v>0</v>
      </c>
    </row>
    <row r="477">
      <c r="A477" s="53">
        <v>22.0</v>
      </c>
      <c r="B477" s="80">
        <f>'22_31-09-2023_RETTET'!A7</f>
        <v>5</v>
      </c>
      <c r="C477" s="80">
        <f>'22_31-09-2023_RETTET'!B7</f>
        <v>32</v>
      </c>
      <c r="D477" s="80">
        <f>'22_31-09-2023_RETTET'!C7</f>
        <v>-32</v>
      </c>
      <c r="E477" s="80">
        <f>'22_31-09-2023_RETTET'!D7</f>
        <v>-32</v>
      </c>
      <c r="F477" s="80">
        <f>'22_31-09-2023_RETTET'!E7</f>
        <v>32</v>
      </c>
      <c r="G477" s="80">
        <f>'22_31-09-2023_RETTET'!F7</f>
        <v>0</v>
      </c>
      <c r="H477" s="80" t="str">
        <f>'22_31-09-2023_RETTET'!H7</f>
        <v>Thomas</v>
      </c>
      <c r="I477" s="80" t="str">
        <f>'22_31-09-2023_RETTET'!I7</f>
        <v/>
      </c>
      <c r="J477" s="80" t="str">
        <f>'22_31-09-2023_RETTET'!J7</f>
        <v>Thomas</v>
      </c>
      <c r="K477" s="80" t="str">
        <f>'22_31-09-2023_RETTET'!G7</f>
        <v>Ren sol</v>
      </c>
      <c r="L477" s="56"/>
      <c r="N477" s="25" t="s">
        <v>97</v>
      </c>
      <c r="T477" s="56"/>
      <c r="U477" s="111">
        <f t="shared" ref="U477:X477" si="4212">C477-C476</f>
        <v>24</v>
      </c>
      <c r="V477" s="80">
        <f t="shared" si="4212"/>
        <v>-8</v>
      </c>
      <c r="W477" s="80">
        <f t="shared" si="4212"/>
        <v>-8</v>
      </c>
      <c r="X477" s="80">
        <f t="shared" si="4212"/>
        <v>-8</v>
      </c>
      <c r="AB477" s="80">
        <f t="shared" ref="AB477:AE477" si="4213">IF(AB$3=$H477,U477,"")</f>
        <v>24</v>
      </c>
      <c r="AC477" s="28" t="str">
        <f t="shared" si="4213"/>
        <v/>
      </c>
      <c r="AD477" s="28" t="str">
        <f t="shared" si="4213"/>
        <v/>
      </c>
      <c r="AE477" s="28" t="str">
        <f t="shared" si="4213"/>
        <v/>
      </c>
      <c r="AH477" s="28">
        <f t="shared" si="22"/>
        <v>24</v>
      </c>
      <c r="AI477" s="28">
        <f t="shared" si="23"/>
        <v>0</v>
      </c>
      <c r="AK477" s="78" t="str">
        <f t="shared" ref="AK477:AN477" si="4214">IF(U477&gt;0,AK$3,"")</f>
        <v>Thomas</v>
      </c>
      <c r="AL477" s="78" t="str">
        <f t="shared" si="4214"/>
        <v/>
      </c>
      <c r="AM477" s="78" t="str">
        <f t="shared" si="4214"/>
        <v/>
      </c>
      <c r="AN477" s="78" t="str">
        <f t="shared" si="4214"/>
        <v/>
      </c>
      <c r="AO477" s="56">
        <f t="shared" si="25"/>
        <v>1</v>
      </c>
      <c r="AP477" s="5" t="str">
        <f t="shared" si="26"/>
        <v>Thomas</v>
      </c>
      <c r="AQ477" s="73" t="str">
        <f>IFERROR(__xludf.DUMMYFUNCTION("IFNA(QUERY(transpose(AY477:BB477),""Select Col1 where Col1 is not null limit 1"",0))"),"")</f>
        <v/>
      </c>
      <c r="AR477" s="56"/>
      <c r="AS477" s="28" t="str">
        <f t="shared" ref="AS477:AV477" si="4215">IF(AK477=AS$3,"",AS$3)</f>
        <v/>
      </c>
      <c r="AT477" s="28" t="str">
        <f t="shared" si="4215"/>
        <v>Peter</v>
      </c>
      <c r="AU477" s="28" t="str">
        <f t="shared" si="4215"/>
        <v>Janus</v>
      </c>
      <c r="AV477" s="28" t="str">
        <f t="shared" si="4215"/>
        <v>Christian</v>
      </c>
      <c r="AW477" s="56">
        <f t="shared" si="28"/>
        <v>3</v>
      </c>
      <c r="AX477" s="80">
        <f t="shared" si="29"/>
        <v>24</v>
      </c>
      <c r="AY477" s="28" t="str">
        <f t="shared" ref="AY477:BB477" si="4216">IFNA(IFS(AY$3=$AP477,"",$AX477=U477,AY$3),"")</f>
        <v/>
      </c>
      <c r="AZ477" s="28" t="str">
        <f t="shared" si="4216"/>
        <v/>
      </c>
      <c r="BA477" s="28" t="str">
        <f t="shared" si="4216"/>
        <v/>
      </c>
      <c r="BB477" s="28" t="str">
        <f t="shared" si="4216"/>
        <v/>
      </c>
      <c r="BC477" s="58">
        <f>OFFSET('00_Regnskab_01'!$A$1,MATCH(A477,'00_Regnskab_01'!$A$1:$A$25)-1,2)</f>
        <v>45199</v>
      </c>
      <c r="BE477" s="80">
        <f t="shared" ref="BE477:BH477" si="4217">if(U477&gt;0,1+BE476,0)</f>
        <v>1</v>
      </c>
      <c r="BF477" s="28">
        <f t="shared" si="4217"/>
        <v>0</v>
      </c>
      <c r="BG477" s="28">
        <f t="shared" si="4217"/>
        <v>0</v>
      </c>
      <c r="BH477" s="28">
        <f t="shared" si="4217"/>
        <v>0</v>
      </c>
      <c r="BJ477" s="28">
        <f t="shared" ref="BJ477:BM477" si="4218">if(U477&lt;0,1+BJ476,0)</f>
        <v>0</v>
      </c>
      <c r="BK477" s="28">
        <f t="shared" si="4218"/>
        <v>1</v>
      </c>
      <c r="BL477" s="28">
        <f t="shared" si="4218"/>
        <v>1</v>
      </c>
      <c r="BM477" s="28">
        <f t="shared" si="4218"/>
        <v>1</v>
      </c>
      <c r="BO477" s="110">
        <f t="shared" ref="BO477:BR477" si="4219">if(U477&gt;0,U477+BO476,0)</f>
        <v>24</v>
      </c>
      <c r="BP477" s="74">
        <f t="shared" si="4219"/>
        <v>0</v>
      </c>
      <c r="BQ477" s="74">
        <f t="shared" si="4219"/>
        <v>0</v>
      </c>
      <c r="BR477" s="74">
        <f t="shared" si="4219"/>
        <v>0</v>
      </c>
      <c r="BT477" s="28">
        <f t="shared" ref="BT477:BW477" si="4220">if(U477&lt;0,U477+BT476,0)</f>
        <v>0</v>
      </c>
      <c r="BU477" s="80">
        <f t="shared" si="4220"/>
        <v>-8</v>
      </c>
      <c r="BV477" s="80">
        <f t="shared" si="4220"/>
        <v>-8</v>
      </c>
      <c r="BW477" s="80">
        <f t="shared" si="4220"/>
        <v>-8</v>
      </c>
    </row>
    <row r="478">
      <c r="A478" s="53">
        <v>22.0</v>
      </c>
      <c r="B478" s="80">
        <f>'22_31-09-2023_RETTET'!A8</f>
        <v>6</v>
      </c>
      <c r="C478" s="80">
        <f>'22_31-09-2023_RETTET'!B8</f>
        <v>-192</v>
      </c>
      <c r="D478" s="80">
        <f>'22_31-09-2023_RETTET'!C8</f>
        <v>-256</v>
      </c>
      <c r="E478" s="80">
        <f>'22_31-09-2023_RETTET'!D8</f>
        <v>192</v>
      </c>
      <c r="F478" s="80">
        <f>'22_31-09-2023_RETTET'!E8</f>
        <v>256</v>
      </c>
      <c r="G478" s="80">
        <f>'22_31-09-2023_RETTET'!F8</f>
        <v>0</v>
      </c>
      <c r="H478" s="80" t="str">
        <f>'22_31-09-2023_RETTET'!H8</f>
        <v>Thomas</v>
      </c>
      <c r="I478" s="80" t="str">
        <f>'22_31-09-2023_RETTET'!I8</f>
        <v>Peter</v>
      </c>
      <c r="J478" s="80" t="str">
        <f>'22_31-09-2023_RETTET'!J8</f>
        <v>Peter</v>
      </c>
      <c r="K478" s="80" t="str">
        <f>'22_31-09-2023_RETTET'!G8</f>
        <v>10 Vip i 3. </v>
      </c>
      <c r="L478" s="56"/>
      <c r="M478" s="25">
        <v>10.0</v>
      </c>
      <c r="N478" s="25" t="s">
        <v>86</v>
      </c>
      <c r="O478" s="25">
        <v>3.0</v>
      </c>
      <c r="T478" s="56"/>
      <c r="U478" s="111">
        <f t="shared" ref="U478:X478" si="4221">C478-C477</f>
        <v>-224</v>
      </c>
      <c r="V478" s="80">
        <f t="shared" si="4221"/>
        <v>-224</v>
      </c>
      <c r="W478" s="80">
        <f t="shared" si="4221"/>
        <v>224</v>
      </c>
      <c r="X478" s="80">
        <f t="shared" si="4221"/>
        <v>224</v>
      </c>
      <c r="AB478" s="80">
        <f t="shared" ref="AB478:AE478" si="4222">IF(AB$3=$H478,U478,"")</f>
        <v>-224</v>
      </c>
      <c r="AC478" s="28" t="str">
        <f t="shared" si="4222"/>
        <v/>
      </c>
      <c r="AD478" s="28" t="str">
        <f t="shared" si="4222"/>
        <v/>
      </c>
      <c r="AE478" s="28" t="str">
        <f t="shared" si="4222"/>
        <v/>
      </c>
      <c r="AH478" s="28">
        <f t="shared" si="22"/>
        <v>0</v>
      </c>
      <c r="AI478" s="28">
        <f t="shared" si="23"/>
        <v>-224</v>
      </c>
      <c r="AK478" s="78" t="str">
        <f t="shared" ref="AK478:AN478" si="4223">IF(U478&gt;0,AK$3,"")</f>
        <v/>
      </c>
      <c r="AL478" s="78" t="str">
        <f t="shared" si="4223"/>
        <v/>
      </c>
      <c r="AM478" s="78" t="str">
        <f t="shared" si="4223"/>
        <v>Janus</v>
      </c>
      <c r="AN478" s="78" t="str">
        <f t="shared" si="4223"/>
        <v>Christian</v>
      </c>
      <c r="AO478" s="56">
        <f t="shared" si="25"/>
        <v>2</v>
      </c>
      <c r="AP478" s="5" t="str">
        <f t="shared" si="26"/>
        <v>Thomas</v>
      </c>
      <c r="AQ478" s="73" t="str">
        <f>IFERROR(__xludf.DUMMYFUNCTION("IFNA(QUERY(transpose(AY478:BB478),""Select Col1 where Col1 is not null limit 1"",0))"),"Peter")</f>
        <v>Peter</v>
      </c>
      <c r="AR478" s="56"/>
      <c r="AS478" s="28" t="str">
        <f t="shared" ref="AS478:AV478" si="4224">IF(AK478=AS$3,"",AS$3)</f>
        <v>Thomas</v>
      </c>
      <c r="AT478" s="28" t="str">
        <f t="shared" si="4224"/>
        <v>Peter</v>
      </c>
      <c r="AU478" s="28" t="str">
        <f t="shared" si="4224"/>
        <v/>
      </c>
      <c r="AV478" s="28" t="str">
        <f t="shared" si="4224"/>
        <v/>
      </c>
      <c r="AW478" s="56">
        <f t="shared" si="28"/>
        <v>2</v>
      </c>
      <c r="AX478" s="80">
        <f t="shared" si="29"/>
        <v>-224</v>
      </c>
      <c r="AY478" s="28" t="str">
        <f t="shared" ref="AY478:BB478" si="4225">IFNA(IFS(AY$3=$AP478,"",$AX478=U478,AY$3),"")</f>
        <v/>
      </c>
      <c r="AZ478" s="28" t="str">
        <f t="shared" si="4225"/>
        <v>Peter</v>
      </c>
      <c r="BA478" s="28" t="str">
        <f t="shared" si="4225"/>
        <v/>
      </c>
      <c r="BB478" s="28" t="str">
        <f t="shared" si="4225"/>
        <v/>
      </c>
      <c r="BC478" s="58">
        <f>OFFSET('00_Regnskab_01'!$A$1,MATCH(A478,'00_Regnskab_01'!$A$1:$A$25)-1,2)</f>
        <v>45199</v>
      </c>
      <c r="BE478" s="80">
        <f t="shared" ref="BE478:BH478" si="4226">if(U478&gt;0,1+BE477,0)</f>
        <v>0</v>
      </c>
      <c r="BF478" s="28">
        <f t="shared" si="4226"/>
        <v>0</v>
      </c>
      <c r="BG478" s="28">
        <f t="shared" si="4226"/>
        <v>1</v>
      </c>
      <c r="BH478" s="28">
        <f t="shared" si="4226"/>
        <v>1</v>
      </c>
      <c r="BJ478" s="28">
        <f t="shared" ref="BJ478:BM478" si="4227">if(U478&lt;0,1+BJ477,0)</f>
        <v>1</v>
      </c>
      <c r="BK478" s="28">
        <f t="shared" si="4227"/>
        <v>2</v>
      </c>
      <c r="BL478" s="28">
        <f t="shared" si="4227"/>
        <v>0</v>
      </c>
      <c r="BM478" s="28">
        <f t="shared" si="4227"/>
        <v>0</v>
      </c>
      <c r="BO478" s="74">
        <f t="shared" ref="BO478:BR478" si="4228">if(U478&gt;0,U478+BO477,0)</f>
        <v>0</v>
      </c>
      <c r="BP478" s="74">
        <f t="shared" si="4228"/>
        <v>0</v>
      </c>
      <c r="BQ478" s="110">
        <f t="shared" si="4228"/>
        <v>224</v>
      </c>
      <c r="BR478" s="110">
        <f t="shared" si="4228"/>
        <v>224</v>
      </c>
      <c r="BT478" s="80">
        <f t="shared" ref="BT478:BW478" si="4229">if(U478&lt;0,U478+BT477,0)</f>
        <v>-224</v>
      </c>
      <c r="BU478" s="80">
        <f t="shared" si="4229"/>
        <v>-232</v>
      </c>
      <c r="BV478" s="28">
        <f t="shared" si="4229"/>
        <v>0</v>
      </c>
      <c r="BW478" s="28">
        <f t="shared" si="4229"/>
        <v>0</v>
      </c>
    </row>
    <row r="479">
      <c r="A479" s="53">
        <v>22.0</v>
      </c>
      <c r="B479" s="80">
        <f>'22_31-09-2023_RETTET'!A9</f>
        <v>7</v>
      </c>
      <c r="C479" s="80">
        <f>'22_31-09-2023_RETTET'!B9</f>
        <v>-208</v>
      </c>
      <c r="D479" s="80">
        <f>'22_31-09-2023_RETTET'!C9</f>
        <v>-272</v>
      </c>
      <c r="E479" s="80">
        <f>'22_31-09-2023_RETTET'!D9</f>
        <v>208</v>
      </c>
      <c r="F479" s="80">
        <f>'22_31-09-2023_RETTET'!E9</f>
        <v>272</v>
      </c>
      <c r="G479" s="80">
        <f>'22_31-09-2023_RETTET'!F9</f>
        <v>0</v>
      </c>
      <c r="H479" s="80" t="str">
        <f>'22_31-09-2023_RETTET'!H9</f>
        <v>Thomas</v>
      </c>
      <c r="I479" s="80" t="str">
        <f>'22_31-09-2023_RETTET'!I9</f>
        <v>Peter</v>
      </c>
      <c r="J479" s="80" t="str">
        <f>'22_31-09-2023_RETTET'!J9</f>
        <v>Janus</v>
      </c>
      <c r="K479" s="80" t="str">
        <f>'22_31-09-2023_RETTET'!G9</f>
        <v>10 gode</v>
      </c>
      <c r="L479" s="56"/>
      <c r="M479" s="25">
        <v>10.0</v>
      </c>
      <c r="N479" s="25" t="s">
        <v>95</v>
      </c>
      <c r="T479" s="56"/>
      <c r="U479" s="111">
        <f t="shared" ref="U479:X479" si="4230">C479-C478</f>
        <v>-16</v>
      </c>
      <c r="V479" s="80">
        <f t="shared" si="4230"/>
        <v>-16</v>
      </c>
      <c r="W479" s="80">
        <f t="shared" si="4230"/>
        <v>16</v>
      </c>
      <c r="X479" s="80">
        <f t="shared" si="4230"/>
        <v>16</v>
      </c>
      <c r="AB479" s="80">
        <f t="shared" ref="AB479:AE479" si="4231">IF(AB$3=$H479,U479,"")</f>
        <v>-16</v>
      </c>
      <c r="AC479" s="28" t="str">
        <f t="shared" si="4231"/>
        <v/>
      </c>
      <c r="AD479" s="28" t="str">
        <f t="shared" si="4231"/>
        <v/>
      </c>
      <c r="AE479" s="28" t="str">
        <f t="shared" si="4231"/>
        <v/>
      </c>
      <c r="AH479" s="28">
        <f t="shared" si="22"/>
        <v>0</v>
      </c>
      <c r="AI479" s="28">
        <f t="shared" si="23"/>
        <v>-16</v>
      </c>
      <c r="AK479" s="78" t="str">
        <f t="shared" ref="AK479:AN479" si="4232">IF(U479&gt;0,AK$3,"")</f>
        <v/>
      </c>
      <c r="AL479" s="78" t="str">
        <f t="shared" si="4232"/>
        <v/>
      </c>
      <c r="AM479" s="78" t="str">
        <f t="shared" si="4232"/>
        <v>Janus</v>
      </c>
      <c r="AN479" s="78" t="str">
        <f t="shared" si="4232"/>
        <v>Christian</v>
      </c>
      <c r="AO479" s="56">
        <f t="shared" si="25"/>
        <v>2</v>
      </c>
      <c r="AP479" s="5" t="str">
        <f t="shared" si="26"/>
        <v>Thomas</v>
      </c>
      <c r="AQ479" s="73" t="str">
        <f>IFERROR(__xludf.DUMMYFUNCTION("IFNA(QUERY(transpose(AY479:BB479),""Select Col1 where Col1 is not null limit 1"",0))"),"Peter")</f>
        <v>Peter</v>
      </c>
      <c r="AR479" s="56"/>
      <c r="AS479" s="28" t="str">
        <f t="shared" ref="AS479:AV479" si="4233">IF(AK479=AS$3,"",AS$3)</f>
        <v>Thomas</v>
      </c>
      <c r="AT479" s="28" t="str">
        <f t="shared" si="4233"/>
        <v>Peter</v>
      </c>
      <c r="AU479" s="28" t="str">
        <f t="shared" si="4233"/>
        <v/>
      </c>
      <c r="AV479" s="28" t="str">
        <f t="shared" si="4233"/>
        <v/>
      </c>
      <c r="AW479" s="56">
        <f t="shared" si="28"/>
        <v>2</v>
      </c>
      <c r="AX479" s="80">
        <f t="shared" si="29"/>
        <v>-16</v>
      </c>
      <c r="AY479" s="28" t="str">
        <f t="shared" ref="AY479:BB479" si="4234">IFNA(IFS(AY$3=$AP479,"",$AX479=U479,AY$3),"")</f>
        <v/>
      </c>
      <c r="AZ479" s="28" t="str">
        <f t="shared" si="4234"/>
        <v>Peter</v>
      </c>
      <c r="BA479" s="28" t="str">
        <f t="shared" si="4234"/>
        <v/>
      </c>
      <c r="BB479" s="28" t="str">
        <f t="shared" si="4234"/>
        <v/>
      </c>
      <c r="BC479" s="58">
        <f>OFFSET('00_Regnskab_01'!$A$1,MATCH(A479,'00_Regnskab_01'!$A$1:$A$25)-1,2)</f>
        <v>45199</v>
      </c>
      <c r="BE479" s="80">
        <f t="shared" ref="BE479:BH479" si="4235">if(U479&gt;0,1+BE478,0)</f>
        <v>0</v>
      </c>
      <c r="BF479" s="28">
        <f t="shared" si="4235"/>
        <v>0</v>
      </c>
      <c r="BG479" s="28">
        <f t="shared" si="4235"/>
        <v>2</v>
      </c>
      <c r="BH479" s="28">
        <f t="shared" si="4235"/>
        <v>2</v>
      </c>
      <c r="BJ479" s="28">
        <f t="shared" ref="BJ479:BM479" si="4236">if(U479&lt;0,1+BJ478,0)</f>
        <v>2</v>
      </c>
      <c r="BK479" s="28">
        <f t="shared" si="4236"/>
        <v>3</v>
      </c>
      <c r="BL479" s="28">
        <f t="shared" si="4236"/>
        <v>0</v>
      </c>
      <c r="BM479" s="28">
        <f t="shared" si="4236"/>
        <v>0</v>
      </c>
      <c r="BO479" s="74">
        <f t="shared" ref="BO479:BR479" si="4237">if(U479&gt;0,U479+BO478,0)</f>
        <v>0</v>
      </c>
      <c r="BP479" s="74">
        <f t="shared" si="4237"/>
        <v>0</v>
      </c>
      <c r="BQ479" s="110">
        <f t="shared" si="4237"/>
        <v>240</v>
      </c>
      <c r="BR479" s="110">
        <f t="shared" si="4237"/>
        <v>240</v>
      </c>
      <c r="BT479" s="80">
        <f t="shared" ref="BT479:BW479" si="4238">if(U479&lt;0,U479+BT478,0)</f>
        <v>-240</v>
      </c>
      <c r="BU479" s="80">
        <f t="shared" si="4238"/>
        <v>-248</v>
      </c>
      <c r="BV479" s="28">
        <f t="shared" si="4238"/>
        <v>0</v>
      </c>
      <c r="BW479" s="28">
        <f t="shared" si="4238"/>
        <v>0</v>
      </c>
    </row>
    <row r="480">
      <c r="A480" s="53">
        <v>22.0</v>
      </c>
      <c r="B480" s="80">
        <f>'22_31-09-2023_RETTET'!A10</f>
        <v>8</v>
      </c>
      <c r="C480" s="80">
        <f>'22_31-09-2023_RETTET'!B10</f>
        <v>-192</v>
      </c>
      <c r="D480" s="80">
        <f>'22_31-09-2023_RETTET'!C10</f>
        <v>-256</v>
      </c>
      <c r="E480" s="80">
        <f>'22_31-09-2023_RETTET'!D10</f>
        <v>192</v>
      </c>
      <c r="F480" s="80">
        <f>'22_31-09-2023_RETTET'!E10</f>
        <v>256</v>
      </c>
      <c r="G480" s="80">
        <f>'22_31-09-2023_RETTET'!F10</f>
        <v>0</v>
      </c>
      <c r="H480" s="80" t="str">
        <f>'22_31-09-2023_RETTET'!H10</f>
        <v>Christian</v>
      </c>
      <c r="I480" s="80" t="str">
        <f>'22_31-09-2023_RETTET'!I10</f>
        <v>Janus</v>
      </c>
      <c r="J480" s="80" t="str">
        <f>'22_31-09-2023_RETTET'!J10</f>
        <v>Christian</v>
      </c>
      <c r="K480" s="80" t="str">
        <f>'22_31-09-2023_RETTET'!G10</f>
        <v>9 halve</v>
      </c>
      <c r="L480" s="56"/>
      <c r="M480" s="25">
        <v>9.0</v>
      </c>
      <c r="N480" s="25" t="s">
        <v>94</v>
      </c>
      <c r="T480" s="56"/>
      <c r="U480" s="111">
        <f t="shared" ref="U480:X480" si="4239">C480-C479</f>
        <v>16</v>
      </c>
      <c r="V480" s="80">
        <f t="shared" si="4239"/>
        <v>16</v>
      </c>
      <c r="W480" s="80">
        <f t="shared" si="4239"/>
        <v>-16</v>
      </c>
      <c r="X480" s="80">
        <f t="shared" si="4239"/>
        <v>-16</v>
      </c>
      <c r="AB480" s="28" t="str">
        <f t="shared" ref="AB480:AE480" si="4240">IF(AB$3=$H480,U480,"")</f>
        <v/>
      </c>
      <c r="AC480" s="28" t="str">
        <f t="shared" si="4240"/>
        <v/>
      </c>
      <c r="AD480" s="28" t="str">
        <f t="shared" si="4240"/>
        <v/>
      </c>
      <c r="AE480" s="80">
        <f t="shared" si="4240"/>
        <v>-16</v>
      </c>
      <c r="AH480" s="28">
        <f t="shared" si="22"/>
        <v>0</v>
      </c>
      <c r="AI480" s="28">
        <f t="shared" si="23"/>
        <v>-16</v>
      </c>
      <c r="AK480" s="78" t="str">
        <f t="shared" ref="AK480:AN480" si="4241">IF(U480&gt;0,AK$3,"")</f>
        <v>Thomas</v>
      </c>
      <c r="AL480" s="78" t="str">
        <f t="shared" si="4241"/>
        <v>Peter</v>
      </c>
      <c r="AM480" s="78" t="str">
        <f t="shared" si="4241"/>
        <v/>
      </c>
      <c r="AN480" s="78" t="str">
        <f t="shared" si="4241"/>
        <v/>
      </c>
      <c r="AO480" s="56">
        <f t="shared" si="25"/>
        <v>2</v>
      </c>
      <c r="AP480" s="5" t="str">
        <f t="shared" si="26"/>
        <v>Christian</v>
      </c>
      <c r="AQ480" s="73" t="str">
        <f>IFERROR(__xludf.DUMMYFUNCTION("IFNA(QUERY(transpose(AY480:BB480),""Select Col1 where Col1 is not null limit 1"",0))"),"Janus")</f>
        <v>Janus</v>
      </c>
      <c r="AR480" s="56"/>
      <c r="AS480" s="28" t="str">
        <f t="shared" ref="AS480:AV480" si="4242">IF(AK480=AS$3,"",AS$3)</f>
        <v/>
      </c>
      <c r="AT480" s="28" t="str">
        <f t="shared" si="4242"/>
        <v/>
      </c>
      <c r="AU480" s="28" t="str">
        <f t="shared" si="4242"/>
        <v>Janus</v>
      </c>
      <c r="AV480" s="28" t="str">
        <f t="shared" si="4242"/>
        <v>Christian</v>
      </c>
      <c r="AW480" s="56">
        <f t="shared" si="28"/>
        <v>2</v>
      </c>
      <c r="AX480" s="28">
        <f t="shared" si="29"/>
        <v>-16</v>
      </c>
      <c r="AY480" s="28" t="str">
        <f t="shared" ref="AY480:BB480" si="4243">IFNA(IFS(AY$3=$AP480,"",$AX480=U480,AY$3),"")</f>
        <v/>
      </c>
      <c r="AZ480" s="28" t="str">
        <f t="shared" si="4243"/>
        <v/>
      </c>
      <c r="BA480" s="28" t="str">
        <f t="shared" si="4243"/>
        <v>Janus</v>
      </c>
      <c r="BB480" s="28" t="str">
        <f t="shared" si="4243"/>
        <v/>
      </c>
      <c r="BC480" s="58">
        <f>OFFSET('00_Regnskab_01'!$A$1,MATCH(A480,'00_Regnskab_01'!$A$1:$A$25)-1,2)</f>
        <v>45199</v>
      </c>
      <c r="BE480" s="80">
        <f t="shared" ref="BE480:BH480" si="4244">if(U480&gt;0,1+BE479,0)</f>
        <v>1</v>
      </c>
      <c r="BF480" s="28">
        <f t="shared" si="4244"/>
        <v>1</v>
      </c>
      <c r="BG480" s="28">
        <f t="shared" si="4244"/>
        <v>0</v>
      </c>
      <c r="BH480" s="28">
        <f t="shared" si="4244"/>
        <v>0</v>
      </c>
      <c r="BJ480" s="28">
        <f t="shared" ref="BJ480:BM480" si="4245">if(U480&lt;0,1+BJ479,0)</f>
        <v>0</v>
      </c>
      <c r="BK480" s="28">
        <f t="shared" si="4245"/>
        <v>0</v>
      </c>
      <c r="BL480" s="28">
        <f t="shared" si="4245"/>
        <v>1</v>
      </c>
      <c r="BM480" s="28">
        <f t="shared" si="4245"/>
        <v>1</v>
      </c>
      <c r="BO480" s="110">
        <f t="shared" ref="BO480:BR480" si="4246">if(U480&gt;0,U480+BO479,0)</f>
        <v>16</v>
      </c>
      <c r="BP480" s="110">
        <f t="shared" si="4246"/>
        <v>16</v>
      </c>
      <c r="BQ480" s="74">
        <f t="shared" si="4246"/>
        <v>0</v>
      </c>
      <c r="BR480" s="74">
        <f t="shared" si="4246"/>
        <v>0</v>
      </c>
      <c r="BT480" s="28">
        <f t="shared" ref="BT480:BW480" si="4247">if(U480&lt;0,U480+BT479,0)</f>
        <v>0</v>
      </c>
      <c r="BU480" s="28">
        <f t="shared" si="4247"/>
        <v>0</v>
      </c>
      <c r="BV480" s="80">
        <f t="shared" si="4247"/>
        <v>-16</v>
      </c>
      <c r="BW480" s="80">
        <f t="shared" si="4247"/>
        <v>-16</v>
      </c>
    </row>
    <row r="481">
      <c r="A481" s="53">
        <v>22.0</v>
      </c>
      <c r="B481" s="80">
        <f>'22_31-09-2023_RETTET'!A11</f>
        <v>9</v>
      </c>
      <c r="C481" s="80">
        <f>'22_31-09-2023_RETTET'!B11</f>
        <v>-192</v>
      </c>
      <c r="D481" s="80">
        <f>'22_31-09-2023_RETTET'!C11</f>
        <v>-256</v>
      </c>
      <c r="E481" s="80">
        <f>'22_31-09-2023_RETTET'!D11</f>
        <v>192</v>
      </c>
      <c r="F481" s="80">
        <f>'22_31-09-2023_RETTET'!E11</f>
        <v>256</v>
      </c>
      <c r="G481" s="80" t="str">
        <f>'22_31-09-2023_RETTET'!F11</f>
        <v/>
      </c>
      <c r="H481" s="80" t="str">
        <f>'22_31-09-2023_RETTET'!H11</f>
        <v>Christian</v>
      </c>
      <c r="I481" s="80" t="str">
        <f>'22_31-09-2023_RETTET'!I11</f>
        <v>Selvmakker</v>
      </c>
      <c r="J481" s="80" t="str">
        <f>'22_31-09-2023_RETTET'!J11</f>
        <v>Peter</v>
      </c>
      <c r="K481" s="80" t="str">
        <f>'22_31-09-2023_RETTET'!G11</f>
        <v>9 gode</v>
      </c>
      <c r="L481" s="56"/>
      <c r="M481" s="25">
        <v>9.0</v>
      </c>
      <c r="N481" s="25" t="s">
        <v>95</v>
      </c>
      <c r="T481" s="56"/>
      <c r="U481" s="111">
        <f t="shared" ref="U481:X481" si="4248">C481-C480</f>
        <v>0</v>
      </c>
      <c r="V481" s="80">
        <f t="shared" si="4248"/>
        <v>0</v>
      </c>
      <c r="W481" s="80">
        <f t="shared" si="4248"/>
        <v>0</v>
      </c>
      <c r="X481" s="80">
        <f t="shared" si="4248"/>
        <v>0</v>
      </c>
      <c r="AB481" s="28" t="str">
        <f t="shared" ref="AB481:AE481" si="4249">IF(AB$3=$H481,U481,"")</f>
        <v/>
      </c>
      <c r="AC481" s="28" t="str">
        <f t="shared" si="4249"/>
        <v/>
      </c>
      <c r="AD481" s="28" t="str">
        <f t="shared" si="4249"/>
        <v/>
      </c>
      <c r="AE481" s="80">
        <f t="shared" si="4249"/>
        <v>0</v>
      </c>
      <c r="AH481" s="28">
        <f t="shared" si="22"/>
        <v>0</v>
      </c>
      <c r="AI481" s="28">
        <f t="shared" si="23"/>
        <v>0</v>
      </c>
      <c r="AK481" s="78" t="str">
        <f t="shared" ref="AK481:AN481" si="4250">IF(U481&gt;0,AK$3,"")</f>
        <v/>
      </c>
      <c r="AL481" s="78" t="str">
        <f t="shared" si="4250"/>
        <v/>
      </c>
      <c r="AM481" s="78" t="str">
        <f t="shared" si="4250"/>
        <v/>
      </c>
      <c r="AN481" s="78" t="str">
        <f t="shared" si="4250"/>
        <v/>
      </c>
      <c r="AO481" s="56">
        <f t="shared" si="25"/>
        <v>0</v>
      </c>
      <c r="AP481" s="5" t="str">
        <f t="shared" si="26"/>
        <v>Christian</v>
      </c>
      <c r="AQ481" s="73" t="str">
        <f>IFERROR(__xludf.DUMMYFUNCTION("IFNA(QUERY(transpose(AY481:BB481),""Select Col1 where Col1 is not null limit 1"",0))"),"Thomas")</f>
        <v>Thomas</v>
      </c>
      <c r="AR481" s="56"/>
      <c r="AS481" s="28" t="str">
        <f t="shared" ref="AS481:AV481" si="4251">IF(AK481=AS$3,"",AS$3)</f>
        <v>Thomas</v>
      </c>
      <c r="AT481" s="28" t="str">
        <f t="shared" si="4251"/>
        <v>Peter</v>
      </c>
      <c r="AU481" s="28" t="str">
        <f t="shared" si="4251"/>
        <v>Janus</v>
      </c>
      <c r="AV481" s="28" t="str">
        <f t="shared" si="4251"/>
        <v>Christian</v>
      </c>
      <c r="AW481" s="56">
        <f t="shared" si="28"/>
        <v>4</v>
      </c>
      <c r="AX481" s="28">
        <f t="shared" si="29"/>
        <v>0</v>
      </c>
      <c r="AY481" s="28" t="str">
        <f t="shared" ref="AY481:BB481" si="4252">IFNA(IFS(AY$3=$AP481,"",$AX481=U481,AY$3),"")</f>
        <v>Thomas</v>
      </c>
      <c r="AZ481" s="28" t="str">
        <f t="shared" si="4252"/>
        <v>Peter</v>
      </c>
      <c r="BA481" s="28" t="str">
        <f t="shared" si="4252"/>
        <v>Janus</v>
      </c>
      <c r="BB481" s="28" t="str">
        <f t="shared" si="4252"/>
        <v/>
      </c>
      <c r="BC481" s="58">
        <f>OFFSET('00_Regnskab_01'!$A$1,MATCH(A481,'00_Regnskab_01'!$A$1:$A$25)-1,2)</f>
        <v>45199</v>
      </c>
      <c r="BE481" s="80">
        <f t="shared" ref="BE481:BH481" si="4253">if(U481&gt;0,1+BE480,0)</f>
        <v>0</v>
      </c>
      <c r="BF481" s="28">
        <f t="shared" si="4253"/>
        <v>0</v>
      </c>
      <c r="BG481" s="28">
        <f t="shared" si="4253"/>
        <v>0</v>
      </c>
      <c r="BH481" s="28">
        <f t="shared" si="4253"/>
        <v>0</v>
      </c>
      <c r="BJ481" s="28">
        <f t="shared" ref="BJ481:BM481" si="4254">if(U481&lt;0,1+BJ480,0)</f>
        <v>0</v>
      </c>
      <c r="BK481" s="28">
        <f t="shared" si="4254"/>
        <v>0</v>
      </c>
      <c r="BL481" s="28">
        <f t="shared" si="4254"/>
        <v>0</v>
      </c>
      <c r="BM481" s="28">
        <f t="shared" si="4254"/>
        <v>0</v>
      </c>
      <c r="BO481" s="74">
        <f t="shared" ref="BO481:BR481" si="4255">if(U481&gt;0,U481+BO480,0)</f>
        <v>0</v>
      </c>
      <c r="BP481" s="74">
        <f t="shared" si="4255"/>
        <v>0</v>
      </c>
      <c r="BQ481" s="74">
        <f t="shared" si="4255"/>
        <v>0</v>
      </c>
      <c r="BR481" s="74">
        <f t="shared" si="4255"/>
        <v>0</v>
      </c>
      <c r="BT481" s="28">
        <f t="shared" ref="BT481:BW481" si="4256">if(U481&lt;0,U481+BT480,0)</f>
        <v>0</v>
      </c>
      <c r="BU481" s="28">
        <f t="shared" si="4256"/>
        <v>0</v>
      </c>
      <c r="BV481" s="28">
        <f t="shared" si="4256"/>
        <v>0</v>
      </c>
      <c r="BW481" s="28">
        <f t="shared" si="4256"/>
        <v>0</v>
      </c>
    </row>
    <row r="482">
      <c r="A482" s="53">
        <v>22.0</v>
      </c>
      <c r="B482" s="80">
        <f>'22_31-09-2023_RETTET'!A12</f>
        <v>10</v>
      </c>
      <c r="C482" s="80">
        <f>'22_31-09-2023_RETTET'!B12</f>
        <v>-186</v>
      </c>
      <c r="D482" s="80">
        <f>'22_31-09-2023_RETTET'!C12</f>
        <v>-262</v>
      </c>
      <c r="E482" s="80">
        <f>'22_31-09-2023_RETTET'!D12</f>
        <v>198</v>
      </c>
      <c r="F482" s="80">
        <f>'22_31-09-2023_RETTET'!E12</f>
        <v>250</v>
      </c>
      <c r="G482" s="80">
        <f>'22_31-09-2023_RETTET'!F12</f>
        <v>0</v>
      </c>
      <c r="H482" s="80" t="str">
        <f>'22_31-09-2023_RETTET'!H12</f>
        <v>Thomas</v>
      </c>
      <c r="I482" s="80" t="str">
        <f>'22_31-09-2023_RETTET'!I12</f>
        <v>Janus</v>
      </c>
      <c r="J482" s="80" t="str">
        <f>'22_31-09-2023_RETTET'!J12</f>
        <v>Christian</v>
      </c>
      <c r="K482" s="80" t="str">
        <f>'22_31-09-2023_RETTET'!G12</f>
        <v>8 gode</v>
      </c>
      <c r="L482" s="56"/>
      <c r="M482" s="25">
        <v>8.0</v>
      </c>
      <c r="N482" s="25" t="s">
        <v>95</v>
      </c>
      <c r="T482" s="56"/>
      <c r="U482" s="111">
        <f t="shared" ref="U482:X482" si="4257">C482-C481</f>
        <v>6</v>
      </c>
      <c r="V482" s="80">
        <f t="shared" si="4257"/>
        <v>-6</v>
      </c>
      <c r="W482" s="80">
        <f t="shared" si="4257"/>
        <v>6</v>
      </c>
      <c r="X482" s="80">
        <f t="shared" si="4257"/>
        <v>-6</v>
      </c>
      <c r="AB482" s="80">
        <f t="shared" ref="AB482:AE482" si="4258">IF(AB$3=$H482,U482,"")</f>
        <v>6</v>
      </c>
      <c r="AC482" s="28" t="str">
        <f t="shared" si="4258"/>
        <v/>
      </c>
      <c r="AD482" s="28" t="str">
        <f t="shared" si="4258"/>
        <v/>
      </c>
      <c r="AE482" s="28" t="str">
        <f t="shared" si="4258"/>
        <v/>
      </c>
      <c r="AH482" s="28">
        <f t="shared" si="22"/>
        <v>6</v>
      </c>
      <c r="AI482" s="28">
        <f t="shared" si="23"/>
        <v>0</v>
      </c>
      <c r="AK482" s="78" t="str">
        <f t="shared" ref="AK482:AN482" si="4259">IF(U482&gt;0,AK$3,"")</f>
        <v>Thomas</v>
      </c>
      <c r="AL482" s="78" t="str">
        <f t="shared" si="4259"/>
        <v/>
      </c>
      <c r="AM482" s="78" t="str">
        <f t="shared" si="4259"/>
        <v>Janus</v>
      </c>
      <c r="AN482" s="78" t="str">
        <f t="shared" si="4259"/>
        <v/>
      </c>
      <c r="AO482" s="56">
        <f t="shared" si="25"/>
        <v>2</v>
      </c>
      <c r="AP482" s="5" t="str">
        <f t="shared" si="26"/>
        <v>Thomas</v>
      </c>
      <c r="AQ482" s="73" t="str">
        <f>IFERROR(__xludf.DUMMYFUNCTION("IFNA(QUERY(transpose(AY482:BB482),""Select Col1 where Col1 is not null limit 1"",0))"),"Janus")</f>
        <v>Janus</v>
      </c>
      <c r="AR482" s="56"/>
      <c r="AS482" s="28" t="str">
        <f t="shared" ref="AS482:AV482" si="4260">IF(AK482=AS$3,"",AS$3)</f>
        <v/>
      </c>
      <c r="AT482" s="28" t="str">
        <f t="shared" si="4260"/>
        <v>Peter</v>
      </c>
      <c r="AU482" s="28" t="str">
        <f t="shared" si="4260"/>
        <v/>
      </c>
      <c r="AV482" s="28" t="str">
        <f t="shared" si="4260"/>
        <v>Christian</v>
      </c>
      <c r="AW482" s="56">
        <f t="shared" si="28"/>
        <v>2</v>
      </c>
      <c r="AX482" s="80">
        <f t="shared" si="29"/>
        <v>6</v>
      </c>
      <c r="AY482" s="28" t="str">
        <f t="shared" ref="AY482:BB482" si="4261">IFNA(IFS(AY$3=$AP482,"",$AX482=U482,AY$3),"")</f>
        <v/>
      </c>
      <c r="AZ482" s="28" t="str">
        <f t="shared" si="4261"/>
        <v/>
      </c>
      <c r="BA482" s="28" t="str">
        <f t="shared" si="4261"/>
        <v>Janus</v>
      </c>
      <c r="BB482" s="28" t="str">
        <f t="shared" si="4261"/>
        <v/>
      </c>
      <c r="BC482" s="58">
        <f>OFFSET('00_Regnskab_01'!$A$1,MATCH(A482,'00_Regnskab_01'!$A$1:$A$25)-1,2)</f>
        <v>45199</v>
      </c>
      <c r="BE482" s="80">
        <f t="shared" ref="BE482:BH482" si="4262">if(U482&gt;0,1+BE481,0)</f>
        <v>1</v>
      </c>
      <c r="BF482" s="28">
        <f t="shared" si="4262"/>
        <v>0</v>
      </c>
      <c r="BG482" s="28">
        <f t="shared" si="4262"/>
        <v>1</v>
      </c>
      <c r="BH482" s="28">
        <f t="shared" si="4262"/>
        <v>0</v>
      </c>
      <c r="BJ482" s="28">
        <f t="shared" ref="BJ482:BM482" si="4263">if(U482&lt;0,1+BJ481,0)</f>
        <v>0</v>
      </c>
      <c r="BK482" s="28">
        <f t="shared" si="4263"/>
        <v>1</v>
      </c>
      <c r="BL482" s="28">
        <f t="shared" si="4263"/>
        <v>0</v>
      </c>
      <c r="BM482" s="28">
        <f t="shared" si="4263"/>
        <v>1</v>
      </c>
      <c r="BO482" s="110">
        <f t="shared" ref="BO482:BR482" si="4264">if(U482&gt;0,U482+BO481,0)</f>
        <v>6</v>
      </c>
      <c r="BP482" s="74">
        <f t="shared" si="4264"/>
        <v>0</v>
      </c>
      <c r="BQ482" s="110">
        <f t="shared" si="4264"/>
        <v>6</v>
      </c>
      <c r="BR482" s="74">
        <f t="shared" si="4264"/>
        <v>0</v>
      </c>
      <c r="BT482" s="28">
        <f t="shared" ref="BT482:BW482" si="4265">if(U482&lt;0,U482+BT481,0)</f>
        <v>0</v>
      </c>
      <c r="BU482" s="80">
        <f t="shared" si="4265"/>
        <v>-6</v>
      </c>
      <c r="BV482" s="28">
        <f t="shared" si="4265"/>
        <v>0</v>
      </c>
      <c r="BW482" s="80">
        <f t="shared" si="4265"/>
        <v>-6</v>
      </c>
    </row>
    <row r="483">
      <c r="A483" s="53">
        <v>22.0</v>
      </c>
      <c r="B483" s="80">
        <f>'22_31-09-2023_RETTET'!A13</f>
        <v>11</v>
      </c>
      <c r="C483" s="80">
        <f>'22_31-09-2023_RETTET'!B13</f>
        <v>-202</v>
      </c>
      <c r="D483" s="80">
        <f>'22_31-09-2023_RETTET'!C13</f>
        <v>-278</v>
      </c>
      <c r="E483" s="80">
        <f>'22_31-09-2023_RETTET'!D13</f>
        <v>246</v>
      </c>
      <c r="F483" s="80">
        <f>'22_31-09-2023_RETTET'!E13</f>
        <v>234</v>
      </c>
      <c r="G483" s="80">
        <f>'22_31-09-2023_RETTET'!F13</f>
        <v>0</v>
      </c>
      <c r="H483" s="80" t="str">
        <f>'22_31-09-2023_RETTET'!H13</f>
        <v>Janus</v>
      </c>
      <c r="I483" s="80" t="str">
        <f>'22_31-09-2023_RETTET'!I13</f>
        <v/>
      </c>
      <c r="J483" s="80" t="str">
        <f>'22_31-09-2023_RETTET'!J13</f>
        <v>Janus</v>
      </c>
      <c r="K483" s="80" t="str">
        <f>'22_31-09-2023_RETTET'!G13</f>
        <v>Halv bordlægger</v>
      </c>
      <c r="L483" s="56"/>
      <c r="N483" s="25" t="s">
        <v>101</v>
      </c>
      <c r="T483" s="56"/>
      <c r="U483" s="111">
        <f t="shared" ref="U483:X483" si="4266">C483-C482</f>
        <v>-16</v>
      </c>
      <c r="V483" s="80">
        <f t="shared" si="4266"/>
        <v>-16</v>
      </c>
      <c r="W483" s="80">
        <f t="shared" si="4266"/>
        <v>48</v>
      </c>
      <c r="X483" s="80">
        <f t="shared" si="4266"/>
        <v>-16</v>
      </c>
      <c r="AB483" s="28" t="str">
        <f t="shared" ref="AB483:AE483" si="4267">IF(AB$3=$H483,U483,"")</f>
        <v/>
      </c>
      <c r="AC483" s="28" t="str">
        <f t="shared" si="4267"/>
        <v/>
      </c>
      <c r="AD483" s="80">
        <f t="shared" si="4267"/>
        <v>48</v>
      </c>
      <c r="AE483" s="28" t="str">
        <f t="shared" si="4267"/>
        <v/>
      </c>
      <c r="AH483" s="28">
        <f t="shared" si="22"/>
        <v>48</v>
      </c>
      <c r="AI483" s="28">
        <f t="shared" si="23"/>
        <v>0</v>
      </c>
      <c r="AK483" s="78" t="str">
        <f t="shared" ref="AK483:AN483" si="4268">IF(U483&gt;0,AK$3,"")</f>
        <v/>
      </c>
      <c r="AL483" s="78" t="str">
        <f t="shared" si="4268"/>
        <v/>
      </c>
      <c r="AM483" s="78" t="str">
        <f t="shared" si="4268"/>
        <v>Janus</v>
      </c>
      <c r="AN483" s="78" t="str">
        <f t="shared" si="4268"/>
        <v/>
      </c>
      <c r="AO483" s="56">
        <f t="shared" si="25"/>
        <v>1</v>
      </c>
      <c r="AP483" s="5" t="str">
        <f t="shared" si="26"/>
        <v>Janus</v>
      </c>
      <c r="AQ483" s="73" t="str">
        <f>IFERROR(__xludf.DUMMYFUNCTION("IFNA(QUERY(transpose(AY483:BB483),""Select Col1 where Col1 is not null limit 1"",0))"),"")</f>
        <v/>
      </c>
      <c r="AR483" s="56"/>
      <c r="AS483" s="28" t="str">
        <f t="shared" ref="AS483:AV483" si="4269">IF(AK483=AS$3,"",AS$3)</f>
        <v>Thomas</v>
      </c>
      <c r="AT483" s="28" t="str">
        <f t="shared" si="4269"/>
        <v>Peter</v>
      </c>
      <c r="AU483" s="28" t="str">
        <f t="shared" si="4269"/>
        <v/>
      </c>
      <c r="AV483" s="28" t="str">
        <f t="shared" si="4269"/>
        <v>Christian</v>
      </c>
      <c r="AW483" s="56">
        <f t="shared" si="28"/>
        <v>3</v>
      </c>
      <c r="AX483" s="28">
        <f t="shared" si="29"/>
        <v>48</v>
      </c>
      <c r="AY483" s="28" t="str">
        <f t="shared" ref="AY483:BB483" si="4270">IFNA(IFS(AY$3=$AP483,"",$AX483=U483,AY$3),"")</f>
        <v/>
      </c>
      <c r="AZ483" s="28" t="str">
        <f t="shared" si="4270"/>
        <v/>
      </c>
      <c r="BA483" s="28" t="str">
        <f t="shared" si="4270"/>
        <v/>
      </c>
      <c r="BB483" s="28" t="str">
        <f t="shared" si="4270"/>
        <v/>
      </c>
      <c r="BC483" s="58">
        <f>OFFSET('00_Regnskab_01'!$A$1,MATCH(A483,'00_Regnskab_01'!$A$1:$A$25)-1,2)</f>
        <v>45199</v>
      </c>
      <c r="BE483" s="80">
        <f t="shared" ref="BE483:BH483" si="4271">if(U483&gt;0,1+BE482,0)</f>
        <v>0</v>
      </c>
      <c r="BF483" s="28">
        <f t="shared" si="4271"/>
        <v>0</v>
      </c>
      <c r="BG483" s="28">
        <f t="shared" si="4271"/>
        <v>2</v>
      </c>
      <c r="BH483" s="28">
        <f t="shared" si="4271"/>
        <v>0</v>
      </c>
      <c r="BJ483" s="28">
        <f t="shared" ref="BJ483:BM483" si="4272">if(U483&lt;0,1+BJ482,0)</f>
        <v>1</v>
      </c>
      <c r="BK483" s="28">
        <f t="shared" si="4272"/>
        <v>2</v>
      </c>
      <c r="BL483" s="28">
        <f t="shared" si="4272"/>
        <v>0</v>
      </c>
      <c r="BM483" s="28">
        <f t="shared" si="4272"/>
        <v>2</v>
      </c>
      <c r="BO483" s="74">
        <f t="shared" ref="BO483:BR483" si="4273">if(U483&gt;0,U483+BO482,0)</f>
        <v>0</v>
      </c>
      <c r="BP483" s="74">
        <f t="shared" si="4273"/>
        <v>0</v>
      </c>
      <c r="BQ483" s="110">
        <f t="shared" si="4273"/>
        <v>54</v>
      </c>
      <c r="BR483" s="74">
        <f t="shared" si="4273"/>
        <v>0</v>
      </c>
      <c r="BT483" s="80">
        <f t="shared" ref="BT483:BW483" si="4274">if(U483&lt;0,U483+BT482,0)</f>
        <v>-16</v>
      </c>
      <c r="BU483" s="80">
        <f t="shared" si="4274"/>
        <v>-22</v>
      </c>
      <c r="BV483" s="28">
        <f t="shared" si="4274"/>
        <v>0</v>
      </c>
      <c r="BW483" s="80">
        <f t="shared" si="4274"/>
        <v>-22</v>
      </c>
    </row>
    <row r="484">
      <c r="A484" s="53">
        <v>22.0</v>
      </c>
      <c r="B484" s="80">
        <f>'22_31-09-2023_RETTET'!A14</f>
        <v>12</v>
      </c>
      <c r="C484" s="80">
        <f>'22_31-09-2023_RETTET'!B14</f>
        <v>-206</v>
      </c>
      <c r="D484" s="80">
        <f>'22_31-09-2023_RETTET'!C14</f>
        <v>-282</v>
      </c>
      <c r="E484" s="80">
        <f>'22_31-09-2023_RETTET'!D14</f>
        <v>250</v>
      </c>
      <c r="F484" s="80">
        <f>'22_31-09-2023_RETTET'!E14</f>
        <v>238</v>
      </c>
      <c r="G484" s="80">
        <f>'22_31-09-2023_RETTET'!F14</f>
        <v>0</v>
      </c>
      <c r="H484" s="80" t="str">
        <f>'22_31-09-2023_RETTET'!H14</f>
        <v>Christian</v>
      </c>
      <c r="I484" s="80" t="str">
        <f>'22_31-09-2023_RETTET'!I14</f>
        <v>Janus</v>
      </c>
      <c r="J484" s="80" t="str">
        <f>'22_31-09-2023_RETTET'!J14</f>
        <v>Peter</v>
      </c>
      <c r="K484" s="80" t="str">
        <f>'22_31-09-2023_RETTET'!G14</f>
        <v>9 alm</v>
      </c>
      <c r="L484" s="56"/>
      <c r="M484" s="25">
        <v>9.0</v>
      </c>
      <c r="N484" s="25" t="s">
        <v>100</v>
      </c>
      <c r="T484" s="56"/>
      <c r="U484" s="111">
        <f t="shared" ref="U484:X484" si="4275">C484-C483</f>
        <v>-4</v>
      </c>
      <c r="V484" s="80">
        <f t="shared" si="4275"/>
        <v>-4</v>
      </c>
      <c r="W484" s="80">
        <f t="shared" si="4275"/>
        <v>4</v>
      </c>
      <c r="X484" s="80">
        <f t="shared" si="4275"/>
        <v>4</v>
      </c>
      <c r="AB484" s="28" t="str">
        <f t="shared" ref="AB484:AE484" si="4276">IF(AB$3=$H484,U484,"")</f>
        <v/>
      </c>
      <c r="AC484" s="28" t="str">
        <f t="shared" si="4276"/>
        <v/>
      </c>
      <c r="AD484" s="28" t="str">
        <f t="shared" si="4276"/>
        <v/>
      </c>
      <c r="AE484" s="80">
        <f t="shared" si="4276"/>
        <v>4</v>
      </c>
      <c r="AH484" s="28">
        <f t="shared" si="22"/>
        <v>4</v>
      </c>
      <c r="AI484" s="28">
        <f t="shared" si="23"/>
        <v>0</v>
      </c>
      <c r="AK484" s="78" t="str">
        <f t="shared" ref="AK484:AN484" si="4277">IF(U484&gt;0,AK$3,"")</f>
        <v/>
      </c>
      <c r="AL484" s="78" t="str">
        <f t="shared" si="4277"/>
        <v/>
      </c>
      <c r="AM484" s="78" t="str">
        <f t="shared" si="4277"/>
        <v>Janus</v>
      </c>
      <c r="AN484" s="78" t="str">
        <f t="shared" si="4277"/>
        <v>Christian</v>
      </c>
      <c r="AO484" s="56">
        <f t="shared" si="25"/>
        <v>2</v>
      </c>
      <c r="AP484" s="5" t="str">
        <f t="shared" si="26"/>
        <v>Christian</v>
      </c>
      <c r="AQ484" s="73" t="str">
        <f>IFERROR(__xludf.DUMMYFUNCTION("IFNA(QUERY(transpose(AY484:BB484),""Select Col1 where Col1 is not null limit 1"",0))"),"Janus")</f>
        <v>Janus</v>
      </c>
      <c r="AR484" s="56"/>
      <c r="AS484" s="28" t="str">
        <f t="shared" ref="AS484:AV484" si="4278">IF(AK484=AS$3,"",AS$3)</f>
        <v>Thomas</v>
      </c>
      <c r="AT484" s="28" t="str">
        <f t="shared" si="4278"/>
        <v>Peter</v>
      </c>
      <c r="AU484" s="28" t="str">
        <f t="shared" si="4278"/>
        <v/>
      </c>
      <c r="AV484" s="28" t="str">
        <f t="shared" si="4278"/>
        <v/>
      </c>
      <c r="AW484" s="56">
        <f t="shared" si="28"/>
        <v>2</v>
      </c>
      <c r="AX484" s="28">
        <f t="shared" si="29"/>
        <v>4</v>
      </c>
      <c r="AY484" s="28" t="str">
        <f t="shared" ref="AY484:BB484" si="4279">IFNA(IFS(AY$3=$AP484,"",$AX484=U484,AY$3),"")</f>
        <v/>
      </c>
      <c r="AZ484" s="28" t="str">
        <f t="shared" si="4279"/>
        <v/>
      </c>
      <c r="BA484" s="28" t="str">
        <f t="shared" si="4279"/>
        <v>Janus</v>
      </c>
      <c r="BB484" s="28" t="str">
        <f t="shared" si="4279"/>
        <v/>
      </c>
      <c r="BC484" s="58">
        <f>OFFSET('00_Regnskab_01'!$A$1,MATCH(A484,'00_Regnskab_01'!$A$1:$A$25)-1,2)</f>
        <v>45199</v>
      </c>
      <c r="BE484" s="80">
        <f t="shared" ref="BE484:BH484" si="4280">if(U484&gt;0,1+BE483,0)</f>
        <v>0</v>
      </c>
      <c r="BF484" s="28">
        <f t="shared" si="4280"/>
        <v>0</v>
      </c>
      <c r="BG484" s="28">
        <f t="shared" si="4280"/>
        <v>3</v>
      </c>
      <c r="BH484" s="28">
        <f t="shared" si="4280"/>
        <v>1</v>
      </c>
      <c r="BJ484" s="28">
        <f t="shared" ref="BJ484:BM484" si="4281">if(U484&lt;0,1+BJ483,0)</f>
        <v>2</v>
      </c>
      <c r="BK484" s="28">
        <f t="shared" si="4281"/>
        <v>3</v>
      </c>
      <c r="BL484" s="28">
        <f t="shared" si="4281"/>
        <v>0</v>
      </c>
      <c r="BM484" s="28">
        <f t="shared" si="4281"/>
        <v>0</v>
      </c>
      <c r="BO484" s="74">
        <f t="shared" ref="BO484:BR484" si="4282">if(U484&gt;0,U484+BO483,0)</f>
        <v>0</v>
      </c>
      <c r="BP484" s="74">
        <f t="shared" si="4282"/>
        <v>0</v>
      </c>
      <c r="BQ484" s="110">
        <f t="shared" si="4282"/>
        <v>58</v>
      </c>
      <c r="BR484" s="110">
        <f t="shared" si="4282"/>
        <v>4</v>
      </c>
      <c r="BT484" s="80">
        <f t="shared" ref="BT484:BW484" si="4283">if(U484&lt;0,U484+BT483,0)</f>
        <v>-20</v>
      </c>
      <c r="BU484" s="80">
        <f t="shared" si="4283"/>
        <v>-26</v>
      </c>
      <c r="BV484" s="28">
        <f t="shared" si="4283"/>
        <v>0</v>
      </c>
      <c r="BW484" s="28">
        <f t="shared" si="4283"/>
        <v>0</v>
      </c>
    </row>
    <row r="485">
      <c r="A485" s="53">
        <v>22.0</v>
      </c>
      <c r="B485" s="80">
        <f>'22_31-09-2023_RETTET'!A15</f>
        <v>13</v>
      </c>
      <c r="C485" s="80">
        <f>'22_31-09-2023_RETTET'!B15</f>
        <v>-214</v>
      </c>
      <c r="D485" s="80">
        <f>'22_31-09-2023_RETTET'!C15</f>
        <v>-274</v>
      </c>
      <c r="E485" s="80">
        <f>'22_31-09-2023_RETTET'!D15</f>
        <v>242</v>
      </c>
      <c r="F485" s="80">
        <f>'22_31-09-2023_RETTET'!E15</f>
        <v>246</v>
      </c>
      <c r="G485" s="80">
        <f>'22_31-09-2023_RETTET'!F15</f>
        <v>0</v>
      </c>
      <c r="H485" s="80" t="str">
        <f>'22_31-09-2023_RETTET'!H15</f>
        <v>Christian</v>
      </c>
      <c r="I485" s="80" t="str">
        <f>'22_31-09-2023_RETTET'!I15</f>
        <v>Peter</v>
      </c>
      <c r="J485" s="80" t="str">
        <f>'22_31-09-2023_RETTET'!J15</f>
        <v>Thomas</v>
      </c>
      <c r="K485" s="80" t="str">
        <f>'22_31-09-2023_RETTET'!G15</f>
        <v>10 alm</v>
      </c>
      <c r="L485" s="56"/>
      <c r="M485" s="25">
        <v>10.0</v>
      </c>
      <c r="N485" s="25" t="s">
        <v>100</v>
      </c>
      <c r="T485" s="56"/>
      <c r="U485" s="111">
        <f t="shared" ref="U485:X485" si="4284">C485-C484</f>
        <v>-8</v>
      </c>
      <c r="V485" s="80">
        <f t="shared" si="4284"/>
        <v>8</v>
      </c>
      <c r="W485" s="80">
        <f t="shared" si="4284"/>
        <v>-8</v>
      </c>
      <c r="X485" s="80">
        <f t="shared" si="4284"/>
        <v>8</v>
      </c>
      <c r="AB485" s="28" t="str">
        <f t="shared" ref="AB485:AE485" si="4285">IF(AB$3=$H485,U485,"")</f>
        <v/>
      </c>
      <c r="AC485" s="28" t="str">
        <f t="shared" si="4285"/>
        <v/>
      </c>
      <c r="AD485" s="28" t="str">
        <f t="shared" si="4285"/>
        <v/>
      </c>
      <c r="AE485" s="80">
        <f t="shared" si="4285"/>
        <v>8</v>
      </c>
      <c r="AH485" s="28">
        <f t="shared" si="22"/>
        <v>8</v>
      </c>
      <c r="AI485" s="28">
        <f t="shared" si="23"/>
        <v>0</v>
      </c>
      <c r="AK485" s="78" t="str">
        <f t="shared" ref="AK485:AN485" si="4286">IF(U485&gt;0,AK$3,"")</f>
        <v/>
      </c>
      <c r="AL485" s="78" t="str">
        <f t="shared" si="4286"/>
        <v>Peter</v>
      </c>
      <c r="AM485" s="78" t="str">
        <f t="shared" si="4286"/>
        <v/>
      </c>
      <c r="AN485" s="78" t="str">
        <f t="shared" si="4286"/>
        <v>Christian</v>
      </c>
      <c r="AO485" s="56">
        <f t="shared" si="25"/>
        <v>2</v>
      </c>
      <c r="AP485" s="5" t="str">
        <f t="shared" si="26"/>
        <v>Christian</v>
      </c>
      <c r="AQ485" s="73" t="str">
        <f>IFERROR(__xludf.DUMMYFUNCTION("IFNA(QUERY(transpose(AY485:BB485),""Select Col1 where Col1 is not null limit 1"",0))"),"Peter")</f>
        <v>Peter</v>
      </c>
      <c r="AR485" s="56"/>
      <c r="AS485" s="28" t="str">
        <f t="shared" ref="AS485:AV485" si="4287">IF(AK485=AS$3,"",AS$3)</f>
        <v>Thomas</v>
      </c>
      <c r="AT485" s="28" t="str">
        <f t="shared" si="4287"/>
        <v/>
      </c>
      <c r="AU485" s="28" t="str">
        <f t="shared" si="4287"/>
        <v>Janus</v>
      </c>
      <c r="AV485" s="28" t="str">
        <f t="shared" si="4287"/>
        <v/>
      </c>
      <c r="AW485" s="56">
        <f t="shared" si="28"/>
        <v>2</v>
      </c>
      <c r="AX485" s="28">
        <f t="shared" si="29"/>
        <v>8</v>
      </c>
      <c r="AY485" s="28" t="str">
        <f t="shared" ref="AY485:BB485" si="4288">IFNA(IFS(AY$3=$AP485,"",$AX485=U485,AY$3),"")</f>
        <v/>
      </c>
      <c r="AZ485" s="28" t="str">
        <f t="shared" si="4288"/>
        <v>Peter</v>
      </c>
      <c r="BA485" s="28" t="str">
        <f t="shared" si="4288"/>
        <v/>
      </c>
      <c r="BB485" s="28" t="str">
        <f t="shared" si="4288"/>
        <v/>
      </c>
      <c r="BC485" s="58">
        <f>OFFSET('00_Regnskab_01'!$A$1,MATCH(A485,'00_Regnskab_01'!$A$1:$A$25)-1,2)</f>
        <v>45199</v>
      </c>
      <c r="BE485" s="80">
        <f t="shared" ref="BE485:BH485" si="4289">if(U485&gt;0,1+BE484,0)</f>
        <v>0</v>
      </c>
      <c r="BF485" s="28">
        <f t="shared" si="4289"/>
        <v>1</v>
      </c>
      <c r="BG485" s="28">
        <f t="shared" si="4289"/>
        <v>0</v>
      </c>
      <c r="BH485" s="28">
        <f t="shared" si="4289"/>
        <v>2</v>
      </c>
      <c r="BJ485" s="28">
        <f t="shared" ref="BJ485:BM485" si="4290">if(U485&lt;0,1+BJ484,0)</f>
        <v>3</v>
      </c>
      <c r="BK485" s="28">
        <f t="shared" si="4290"/>
        <v>0</v>
      </c>
      <c r="BL485" s="28">
        <f t="shared" si="4290"/>
        <v>1</v>
      </c>
      <c r="BM485" s="28">
        <f t="shared" si="4290"/>
        <v>0</v>
      </c>
      <c r="BO485" s="74">
        <f t="shared" ref="BO485:BR485" si="4291">if(U485&gt;0,U485+BO484,0)</f>
        <v>0</v>
      </c>
      <c r="BP485" s="110">
        <f t="shared" si="4291"/>
        <v>8</v>
      </c>
      <c r="BQ485" s="74">
        <f t="shared" si="4291"/>
        <v>0</v>
      </c>
      <c r="BR485" s="110">
        <f t="shared" si="4291"/>
        <v>12</v>
      </c>
      <c r="BT485" s="80">
        <f t="shared" ref="BT485:BW485" si="4292">if(U485&lt;0,U485+BT484,0)</f>
        <v>-28</v>
      </c>
      <c r="BU485" s="28">
        <f t="shared" si="4292"/>
        <v>0</v>
      </c>
      <c r="BV485" s="80">
        <f t="shared" si="4292"/>
        <v>-8</v>
      </c>
      <c r="BW485" s="28">
        <f t="shared" si="4292"/>
        <v>0</v>
      </c>
    </row>
    <row r="486">
      <c r="A486" s="53">
        <v>22.0</v>
      </c>
      <c r="B486" s="80">
        <f>'22_31-09-2023_RETTET'!A16</f>
        <v>14</v>
      </c>
      <c r="C486" s="80">
        <f>'22_31-09-2023_RETTET'!B16</f>
        <v>-206</v>
      </c>
      <c r="D486" s="80">
        <f>'22_31-09-2023_RETTET'!C16</f>
        <v>-266</v>
      </c>
      <c r="E486" s="80">
        <f>'22_31-09-2023_RETTET'!D16</f>
        <v>218</v>
      </c>
      <c r="F486" s="80">
        <f>'22_31-09-2023_RETTET'!E16</f>
        <v>254</v>
      </c>
      <c r="G486" s="80">
        <f>'22_31-09-2023_RETTET'!F16</f>
        <v>0</v>
      </c>
      <c r="H486" s="80" t="str">
        <f>'22_31-09-2023_RETTET'!H16</f>
        <v>Janus</v>
      </c>
      <c r="I486" s="80" t="str">
        <f>'22_31-09-2023_RETTET'!I16</f>
        <v/>
      </c>
      <c r="J486" s="80" t="str">
        <f>'22_31-09-2023_RETTET'!J16</f>
        <v>Christian</v>
      </c>
      <c r="K486" s="80" t="str">
        <f>'22_31-09-2023_RETTET'!G16</f>
        <v>Ren sol</v>
      </c>
      <c r="L486" s="56"/>
      <c r="N486" s="25" t="s">
        <v>97</v>
      </c>
      <c r="T486" s="56"/>
      <c r="U486" s="111">
        <f t="shared" ref="U486:X486" si="4293">C486-C485</f>
        <v>8</v>
      </c>
      <c r="V486" s="80">
        <f t="shared" si="4293"/>
        <v>8</v>
      </c>
      <c r="W486" s="80">
        <f t="shared" si="4293"/>
        <v>-24</v>
      </c>
      <c r="X486" s="80">
        <f t="shared" si="4293"/>
        <v>8</v>
      </c>
      <c r="AB486" s="28" t="str">
        <f t="shared" ref="AB486:AE486" si="4294">IF(AB$3=$H486,U486,"")</f>
        <v/>
      </c>
      <c r="AC486" s="28" t="str">
        <f t="shared" si="4294"/>
        <v/>
      </c>
      <c r="AD486" s="80">
        <f t="shared" si="4294"/>
        <v>-24</v>
      </c>
      <c r="AE486" s="28" t="str">
        <f t="shared" si="4294"/>
        <v/>
      </c>
      <c r="AH486" s="28">
        <f t="shared" si="22"/>
        <v>0</v>
      </c>
      <c r="AI486" s="28">
        <f t="shared" si="23"/>
        <v>-24</v>
      </c>
      <c r="AK486" s="78" t="str">
        <f t="shared" ref="AK486:AN486" si="4295">IF(U486&gt;0,AK$3,"")</f>
        <v>Thomas</v>
      </c>
      <c r="AL486" s="78" t="str">
        <f t="shared" si="4295"/>
        <v>Peter</v>
      </c>
      <c r="AM486" s="78" t="str">
        <f t="shared" si="4295"/>
        <v/>
      </c>
      <c r="AN486" s="78" t="str">
        <f t="shared" si="4295"/>
        <v>Christian</v>
      </c>
      <c r="AO486" s="56">
        <f t="shared" si="25"/>
        <v>3</v>
      </c>
      <c r="AP486" s="5" t="str">
        <f t="shared" si="26"/>
        <v>Janus</v>
      </c>
      <c r="AQ486" s="73" t="str">
        <f>IFERROR(__xludf.DUMMYFUNCTION("IFNA(QUERY(transpose(AY486:BB486),""Select Col1 where Col1 is not null limit 1"",0))"),"")</f>
        <v/>
      </c>
      <c r="AR486" s="56"/>
      <c r="AS486" s="28" t="str">
        <f t="shared" ref="AS486:AV486" si="4296">IF(AK486=AS$3,"",AS$3)</f>
        <v/>
      </c>
      <c r="AT486" s="28" t="str">
        <f t="shared" si="4296"/>
        <v/>
      </c>
      <c r="AU486" s="28" t="str">
        <f t="shared" si="4296"/>
        <v>Janus</v>
      </c>
      <c r="AV486" s="28" t="str">
        <f t="shared" si="4296"/>
        <v/>
      </c>
      <c r="AW486" s="56">
        <f t="shared" si="28"/>
        <v>1</v>
      </c>
      <c r="AX486" s="28">
        <f t="shared" si="29"/>
        <v>-24</v>
      </c>
      <c r="AY486" s="28" t="str">
        <f t="shared" ref="AY486:BB486" si="4297">IFNA(IFS(AY$3=$AP486,"",$AX486=U486,AY$3),"")</f>
        <v/>
      </c>
      <c r="AZ486" s="28" t="str">
        <f t="shared" si="4297"/>
        <v/>
      </c>
      <c r="BA486" s="28" t="str">
        <f t="shared" si="4297"/>
        <v/>
      </c>
      <c r="BB486" s="28" t="str">
        <f t="shared" si="4297"/>
        <v/>
      </c>
      <c r="BC486" s="58">
        <f>OFFSET('00_Regnskab_01'!$A$1,MATCH(A486,'00_Regnskab_01'!$A$1:$A$25)-1,2)</f>
        <v>45199</v>
      </c>
      <c r="BE486" s="80">
        <f t="shared" ref="BE486:BH486" si="4298">if(U486&gt;0,1+BE485,0)</f>
        <v>1</v>
      </c>
      <c r="BF486" s="28">
        <f t="shared" si="4298"/>
        <v>2</v>
      </c>
      <c r="BG486" s="28">
        <f t="shared" si="4298"/>
        <v>0</v>
      </c>
      <c r="BH486" s="28">
        <f t="shared" si="4298"/>
        <v>3</v>
      </c>
      <c r="BJ486" s="28">
        <f t="shared" ref="BJ486:BM486" si="4299">if(U486&lt;0,1+BJ485,0)</f>
        <v>0</v>
      </c>
      <c r="BK486" s="28">
        <f t="shared" si="4299"/>
        <v>0</v>
      </c>
      <c r="BL486" s="28">
        <f t="shared" si="4299"/>
        <v>2</v>
      </c>
      <c r="BM486" s="28">
        <f t="shared" si="4299"/>
        <v>0</v>
      </c>
      <c r="BO486" s="110">
        <f t="shared" ref="BO486:BR486" si="4300">if(U486&gt;0,U486+BO485,0)</f>
        <v>8</v>
      </c>
      <c r="BP486" s="110">
        <f t="shared" si="4300"/>
        <v>16</v>
      </c>
      <c r="BQ486" s="74">
        <f t="shared" si="4300"/>
        <v>0</v>
      </c>
      <c r="BR486" s="110">
        <f t="shared" si="4300"/>
        <v>20</v>
      </c>
      <c r="BT486" s="28">
        <f t="shared" ref="BT486:BW486" si="4301">if(U486&lt;0,U486+BT485,0)</f>
        <v>0</v>
      </c>
      <c r="BU486" s="28">
        <f t="shared" si="4301"/>
        <v>0</v>
      </c>
      <c r="BV486" s="80">
        <f t="shared" si="4301"/>
        <v>-32</v>
      </c>
      <c r="BW486" s="28">
        <f t="shared" si="4301"/>
        <v>0</v>
      </c>
    </row>
    <row r="487">
      <c r="A487" s="53">
        <v>22.0</v>
      </c>
      <c r="B487" s="80">
        <f>'22_31-09-2023_RETTET'!A17</f>
        <v>15</v>
      </c>
      <c r="C487" s="80">
        <f>'22_31-09-2023_RETTET'!B17</f>
        <v>-214</v>
      </c>
      <c r="D487" s="80">
        <f>'22_31-09-2023_RETTET'!C17</f>
        <v>-242</v>
      </c>
      <c r="E487" s="80">
        <f>'22_31-09-2023_RETTET'!D17</f>
        <v>210</v>
      </c>
      <c r="F487" s="80">
        <f>'22_31-09-2023_RETTET'!E17</f>
        <v>246</v>
      </c>
      <c r="G487" s="80">
        <f>'22_31-09-2023_RETTET'!F17</f>
        <v>0</v>
      </c>
      <c r="H487" s="80" t="str">
        <f>'22_31-09-2023_RETTET'!H17</f>
        <v>Peter</v>
      </c>
      <c r="I487" s="80" t="str">
        <f>'22_31-09-2023_RETTET'!I17</f>
        <v/>
      </c>
      <c r="J487" s="80" t="str">
        <f>'22_31-09-2023_RETTET'!J17</f>
        <v>Janus</v>
      </c>
      <c r="K487" s="80" t="str">
        <f>'22_31-09-2023_RETTET'!G17</f>
        <v>ren sol</v>
      </c>
      <c r="L487" s="56"/>
      <c r="N487" s="25" t="s">
        <v>97</v>
      </c>
      <c r="T487" s="56"/>
      <c r="U487" s="111">
        <f t="shared" ref="U487:X487" si="4302">C487-C486</f>
        <v>-8</v>
      </c>
      <c r="V487" s="80">
        <f t="shared" si="4302"/>
        <v>24</v>
      </c>
      <c r="W487" s="80">
        <f t="shared" si="4302"/>
        <v>-8</v>
      </c>
      <c r="X487" s="80">
        <f t="shared" si="4302"/>
        <v>-8</v>
      </c>
      <c r="AB487" s="28" t="str">
        <f t="shared" ref="AB487:AE487" si="4303">IF(AB$3=$H487,U487,"")</f>
        <v/>
      </c>
      <c r="AC487" s="80">
        <f t="shared" si="4303"/>
        <v>24</v>
      </c>
      <c r="AD487" s="28" t="str">
        <f t="shared" si="4303"/>
        <v/>
      </c>
      <c r="AE487" s="28" t="str">
        <f t="shared" si="4303"/>
        <v/>
      </c>
      <c r="AH487" s="28">
        <f t="shared" si="22"/>
        <v>24</v>
      </c>
      <c r="AI487" s="28">
        <f t="shared" si="23"/>
        <v>0</v>
      </c>
      <c r="AK487" s="78" t="str">
        <f t="shared" ref="AK487:AN487" si="4304">IF(U487&gt;0,AK$3,"")</f>
        <v/>
      </c>
      <c r="AL487" s="78" t="str">
        <f t="shared" si="4304"/>
        <v>Peter</v>
      </c>
      <c r="AM487" s="78" t="str">
        <f t="shared" si="4304"/>
        <v/>
      </c>
      <c r="AN487" s="78" t="str">
        <f t="shared" si="4304"/>
        <v/>
      </c>
      <c r="AO487" s="56">
        <f t="shared" si="25"/>
        <v>1</v>
      </c>
      <c r="AP487" s="5" t="str">
        <f t="shared" si="26"/>
        <v>Peter</v>
      </c>
      <c r="AQ487" s="73" t="str">
        <f>IFERROR(__xludf.DUMMYFUNCTION("IFNA(QUERY(transpose(AY487:BB487),""Select Col1 where Col1 is not null limit 1"",0))"),"")</f>
        <v/>
      </c>
      <c r="AR487" s="56"/>
      <c r="AS487" s="28" t="str">
        <f t="shared" ref="AS487:AV487" si="4305">IF(AK487=AS$3,"",AS$3)</f>
        <v>Thomas</v>
      </c>
      <c r="AT487" s="28" t="str">
        <f t="shared" si="4305"/>
        <v/>
      </c>
      <c r="AU487" s="28" t="str">
        <f t="shared" si="4305"/>
        <v>Janus</v>
      </c>
      <c r="AV487" s="28" t="str">
        <f t="shared" si="4305"/>
        <v>Christian</v>
      </c>
      <c r="AW487" s="56">
        <f t="shared" si="28"/>
        <v>3</v>
      </c>
      <c r="AX487" s="28">
        <f t="shared" si="29"/>
        <v>24</v>
      </c>
      <c r="AY487" s="28" t="str">
        <f t="shared" ref="AY487:BB487" si="4306">IFNA(IFS(AY$3=$AP487,"",$AX487=U487,AY$3),"")</f>
        <v/>
      </c>
      <c r="AZ487" s="28" t="str">
        <f t="shared" si="4306"/>
        <v/>
      </c>
      <c r="BA487" s="28" t="str">
        <f t="shared" si="4306"/>
        <v/>
      </c>
      <c r="BB487" s="28" t="str">
        <f t="shared" si="4306"/>
        <v/>
      </c>
      <c r="BC487" s="58">
        <f>OFFSET('00_Regnskab_01'!$A$1,MATCH(A487,'00_Regnskab_01'!$A$1:$A$25)-1,2)</f>
        <v>45199</v>
      </c>
      <c r="BE487" s="80">
        <f t="shared" ref="BE487:BH487" si="4307">if(U487&gt;0,1+BE486,0)</f>
        <v>0</v>
      </c>
      <c r="BF487" s="28">
        <f t="shared" si="4307"/>
        <v>3</v>
      </c>
      <c r="BG487" s="28">
        <f t="shared" si="4307"/>
        <v>0</v>
      </c>
      <c r="BH487" s="28">
        <f t="shared" si="4307"/>
        <v>0</v>
      </c>
      <c r="BJ487" s="28">
        <f t="shared" ref="BJ487:BM487" si="4308">if(U487&lt;0,1+BJ486,0)</f>
        <v>1</v>
      </c>
      <c r="BK487" s="28">
        <f t="shared" si="4308"/>
        <v>0</v>
      </c>
      <c r="BL487" s="28">
        <f t="shared" si="4308"/>
        <v>3</v>
      </c>
      <c r="BM487" s="28">
        <f t="shared" si="4308"/>
        <v>1</v>
      </c>
      <c r="BO487" s="74">
        <f t="shared" ref="BO487:BR487" si="4309">if(U487&gt;0,U487+BO486,0)</f>
        <v>0</v>
      </c>
      <c r="BP487" s="110">
        <f t="shared" si="4309"/>
        <v>40</v>
      </c>
      <c r="BQ487" s="74">
        <f t="shared" si="4309"/>
        <v>0</v>
      </c>
      <c r="BR487" s="74">
        <f t="shared" si="4309"/>
        <v>0</v>
      </c>
      <c r="BT487" s="80">
        <f t="shared" ref="BT487:BW487" si="4310">if(U487&lt;0,U487+BT486,0)</f>
        <v>-8</v>
      </c>
      <c r="BU487" s="28">
        <f t="shared" si="4310"/>
        <v>0</v>
      </c>
      <c r="BV487" s="80">
        <f t="shared" si="4310"/>
        <v>-40</v>
      </c>
      <c r="BW487" s="80">
        <f t="shared" si="4310"/>
        <v>-8</v>
      </c>
    </row>
    <row r="488">
      <c r="A488" s="53">
        <v>22.0</v>
      </c>
      <c r="B488" s="80">
        <f>'22_31-09-2023_RETTET'!A18</f>
        <v>16</v>
      </c>
      <c r="C488" s="80">
        <f>'22_31-09-2023_RETTET'!B18</f>
        <v>-202</v>
      </c>
      <c r="D488" s="80">
        <f>'22_31-09-2023_RETTET'!C18</f>
        <v>-230</v>
      </c>
      <c r="E488" s="80">
        <f>'22_31-09-2023_RETTET'!D18</f>
        <v>222</v>
      </c>
      <c r="F488" s="80">
        <f>'22_31-09-2023_RETTET'!E18</f>
        <v>210</v>
      </c>
      <c r="G488" s="80">
        <f>'22_31-09-2023_RETTET'!F18</f>
        <v>0</v>
      </c>
      <c r="H488" s="80" t="str">
        <f>'22_31-09-2023_RETTET'!H18</f>
        <v>Christian</v>
      </c>
      <c r="I488" s="80" t="str">
        <f>'22_31-09-2023_RETTET'!I18</f>
        <v>Selvmakker</v>
      </c>
      <c r="J488" s="80" t="str">
        <f>'22_31-09-2023_RETTET'!J18</f>
        <v>Peter</v>
      </c>
      <c r="K488" s="80" t="str">
        <f>'22_31-09-2023_RETTET'!G18</f>
        <v>9 gode</v>
      </c>
      <c r="L488" s="56"/>
      <c r="M488" s="25">
        <v>9.0</v>
      </c>
      <c r="N488" s="25" t="s">
        <v>95</v>
      </c>
      <c r="T488" s="56"/>
      <c r="U488" s="111">
        <f t="shared" ref="U488:X488" si="4311">C488-C487</f>
        <v>12</v>
      </c>
      <c r="V488" s="80">
        <f t="shared" si="4311"/>
        <v>12</v>
      </c>
      <c r="W488" s="80">
        <f t="shared" si="4311"/>
        <v>12</v>
      </c>
      <c r="X488" s="80">
        <f t="shared" si="4311"/>
        <v>-36</v>
      </c>
      <c r="AB488" s="28" t="str">
        <f t="shared" ref="AB488:AE488" si="4312">IF(AB$3=$H488,U488,"")</f>
        <v/>
      </c>
      <c r="AC488" s="28" t="str">
        <f t="shared" si="4312"/>
        <v/>
      </c>
      <c r="AD488" s="28" t="str">
        <f t="shared" si="4312"/>
        <v/>
      </c>
      <c r="AE488" s="80">
        <f t="shared" si="4312"/>
        <v>-36</v>
      </c>
      <c r="AH488" s="28">
        <f t="shared" si="22"/>
        <v>0</v>
      </c>
      <c r="AI488" s="28">
        <f t="shared" si="23"/>
        <v>-36</v>
      </c>
      <c r="AK488" s="78" t="str">
        <f t="shared" ref="AK488:AN488" si="4313">IF(U488&gt;0,AK$3,"")</f>
        <v>Thomas</v>
      </c>
      <c r="AL488" s="78" t="str">
        <f t="shared" si="4313"/>
        <v>Peter</v>
      </c>
      <c r="AM488" s="78" t="str">
        <f t="shared" si="4313"/>
        <v>Janus</v>
      </c>
      <c r="AN488" s="78" t="str">
        <f t="shared" si="4313"/>
        <v/>
      </c>
      <c r="AO488" s="56">
        <f t="shared" si="25"/>
        <v>3</v>
      </c>
      <c r="AP488" s="5" t="str">
        <f t="shared" si="26"/>
        <v>Christian</v>
      </c>
      <c r="AQ488" s="73" t="str">
        <f>IFERROR(__xludf.DUMMYFUNCTION("IFNA(QUERY(transpose(AY488:BB488),""Select Col1 where Col1 is not null limit 1"",0))"),"")</f>
        <v/>
      </c>
      <c r="AR488" s="56"/>
      <c r="AS488" s="28" t="str">
        <f t="shared" ref="AS488:AV488" si="4314">IF(AK488=AS$3,"",AS$3)</f>
        <v/>
      </c>
      <c r="AT488" s="28" t="str">
        <f t="shared" si="4314"/>
        <v/>
      </c>
      <c r="AU488" s="28" t="str">
        <f t="shared" si="4314"/>
        <v/>
      </c>
      <c r="AV488" s="28" t="str">
        <f t="shared" si="4314"/>
        <v>Christian</v>
      </c>
      <c r="AW488" s="56">
        <f t="shared" si="28"/>
        <v>1</v>
      </c>
      <c r="AX488" s="28">
        <f t="shared" si="29"/>
        <v>-36</v>
      </c>
      <c r="AY488" s="28" t="str">
        <f t="shared" ref="AY488:BB488" si="4315">IFNA(IFS(AY$3=$AP488,"",$AX488=U488,AY$3),"")</f>
        <v/>
      </c>
      <c r="AZ488" s="28" t="str">
        <f t="shared" si="4315"/>
        <v/>
      </c>
      <c r="BA488" s="28" t="str">
        <f t="shared" si="4315"/>
        <v/>
      </c>
      <c r="BB488" s="28" t="str">
        <f t="shared" si="4315"/>
        <v/>
      </c>
      <c r="BC488" s="58">
        <f>OFFSET('00_Regnskab_01'!$A$1,MATCH(A488,'00_Regnskab_01'!$A$1:$A$25)-1,2)</f>
        <v>45199</v>
      </c>
      <c r="BE488" s="80">
        <f t="shared" ref="BE488:BH488" si="4316">if(U488&gt;0,1+BE487,0)</f>
        <v>1</v>
      </c>
      <c r="BF488" s="28">
        <f t="shared" si="4316"/>
        <v>4</v>
      </c>
      <c r="BG488" s="28">
        <f t="shared" si="4316"/>
        <v>1</v>
      </c>
      <c r="BH488" s="28">
        <f t="shared" si="4316"/>
        <v>0</v>
      </c>
      <c r="BJ488" s="28">
        <f t="shared" ref="BJ488:BM488" si="4317">if(U488&lt;0,1+BJ487,0)</f>
        <v>0</v>
      </c>
      <c r="BK488" s="28">
        <f t="shared" si="4317"/>
        <v>0</v>
      </c>
      <c r="BL488" s="28">
        <f t="shared" si="4317"/>
        <v>0</v>
      </c>
      <c r="BM488" s="28">
        <f t="shared" si="4317"/>
        <v>2</v>
      </c>
      <c r="BO488" s="110">
        <f t="shared" ref="BO488:BR488" si="4318">if(U488&gt;0,U488+BO487,0)</f>
        <v>12</v>
      </c>
      <c r="BP488" s="110">
        <f t="shared" si="4318"/>
        <v>52</v>
      </c>
      <c r="BQ488" s="110">
        <f t="shared" si="4318"/>
        <v>12</v>
      </c>
      <c r="BR488" s="74">
        <f t="shared" si="4318"/>
        <v>0</v>
      </c>
      <c r="BT488" s="28">
        <f t="shared" ref="BT488:BW488" si="4319">if(U488&lt;0,U488+BT487,0)</f>
        <v>0</v>
      </c>
      <c r="BU488" s="28">
        <f t="shared" si="4319"/>
        <v>0</v>
      </c>
      <c r="BV488" s="28">
        <f t="shared" si="4319"/>
        <v>0</v>
      </c>
      <c r="BW488" s="80">
        <f t="shared" si="4319"/>
        <v>-44</v>
      </c>
    </row>
    <row r="489">
      <c r="A489" s="53">
        <v>22.0</v>
      </c>
      <c r="B489" s="80">
        <f>'22_31-09-2023_RETTET'!A19</f>
        <v>17</v>
      </c>
      <c r="C489" s="80">
        <f>'22_31-09-2023_RETTET'!B19</f>
        <v>-178</v>
      </c>
      <c r="D489" s="80">
        <f>'22_31-09-2023_RETTET'!C19</f>
        <v>-238</v>
      </c>
      <c r="E489" s="80">
        <f>'22_31-09-2023_RETTET'!D19</f>
        <v>214</v>
      </c>
      <c r="F489" s="80">
        <f>'22_31-09-2023_RETTET'!E19</f>
        <v>202</v>
      </c>
      <c r="G489" s="80">
        <f>'22_31-09-2023_RETTET'!F19</f>
        <v>0</v>
      </c>
      <c r="H489" s="80" t="str">
        <f>'22_31-09-2023_RETTET'!H19</f>
        <v>Thomas</v>
      </c>
      <c r="I489" s="80" t="str">
        <f>'22_31-09-2023_RETTET'!I19</f>
        <v/>
      </c>
      <c r="J489" s="80" t="str">
        <f>'22_31-09-2023_RETTET'!J19</f>
        <v>Thomas</v>
      </c>
      <c r="K489" s="80" t="str">
        <f>'22_31-09-2023_RETTET'!G19</f>
        <v>ren sol</v>
      </c>
      <c r="L489" s="56"/>
      <c r="N489" s="25" t="s">
        <v>97</v>
      </c>
      <c r="T489" s="56"/>
      <c r="U489" s="111">
        <f t="shared" ref="U489:X489" si="4320">C489-C488</f>
        <v>24</v>
      </c>
      <c r="V489" s="80">
        <f t="shared" si="4320"/>
        <v>-8</v>
      </c>
      <c r="W489" s="80">
        <f t="shared" si="4320"/>
        <v>-8</v>
      </c>
      <c r="X489" s="80">
        <f t="shared" si="4320"/>
        <v>-8</v>
      </c>
      <c r="AB489" s="80">
        <f t="shared" ref="AB489:AE489" si="4321">IF(AB$3=$H489,U489,"")</f>
        <v>24</v>
      </c>
      <c r="AC489" s="28" t="str">
        <f t="shared" si="4321"/>
        <v/>
      </c>
      <c r="AD489" s="28" t="str">
        <f t="shared" si="4321"/>
        <v/>
      </c>
      <c r="AE489" s="28" t="str">
        <f t="shared" si="4321"/>
        <v/>
      </c>
      <c r="AH489" s="28">
        <f t="shared" si="22"/>
        <v>24</v>
      </c>
      <c r="AI489" s="28">
        <f t="shared" si="23"/>
        <v>0</v>
      </c>
      <c r="AK489" s="78" t="str">
        <f t="shared" ref="AK489:AN489" si="4322">IF(U489&gt;0,AK$3,"")</f>
        <v>Thomas</v>
      </c>
      <c r="AL489" s="78" t="str">
        <f t="shared" si="4322"/>
        <v/>
      </c>
      <c r="AM489" s="78" t="str">
        <f t="shared" si="4322"/>
        <v/>
      </c>
      <c r="AN489" s="78" t="str">
        <f t="shared" si="4322"/>
        <v/>
      </c>
      <c r="AO489" s="56">
        <f t="shared" si="25"/>
        <v>1</v>
      </c>
      <c r="AP489" s="5" t="str">
        <f t="shared" si="26"/>
        <v>Thomas</v>
      </c>
      <c r="AQ489" s="73" t="str">
        <f>IFERROR(__xludf.DUMMYFUNCTION("IFNA(QUERY(transpose(AY489:BB489),""Select Col1 where Col1 is not null limit 1"",0))"),"")</f>
        <v/>
      </c>
      <c r="AR489" s="56"/>
      <c r="AS489" s="28" t="str">
        <f t="shared" ref="AS489:AV489" si="4323">IF(AK489=AS$3,"",AS$3)</f>
        <v/>
      </c>
      <c r="AT489" s="28" t="str">
        <f t="shared" si="4323"/>
        <v>Peter</v>
      </c>
      <c r="AU489" s="28" t="str">
        <f t="shared" si="4323"/>
        <v>Janus</v>
      </c>
      <c r="AV489" s="28" t="str">
        <f t="shared" si="4323"/>
        <v>Christian</v>
      </c>
      <c r="AW489" s="56">
        <f t="shared" si="28"/>
        <v>3</v>
      </c>
      <c r="AX489" s="80">
        <f t="shared" si="29"/>
        <v>24</v>
      </c>
      <c r="AY489" s="28" t="str">
        <f t="shared" ref="AY489:BB489" si="4324">IFNA(IFS(AY$3=$AP489,"",$AX489=U489,AY$3),"")</f>
        <v/>
      </c>
      <c r="AZ489" s="28" t="str">
        <f t="shared" si="4324"/>
        <v/>
      </c>
      <c r="BA489" s="28" t="str">
        <f t="shared" si="4324"/>
        <v/>
      </c>
      <c r="BB489" s="28" t="str">
        <f t="shared" si="4324"/>
        <v/>
      </c>
      <c r="BC489" s="58">
        <f>OFFSET('00_Regnskab_01'!$A$1,MATCH(A489,'00_Regnskab_01'!$A$1:$A$25)-1,2)</f>
        <v>45199</v>
      </c>
      <c r="BE489" s="80">
        <f t="shared" ref="BE489:BH489" si="4325">if(U489&gt;0,1+BE488,0)</f>
        <v>2</v>
      </c>
      <c r="BF489" s="28">
        <f t="shared" si="4325"/>
        <v>0</v>
      </c>
      <c r="BG489" s="28">
        <f t="shared" si="4325"/>
        <v>0</v>
      </c>
      <c r="BH489" s="28">
        <f t="shared" si="4325"/>
        <v>0</v>
      </c>
      <c r="BJ489" s="28">
        <f t="shared" ref="BJ489:BM489" si="4326">if(U489&lt;0,1+BJ488,0)</f>
        <v>0</v>
      </c>
      <c r="BK489" s="28">
        <f t="shared" si="4326"/>
        <v>1</v>
      </c>
      <c r="BL489" s="28">
        <f t="shared" si="4326"/>
        <v>1</v>
      </c>
      <c r="BM489" s="28">
        <f t="shared" si="4326"/>
        <v>3</v>
      </c>
      <c r="BO489" s="110">
        <f t="shared" ref="BO489:BR489" si="4327">if(U489&gt;0,U489+BO488,0)</f>
        <v>36</v>
      </c>
      <c r="BP489" s="74">
        <f t="shared" si="4327"/>
        <v>0</v>
      </c>
      <c r="BQ489" s="74">
        <f t="shared" si="4327"/>
        <v>0</v>
      </c>
      <c r="BR489" s="74">
        <f t="shared" si="4327"/>
        <v>0</v>
      </c>
      <c r="BT489" s="28">
        <f t="shared" ref="BT489:BW489" si="4328">if(U489&lt;0,U489+BT488,0)</f>
        <v>0</v>
      </c>
      <c r="BU489" s="80">
        <f t="shared" si="4328"/>
        <v>-8</v>
      </c>
      <c r="BV489" s="80">
        <f t="shared" si="4328"/>
        <v>-8</v>
      </c>
      <c r="BW489" s="80">
        <f t="shared" si="4328"/>
        <v>-52</v>
      </c>
    </row>
    <row r="490">
      <c r="A490" s="53">
        <v>22.0</v>
      </c>
      <c r="B490" s="80">
        <f>'22_31-09-2023_RETTET'!A20</f>
        <v>18</v>
      </c>
      <c r="C490" s="80">
        <f>'22_31-09-2023_RETTET'!B20</f>
        <v>-274</v>
      </c>
      <c r="D490" s="80">
        <f>'22_31-09-2023_RETTET'!C20</f>
        <v>-206</v>
      </c>
      <c r="E490" s="80">
        <f>'22_31-09-2023_RETTET'!D20</f>
        <v>246</v>
      </c>
      <c r="F490" s="80">
        <f>'22_31-09-2023_RETTET'!E20</f>
        <v>234</v>
      </c>
      <c r="G490" s="80">
        <f>'22_31-09-2023_RETTET'!F20</f>
        <v>0</v>
      </c>
      <c r="H490" s="80" t="str">
        <f>'22_31-09-2023_RETTET'!H20</f>
        <v>Thomas</v>
      </c>
      <c r="I490" s="80" t="str">
        <f>'22_31-09-2023_RETTET'!I20</f>
        <v>Selvmakker</v>
      </c>
      <c r="J490" s="80" t="str">
        <f>'22_31-09-2023_RETTET'!J20</f>
        <v>Christian</v>
      </c>
      <c r="K490" s="80" t="str">
        <f>'22_31-09-2023_RETTET'!G20</f>
        <v>11 vip 1 </v>
      </c>
      <c r="L490" s="56"/>
      <c r="M490" s="25">
        <v>11.0</v>
      </c>
      <c r="N490" s="25" t="s">
        <v>86</v>
      </c>
      <c r="O490" s="25">
        <v>1.0</v>
      </c>
      <c r="R490" s="25" t="s">
        <v>15</v>
      </c>
      <c r="T490" s="56"/>
      <c r="U490" s="111">
        <f t="shared" ref="U490:X490" si="4329">C490-C489</f>
        <v>-96</v>
      </c>
      <c r="V490" s="80">
        <f t="shared" si="4329"/>
        <v>32</v>
      </c>
      <c r="W490" s="80">
        <f t="shared" si="4329"/>
        <v>32</v>
      </c>
      <c r="X490" s="80">
        <f t="shared" si="4329"/>
        <v>32</v>
      </c>
      <c r="AB490" s="80">
        <f t="shared" ref="AB490:AE490" si="4330">IF(AB$3=$H490,U490,"")</f>
        <v>-96</v>
      </c>
      <c r="AC490" s="28" t="str">
        <f t="shared" si="4330"/>
        <v/>
      </c>
      <c r="AD490" s="28" t="str">
        <f t="shared" si="4330"/>
        <v/>
      </c>
      <c r="AE490" s="28" t="str">
        <f t="shared" si="4330"/>
        <v/>
      </c>
      <c r="AH490" s="28">
        <f t="shared" si="22"/>
        <v>0</v>
      </c>
      <c r="AI490" s="28">
        <f t="shared" si="23"/>
        <v>-96</v>
      </c>
      <c r="AK490" s="78" t="str">
        <f t="shared" ref="AK490:AN490" si="4331">IF(U490&gt;0,AK$3,"")</f>
        <v/>
      </c>
      <c r="AL490" s="78" t="str">
        <f t="shared" si="4331"/>
        <v>Peter</v>
      </c>
      <c r="AM490" s="78" t="str">
        <f t="shared" si="4331"/>
        <v>Janus</v>
      </c>
      <c r="AN490" s="78" t="str">
        <f t="shared" si="4331"/>
        <v>Christian</v>
      </c>
      <c r="AO490" s="56">
        <f t="shared" si="25"/>
        <v>3</v>
      </c>
      <c r="AP490" s="5" t="str">
        <f t="shared" si="26"/>
        <v>Thomas</v>
      </c>
      <c r="AQ490" s="73" t="str">
        <f>IFERROR(__xludf.DUMMYFUNCTION("IFNA(QUERY(transpose(AY490:BB490),""Select Col1 where Col1 is not null limit 1"",0))"),"")</f>
        <v/>
      </c>
      <c r="AR490" s="56"/>
      <c r="AS490" s="28" t="str">
        <f t="shared" ref="AS490:AV490" si="4332">IF(AK490=AS$3,"",AS$3)</f>
        <v>Thomas</v>
      </c>
      <c r="AT490" s="28" t="str">
        <f t="shared" si="4332"/>
        <v/>
      </c>
      <c r="AU490" s="28" t="str">
        <f t="shared" si="4332"/>
        <v/>
      </c>
      <c r="AV490" s="28" t="str">
        <f t="shared" si="4332"/>
        <v/>
      </c>
      <c r="AW490" s="56">
        <f t="shared" si="28"/>
        <v>1</v>
      </c>
      <c r="AX490" s="80">
        <f t="shared" si="29"/>
        <v>-96</v>
      </c>
      <c r="AY490" s="28" t="str">
        <f t="shared" ref="AY490:BB490" si="4333">IFNA(IFS(AY$3=$AP490,"",$AX490=U490,AY$3),"")</f>
        <v/>
      </c>
      <c r="AZ490" s="28" t="str">
        <f t="shared" si="4333"/>
        <v/>
      </c>
      <c r="BA490" s="28" t="str">
        <f t="shared" si="4333"/>
        <v/>
      </c>
      <c r="BB490" s="28" t="str">
        <f t="shared" si="4333"/>
        <v/>
      </c>
      <c r="BC490" s="58">
        <f>OFFSET('00_Regnskab_01'!$A$1,MATCH(A490,'00_Regnskab_01'!$A$1:$A$25)-1,2)</f>
        <v>45199</v>
      </c>
      <c r="BE490" s="80">
        <f t="shared" ref="BE490:BH490" si="4334">if(U490&gt;0,1+BE489,0)</f>
        <v>0</v>
      </c>
      <c r="BF490" s="28">
        <f t="shared" si="4334"/>
        <v>1</v>
      </c>
      <c r="BG490" s="28">
        <f t="shared" si="4334"/>
        <v>1</v>
      </c>
      <c r="BH490" s="28">
        <f t="shared" si="4334"/>
        <v>1</v>
      </c>
      <c r="BJ490" s="28">
        <f t="shared" ref="BJ490:BM490" si="4335">if(U490&lt;0,1+BJ489,0)</f>
        <v>1</v>
      </c>
      <c r="BK490" s="28">
        <f t="shared" si="4335"/>
        <v>0</v>
      </c>
      <c r="BL490" s="28">
        <f t="shared" si="4335"/>
        <v>0</v>
      </c>
      <c r="BM490" s="28">
        <f t="shared" si="4335"/>
        <v>0</v>
      </c>
      <c r="BO490" s="74">
        <f t="shared" ref="BO490:BR490" si="4336">if(U490&gt;0,U490+BO489,0)</f>
        <v>0</v>
      </c>
      <c r="BP490" s="110">
        <f t="shared" si="4336"/>
        <v>32</v>
      </c>
      <c r="BQ490" s="110">
        <f t="shared" si="4336"/>
        <v>32</v>
      </c>
      <c r="BR490" s="110">
        <f t="shared" si="4336"/>
        <v>32</v>
      </c>
      <c r="BT490" s="80">
        <f t="shared" ref="BT490:BW490" si="4337">if(U490&lt;0,U490+BT489,0)</f>
        <v>-96</v>
      </c>
      <c r="BU490" s="28">
        <f t="shared" si="4337"/>
        <v>0</v>
      </c>
      <c r="BV490" s="28">
        <f t="shared" si="4337"/>
        <v>0</v>
      </c>
      <c r="BW490" s="28">
        <f t="shared" si="4337"/>
        <v>0</v>
      </c>
    </row>
    <row r="491">
      <c r="A491" s="53">
        <v>22.0</v>
      </c>
      <c r="B491" s="80">
        <f>'22_31-09-2023_RETTET'!A21</f>
        <v>19</v>
      </c>
      <c r="C491" s="80">
        <f>'22_31-09-2023_RETTET'!B21</f>
        <v>-290</v>
      </c>
      <c r="D491" s="80">
        <f>'22_31-09-2023_RETTET'!C21</f>
        <v>-222</v>
      </c>
      <c r="E491" s="80">
        <f>'22_31-09-2023_RETTET'!D21</f>
        <v>262</v>
      </c>
      <c r="F491" s="80">
        <f>'22_31-09-2023_RETTET'!E21</f>
        <v>250</v>
      </c>
      <c r="G491" s="80">
        <f>'22_31-09-2023_RETTET'!F21</f>
        <v>0</v>
      </c>
      <c r="H491" s="80" t="str">
        <f>'22_31-09-2023_RETTET'!H21</f>
        <v>Thomas</v>
      </c>
      <c r="I491" s="80" t="str">
        <f>'22_31-09-2023_RETTET'!I21</f>
        <v>Peter</v>
      </c>
      <c r="J491" s="80" t="str">
        <f>'22_31-09-2023_RETTET'!J21</f>
        <v>Janus</v>
      </c>
      <c r="K491" s="80" t="str">
        <f>'22_31-09-2023_RETTET'!G21</f>
        <v>9 halve</v>
      </c>
      <c r="L491" s="56"/>
      <c r="M491" s="25">
        <v>9.0</v>
      </c>
      <c r="N491" s="25" t="s">
        <v>94</v>
      </c>
      <c r="T491" s="56"/>
      <c r="U491" s="111">
        <f t="shared" ref="U491:X491" si="4338">C491-C490</f>
        <v>-16</v>
      </c>
      <c r="V491" s="80">
        <f t="shared" si="4338"/>
        <v>-16</v>
      </c>
      <c r="W491" s="80">
        <f t="shared" si="4338"/>
        <v>16</v>
      </c>
      <c r="X491" s="80">
        <f t="shared" si="4338"/>
        <v>16</v>
      </c>
      <c r="AB491" s="80">
        <f t="shared" ref="AB491:AE491" si="4339">IF(AB$3=$H491,U491,"")</f>
        <v>-16</v>
      </c>
      <c r="AC491" s="28" t="str">
        <f t="shared" si="4339"/>
        <v/>
      </c>
      <c r="AD491" s="28" t="str">
        <f t="shared" si="4339"/>
        <v/>
      </c>
      <c r="AE491" s="28" t="str">
        <f t="shared" si="4339"/>
        <v/>
      </c>
      <c r="AH491" s="28">
        <f t="shared" si="22"/>
        <v>0</v>
      </c>
      <c r="AI491" s="28">
        <f t="shared" si="23"/>
        <v>-16</v>
      </c>
      <c r="AK491" s="78" t="str">
        <f t="shared" ref="AK491:AN491" si="4340">IF(U491&gt;0,AK$3,"")</f>
        <v/>
      </c>
      <c r="AL491" s="78" t="str">
        <f t="shared" si="4340"/>
        <v/>
      </c>
      <c r="AM491" s="78" t="str">
        <f t="shared" si="4340"/>
        <v>Janus</v>
      </c>
      <c r="AN491" s="78" t="str">
        <f t="shared" si="4340"/>
        <v>Christian</v>
      </c>
      <c r="AO491" s="56">
        <f t="shared" si="25"/>
        <v>2</v>
      </c>
      <c r="AP491" s="5" t="str">
        <f t="shared" si="26"/>
        <v>Thomas</v>
      </c>
      <c r="AQ491" s="73" t="str">
        <f>IFERROR(__xludf.DUMMYFUNCTION("IFNA(QUERY(transpose(AY491:BB491),""Select Col1 where Col1 is not null limit 1"",0))"),"Peter")</f>
        <v>Peter</v>
      </c>
      <c r="AR491" s="56"/>
      <c r="AS491" s="28" t="str">
        <f t="shared" ref="AS491:AV491" si="4341">IF(AK491=AS$3,"",AS$3)</f>
        <v>Thomas</v>
      </c>
      <c r="AT491" s="28" t="str">
        <f t="shared" si="4341"/>
        <v>Peter</v>
      </c>
      <c r="AU491" s="28" t="str">
        <f t="shared" si="4341"/>
        <v/>
      </c>
      <c r="AV491" s="28" t="str">
        <f t="shared" si="4341"/>
        <v/>
      </c>
      <c r="AW491" s="56">
        <f t="shared" si="28"/>
        <v>2</v>
      </c>
      <c r="AX491" s="80">
        <f t="shared" si="29"/>
        <v>-16</v>
      </c>
      <c r="AY491" s="28" t="str">
        <f t="shared" ref="AY491:BB491" si="4342">IFNA(IFS(AY$3=$AP491,"",$AX491=U491,AY$3),"")</f>
        <v/>
      </c>
      <c r="AZ491" s="28" t="str">
        <f t="shared" si="4342"/>
        <v>Peter</v>
      </c>
      <c r="BA491" s="28" t="str">
        <f t="shared" si="4342"/>
        <v/>
      </c>
      <c r="BB491" s="28" t="str">
        <f t="shared" si="4342"/>
        <v/>
      </c>
      <c r="BC491" s="58">
        <f>OFFSET('00_Regnskab_01'!$A$1,MATCH(A491,'00_Regnskab_01'!$A$1:$A$25)-1,2)</f>
        <v>45199</v>
      </c>
      <c r="BE491" s="80">
        <f t="shared" ref="BE491:BH491" si="4343">if(U491&gt;0,1+BE490,0)</f>
        <v>0</v>
      </c>
      <c r="BF491" s="28">
        <f t="shared" si="4343"/>
        <v>0</v>
      </c>
      <c r="BG491" s="28">
        <f t="shared" si="4343"/>
        <v>2</v>
      </c>
      <c r="BH491" s="28">
        <f t="shared" si="4343"/>
        <v>2</v>
      </c>
      <c r="BJ491" s="28">
        <f t="shared" ref="BJ491:BM491" si="4344">if(U491&lt;0,1+BJ490,0)</f>
        <v>2</v>
      </c>
      <c r="BK491" s="28">
        <f t="shared" si="4344"/>
        <v>1</v>
      </c>
      <c r="BL491" s="28">
        <f t="shared" si="4344"/>
        <v>0</v>
      </c>
      <c r="BM491" s="28">
        <f t="shared" si="4344"/>
        <v>0</v>
      </c>
      <c r="BO491" s="74">
        <f t="shared" ref="BO491:BR491" si="4345">if(U491&gt;0,U491+BO490,0)</f>
        <v>0</v>
      </c>
      <c r="BP491" s="74">
        <f t="shared" si="4345"/>
        <v>0</v>
      </c>
      <c r="BQ491" s="110">
        <f t="shared" si="4345"/>
        <v>48</v>
      </c>
      <c r="BR491" s="110">
        <f t="shared" si="4345"/>
        <v>48</v>
      </c>
      <c r="BT491" s="80">
        <f t="shared" ref="BT491:BW491" si="4346">if(U491&lt;0,U491+BT490,0)</f>
        <v>-112</v>
      </c>
      <c r="BU491" s="80">
        <f t="shared" si="4346"/>
        <v>-16</v>
      </c>
      <c r="BV491" s="28">
        <f t="shared" si="4346"/>
        <v>0</v>
      </c>
      <c r="BW491" s="28">
        <f t="shared" si="4346"/>
        <v>0</v>
      </c>
    </row>
    <row r="492">
      <c r="A492" s="53">
        <v>22.0</v>
      </c>
      <c r="B492" s="80">
        <f>'22_31-09-2023_RETTET'!A22</f>
        <v>20</v>
      </c>
      <c r="C492" s="80">
        <f>'22_31-09-2023_RETTET'!B22</f>
        <v>-242</v>
      </c>
      <c r="D492" s="80">
        <f>'22_31-09-2023_RETTET'!C22</f>
        <v>-174</v>
      </c>
      <c r="E492" s="80">
        <f>'22_31-09-2023_RETTET'!D22</f>
        <v>214</v>
      </c>
      <c r="F492" s="80">
        <f>'22_31-09-2023_RETTET'!E22</f>
        <v>202</v>
      </c>
      <c r="G492" s="80">
        <f>'22_31-09-2023_RETTET'!F22</f>
        <v>0</v>
      </c>
      <c r="H492" s="80" t="str">
        <f>'22_31-09-2023_RETTET'!H22</f>
        <v>Thomas</v>
      </c>
      <c r="I492" s="80" t="str">
        <f>'22_31-09-2023_RETTET'!I22</f>
        <v>Peter</v>
      </c>
      <c r="J492" s="80" t="str">
        <f>'22_31-09-2023_RETTET'!J22</f>
        <v>Peter</v>
      </c>
      <c r="K492" s="80" t="str">
        <f>'22_31-09-2023_RETTET'!G22</f>
        <v>9 vip 1 (storslem)</v>
      </c>
      <c r="L492" s="56"/>
      <c r="M492" s="25">
        <v>9.0</v>
      </c>
      <c r="N492" s="25" t="s">
        <v>86</v>
      </c>
      <c r="O492" s="25">
        <v>1.0</v>
      </c>
      <c r="S492" s="25" t="s">
        <v>15</v>
      </c>
      <c r="T492" s="56"/>
      <c r="U492" s="111">
        <f t="shared" ref="U492:X492" si="4347">C492-C491</f>
        <v>48</v>
      </c>
      <c r="V492" s="80">
        <f t="shared" si="4347"/>
        <v>48</v>
      </c>
      <c r="W492" s="80">
        <f t="shared" si="4347"/>
        <v>-48</v>
      </c>
      <c r="X492" s="80">
        <f t="shared" si="4347"/>
        <v>-48</v>
      </c>
      <c r="AB492" s="80">
        <f t="shared" ref="AB492:AE492" si="4348">IF(AB$3=$H492,U492,"")</f>
        <v>48</v>
      </c>
      <c r="AC492" s="28" t="str">
        <f t="shared" si="4348"/>
        <v/>
      </c>
      <c r="AD492" s="28" t="str">
        <f t="shared" si="4348"/>
        <v/>
      </c>
      <c r="AE492" s="28" t="str">
        <f t="shared" si="4348"/>
        <v/>
      </c>
      <c r="AH492" s="28">
        <f t="shared" si="22"/>
        <v>48</v>
      </c>
      <c r="AI492" s="28">
        <f t="shared" si="23"/>
        <v>0</v>
      </c>
      <c r="AK492" s="78" t="str">
        <f t="shared" ref="AK492:AN492" si="4349">IF(U492&gt;0,AK$3,"")</f>
        <v>Thomas</v>
      </c>
      <c r="AL492" s="78" t="str">
        <f t="shared" si="4349"/>
        <v>Peter</v>
      </c>
      <c r="AM492" s="78" t="str">
        <f t="shared" si="4349"/>
        <v/>
      </c>
      <c r="AN492" s="78" t="str">
        <f t="shared" si="4349"/>
        <v/>
      </c>
      <c r="AO492" s="56">
        <f t="shared" si="25"/>
        <v>2</v>
      </c>
      <c r="AP492" s="5" t="str">
        <f t="shared" si="26"/>
        <v>Thomas</v>
      </c>
      <c r="AQ492" s="73" t="str">
        <f>IFERROR(__xludf.DUMMYFUNCTION("IFNA(QUERY(transpose(AY492:BB492),""Select Col1 where Col1 is not null limit 1"",0))"),"Peter")</f>
        <v>Peter</v>
      </c>
      <c r="AR492" s="56"/>
      <c r="AS492" s="28" t="str">
        <f t="shared" ref="AS492:AV492" si="4350">IF(AK492=AS$3,"",AS$3)</f>
        <v/>
      </c>
      <c r="AT492" s="28" t="str">
        <f t="shared" si="4350"/>
        <v/>
      </c>
      <c r="AU492" s="28" t="str">
        <f t="shared" si="4350"/>
        <v>Janus</v>
      </c>
      <c r="AV492" s="28" t="str">
        <f t="shared" si="4350"/>
        <v>Christian</v>
      </c>
      <c r="AW492" s="56">
        <f t="shared" si="28"/>
        <v>2</v>
      </c>
      <c r="AX492" s="80">
        <f t="shared" si="29"/>
        <v>48</v>
      </c>
      <c r="AY492" s="28" t="str">
        <f t="shared" ref="AY492:BB492" si="4351">IFNA(IFS(AY$3=$AP492,"",$AX492=U492,AY$3),"")</f>
        <v/>
      </c>
      <c r="AZ492" s="28" t="str">
        <f t="shared" si="4351"/>
        <v>Peter</v>
      </c>
      <c r="BA492" s="28" t="str">
        <f t="shared" si="4351"/>
        <v/>
      </c>
      <c r="BB492" s="28" t="str">
        <f t="shared" si="4351"/>
        <v/>
      </c>
      <c r="BC492" s="58">
        <f>OFFSET('00_Regnskab_01'!$A$1,MATCH(A492,'00_Regnskab_01'!$A$1:$A$25)-1,2)</f>
        <v>45199</v>
      </c>
      <c r="BE492" s="80">
        <f t="shared" ref="BE492:BH492" si="4352">if(U492&gt;0,1+BE491,0)</f>
        <v>1</v>
      </c>
      <c r="BF492" s="28">
        <f t="shared" si="4352"/>
        <v>1</v>
      </c>
      <c r="BG492" s="28">
        <f t="shared" si="4352"/>
        <v>0</v>
      </c>
      <c r="BH492" s="28">
        <f t="shared" si="4352"/>
        <v>0</v>
      </c>
      <c r="BJ492" s="28">
        <f t="shared" ref="BJ492:BM492" si="4353">if(U492&lt;0,1+BJ491,0)</f>
        <v>0</v>
      </c>
      <c r="BK492" s="28">
        <f t="shared" si="4353"/>
        <v>0</v>
      </c>
      <c r="BL492" s="28">
        <f t="shared" si="4353"/>
        <v>1</v>
      </c>
      <c r="BM492" s="28">
        <f t="shared" si="4353"/>
        <v>1</v>
      </c>
      <c r="BO492" s="110">
        <f t="shared" ref="BO492:BR492" si="4354">if(U492&gt;0,U492+BO491,0)</f>
        <v>48</v>
      </c>
      <c r="BP492" s="110">
        <f t="shared" si="4354"/>
        <v>48</v>
      </c>
      <c r="BQ492" s="74">
        <f t="shared" si="4354"/>
        <v>0</v>
      </c>
      <c r="BR492" s="74">
        <f t="shared" si="4354"/>
        <v>0</v>
      </c>
      <c r="BT492" s="28">
        <f t="shared" ref="BT492:BW492" si="4355">if(U492&lt;0,U492+BT491,0)</f>
        <v>0</v>
      </c>
      <c r="BU492" s="28">
        <f t="shared" si="4355"/>
        <v>0</v>
      </c>
      <c r="BV492" s="80">
        <f t="shared" si="4355"/>
        <v>-48</v>
      </c>
      <c r="BW492" s="80">
        <f t="shared" si="4355"/>
        <v>-48</v>
      </c>
    </row>
    <row r="493">
      <c r="A493" s="53">
        <v>22.0</v>
      </c>
      <c r="B493" s="80">
        <f>'22_31-09-2023_RETTET'!A23</f>
        <v>21</v>
      </c>
      <c r="C493" s="80">
        <f>'22_31-09-2023_RETTET'!B23</f>
        <v>-230</v>
      </c>
      <c r="D493" s="80">
        <f>'22_31-09-2023_RETTET'!C23</f>
        <v>-162</v>
      </c>
      <c r="E493" s="80">
        <f>'22_31-09-2023_RETTET'!D23</f>
        <v>202</v>
      </c>
      <c r="F493" s="80">
        <f>'22_31-09-2023_RETTET'!E23</f>
        <v>190</v>
      </c>
      <c r="G493" s="80">
        <f>'22_31-09-2023_RETTET'!F23</f>
        <v>0</v>
      </c>
      <c r="H493" s="80" t="str">
        <f>'22_31-09-2023_RETTET'!H23</f>
        <v>Thomas</v>
      </c>
      <c r="I493" s="80" t="str">
        <f>'22_31-09-2023_RETTET'!I23</f>
        <v>Peter</v>
      </c>
      <c r="J493" s="80" t="str">
        <f>'22_31-09-2023_RETTET'!J23</f>
        <v>Thomas</v>
      </c>
      <c r="K493" s="80" t="str">
        <f>'22_31-09-2023_RETTET'!G23</f>
        <v>9 gode</v>
      </c>
      <c r="L493" s="56"/>
      <c r="M493" s="25">
        <v>9.0</v>
      </c>
      <c r="N493" s="25" t="s">
        <v>95</v>
      </c>
      <c r="O493" s="25">
        <v>2.0</v>
      </c>
      <c r="T493" s="56"/>
      <c r="U493" s="111">
        <f t="shared" ref="U493:X493" si="4356">C493-C492</f>
        <v>12</v>
      </c>
      <c r="V493" s="80">
        <f t="shared" si="4356"/>
        <v>12</v>
      </c>
      <c r="W493" s="80">
        <f t="shared" si="4356"/>
        <v>-12</v>
      </c>
      <c r="X493" s="80">
        <f t="shared" si="4356"/>
        <v>-12</v>
      </c>
      <c r="AB493" s="80">
        <f t="shared" ref="AB493:AE493" si="4357">IF(AB$3=$H493,U493,"")</f>
        <v>12</v>
      </c>
      <c r="AC493" s="28" t="str">
        <f t="shared" si="4357"/>
        <v/>
      </c>
      <c r="AD493" s="28" t="str">
        <f t="shared" si="4357"/>
        <v/>
      </c>
      <c r="AE493" s="28" t="str">
        <f t="shared" si="4357"/>
        <v/>
      </c>
      <c r="AH493" s="28">
        <f t="shared" si="22"/>
        <v>12</v>
      </c>
      <c r="AI493" s="28">
        <f t="shared" si="23"/>
        <v>0</v>
      </c>
      <c r="AK493" s="78" t="str">
        <f t="shared" ref="AK493:AN493" si="4358">IF(U493&gt;0,AK$3,"")</f>
        <v>Thomas</v>
      </c>
      <c r="AL493" s="78" t="str">
        <f t="shared" si="4358"/>
        <v>Peter</v>
      </c>
      <c r="AM493" s="78" t="str">
        <f t="shared" si="4358"/>
        <v/>
      </c>
      <c r="AN493" s="78" t="str">
        <f t="shared" si="4358"/>
        <v/>
      </c>
      <c r="AO493" s="56">
        <f t="shared" si="25"/>
        <v>2</v>
      </c>
      <c r="AP493" s="5" t="str">
        <f t="shared" si="26"/>
        <v>Thomas</v>
      </c>
      <c r="AQ493" s="73" t="str">
        <f>IFERROR(__xludf.DUMMYFUNCTION("IFNA(QUERY(transpose(AY493:BB493),""Select Col1 where Col1 is not null limit 1"",0))"),"Peter")</f>
        <v>Peter</v>
      </c>
      <c r="AR493" s="56"/>
      <c r="AS493" s="28" t="str">
        <f t="shared" ref="AS493:AV493" si="4359">IF(AK493=AS$3,"",AS$3)</f>
        <v/>
      </c>
      <c r="AT493" s="28" t="str">
        <f t="shared" si="4359"/>
        <v/>
      </c>
      <c r="AU493" s="28" t="str">
        <f t="shared" si="4359"/>
        <v>Janus</v>
      </c>
      <c r="AV493" s="28" t="str">
        <f t="shared" si="4359"/>
        <v>Christian</v>
      </c>
      <c r="AW493" s="56">
        <f t="shared" si="28"/>
        <v>2</v>
      </c>
      <c r="AX493" s="80">
        <f t="shared" si="29"/>
        <v>12</v>
      </c>
      <c r="AY493" s="28" t="str">
        <f t="shared" ref="AY493:BB493" si="4360">IFNA(IFS(AY$3=$AP493,"",$AX493=U493,AY$3),"")</f>
        <v/>
      </c>
      <c r="AZ493" s="28" t="str">
        <f t="shared" si="4360"/>
        <v>Peter</v>
      </c>
      <c r="BA493" s="28" t="str">
        <f t="shared" si="4360"/>
        <v/>
      </c>
      <c r="BB493" s="28" t="str">
        <f t="shared" si="4360"/>
        <v/>
      </c>
      <c r="BC493" s="58">
        <f>OFFSET('00_Regnskab_01'!$A$1,MATCH(A493,'00_Regnskab_01'!$A$1:$A$25)-1,2)</f>
        <v>45199</v>
      </c>
      <c r="BE493" s="80">
        <f t="shared" ref="BE493:BH493" si="4361">if(U493&gt;0,1+BE492,0)</f>
        <v>2</v>
      </c>
      <c r="BF493" s="28">
        <f t="shared" si="4361"/>
        <v>2</v>
      </c>
      <c r="BG493" s="28">
        <f t="shared" si="4361"/>
        <v>0</v>
      </c>
      <c r="BH493" s="28">
        <f t="shared" si="4361"/>
        <v>0</v>
      </c>
      <c r="BJ493" s="28">
        <f t="shared" ref="BJ493:BM493" si="4362">if(U493&lt;0,1+BJ492,0)</f>
        <v>0</v>
      </c>
      <c r="BK493" s="28">
        <f t="shared" si="4362"/>
        <v>0</v>
      </c>
      <c r="BL493" s="28">
        <f t="shared" si="4362"/>
        <v>2</v>
      </c>
      <c r="BM493" s="28">
        <f t="shared" si="4362"/>
        <v>2</v>
      </c>
      <c r="BO493" s="110">
        <f t="shared" ref="BO493:BR493" si="4363">if(U493&gt;0,U493+BO492,0)</f>
        <v>60</v>
      </c>
      <c r="BP493" s="110">
        <f t="shared" si="4363"/>
        <v>60</v>
      </c>
      <c r="BQ493" s="74">
        <f t="shared" si="4363"/>
        <v>0</v>
      </c>
      <c r="BR493" s="74">
        <f t="shared" si="4363"/>
        <v>0</v>
      </c>
      <c r="BT493" s="28">
        <f t="shared" ref="BT493:BW493" si="4364">if(U493&lt;0,U493+BT492,0)</f>
        <v>0</v>
      </c>
      <c r="BU493" s="28">
        <f t="shared" si="4364"/>
        <v>0</v>
      </c>
      <c r="BV493" s="80">
        <f t="shared" si="4364"/>
        <v>-60</v>
      </c>
      <c r="BW493" s="80">
        <f t="shared" si="4364"/>
        <v>-60</v>
      </c>
    </row>
    <row r="494">
      <c r="A494" s="53">
        <v>22.0</v>
      </c>
      <c r="B494" s="80">
        <f>'22_31-09-2023_RETTET'!A24</f>
        <v>22</v>
      </c>
      <c r="C494" s="80">
        <f>'22_31-09-2023_RETTET'!B24</f>
        <v>-238</v>
      </c>
      <c r="D494" s="80">
        <f>'22_31-09-2023_RETTET'!C24</f>
        <v>-138</v>
      </c>
      <c r="E494" s="80">
        <f>'22_31-09-2023_RETTET'!D24</f>
        <v>194</v>
      </c>
      <c r="F494" s="80">
        <f>'22_31-09-2023_RETTET'!E24</f>
        <v>182</v>
      </c>
      <c r="G494" s="80">
        <f>'22_31-09-2023_RETTET'!F24</f>
        <v>0</v>
      </c>
      <c r="H494" s="80" t="str">
        <f>'22_31-09-2023_RETTET'!H24</f>
        <v>Peter</v>
      </c>
      <c r="I494" s="80" t="str">
        <f>'22_31-09-2023_RETTET'!I24</f>
        <v/>
      </c>
      <c r="J494" s="80" t="str">
        <f>'22_31-09-2023_RETTET'!J24</f>
        <v>Christian</v>
      </c>
      <c r="K494" s="80" t="str">
        <f>'22_31-09-2023_RETTET'!G24</f>
        <v>Ren sol</v>
      </c>
      <c r="L494" s="56"/>
      <c r="N494" s="25" t="s">
        <v>97</v>
      </c>
      <c r="T494" s="56"/>
      <c r="U494" s="111">
        <f t="shared" ref="U494:X494" si="4365">C494-C493</f>
        <v>-8</v>
      </c>
      <c r="V494" s="80">
        <f t="shared" si="4365"/>
        <v>24</v>
      </c>
      <c r="W494" s="80">
        <f t="shared" si="4365"/>
        <v>-8</v>
      </c>
      <c r="X494" s="80">
        <f t="shared" si="4365"/>
        <v>-8</v>
      </c>
      <c r="AB494" s="28" t="str">
        <f t="shared" ref="AB494:AE494" si="4366">IF(AB$3=$H494,U494,"")</f>
        <v/>
      </c>
      <c r="AC494" s="80">
        <f t="shared" si="4366"/>
        <v>24</v>
      </c>
      <c r="AD494" s="28" t="str">
        <f t="shared" si="4366"/>
        <v/>
      </c>
      <c r="AE494" s="28" t="str">
        <f t="shared" si="4366"/>
        <v/>
      </c>
      <c r="AH494" s="28">
        <f t="shared" si="22"/>
        <v>24</v>
      </c>
      <c r="AI494" s="28">
        <f t="shared" si="23"/>
        <v>0</v>
      </c>
      <c r="AK494" s="78" t="str">
        <f t="shared" ref="AK494:AN494" si="4367">IF(U494&gt;0,AK$3,"")</f>
        <v/>
      </c>
      <c r="AL494" s="78" t="str">
        <f t="shared" si="4367"/>
        <v>Peter</v>
      </c>
      <c r="AM494" s="78" t="str">
        <f t="shared" si="4367"/>
        <v/>
      </c>
      <c r="AN494" s="78" t="str">
        <f t="shared" si="4367"/>
        <v/>
      </c>
      <c r="AO494" s="56">
        <f t="shared" si="25"/>
        <v>1</v>
      </c>
      <c r="AP494" s="5" t="str">
        <f t="shared" si="26"/>
        <v>Peter</v>
      </c>
      <c r="AQ494" s="73" t="str">
        <f>IFERROR(__xludf.DUMMYFUNCTION("IFNA(QUERY(transpose(AY494:BB494),""Select Col1 where Col1 is not null limit 1"",0))"),"")</f>
        <v/>
      </c>
      <c r="AR494" s="56"/>
      <c r="AS494" s="28" t="str">
        <f t="shared" ref="AS494:AV494" si="4368">IF(AK494=AS$3,"",AS$3)</f>
        <v>Thomas</v>
      </c>
      <c r="AT494" s="28" t="str">
        <f t="shared" si="4368"/>
        <v/>
      </c>
      <c r="AU494" s="28" t="str">
        <f t="shared" si="4368"/>
        <v>Janus</v>
      </c>
      <c r="AV494" s="28" t="str">
        <f t="shared" si="4368"/>
        <v>Christian</v>
      </c>
      <c r="AW494" s="56">
        <f t="shared" si="28"/>
        <v>3</v>
      </c>
      <c r="AX494" s="28">
        <f t="shared" si="29"/>
        <v>24</v>
      </c>
      <c r="AY494" s="28" t="str">
        <f t="shared" ref="AY494:BB494" si="4369">IFNA(IFS(AY$3=$AP494,"",$AX494=U494,AY$3),"")</f>
        <v/>
      </c>
      <c r="AZ494" s="28" t="str">
        <f t="shared" si="4369"/>
        <v/>
      </c>
      <c r="BA494" s="28" t="str">
        <f t="shared" si="4369"/>
        <v/>
      </c>
      <c r="BB494" s="28" t="str">
        <f t="shared" si="4369"/>
        <v/>
      </c>
      <c r="BC494" s="58">
        <f>OFFSET('00_Regnskab_01'!$A$1,MATCH(A494,'00_Regnskab_01'!$A$1:$A$25)-1,2)</f>
        <v>45199</v>
      </c>
      <c r="BE494" s="80">
        <f t="shared" ref="BE494:BH494" si="4370">if(U494&gt;0,1+BE493,0)</f>
        <v>0</v>
      </c>
      <c r="BF494" s="28">
        <f t="shared" si="4370"/>
        <v>3</v>
      </c>
      <c r="BG494" s="28">
        <f t="shared" si="4370"/>
        <v>0</v>
      </c>
      <c r="BH494" s="28">
        <f t="shared" si="4370"/>
        <v>0</v>
      </c>
      <c r="BJ494" s="28">
        <f t="shared" ref="BJ494:BM494" si="4371">if(U494&lt;0,1+BJ493,0)</f>
        <v>1</v>
      </c>
      <c r="BK494" s="28">
        <f t="shared" si="4371"/>
        <v>0</v>
      </c>
      <c r="BL494" s="28">
        <f t="shared" si="4371"/>
        <v>3</v>
      </c>
      <c r="BM494" s="28">
        <f t="shared" si="4371"/>
        <v>3</v>
      </c>
      <c r="BO494" s="74">
        <f t="shared" ref="BO494:BR494" si="4372">if(U494&gt;0,U494+BO493,0)</f>
        <v>0</v>
      </c>
      <c r="BP494" s="110">
        <f t="shared" si="4372"/>
        <v>84</v>
      </c>
      <c r="BQ494" s="74">
        <f t="shared" si="4372"/>
        <v>0</v>
      </c>
      <c r="BR494" s="74">
        <f t="shared" si="4372"/>
        <v>0</v>
      </c>
      <c r="BT494" s="80">
        <f t="shared" ref="BT494:BW494" si="4373">if(U494&lt;0,U494+BT493,0)</f>
        <v>-8</v>
      </c>
      <c r="BU494" s="28">
        <f t="shared" si="4373"/>
        <v>0</v>
      </c>
      <c r="BV494" s="80">
        <f t="shared" si="4373"/>
        <v>-68</v>
      </c>
      <c r="BW494" s="80">
        <f t="shared" si="4373"/>
        <v>-68</v>
      </c>
    </row>
    <row r="495">
      <c r="A495" s="53">
        <v>22.0</v>
      </c>
      <c r="B495" s="80">
        <f>'22_31-09-2023_RETTET'!A25</f>
        <v>23</v>
      </c>
      <c r="C495" s="80">
        <f>'22_31-09-2023_RETTET'!B25</f>
        <v>-230</v>
      </c>
      <c r="D495" s="80">
        <f>'22_31-09-2023_RETTET'!C25</f>
        <v>-162</v>
      </c>
      <c r="E495" s="80">
        <f>'22_31-09-2023_RETTET'!D25</f>
        <v>202</v>
      </c>
      <c r="F495" s="80">
        <f>'22_31-09-2023_RETTET'!E25</f>
        <v>190</v>
      </c>
      <c r="G495" s="80">
        <f>'22_31-09-2023_RETTET'!F25</f>
        <v>0</v>
      </c>
      <c r="H495" s="80" t="str">
        <f>'22_31-09-2023_RETTET'!H25</f>
        <v>Peter</v>
      </c>
      <c r="I495" s="80" t="str">
        <f>'22_31-09-2023_RETTET'!I25</f>
        <v/>
      </c>
      <c r="J495" s="80" t="str">
        <f>'22_31-09-2023_RETTET'!J25</f>
        <v>Janus</v>
      </c>
      <c r="K495" s="80" t="str">
        <f>'22_31-09-2023_RETTET'!G25</f>
        <v>Ren sol</v>
      </c>
      <c r="L495" s="56"/>
      <c r="N495" s="25" t="s">
        <v>97</v>
      </c>
      <c r="T495" s="56"/>
      <c r="U495" s="111">
        <f t="shared" ref="U495:X495" si="4374">C495-C494</f>
        <v>8</v>
      </c>
      <c r="V495" s="80">
        <f t="shared" si="4374"/>
        <v>-24</v>
      </c>
      <c r="W495" s="80">
        <f t="shared" si="4374"/>
        <v>8</v>
      </c>
      <c r="X495" s="80">
        <f t="shared" si="4374"/>
        <v>8</v>
      </c>
      <c r="AB495" s="28" t="str">
        <f t="shared" ref="AB495:AE495" si="4375">IF(AB$3=$H495,U495,"")</f>
        <v/>
      </c>
      <c r="AC495" s="80">
        <f t="shared" si="4375"/>
        <v>-24</v>
      </c>
      <c r="AD495" s="28" t="str">
        <f t="shared" si="4375"/>
        <v/>
      </c>
      <c r="AE495" s="28" t="str">
        <f t="shared" si="4375"/>
        <v/>
      </c>
      <c r="AH495" s="28">
        <f t="shared" si="22"/>
        <v>0</v>
      </c>
      <c r="AI495" s="28">
        <f t="shared" si="23"/>
        <v>-24</v>
      </c>
      <c r="AK495" s="78" t="str">
        <f t="shared" ref="AK495:AN495" si="4376">IF(U495&gt;0,AK$3,"")</f>
        <v>Thomas</v>
      </c>
      <c r="AL495" s="78" t="str">
        <f t="shared" si="4376"/>
        <v/>
      </c>
      <c r="AM495" s="78" t="str">
        <f t="shared" si="4376"/>
        <v>Janus</v>
      </c>
      <c r="AN495" s="78" t="str">
        <f t="shared" si="4376"/>
        <v>Christian</v>
      </c>
      <c r="AO495" s="56">
        <f t="shared" si="25"/>
        <v>3</v>
      </c>
      <c r="AP495" s="5" t="str">
        <f t="shared" si="26"/>
        <v>Peter</v>
      </c>
      <c r="AQ495" s="73" t="str">
        <f>IFERROR(__xludf.DUMMYFUNCTION("IFNA(QUERY(transpose(AY495:BB495),""Select Col1 where Col1 is not null limit 1"",0))"),"")</f>
        <v/>
      </c>
      <c r="AR495" s="56"/>
      <c r="AS495" s="28" t="str">
        <f t="shared" ref="AS495:AV495" si="4377">IF(AK495=AS$3,"",AS$3)</f>
        <v/>
      </c>
      <c r="AT495" s="28" t="str">
        <f t="shared" si="4377"/>
        <v>Peter</v>
      </c>
      <c r="AU495" s="28" t="str">
        <f t="shared" si="4377"/>
        <v/>
      </c>
      <c r="AV495" s="28" t="str">
        <f t="shared" si="4377"/>
        <v/>
      </c>
      <c r="AW495" s="56">
        <f t="shared" si="28"/>
        <v>1</v>
      </c>
      <c r="AX495" s="28">
        <f t="shared" si="29"/>
        <v>-24</v>
      </c>
      <c r="AY495" s="28" t="str">
        <f t="shared" ref="AY495:BB495" si="4378">IFNA(IFS(AY$3=$AP495,"",$AX495=U495,AY$3),"")</f>
        <v/>
      </c>
      <c r="AZ495" s="28" t="str">
        <f t="shared" si="4378"/>
        <v/>
      </c>
      <c r="BA495" s="28" t="str">
        <f t="shared" si="4378"/>
        <v/>
      </c>
      <c r="BB495" s="28" t="str">
        <f t="shared" si="4378"/>
        <v/>
      </c>
      <c r="BC495" s="58">
        <f>OFFSET('00_Regnskab_01'!$A$1,MATCH(A495,'00_Regnskab_01'!$A$1:$A$25)-1,2)</f>
        <v>45199</v>
      </c>
      <c r="BE495" s="80">
        <f t="shared" ref="BE495:BH495" si="4379">if(U495&gt;0,1+BE494,0)</f>
        <v>1</v>
      </c>
      <c r="BF495" s="28">
        <f t="shared" si="4379"/>
        <v>0</v>
      </c>
      <c r="BG495" s="28">
        <f t="shared" si="4379"/>
        <v>1</v>
      </c>
      <c r="BH495" s="28">
        <f t="shared" si="4379"/>
        <v>1</v>
      </c>
      <c r="BJ495" s="28">
        <f t="shared" ref="BJ495:BM495" si="4380">if(U495&lt;0,1+BJ494,0)</f>
        <v>0</v>
      </c>
      <c r="BK495" s="28">
        <f t="shared" si="4380"/>
        <v>1</v>
      </c>
      <c r="BL495" s="28">
        <f t="shared" si="4380"/>
        <v>0</v>
      </c>
      <c r="BM495" s="28">
        <f t="shared" si="4380"/>
        <v>0</v>
      </c>
      <c r="BO495" s="110">
        <f t="shared" ref="BO495:BR495" si="4381">if(U495&gt;0,U495+BO494,0)</f>
        <v>8</v>
      </c>
      <c r="BP495" s="74">
        <f t="shared" si="4381"/>
        <v>0</v>
      </c>
      <c r="BQ495" s="110">
        <f t="shared" si="4381"/>
        <v>8</v>
      </c>
      <c r="BR495" s="110">
        <f t="shared" si="4381"/>
        <v>8</v>
      </c>
      <c r="BT495" s="28">
        <f t="shared" ref="BT495:BW495" si="4382">if(U495&lt;0,U495+BT494,0)</f>
        <v>0</v>
      </c>
      <c r="BU495" s="80">
        <f t="shared" si="4382"/>
        <v>-24</v>
      </c>
      <c r="BV495" s="28">
        <f t="shared" si="4382"/>
        <v>0</v>
      </c>
      <c r="BW495" s="28">
        <f t="shared" si="4382"/>
        <v>0</v>
      </c>
    </row>
    <row r="496">
      <c r="A496" s="53">
        <v>22.0</v>
      </c>
      <c r="B496" s="80">
        <f>'22_31-09-2023_RETTET'!A26</f>
        <v>24</v>
      </c>
      <c r="C496" s="80">
        <f>'22_31-09-2023_RETTET'!B26</f>
        <v>-326</v>
      </c>
      <c r="D496" s="80">
        <f>'22_31-09-2023_RETTET'!C26</f>
        <v>-258</v>
      </c>
      <c r="E496" s="80">
        <f>'22_31-09-2023_RETTET'!D26</f>
        <v>298</v>
      </c>
      <c r="F496" s="80">
        <f>'22_31-09-2023_RETTET'!E26</f>
        <v>286</v>
      </c>
      <c r="G496" s="80">
        <f>'22_31-09-2023_RETTET'!F26</f>
        <v>0</v>
      </c>
      <c r="H496" s="80" t="str">
        <f>'22_31-09-2023_RETTET'!H26</f>
        <v>Thomas</v>
      </c>
      <c r="I496" s="80" t="str">
        <f>'22_31-09-2023_RETTET'!I26</f>
        <v>Peter</v>
      </c>
      <c r="J496" s="80" t="str">
        <f>'22_31-09-2023_RETTET'!J26</f>
        <v>Peter</v>
      </c>
      <c r="K496" s="80" t="str">
        <f>'22_31-09-2023_RETTET'!G26</f>
        <v>10 vip i 3</v>
      </c>
      <c r="L496" s="56"/>
      <c r="M496" s="25">
        <v>10.0</v>
      </c>
      <c r="N496" s="25" t="s">
        <v>86</v>
      </c>
      <c r="O496" s="25">
        <v>3.0</v>
      </c>
      <c r="T496" s="56"/>
      <c r="U496" s="111">
        <f t="shared" ref="U496:X496" si="4383">C496-C495</f>
        <v>-96</v>
      </c>
      <c r="V496" s="80">
        <f t="shared" si="4383"/>
        <v>-96</v>
      </c>
      <c r="W496" s="80">
        <f t="shared" si="4383"/>
        <v>96</v>
      </c>
      <c r="X496" s="80">
        <f t="shared" si="4383"/>
        <v>96</v>
      </c>
      <c r="AB496" s="80">
        <f t="shared" ref="AB496:AE496" si="4384">IF(AB$3=$H496,U496,"")</f>
        <v>-96</v>
      </c>
      <c r="AC496" s="28" t="str">
        <f t="shared" si="4384"/>
        <v/>
      </c>
      <c r="AD496" s="28" t="str">
        <f t="shared" si="4384"/>
        <v/>
      </c>
      <c r="AE496" s="28" t="str">
        <f t="shared" si="4384"/>
        <v/>
      </c>
      <c r="AH496" s="28">
        <f t="shared" si="22"/>
        <v>0</v>
      </c>
      <c r="AI496" s="28">
        <f t="shared" si="23"/>
        <v>-96</v>
      </c>
      <c r="AK496" s="78" t="str">
        <f t="shared" ref="AK496:AN496" si="4385">IF(U496&gt;0,AK$3,"")</f>
        <v/>
      </c>
      <c r="AL496" s="78" t="str">
        <f t="shared" si="4385"/>
        <v/>
      </c>
      <c r="AM496" s="78" t="str">
        <f t="shared" si="4385"/>
        <v>Janus</v>
      </c>
      <c r="AN496" s="78" t="str">
        <f t="shared" si="4385"/>
        <v>Christian</v>
      </c>
      <c r="AO496" s="56">
        <f t="shared" si="25"/>
        <v>2</v>
      </c>
      <c r="AP496" s="5" t="str">
        <f t="shared" si="26"/>
        <v>Thomas</v>
      </c>
      <c r="AQ496" s="73" t="str">
        <f>IFERROR(__xludf.DUMMYFUNCTION("IFNA(QUERY(transpose(AY496:BB496),""Select Col1 where Col1 is not null limit 1"",0))"),"Peter")</f>
        <v>Peter</v>
      </c>
      <c r="AR496" s="56"/>
      <c r="AS496" s="28" t="str">
        <f t="shared" ref="AS496:AV496" si="4386">IF(AK496=AS$3,"",AS$3)</f>
        <v>Thomas</v>
      </c>
      <c r="AT496" s="28" t="str">
        <f t="shared" si="4386"/>
        <v>Peter</v>
      </c>
      <c r="AU496" s="28" t="str">
        <f t="shared" si="4386"/>
        <v/>
      </c>
      <c r="AV496" s="28" t="str">
        <f t="shared" si="4386"/>
        <v/>
      </c>
      <c r="AW496" s="56">
        <f t="shared" si="28"/>
        <v>2</v>
      </c>
      <c r="AX496" s="80">
        <f t="shared" si="29"/>
        <v>-96</v>
      </c>
      <c r="AY496" s="28" t="str">
        <f t="shared" ref="AY496:BB496" si="4387">IFNA(IFS(AY$3=$AP496,"",$AX496=U496,AY$3),"")</f>
        <v/>
      </c>
      <c r="AZ496" s="28" t="str">
        <f t="shared" si="4387"/>
        <v>Peter</v>
      </c>
      <c r="BA496" s="28" t="str">
        <f t="shared" si="4387"/>
        <v/>
      </c>
      <c r="BB496" s="28" t="str">
        <f t="shared" si="4387"/>
        <v/>
      </c>
      <c r="BC496" s="58">
        <f>OFFSET('00_Regnskab_01'!$A$1,MATCH(A496,'00_Regnskab_01'!$A$1:$A$25)-1,2)</f>
        <v>45199</v>
      </c>
      <c r="BE496" s="80">
        <f t="shared" ref="BE496:BH496" si="4388">if(U496&gt;0,1+BE495,0)</f>
        <v>0</v>
      </c>
      <c r="BF496" s="28">
        <f t="shared" si="4388"/>
        <v>0</v>
      </c>
      <c r="BG496" s="28">
        <f t="shared" si="4388"/>
        <v>2</v>
      </c>
      <c r="BH496" s="28">
        <f t="shared" si="4388"/>
        <v>2</v>
      </c>
      <c r="BJ496" s="28">
        <f t="shared" ref="BJ496:BM496" si="4389">if(U496&lt;0,1+BJ495,0)</f>
        <v>1</v>
      </c>
      <c r="BK496" s="28">
        <f t="shared" si="4389"/>
        <v>2</v>
      </c>
      <c r="BL496" s="28">
        <f t="shared" si="4389"/>
        <v>0</v>
      </c>
      <c r="BM496" s="28">
        <f t="shared" si="4389"/>
        <v>0</v>
      </c>
      <c r="BO496" s="74">
        <f t="shared" ref="BO496:BR496" si="4390">if(U496&gt;0,U496+BO495,0)</f>
        <v>0</v>
      </c>
      <c r="BP496" s="74">
        <f t="shared" si="4390"/>
        <v>0</v>
      </c>
      <c r="BQ496" s="110">
        <f t="shared" si="4390"/>
        <v>104</v>
      </c>
      <c r="BR496" s="110">
        <f t="shared" si="4390"/>
        <v>104</v>
      </c>
      <c r="BT496" s="80">
        <f t="shared" ref="BT496:BW496" si="4391">if(U496&lt;0,U496+BT495,0)</f>
        <v>-96</v>
      </c>
      <c r="BU496" s="80">
        <f t="shared" si="4391"/>
        <v>-120</v>
      </c>
      <c r="BV496" s="28">
        <f t="shared" si="4391"/>
        <v>0</v>
      </c>
      <c r="BW496" s="28">
        <f t="shared" si="4391"/>
        <v>0</v>
      </c>
    </row>
    <row r="497">
      <c r="A497" s="53">
        <v>22.0</v>
      </c>
      <c r="B497" s="80">
        <f>'22_31-09-2023_RETTET'!A27</f>
        <v>25</v>
      </c>
      <c r="C497" s="80">
        <f>'22_31-09-2023_RETTET'!B27</f>
        <v>-310</v>
      </c>
      <c r="D497" s="80">
        <f>'22_31-09-2023_RETTET'!C27</f>
        <v>-274</v>
      </c>
      <c r="E497" s="80">
        <f>'22_31-09-2023_RETTET'!D27</f>
        <v>314</v>
      </c>
      <c r="F497" s="80">
        <f>'22_31-09-2023_RETTET'!E27</f>
        <v>270</v>
      </c>
      <c r="G497" s="80">
        <f>'22_31-09-2023_RETTET'!F27</f>
        <v>0</v>
      </c>
      <c r="H497" s="80" t="str">
        <f>'22_31-09-2023_RETTET'!H27</f>
        <v>Thomas</v>
      </c>
      <c r="I497" s="80" t="str">
        <f>'22_31-09-2023_RETTET'!I27</f>
        <v>Peter</v>
      </c>
      <c r="J497" s="80" t="str">
        <f>'22_31-09-2023_RETTET'!J27</f>
        <v>Thomas</v>
      </c>
      <c r="K497" s="80" t="str">
        <f>'22_31-09-2023_RETTET'!G27</f>
        <v>8 i 2 </v>
      </c>
      <c r="L497" s="56"/>
      <c r="M497" s="25">
        <v>8.0</v>
      </c>
      <c r="N497" s="25" t="s">
        <v>86</v>
      </c>
      <c r="O497" s="25">
        <v>2.0</v>
      </c>
      <c r="T497" s="56"/>
      <c r="U497" s="111">
        <f t="shared" ref="U497:X497" si="4392">C497-C496</f>
        <v>16</v>
      </c>
      <c r="V497" s="80">
        <f t="shared" si="4392"/>
        <v>-16</v>
      </c>
      <c r="W497" s="80">
        <f t="shared" si="4392"/>
        <v>16</v>
      </c>
      <c r="X497" s="80">
        <f t="shared" si="4392"/>
        <v>-16</v>
      </c>
      <c r="AB497" s="80">
        <f t="shared" ref="AB497:AE497" si="4393">IF(AB$3=$H497,U497,"")</f>
        <v>16</v>
      </c>
      <c r="AC497" s="28" t="str">
        <f t="shared" si="4393"/>
        <v/>
      </c>
      <c r="AD497" s="28" t="str">
        <f t="shared" si="4393"/>
        <v/>
      </c>
      <c r="AE497" s="28" t="str">
        <f t="shared" si="4393"/>
        <v/>
      </c>
      <c r="AH497" s="28">
        <f t="shared" si="22"/>
        <v>16</v>
      </c>
      <c r="AI497" s="28">
        <f t="shared" si="23"/>
        <v>0</v>
      </c>
      <c r="AK497" s="78" t="str">
        <f t="shared" ref="AK497:AN497" si="4394">IF(U497&gt;0,AK$3,"")</f>
        <v>Thomas</v>
      </c>
      <c r="AL497" s="78" t="str">
        <f t="shared" si="4394"/>
        <v/>
      </c>
      <c r="AM497" s="78" t="str">
        <f t="shared" si="4394"/>
        <v>Janus</v>
      </c>
      <c r="AN497" s="78" t="str">
        <f t="shared" si="4394"/>
        <v/>
      </c>
      <c r="AO497" s="56">
        <f t="shared" si="25"/>
        <v>2</v>
      </c>
      <c r="AP497" s="5" t="str">
        <f t="shared" si="26"/>
        <v>Thomas</v>
      </c>
      <c r="AQ497" s="73" t="str">
        <f>IFERROR(__xludf.DUMMYFUNCTION("IFNA(QUERY(transpose(AY497:BB497),""Select Col1 where Col1 is not null limit 1"",0))"),"Janus")</f>
        <v>Janus</v>
      </c>
      <c r="AR497" s="56"/>
      <c r="AS497" s="28" t="str">
        <f t="shared" ref="AS497:AV497" si="4395">IF(AK497=AS$3,"",AS$3)</f>
        <v/>
      </c>
      <c r="AT497" s="28" t="str">
        <f t="shared" si="4395"/>
        <v>Peter</v>
      </c>
      <c r="AU497" s="28" t="str">
        <f t="shared" si="4395"/>
        <v/>
      </c>
      <c r="AV497" s="28" t="str">
        <f t="shared" si="4395"/>
        <v>Christian</v>
      </c>
      <c r="AW497" s="56">
        <f t="shared" si="28"/>
        <v>2</v>
      </c>
      <c r="AX497" s="80">
        <f t="shared" si="29"/>
        <v>16</v>
      </c>
      <c r="AY497" s="28" t="str">
        <f t="shared" ref="AY497:BB497" si="4396">IFNA(IFS(AY$3=$AP497,"",$AX497=U497,AY$3),"")</f>
        <v/>
      </c>
      <c r="AZ497" s="28" t="str">
        <f t="shared" si="4396"/>
        <v/>
      </c>
      <c r="BA497" s="28" t="str">
        <f t="shared" si="4396"/>
        <v>Janus</v>
      </c>
      <c r="BB497" s="28" t="str">
        <f t="shared" si="4396"/>
        <v/>
      </c>
      <c r="BC497" s="58">
        <f>OFFSET('00_Regnskab_01'!$A$1,MATCH(A497,'00_Regnskab_01'!$A$1:$A$25)-1,2)</f>
        <v>45199</v>
      </c>
      <c r="BE497" s="80">
        <f t="shared" ref="BE497:BH497" si="4397">if(U497&gt;0,1+BE496,0)</f>
        <v>1</v>
      </c>
      <c r="BF497" s="28">
        <f t="shared" si="4397"/>
        <v>0</v>
      </c>
      <c r="BG497" s="28">
        <f t="shared" si="4397"/>
        <v>3</v>
      </c>
      <c r="BH497" s="28">
        <f t="shared" si="4397"/>
        <v>0</v>
      </c>
      <c r="BJ497" s="28">
        <f t="shared" ref="BJ497:BM497" si="4398">if(U497&lt;0,1+BJ496,0)</f>
        <v>0</v>
      </c>
      <c r="BK497" s="28">
        <f t="shared" si="4398"/>
        <v>3</v>
      </c>
      <c r="BL497" s="28">
        <f t="shared" si="4398"/>
        <v>0</v>
      </c>
      <c r="BM497" s="28">
        <f t="shared" si="4398"/>
        <v>1</v>
      </c>
      <c r="BO497" s="110">
        <f t="shared" ref="BO497:BR497" si="4399">if(U497&gt;0,U497+BO496,0)</f>
        <v>16</v>
      </c>
      <c r="BP497" s="74">
        <f t="shared" si="4399"/>
        <v>0</v>
      </c>
      <c r="BQ497" s="110">
        <f t="shared" si="4399"/>
        <v>120</v>
      </c>
      <c r="BR497" s="74">
        <f t="shared" si="4399"/>
        <v>0</v>
      </c>
      <c r="BT497" s="28">
        <f t="shared" ref="BT497:BW497" si="4400">if(U497&lt;0,U497+BT496,0)</f>
        <v>0</v>
      </c>
      <c r="BU497" s="80">
        <f t="shared" si="4400"/>
        <v>-136</v>
      </c>
      <c r="BV497" s="28">
        <f t="shared" si="4400"/>
        <v>0</v>
      </c>
      <c r="BW497" s="80">
        <f t="shared" si="4400"/>
        <v>-16</v>
      </c>
    </row>
    <row r="498">
      <c r="A498" s="53">
        <v>22.0</v>
      </c>
      <c r="B498" s="80">
        <f>'22_31-09-2023_RETTET'!A28</f>
        <v>26</v>
      </c>
      <c r="C498" s="80">
        <f>'22_31-09-2023_RETTET'!B28</f>
        <v>-302</v>
      </c>
      <c r="D498" s="80">
        <f>'22_31-09-2023_RETTET'!C28</f>
        <v>-282</v>
      </c>
      <c r="E498" s="80">
        <f>'22_31-09-2023_RETTET'!D28</f>
        <v>306</v>
      </c>
      <c r="F498" s="80">
        <f>'22_31-09-2023_RETTET'!E28</f>
        <v>278</v>
      </c>
      <c r="G498" s="80">
        <f>'22_31-09-2023_RETTET'!F28</f>
        <v>0</v>
      </c>
      <c r="H498" s="80" t="str">
        <f>'22_31-09-2023_RETTET'!H28</f>
        <v>Thomas</v>
      </c>
      <c r="I498" s="80" t="str">
        <f>'22_31-09-2023_RETTET'!I28</f>
        <v>Christian</v>
      </c>
      <c r="J498" s="80" t="str">
        <f>'22_31-09-2023_RETTET'!J28</f>
        <v>Christian</v>
      </c>
      <c r="K498" s="80" t="str">
        <f>'22_31-09-2023_RETTET'!G28</f>
        <v>8 i 2 </v>
      </c>
      <c r="L498" s="56"/>
      <c r="M498" s="25">
        <v>8.0</v>
      </c>
      <c r="N498" s="25" t="s">
        <v>86</v>
      </c>
      <c r="O498" s="25">
        <v>2.0</v>
      </c>
      <c r="T498" s="56"/>
      <c r="U498" s="111">
        <f t="shared" ref="U498:X498" si="4401">C498-C497</f>
        <v>8</v>
      </c>
      <c r="V498" s="80">
        <f t="shared" si="4401"/>
        <v>-8</v>
      </c>
      <c r="W498" s="80">
        <f t="shared" si="4401"/>
        <v>-8</v>
      </c>
      <c r="X498" s="80">
        <f t="shared" si="4401"/>
        <v>8</v>
      </c>
      <c r="AB498" s="80">
        <f t="shared" ref="AB498:AE498" si="4402">IF(AB$3=$H498,U498,"")</f>
        <v>8</v>
      </c>
      <c r="AC498" s="28" t="str">
        <f t="shared" si="4402"/>
        <v/>
      </c>
      <c r="AD498" s="28" t="str">
        <f t="shared" si="4402"/>
        <v/>
      </c>
      <c r="AE498" s="28" t="str">
        <f t="shared" si="4402"/>
        <v/>
      </c>
      <c r="AH498" s="28">
        <f t="shared" si="22"/>
        <v>8</v>
      </c>
      <c r="AI498" s="28">
        <f t="shared" si="23"/>
        <v>0</v>
      </c>
      <c r="AK498" s="78" t="str">
        <f t="shared" ref="AK498:AN498" si="4403">IF(U498&gt;0,AK$3,"")</f>
        <v>Thomas</v>
      </c>
      <c r="AL498" s="78" t="str">
        <f t="shared" si="4403"/>
        <v/>
      </c>
      <c r="AM498" s="78" t="str">
        <f t="shared" si="4403"/>
        <v/>
      </c>
      <c r="AN498" s="78" t="str">
        <f t="shared" si="4403"/>
        <v>Christian</v>
      </c>
      <c r="AO498" s="56">
        <f t="shared" si="25"/>
        <v>2</v>
      </c>
      <c r="AP498" s="5" t="str">
        <f t="shared" si="26"/>
        <v>Thomas</v>
      </c>
      <c r="AQ498" s="73" t="str">
        <f>IFERROR(__xludf.DUMMYFUNCTION("IFNA(QUERY(transpose(AY498:BB498),""Select Col1 where Col1 is not null limit 1"",0))"),"Christian")</f>
        <v>Christian</v>
      </c>
      <c r="AR498" s="56"/>
      <c r="AS498" s="28" t="str">
        <f t="shared" ref="AS498:AV498" si="4404">IF(AK498=AS$3,"",AS$3)</f>
        <v/>
      </c>
      <c r="AT498" s="28" t="str">
        <f t="shared" si="4404"/>
        <v>Peter</v>
      </c>
      <c r="AU498" s="28" t="str">
        <f t="shared" si="4404"/>
        <v>Janus</v>
      </c>
      <c r="AV498" s="28" t="str">
        <f t="shared" si="4404"/>
        <v/>
      </c>
      <c r="AW498" s="56">
        <f t="shared" si="28"/>
        <v>2</v>
      </c>
      <c r="AX498" s="80">
        <f t="shared" si="29"/>
        <v>8</v>
      </c>
      <c r="AY498" s="28" t="str">
        <f t="shared" ref="AY498:BB498" si="4405">IFNA(IFS(AY$3=$AP498,"",$AX498=U498,AY$3),"")</f>
        <v/>
      </c>
      <c r="AZ498" s="28" t="str">
        <f t="shared" si="4405"/>
        <v/>
      </c>
      <c r="BA498" s="28" t="str">
        <f t="shared" si="4405"/>
        <v/>
      </c>
      <c r="BB498" s="28" t="str">
        <f t="shared" si="4405"/>
        <v>Christian</v>
      </c>
      <c r="BC498" s="58">
        <f>OFFSET('00_Regnskab_01'!$A$1,MATCH(A498,'00_Regnskab_01'!$A$1:$A$25)-1,2)</f>
        <v>45199</v>
      </c>
      <c r="BE498" s="80">
        <f t="shared" ref="BE498:BH498" si="4406">if(U498&gt;0,1+BE497,0)</f>
        <v>2</v>
      </c>
      <c r="BF498" s="28">
        <f t="shared" si="4406"/>
        <v>0</v>
      </c>
      <c r="BG498" s="28">
        <f t="shared" si="4406"/>
        <v>0</v>
      </c>
      <c r="BH498" s="28">
        <f t="shared" si="4406"/>
        <v>1</v>
      </c>
      <c r="BJ498" s="28">
        <f t="shared" ref="BJ498:BM498" si="4407">if(U498&lt;0,1+BJ497,0)</f>
        <v>0</v>
      </c>
      <c r="BK498" s="28">
        <f t="shared" si="4407"/>
        <v>4</v>
      </c>
      <c r="BL498" s="28">
        <f t="shared" si="4407"/>
        <v>1</v>
      </c>
      <c r="BM498" s="28">
        <f t="shared" si="4407"/>
        <v>0</v>
      </c>
      <c r="BO498" s="110">
        <f t="shared" ref="BO498:BR498" si="4408">if(U498&gt;0,U498+BO497,0)</f>
        <v>24</v>
      </c>
      <c r="BP498" s="74">
        <f t="shared" si="4408"/>
        <v>0</v>
      </c>
      <c r="BQ498" s="74">
        <f t="shared" si="4408"/>
        <v>0</v>
      </c>
      <c r="BR498" s="110">
        <f t="shared" si="4408"/>
        <v>8</v>
      </c>
      <c r="BT498" s="28">
        <f t="shared" ref="BT498:BW498" si="4409">if(U498&lt;0,U498+BT497,0)</f>
        <v>0</v>
      </c>
      <c r="BU498" s="80">
        <f t="shared" si="4409"/>
        <v>-144</v>
      </c>
      <c r="BV498" s="80">
        <f t="shared" si="4409"/>
        <v>-8</v>
      </c>
      <c r="BW498" s="28">
        <f t="shared" si="4409"/>
        <v>0</v>
      </c>
    </row>
    <row r="499">
      <c r="A499" s="53">
        <v>22.0</v>
      </c>
      <c r="B499" s="80">
        <f>'22_31-09-2023_RETTET'!A29</f>
        <v>27</v>
      </c>
      <c r="C499" s="80">
        <f>'22_31-09-2023_RETTET'!B29</f>
        <v>-306</v>
      </c>
      <c r="D499" s="80">
        <f>'22_31-09-2023_RETTET'!C29</f>
        <v>-286</v>
      </c>
      <c r="E499" s="80">
        <f>'22_31-09-2023_RETTET'!D29</f>
        <v>302</v>
      </c>
      <c r="F499" s="80">
        <f>'22_31-09-2023_RETTET'!E29</f>
        <v>290</v>
      </c>
      <c r="G499" s="80">
        <f>'22_31-09-2023_RETTET'!F29</f>
        <v>0</v>
      </c>
      <c r="H499" s="80" t="str">
        <f>'22_31-09-2023_RETTET'!H29</f>
        <v>Christian</v>
      </c>
      <c r="I499" s="80" t="str">
        <f>'22_31-09-2023_RETTET'!I29</f>
        <v/>
      </c>
      <c r="J499" s="80" t="str">
        <f>'22_31-09-2023_RETTET'!J29</f>
        <v>Janus</v>
      </c>
      <c r="K499" s="80" t="str">
        <f>'22_31-09-2023_RETTET'!G29</f>
        <v>Sol</v>
      </c>
      <c r="L499" s="56"/>
      <c r="N499" s="25" t="s">
        <v>99</v>
      </c>
      <c r="T499" s="56"/>
      <c r="U499" s="111">
        <f t="shared" ref="U499:X499" si="4410">C499-C498</f>
        <v>-4</v>
      </c>
      <c r="V499" s="80">
        <f t="shared" si="4410"/>
        <v>-4</v>
      </c>
      <c r="W499" s="80">
        <f t="shared" si="4410"/>
        <v>-4</v>
      </c>
      <c r="X499" s="80">
        <f t="shared" si="4410"/>
        <v>12</v>
      </c>
      <c r="AB499" s="28" t="str">
        <f t="shared" ref="AB499:AE499" si="4411">IF(AB$3=$H499,U499,"")</f>
        <v/>
      </c>
      <c r="AC499" s="28" t="str">
        <f t="shared" si="4411"/>
        <v/>
      </c>
      <c r="AD499" s="28" t="str">
        <f t="shared" si="4411"/>
        <v/>
      </c>
      <c r="AE499" s="80">
        <f t="shared" si="4411"/>
        <v>12</v>
      </c>
      <c r="AH499" s="28">
        <f t="shared" si="22"/>
        <v>12</v>
      </c>
      <c r="AI499" s="28">
        <f t="shared" si="23"/>
        <v>0</v>
      </c>
      <c r="AK499" s="78" t="str">
        <f t="shared" ref="AK499:AN499" si="4412">IF(U499&gt;0,AK$3,"")</f>
        <v/>
      </c>
      <c r="AL499" s="78" t="str">
        <f t="shared" si="4412"/>
        <v/>
      </c>
      <c r="AM499" s="78" t="str">
        <f t="shared" si="4412"/>
        <v/>
      </c>
      <c r="AN499" s="78" t="str">
        <f t="shared" si="4412"/>
        <v>Christian</v>
      </c>
      <c r="AO499" s="56">
        <f t="shared" si="25"/>
        <v>1</v>
      </c>
      <c r="AP499" s="5" t="str">
        <f t="shared" si="26"/>
        <v>Christian</v>
      </c>
      <c r="AQ499" s="73" t="str">
        <f>IFERROR(__xludf.DUMMYFUNCTION("IFNA(QUERY(transpose(AY499:BB499),""Select Col1 where Col1 is not null limit 1"",0))"),"")</f>
        <v/>
      </c>
      <c r="AR499" s="56"/>
      <c r="AS499" s="28" t="str">
        <f t="shared" ref="AS499:AV499" si="4413">IF(AK499=AS$3,"",AS$3)</f>
        <v>Thomas</v>
      </c>
      <c r="AT499" s="28" t="str">
        <f t="shared" si="4413"/>
        <v>Peter</v>
      </c>
      <c r="AU499" s="28" t="str">
        <f t="shared" si="4413"/>
        <v>Janus</v>
      </c>
      <c r="AV499" s="28" t="str">
        <f t="shared" si="4413"/>
        <v/>
      </c>
      <c r="AW499" s="56">
        <f t="shared" si="28"/>
        <v>3</v>
      </c>
      <c r="AX499" s="28">
        <f t="shared" si="29"/>
        <v>12</v>
      </c>
      <c r="AY499" s="28" t="str">
        <f t="shared" ref="AY499:BB499" si="4414">IFNA(IFS(AY$3=$AP499,"",$AX499=U499,AY$3),"")</f>
        <v/>
      </c>
      <c r="AZ499" s="28" t="str">
        <f t="shared" si="4414"/>
        <v/>
      </c>
      <c r="BA499" s="28" t="str">
        <f t="shared" si="4414"/>
        <v/>
      </c>
      <c r="BB499" s="28" t="str">
        <f t="shared" si="4414"/>
        <v/>
      </c>
      <c r="BC499" s="58">
        <f>OFFSET('00_Regnskab_01'!$A$1,MATCH(A499,'00_Regnskab_01'!$A$1:$A$25)-1,2)</f>
        <v>45199</v>
      </c>
      <c r="BE499" s="80">
        <f t="shared" ref="BE499:BH499" si="4415">if(U499&gt;0,1+BE498,0)</f>
        <v>0</v>
      </c>
      <c r="BF499" s="28">
        <f t="shared" si="4415"/>
        <v>0</v>
      </c>
      <c r="BG499" s="28">
        <f t="shared" si="4415"/>
        <v>0</v>
      </c>
      <c r="BH499" s="28">
        <f t="shared" si="4415"/>
        <v>2</v>
      </c>
      <c r="BJ499" s="28">
        <f t="shared" ref="BJ499:BM499" si="4416">if(U499&lt;0,1+BJ498,0)</f>
        <v>1</v>
      </c>
      <c r="BK499" s="28">
        <f t="shared" si="4416"/>
        <v>5</v>
      </c>
      <c r="BL499" s="28">
        <f t="shared" si="4416"/>
        <v>2</v>
      </c>
      <c r="BM499" s="28">
        <f t="shared" si="4416"/>
        <v>0</v>
      </c>
      <c r="BO499" s="74">
        <f t="shared" ref="BO499:BR499" si="4417">if(U499&gt;0,U499+BO498,0)</f>
        <v>0</v>
      </c>
      <c r="BP499" s="74">
        <f t="shared" si="4417"/>
        <v>0</v>
      </c>
      <c r="BQ499" s="74">
        <f t="shared" si="4417"/>
        <v>0</v>
      </c>
      <c r="BR499" s="110">
        <f t="shared" si="4417"/>
        <v>20</v>
      </c>
      <c r="BT499" s="80">
        <f t="shared" ref="BT499:BW499" si="4418">if(U499&lt;0,U499+BT498,0)</f>
        <v>-4</v>
      </c>
      <c r="BU499" s="80">
        <f t="shared" si="4418"/>
        <v>-148</v>
      </c>
      <c r="BV499" s="80">
        <f t="shared" si="4418"/>
        <v>-12</v>
      </c>
      <c r="BW499" s="28">
        <f t="shared" si="4418"/>
        <v>0</v>
      </c>
    </row>
    <row r="500">
      <c r="A500" s="53">
        <v>22.0</v>
      </c>
      <c r="B500" s="80">
        <f>'22_31-09-2023_RETTET'!A30</f>
        <v>28</v>
      </c>
      <c r="C500" s="80">
        <f>'22_31-09-2023_RETTET'!B30</f>
        <v>-226</v>
      </c>
      <c r="D500" s="80">
        <f>'22_31-09-2023_RETTET'!C30</f>
        <v>-366</v>
      </c>
      <c r="E500" s="80">
        <f>'22_31-09-2023_RETTET'!D30</f>
        <v>222</v>
      </c>
      <c r="F500" s="80">
        <f>'22_31-09-2023_RETTET'!E30</f>
        <v>370</v>
      </c>
      <c r="G500" s="80">
        <f>'22_31-09-2023_RETTET'!F30</f>
        <v>0</v>
      </c>
      <c r="H500" s="80" t="str">
        <f>'22_31-09-2023_RETTET'!H30</f>
        <v>Thomas</v>
      </c>
      <c r="I500" s="80" t="str">
        <f>'22_31-09-2023_RETTET'!I30</f>
        <v>Christian</v>
      </c>
      <c r="J500" s="80" t="str">
        <f>'22_31-09-2023_RETTET'!J30</f>
        <v>Peter</v>
      </c>
      <c r="K500" s="80" t="str">
        <f>'22_31-09-2023_RETTET'!G30</f>
        <v>10 vip 1. </v>
      </c>
      <c r="L500" s="56"/>
      <c r="M500" s="25">
        <v>10.0</v>
      </c>
      <c r="N500" s="25" t="s">
        <v>86</v>
      </c>
      <c r="O500" s="25">
        <v>1.0</v>
      </c>
      <c r="T500" s="56"/>
      <c r="U500" s="111">
        <f t="shared" ref="U500:X500" si="4419">C500-C499</f>
        <v>80</v>
      </c>
      <c r="V500" s="80">
        <f t="shared" si="4419"/>
        <v>-80</v>
      </c>
      <c r="W500" s="80">
        <f t="shared" si="4419"/>
        <v>-80</v>
      </c>
      <c r="X500" s="80">
        <f t="shared" si="4419"/>
        <v>80</v>
      </c>
      <c r="AB500" s="80">
        <f t="shared" ref="AB500:AE500" si="4420">IF(AB$3=$H500,U500,"")</f>
        <v>80</v>
      </c>
      <c r="AC500" s="28" t="str">
        <f t="shared" si="4420"/>
        <v/>
      </c>
      <c r="AD500" s="28" t="str">
        <f t="shared" si="4420"/>
        <v/>
      </c>
      <c r="AE500" s="28" t="str">
        <f t="shared" si="4420"/>
        <v/>
      </c>
      <c r="AH500" s="28">
        <f t="shared" si="22"/>
        <v>80</v>
      </c>
      <c r="AI500" s="28">
        <f t="shared" si="23"/>
        <v>0</v>
      </c>
      <c r="AK500" s="78" t="str">
        <f t="shared" ref="AK500:AN500" si="4421">IF(U500&gt;0,AK$3,"")</f>
        <v>Thomas</v>
      </c>
      <c r="AL500" s="78" t="str">
        <f t="shared" si="4421"/>
        <v/>
      </c>
      <c r="AM500" s="78" t="str">
        <f t="shared" si="4421"/>
        <v/>
      </c>
      <c r="AN500" s="78" t="str">
        <f t="shared" si="4421"/>
        <v>Christian</v>
      </c>
      <c r="AO500" s="56">
        <f t="shared" si="25"/>
        <v>2</v>
      </c>
      <c r="AP500" s="5" t="str">
        <f t="shared" si="26"/>
        <v>Thomas</v>
      </c>
      <c r="AQ500" s="73" t="str">
        <f>IFERROR(__xludf.DUMMYFUNCTION("IFNA(QUERY(transpose(AY500:BB500),""Select Col1 where Col1 is not null limit 1"",0))"),"Christian")</f>
        <v>Christian</v>
      </c>
      <c r="AR500" s="56"/>
      <c r="AS500" s="28" t="str">
        <f t="shared" ref="AS500:AV500" si="4422">IF(AK500=AS$3,"",AS$3)</f>
        <v/>
      </c>
      <c r="AT500" s="28" t="str">
        <f t="shared" si="4422"/>
        <v>Peter</v>
      </c>
      <c r="AU500" s="28" t="str">
        <f t="shared" si="4422"/>
        <v>Janus</v>
      </c>
      <c r="AV500" s="28" t="str">
        <f t="shared" si="4422"/>
        <v/>
      </c>
      <c r="AW500" s="56">
        <f t="shared" si="28"/>
        <v>2</v>
      </c>
      <c r="AX500" s="80">
        <f t="shared" si="29"/>
        <v>80</v>
      </c>
      <c r="AY500" s="28" t="str">
        <f t="shared" ref="AY500:BB500" si="4423">IFNA(IFS(AY$3=$AP500,"",$AX500=U500,AY$3),"")</f>
        <v/>
      </c>
      <c r="AZ500" s="28" t="str">
        <f t="shared" si="4423"/>
        <v/>
      </c>
      <c r="BA500" s="28" t="str">
        <f t="shared" si="4423"/>
        <v/>
      </c>
      <c r="BB500" s="28" t="str">
        <f t="shared" si="4423"/>
        <v>Christian</v>
      </c>
      <c r="BC500" s="58">
        <f>OFFSET('00_Regnskab_01'!$A$1,MATCH(A500,'00_Regnskab_01'!$A$1:$A$25)-1,2)</f>
        <v>45199</v>
      </c>
      <c r="BE500" s="80">
        <f t="shared" ref="BE500:BH500" si="4424">if(U500&gt;0,1+BE499,0)</f>
        <v>1</v>
      </c>
      <c r="BF500" s="28">
        <f t="shared" si="4424"/>
        <v>0</v>
      </c>
      <c r="BG500" s="28">
        <f t="shared" si="4424"/>
        <v>0</v>
      </c>
      <c r="BH500" s="28">
        <f t="shared" si="4424"/>
        <v>3</v>
      </c>
      <c r="BJ500" s="28">
        <f t="shared" ref="BJ500:BM500" si="4425">if(U500&lt;0,1+BJ499,0)</f>
        <v>0</v>
      </c>
      <c r="BK500" s="28">
        <f t="shared" si="4425"/>
        <v>6</v>
      </c>
      <c r="BL500" s="28">
        <f t="shared" si="4425"/>
        <v>3</v>
      </c>
      <c r="BM500" s="28">
        <f t="shared" si="4425"/>
        <v>0</v>
      </c>
      <c r="BO500" s="110">
        <f t="shared" ref="BO500:BR500" si="4426">if(U500&gt;0,U500+BO499,0)</f>
        <v>80</v>
      </c>
      <c r="BP500" s="74">
        <f t="shared" si="4426"/>
        <v>0</v>
      </c>
      <c r="BQ500" s="74">
        <f t="shared" si="4426"/>
        <v>0</v>
      </c>
      <c r="BR500" s="110">
        <f t="shared" si="4426"/>
        <v>100</v>
      </c>
      <c r="BT500" s="28">
        <f t="shared" ref="BT500:BW500" si="4427">if(U500&lt;0,U500+BT499,0)</f>
        <v>0</v>
      </c>
      <c r="BU500" s="80">
        <f t="shared" si="4427"/>
        <v>-228</v>
      </c>
      <c r="BV500" s="80">
        <f t="shared" si="4427"/>
        <v>-92</v>
      </c>
      <c r="BW500" s="28">
        <f t="shared" si="4427"/>
        <v>0</v>
      </c>
    </row>
    <row r="501">
      <c r="A501" s="53">
        <v>22.0</v>
      </c>
      <c r="B501" s="80">
        <f>'22_31-09-2023_RETTET'!A31</f>
        <v>29</v>
      </c>
      <c r="C501" s="80">
        <f>'22_31-09-2023_RETTET'!B31</f>
        <v>-234</v>
      </c>
      <c r="D501" s="80">
        <f>'22_31-09-2023_RETTET'!C31</f>
        <v>-358</v>
      </c>
      <c r="E501" s="80">
        <f>'22_31-09-2023_RETTET'!D31</f>
        <v>230</v>
      </c>
      <c r="F501" s="80">
        <f>'22_31-09-2023_RETTET'!E31</f>
        <v>362</v>
      </c>
      <c r="G501" s="80">
        <f>'22_31-09-2023_RETTET'!F31</f>
        <v>0</v>
      </c>
      <c r="H501" s="80" t="str">
        <f>'22_31-09-2023_RETTET'!H31</f>
        <v>Thomas</v>
      </c>
      <c r="I501" s="80" t="str">
        <f>'22_31-09-2023_RETTET'!I31</f>
        <v>Christian</v>
      </c>
      <c r="J501" s="80" t="str">
        <f>'22_31-09-2023_RETTET'!J31</f>
        <v>Thomas</v>
      </c>
      <c r="K501" s="80" t="str">
        <f>'22_31-09-2023_RETTET'!G31</f>
        <v>10 alm</v>
      </c>
      <c r="L501" s="56"/>
      <c r="M501" s="25">
        <v>10.0</v>
      </c>
      <c r="N501" s="25" t="s">
        <v>100</v>
      </c>
      <c r="T501" s="56"/>
      <c r="U501" s="111">
        <f t="shared" ref="U501:X501" si="4428">C501-C500</f>
        <v>-8</v>
      </c>
      <c r="V501" s="80">
        <f t="shared" si="4428"/>
        <v>8</v>
      </c>
      <c r="W501" s="80">
        <f t="shared" si="4428"/>
        <v>8</v>
      </c>
      <c r="X501" s="80">
        <f t="shared" si="4428"/>
        <v>-8</v>
      </c>
      <c r="AB501" s="80">
        <f t="shared" ref="AB501:AE501" si="4429">IF(AB$3=$H501,U501,"")</f>
        <v>-8</v>
      </c>
      <c r="AC501" s="28" t="str">
        <f t="shared" si="4429"/>
        <v/>
      </c>
      <c r="AD501" s="28" t="str">
        <f t="shared" si="4429"/>
        <v/>
      </c>
      <c r="AE501" s="28" t="str">
        <f t="shared" si="4429"/>
        <v/>
      </c>
      <c r="AH501" s="28">
        <f t="shared" si="22"/>
        <v>0</v>
      </c>
      <c r="AI501" s="28">
        <f t="shared" si="23"/>
        <v>-8</v>
      </c>
      <c r="AK501" s="78" t="str">
        <f t="shared" ref="AK501:AN501" si="4430">IF(U501&gt;0,AK$3,"")</f>
        <v/>
      </c>
      <c r="AL501" s="78" t="str">
        <f t="shared" si="4430"/>
        <v>Peter</v>
      </c>
      <c r="AM501" s="78" t="str">
        <f t="shared" si="4430"/>
        <v>Janus</v>
      </c>
      <c r="AN501" s="78" t="str">
        <f t="shared" si="4430"/>
        <v/>
      </c>
      <c r="AO501" s="56">
        <f t="shared" si="25"/>
        <v>2</v>
      </c>
      <c r="AP501" s="5" t="str">
        <f t="shared" si="26"/>
        <v>Thomas</v>
      </c>
      <c r="AQ501" s="73" t="str">
        <f>IFERROR(__xludf.DUMMYFUNCTION("IFNA(QUERY(transpose(AY501:BB501),""Select Col1 where Col1 is not null limit 1"",0))"),"Christian")</f>
        <v>Christian</v>
      </c>
      <c r="AR501" s="56"/>
      <c r="AS501" s="28" t="str">
        <f t="shared" ref="AS501:AV501" si="4431">IF(AK501=AS$3,"",AS$3)</f>
        <v>Thomas</v>
      </c>
      <c r="AT501" s="28" t="str">
        <f t="shared" si="4431"/>
        <v/>
      </c>
      <c r="AU501" s="28" t="str">
        <f t="shared" si="4431"/>
        <v/>
      </c>
      <c r="AV501" s="28" t="str">
        <f t="shared" si="4431"/>
        <v>Christian</v>
      </c>
      <c r="AW501" s="56">
        <f t="shared" si="28"/>
        <v>2</v>
      </c>
      <c r="AX501" s="80">
        <f t="shared" si="29"/>
        <v>-8</v>
      </c>
      <c r="AY501" s="28" t="str">
        <f t="shared" ref="AY501:BB501" si="4432">IFNA(IFS(AY$3=$AP501,"",$AX501=U501,AY$3),"")</f>
        <v/>
      </c>
      <c r="AZ501" s="28" t="str">
        <f t="shared" si="4432"/>
        <v/>
      </c>
      <c r="BA501" s="28" t="str">
        <f t="shared" si="4432"/>
        <v/>
      </c>
      <c r="BB501" s="28" t="str">
        <f t="shared" si="4432"/>
        <v>Christian</v>
      </c>
      <c r="BC501" s="58">
        <f>OFFSET('00_Regnskab_01'!$A$1,MATCH(A501,'00_Regnskab_01'!$A$1:$A$25)-1,2)</f>
        <v>45199</v>
      </c>
      <c r="BE501" s="80">
        <f t="shared" ref="BE501:BH501" si="4433">if(U501&gt;0,1+BE500,0)</f>
        <v>0</v>
      </c>
      <c r="BF501" s="28">
        <f t="shared" si="4433"/>
        <v>1</v>
      </c>
      <c r="BG501" s="28">
        <f t="shared" si="4433"/>
        <v>1</v>
      </c>
      <c r="BH501" s="28">
        <f t="shared" si="4433"/>
        <v>0</v>
      </c>
      <c r="BJ501" s="28">
        <f t="shared" ref="BJ501:BM501" si="4434">if(U501&lt;0,1+BJ500,0)</f>
        <v>1</v>
      </c>
      <c r="BK501" s="28">
        <f t="shared" si="4434"/>
        <v>0</v>
      </c>
      <c r="BL501" s="28">
        <f t="shared" si="4434"/>
        <v>0</v>
      </c>
      <c r="BM501" s="28">
        <f t="shared" si="4434"/>
        <v>1</v>
      </c>
      <c r="BO501" s="74">
        <f t="shared" ref="BO501:BR501" si="4435">if(U501&gt;0,U501+BO500,0)</f>
        <v>0</v>
      </c>
      <c r="BP501" s="110">
        <f t="shared" si="4435"/>
        <v>8</v>
      </c>
      <c r="BQ501" s="110">
        <f t="shared" si="4435"/>
        <v>8</v>
      </c>
      <c r="BR501" s="74">
        <f t="shared" si="4435"/>
        <v>0</v>
      </c>
      <c r="BT501" s="80">
        <f t="shared" ref="BT501:BW501" si="4436">if(U501&lt;0,U501+BT500,0)</f>
        <v>-8</v>
      </c>
      <c r="BU501" s="28">
        <f t="shared" si="4436"/>
        <v>0</v>
      </c>
      <c r="BV501" s="28">
        <f t="shared" si="4436"/>
        <v>0</v>
      </c>
      <c r="BW501" s="80">
        <f t="shared" si="4436"/>
        <v>-8</v>
      </c>
    </row>
    <row r="502">
      <c r="A502" s="53">
        <v>22.0</v>
      </c>
      <c r="B502" s="80">
        <f>'22_31-09-2023_RETTET'!A32</f>
        <v>30</v>
      </c>
      <c r="C502" s="80">
        <f>'22_31-09-2023_RETTET'!B32</f>
        <v>-218</v>
      </c>
      <c r="D502" s="80">
        <f>'22_31-09-2023_RETTET'!C32</f>
        <v>-374</v>
      </c>
      <c r="E502" s="80">
        <f>'22_31-09-2023_RETTET'!D32</f>
        <v>214</v>
      </c>
      <c r="F502" s="80">
        <f>'22_31-09-2023_RETTET'!E32</f>
        <v>378</v>
      </c>
      <c r="G502" s="80">
        <f>'22_31-09-2023_RETTET'!F32</f>
        <v>0</v>
      </c>
      <c r="H502" s="80" t="str">
        <f>'22_31-09-2023_RETTET'!H32</f>
        <v>Christian</v>
      </c>
      <c r="I502" s="80" t="str">
        <f>'22_31-09-2023_RETTET'!I32</f>
        <v>Thomas</v>
      </c>
      <c r="J502" s="80" t="str">
        <f>'22_31-09-2023_RETTET'!J32</f>
        <v>Christian</v>
      </c>
      <c r="K502" s="80" t="str">
        <f>'22_31-09-2023_RETTET'!G32</f>
        <v>11 alm</v>
      </c>
      <c r="L502" s="56"/>
      <c r="M502" s="25">
        <v>11.0</v>
      </c>
      <c r="N502" s="25" t="s">
        <v>100</v>
      </c>
      <c r="T502" s="56"/>
      <c r="U502" s="111">
        <f t="shared" ref="U502:X502" si="4437">C502-C501</f>
        <v>16</v>
      </c>
      <c r="V502" s="80">
        <f t="shared" si="4437"/>
        <v>-16</v>
      </c>
      <c r="W502" s="80">
        <f t="shared" si="4437"/>
        <v>-16</v>
      </c>
      <c r="X502" s="80">
        <f t="shared" si="4437"/>
        <v>16</v>
      </c>
      <c r="AB502" s="28" t="str">
        <f t="shared" ref="AB502:AE502" si="4438">IF(AB$3=$H502,U502,"")</f>
        <v/>
      </c>
      <c r="AC502" s="28" t="str">
        <f t="shared" si="4438"/>
        <v/>
      </c>
      <c r="AD502" s="28" t="str">
        <f t="shared" si="4438"/>
        <v/>
      </c>
      <c r="AE502" s="80">
        <f t="shared" si="4438"/>
        <v>16</v>
      </c>
      <c r="AH502" s="28">
        <f t="shared" si="22"/>
        <v>16</v>
      </c>
      <c r="AI502" s="28">
        <f t="shared" si="23"/>
        <v>0</v>
      </c>
      <c r="AK502" s="78" t="str">
        <f t="shared" ref="AK502:AN502" si="4439">IF(U502&gt;0,AK$3,"")</f>
        <v>Thomas</v>
      </c>
      <c r="AL502" s="78" t="str">
        <f t="shared" si="4439"/>
        <v/>
      </c>
      <c r="AM502" s="78" t="str">
        <f t="shared" si="4439"/>
        <v/>
      </c>
      <c r="AN502" s="78" t="str">
        <f t="shared" si="4439"/>
        <v>Christian</v>
      </c>
      <c r="AO502" s="56">
        <f t="shared" si="25"/>
        <v>2</v>
      </c>
      <c r="AP502" s="5" t="str">
        <f t="shared" si="26"/>
        <v>Christian</v>
      </c>
      <c r="AQ502" s="73" t="str">
        <f>IFERROR(__xludf.DUMMYFUNCTION("IFNA(QUERY(transpose(AY502:BB502),""Select Col1 where Col1 is not null limit 1"",0))"),"Thomas")</f>
        <v>Thomas</v>
      </c>
      <c r="AR502" s="56"/>
      <c r="AS502" s="28" t="str">
        <f t="shared" ref="AS502:AV502" si="4440">IF(AK502=AS$3,"",AS$3)</f>
        <v/>
      </c>
      <c r="AT502" s="28" t="str">
        <f t="shared" si="4440"/>
        <v>Peter</v>
      </c>
      <c r="AU502" s="28" t="str">
        <f t="shared" si="4440"/>
        <v>Janus</v>
      </c>
      <c r="AV502" s="28" t="str">
        <f t="shared" si="4440"/>
        <v/>
      </c>
      <c r="AW502" s="56">
        <f t="shared" si="28"/>
        <v>2</v>
      </c>
      <c r="AX502" s="28">
        <f t="shared" si="29"/>
        <v>16</v>
      </c>
      <c r="AY502" s="28" t="str">
        <f t="shared" ref="AY502:BB502" si="4441">IFNA(IFS(AY$3=$AP502,"",$AX502=U502,AY$3),"")</f>
        <v>Thomas</v>
      </c>
      <c r="AZ502" s="28" t="str">
        <f t="shared" si="4441"/>
        <v/>
      </c>
      <c r="BA502" s="28" t="str">
        <f t="shared" si="4441"/>
        <v/>
      </c>
      <c r="BB502" s="28" t="str">
        <f t="shared" si="4441"/>
        <v/>
      </c>
      <c r="BC502" s="58">
        <f>OFFSET('00_Regnskab_01'!$A$1,MATCH(A502,'00_Regnskab_01'!$A$1:$A$25)-1,2)</f>
        <v>45199</v>
      </c>
      <c r="BE502" s="80">
        <f t="shared" ref="BE502:BH502" si="4442">if(U502&gt;0,1+BE501,0)</f>
        <v>1</v>
      </c>
      <c r="BF502" s="28">
        <f t="shared" si="4442"/>
        <v>0</v>
      </c>
      <c r="BG502" s="28">
        <f t="shared" si="4442"/>
        <v>0</v>
      </c>
      <c r="BH502" s="28">
        <f t="shared" si="4442"/>
        <v>1</v>
      </c>
      <c r="BJ502" s="28">
        <f t="shared" ref="BJ502:BM502" si="4443">if(U502&lt;0,1+BJ501,0)</f>
        <v>0</v>
      </c>
      <c r="BK502" s="28">
        <f t="shared" si="4443"/>
        <v>1</v>
      </c>
      <c r="BL502" s="28">
        <f t="shared" si="4443"/>
        <v>1</v>
      </c>
      <c r="BM502" s="28">
        <f t="shared" si="4443"/>
        <v>0</v>
      </c>
      <c r="BO502" s="110">
        <f t="shared" ref="BO502:BR502" si="4444">if(U502&gt;0,U502+BO501,0)</f>
        <v>16</v>
      </c>
      <c r="BP502" s="74">
        <f t="shared" si="4444"/>
        <v>0</v>
      </c>
      <c r="BQ502" s="74">
        <f t="shared" si="4444"/>
        <v>0</v>
      </c>
      <c r="BR502" s="110">
        <f t="shared" si="4444"/>
        <v>16</v>
      </c>
      <c r="BT502" s="28">
        <f t="shared" ref="BT502:BW502" si="4445">if(U502&lt;0,U502+BT501,0)</f>
        <v>0</v>
      </c>
      <c r="BU502" s="80">
        <f t="shared" si="4445"/>
        <v>-16</v>
      </c>
      <c r="BV502" s="80">
        <f t="shared" si="4445"/>
        <v>-16</v>
      </c>
      <c r="BW502" s="28">
        <f t="shared" si="4445"/>
        <v>0</v>
      </c>
    </row>
    <row r="503">
      <c r="A503" s="53">
        <v>22.0</v>
      </c>
      <c r="B503" s="80">
        <f>'22_31-09-2023_RETTET'!A33</f>
        <v>31</v>
      </c>
      <c r="C503" s="80">
        <f>'22_31-09-2023_RETTET'!B33</f>
        <v>-210</v>
      </c>
      <c r="D503" s="80">
        <f>'22_31-09-2023_RETTET'!C33</f>
        <v>-366</v>
      </c>
      <c r="E503" s="80">
        <f>'22_31-09-2023_RETTET'!D33</f>
        <v>222</v>
      </c>
      <c r="F503" s="80">
        <f>'22_31-09-2023_RETTET'!E33</f>
        <v>354</v>
      </c>
      <c r="G503" s="80">
        <f>'22_31-09-2023_RETTET'!F33</f>
        <v>0</v>
      </c>
      <c r="H503" s="80" t="str">
        <f>'22_31-09-2023_RETTET'!H33</f>
        <v>Christian</v>
      </c>
      <c r="I503" s="80" t="str">
        <f>'22_31-09-2023_RETTET'!I33</f>
        <v/>
      </c>
      <c r="J503" s="80" t="str">
        <f>'22_31-09-2023_RETTET'!J33</f>
        <v>Janus</v>
      </c>
      <c r="K503" s="80" t="str">
        <f>'22_31-09-2023_RETTET'!G33</f>
        <v>ren sol</v>
      </c>
      <c r="L503" s="56"/>
      <c r="N503" s="25" t="s">
        <v>97</v>
      </c>
      <c r="T503" s="56"/>
      <c r="U503" s="111">
        <f t="shared" ref="U503:X503" si="4446">C503-C502</f>
        <v>8</v>
      </c>
      <c r="V503" s="80">
        <f t="shared" si="4446"/>
        <v>8</v>
      </c>
      <c r="W503" s="80">
        <f t="shared" si="4446"/>
        <v>8</v>
      </c>
      <c r="X503" s="80">
        <f t="shared" si="4446"/>
        <v>-24</v>
      </c>
      <c r="AB503" s="28" t="str">
        <f t="shared" ref="AB503:AE503" si="4447">IF(AB$3=$H503,U503,"")</f>
        <v/>
      </c>
      <c r="AC503" s="28" t="str">
        <f t="shared" si="4447"/>
        <v/>
      </c>
      <c r="AD503" s="28" t="str">
        <f t="shared" si="4447"/>
        <v/>
      </c>
      <c r="AE503" s="80">
        <f t="shared" si="4447"/>
        <v>-24</v>
      </c>
      <c r="AH503" s="28">
        <f t="shared" si="22"/>
        <v>0</v>
      </c>
      <c r="AI503" s="28">
        <f t="shared" si="23"/>
        <v>-24</v>
      </c>
      <c r="AK503" s="78" t="str">
        <f t="shared" ref="AK503:AN503" si="4448">IF(U503&gt;0,AK$3,"")</f>
        <v>Thomas</v>
      </c>
      <c r="AL503" s="78" t="str">
        <f t="shared" si="4448"/>
        <v>Peter</v>
      </c>
      <c r="AM503" s="78" t="str">
        <f t="shared" si="4448"/>
        <v>Janus</v>
      </c>
      <c r="AN503" s="78" t="str">
        <f t="shared" si="4448"/>
        <v/>
      </c>
      <c r="AO503" s="56">
        <f t="shared" si="25"/>
        <v>3</v>
      </c>
      <c r="AP503" s="5" t="str">
        <f t="shared" si="26"/>
        <v>Christian</v>
      </c>
      <c r="AQ503" s="73" t="str">
        <f>IFERROR(__xludf.DUMMYFUNCTION("IFNA(QUERY(transpose(AY503:BB503),""Select Col1 where Col1 is not null limit 1"",0))"),"")</f>
        <v/>
      </c>
      <c r="AR503" s="56"/>
      <c r="AS503" s="28" t="str">
        <f t="shared" ref="AS503:AV503" si="4449">IF(AK503=AS$3,"",AS$3)</f>
        <v/>
      </c>
      <c r="AT503" s="28" t="str">
        <f t="shared" si="4449"/>
        <v/>
      </c>
      <c r="AU503" s="28" t="str">
        <f t="shared" si="4449"/>
        <v/>
      </c>
      <c r="AV503" s="28" t="str">
        <f t="shared" si="4449"/>
        <v>Christian</v>
      </c>
      <c r="AW503" s="56">
        <f t="shared" si="28"/>
        <v>1</v>
      </c>
      <c r="AX503" s="28">
        <f t="shared" si="29"/>
        <v>-24</v>
      </c>
      <c r="AY503" s="28" t="str">
        <f t="shared" ref="AY503:BB503" si="4450">IFNA(IFS(AY$3=$AP503,"",$AX503=U503,AY$3),"")</f>
        <v/>
      </c>
      <c r="AZ503" s="28" t="str">
        <f t="shared" si="4450"/>
        <v/>
      </c>
      <c r="BA503" s="28" t="str">
        <f t="shared" si="4450"/>
        <v/>
      </c>
      <c r="BB503" s="28" t="str">
        <f t="shared" si="4450"/>
        <v/>
      </c>
      <c r="BC503" s="58">
        <f>OFFSET('00_Regnskab_01'!$A$1,MATCH(A503,'00_Regnskab_01'!$A$1:$A$25)-1,2)</f>
        <v>45199</v>
      </c>
      <c r="BE503" s="80">
        <f t="shared" ref="BE503:BH503" si="4451">if(U503&gt;0,1+BE502,0)</f>
        <v>2</v>
      </c>
      <c r="BF503" s="28">
        <f t="shared" si="4451"/>
        <v>1</v>
      </c>
      <c r="BG503" s="28">
        <f t="shared" si="4451"/>
        <v>1</v>
      </c>
      <c r="BH503" s="28">
        <f t="shared" si="4451"/>
        <v>0</v>
      </c>
      <c r="BJ503" s="28">
        <f t="shared" ref="BJ503:BM503" si="4452">if(U503&lt;0,1+BJ502,0)</f>
        <v>0</v>
      </c>
      <c r="BK503" s="28">
        <f t="shared" si="4452"/>
        <v>0</v>
      </c>
      <c r="BL503" s="28">
        <f t="shared" si="4452"/>
        <v>0</v>
      </c>
      <c r="BM503" s="28">
        <f t="shared" si="4452"/>
        <v>1</v>
      </c>
      <c r="BO503" s="110">
        <f t="shared" ref="BO503:BR503" si="4453">if(U503&gt;0,U503+BO502,0)</f>
        <v>24</v>
      </c>
      <c r="BP503" s="110">
        <f t="shared" si="4453"/>
        <v>8</v>
      </c>
      <c r="BQ503" s="110">
        <f t="shared" si="4453"/>
        <v>8</v>
      </c>
      <c r="BR503" s="74">
        <f t="shared" si="4453"/>
        <v>0</v>
      </c>
      <c r="BT503" s="28">
        <f t="shared" ref="BT503:BW503" si="4454">if(U503&lt;0,U503+BT502,0)</f>
        <v>0</v>
      </c>
      <c r="BU503" s="28">
        <f t="shared" si="4454"/>
        <v>0</v>
      </c>
      <c r="BV503" s="28">
        <f t="shared" si="4454"/>
        <v>0</v>
      </c>
      <c r="BW503" s="80">
        <f t="shared" si="4454"/>
        <v>-24</v>
      </c>
    </row>
    <row r="504">
      <c r="A504" s="53">
        <v>22.0</v>
      </c>
      <c r="B504" s="80">
        <f>'22_31-09-2023_RETTET'!A34</f>
        <v>32</v>
      </c>
      <c r="C504" s="80">
        <f>'22_31-09-2023_RETTET'!B34</f>
        <v>-170</v>
      </c>
      <c r="D504" s="80">
        <f>'22_31-09-2023_RETTET'!C34</f>
        <v>-326</v>
      </c>
      <c r="E504" s="80">
        <f>'22_31-09-2023_RETTET'!D34</f>
        <v>182</v>
      </c>
      <c r="F504" s="80">
        <f>'22_31-09-2023_RETTET'!E34</f>
        <v>314</v>
      </c>
      <c r="G504" s="80">
        <f>'22_31-09-2023_RETTET'!F34</f>
        <v>0</v>
      </c>
      <c r="H504" s="80" t="str">
        <f>'22_31-09-2023_RETTET'!H34</f>
        <v>Peter</v>
      </c>
      <c r="I504" s="80" t="str">
        <f>'22_31-09-2023_RETTET'!I34</f>
        <v>Thomas</v>
      </c>
      <c r="J504" s="80" t="str">
        <f>'22_31-09-2023_RETTET'!J34</f>
        <v>Peter</v>
      </c>
      <c r="K504" s="80" t="str">
        <f>'22_31-09-2023_RETTET'!G34</f>
        <v>10 alm (storslem)</v>
      </c>
      <c r="L504" s="56"/>
      <c r="M504" s="25">
        <v>10.0</v>
      </c>
      <c r="N504" s="25" t="s">
        <v>100</v>
      </c>
      <c r="S504" s="25" t="s">
        <v>15</v>
      </c>
      <c r="T504" s="56"/>
      <c r="U504" s="111">
        <f t="shared" ref="U504:X504" si="4455">C504-C503</f>
        <v>40</v>
      </c>
      <c r="V504" s="80">
        <f t="shared" si="4455"/>
        <v>40</v>
      </c>
      <c r="W504" s="80">
        <f t="shared" si="4455"/>
        <v>-40</v>
      </c>
      <c r="X504" s="80">
        <f t="shared" si="4455"/>
        <v>-40</v>
      </c>
      <c r="AB504" s="28" t="str">
        <f t="shared" ref="AB504:AE504" si="4456">IF(AB$3=$H504,U504,"")</f>
        <v/>
      </c>
      <c r="AC504" s="80">
        <f t="shared" si="4456"/>
        <v>40</v>
      </c>
      <c r="AD504" s="28" t="str">
        <f t="shared" si="4456"/>
        <v/>
      </c>
      <c r="AE504" s="28" t="str">
        <f t="shared" si="4456"/>
        <v/>
      </c>
      <c r="AH504" s="28">
        <f t="shared" si="22"/>
        <v>40</v>
      </c>
      <c r="AI504" s="28">
        <f t="shared" si="23"/>
        <v>0</v>
      </c>
      <c r="AK504" s="78" t="str">
        <f t="shared" ref="AK504:AN504" si="4457">IF(U504&gt;0,AK$3,"")</f>
        <v>Thomas</v>
      </c>
      <c r="AL504" s="78" t="str">
        <f t="shared" si="4457"/>
        <v>Peter</v>
      </c>
      <c r="AM504" s="78" t="str">
        <f t="shared" si="4457"/>
        <v/>
      </c>
      <c r="AN504" s="78" t="str">
        <f t="shared" si="4457"/>
        <v/>
      </c>
      <c r="AO504" s="56">
        <f t="shared" si="25"/>
        <v>2</v>
      </c>
      <c r="AP504" s="5" t="str">
        <f t="shared" si="26"/>
        <v>Peter</v>
      </c>
      <c r="AQ504" s="73" t="str">
        <f>IFERROR(__xludf.DUMMYFUNCTION("IFNA(QUERY(transpose(AY504:BB504),""Select Col1 where Col1 is not null limit 1"",0))"),"Thomas")</f>
        <v>Thomas</v>
      </c>
      <c r="AR504" s="56"/>
      <c r="AS504" s="28" t="str">
        <f t="shared" ref="AS504:AV504" si="4458">IF(AK504=AS$3,"",AS$3)</f>
        <v/>
      </c>
      <c r="AT504" s="28" t="str">
        <f t="shared" si="4458"/>
        <v/>
      </c>
      <c r="AU504" s="28" t="str">
        <f t="shared" si="4458"/>
        <v>Janus</v>
      </c>
      <c r="AV504" s="28" t="str">
        <f t="shared" si="4458"/>
        <v>Christian</v>
      </c>
      <c r="AW504" s="56">
        <f t="shared" si="28"/>
        <v>2</v>
      </c>
      <c r="AX504" s="28">
        <f t="shared" si="29"/>
        <v>40</v>
      </c>
      <c r="AY504" s="28" t="str">
        <f t="shared" ref="AY504:BB504" si="4459">IFNA(IFS(AY$3=$AP504,"",$AX504=U504,AY$3),"")</f>
        <v>Thomas</v>
      </c>
      <c r="AZ504" s="28" t="str">
        <f t="shared" si="4459"/>
        <v/>
      </c>
      <c r="BA504" s="28" t="str">
        <f t="shared" si="4459"/>
        <v/>
      </c>
      <c r="BB504" s="28" t="str">
        <f t="shared" si="4459"/>
        <v/>
      </c>
      <c r="BC504" s="58">
        <f>OFFSET('00_Regnskab_01'!$A$1,MATCH(A504,'00_Regnskab_01'!$A$1:$A$25)-1,2)</f>
        <v>45199</v>
      </c>
      <c r="BE504" s="80">
        <f t="shared" ref="BE504:BH504" si="4460">if(U504&gt;0,1+BE503,0)</f>
        <v>3</v>
      </c>
      <c r="BF504" s="28">
        <f t="shared" si="4460"/>
        <v>2</v>
      </c>
      <c r="BG504" s="28">
        <f t="shared" si="4460"/>
        <v>0</v>
      </c>
      <c r="BH504" s="28">
        <f t="shared" si="4460"/>
        <v>0</v>
      </c>
      <c r="BJ504" s="28">
        <f t="shared" ref="BJ504:BM504" si="4461">if(U504&lt;0,1+BJ503,0)</f>
        <v>0</v>
      </c>
      <c r="BK504" s="28">
        <f t="shared" si="4461"/>
        <v>0</v>
      </c>
      <c r="BL504" s="28">
        <f t="shared" si="4461"/>
        <v>1</v>
      </c>
      <c r="BM504" s="28">
        <f t="shared" si="4461"/>
        <v>2</v>
      </c>
      <c r="BO504" s="110">
        <f t="shared" ref="BO504:BR504" si="4462">if(U504&gt;0,U504+BO503,0)</f>
        <v>64</v>
      </c>
      <c r="BP504" s="110">
        <f t="shared" si="4462"/>
        <v>48</v>
      </c>
      <c r="BQ504" s="74">
        <f t="shared" si="4462"/>
        <v>0</v>
      </c>
      <c r="BR504" s="74">
        <f t="shared" si="4462"/>
        <v>0</v>
      </c>
      <c r="BT504" s="28">
        <f t="shared" ref="BT504:BW504" si="4463">if(U504&lt;0,U504+BT503,0)</f>
        <v>0</v>
      </c>
      <c r="BU504" s="28">
        <f t="shared" si="4463"/>
        <v>0</v>
      </c>
      <c r="BV504" s="80">
        <f t="shared" si="4463"/>
        <v>-40</v>
      </c>
      <c r="BW504" s="80">
        <f t="shared" si="4463"/>
        <v>-64</v>
      </c>
    </row>
    <row r="505">
      <c r="A505" s="53">
        <v>22.0</v>
      </c>
      <c r="B505" s="80">
        <f>'22_31-09-2023_RETTET'!A35</f>
        <v>33</v>
      </c>
      <c r="C505" s="80">
        <f>'22_31-09-2023_RETTET'!B35</f>
        <v>-202</v>
      </c>
      <c r="D505" s="80">
        <f>'22_31-09-2023_RETTET'!C35</f>
        <v>-358</v>
      </c>
      <c r="E505" s="80">
        <f>'22_31-09-2023_RETTET'!D35</f>
        <v>214</v>
      </c>
      <c r="F505" s="80">
        <f>'22_31-09-2023_RETTET'!E35</f>
        <v>346</v>
      </c>
      <c r="G505" s="80">
        <f>'22_31-09-2023_RETTET'!F35</f>
        <v>0</v>
      </c>
      <c r="H505" s="80" t="str">
        <f>'22_31-09-2023_RETTET'!H35</f>
        <v>Thomas</v>
      </c>
      <c r="I505" s="80" t="str">
        <f>'22_31-09-2023_RETTET'!I35</f>
        <v>Peter</v>
      </c>
      <c r="J505" s="80" t="str">
        <f>'22_31-09-2023_RETTET'!J35</f>
        <v>Thomas</v>
      </c>
      <c r="K505" s="80" t="str">
        <f>'22_31-09-2023_RETTET'!G35</f>
        <v>10 gode</v>
      </c>
      <c r="L505" s="56"/>
      <c r="M505" s="25">
        <v>10.0</v>
      </c>
      <c r="N505" s="25" t="s">
        <v>95</v>
      </c>
      <c r="T505" s="56"/>
      <c r="U505" s="111">
        <f t="shared" ref="U505:X505" si="4464">C505-C504</f>
        <v>-32</v>
      </c>
      <c r="V505" s="80">
        <f t="shared" si="4464"/>
        <v>-32</v>
      </c>
      <c r="W505" s="80">
        <f t="shared" si="4464"/>
        <v>32</v>
      </c>
      <c r="X505" s="80">
        <f t="shared" si="4464"/>
        <v>32</v>
      </c>
      <c r="AB505" s="80">
        <f t="shared" ref="AB505:AE505" si="4465">IF(AB$3=$H505,U505,"")</f>
        <v>-32</v>
      </c>
      <c r="AC505" s="28" t="str">
        <f t="shared" si="4465"/>
        <v/>
      </c>
      <c r="AD505" s="28" t="str">
        <f t="shared" si="4465"/>
        <v/>
      </c>
      <c r="AE505" s="28" t="str">
        <f t="shared" si="4465"/>
        <v/>
      </c>
      <c r="AH505" s="28">
        <f t="shared" si="22"/>
        <v>0</v>
      </c>
      <c r="AI505" s="28">
        <f t="shared" si="23"/>
        <v>-32</v>
      </c>
      <c r="AK505" s="78" t="str">
        <f t="shared" ref="AK505:AN505" si="4466">IF(U505&gt;0,AK$3,"")</f>
        <v/>
      </c>
      <c r="AL505" s="78" t="str">
        <f t="shared" si="4466"/>
        <v/>
      </c>
      <c r="AM505" s="78" t="str">
        <f t="shared" si="4466"/>
        <v>Janus</v>
      </c>
      <c r="AN505" s="78" t="str">
        <f t="shared" si="4466"/>
        <v>Christian</v>
      </c>
      <c r="AO505" s="56">
        <f t="shared" si="25"/>
        <v>2</v>
      </c>
      <c r="AP505" s="5" t="str">
        <f t="shared" si="26"/>
        <v>Thomas</v>
      </c>
      <c r="AQ505" s="73" t="str">
        <f>IFERROR(__xludf.DUMMYFUNCTION("IFNA(QUERY(transpose(AY505:BB505),""Select Col1 where Col1 is not null limit 1"",0))"),"Peter")</f>
        <v>Peter</v>
      </c>
      <c r="AR505" s="56"/>
      <c r="AS505" s="28" t="str">
        <f t="shared" ref="AS505:AV505" si="4467">IF(AK505=AS$3,"",AS$3)</f>
        <v>Thomas</v>
      </c>
      <c r="AT505" s="28" t="str">
        <f t="shared" si="4467"/>
        <v>Peter</v>
      </c>
      <c r="AU505" s="28" t="str">
        <f t="shared" si="4467"/>
        <v/>
      </c>
      <c r="AV505" s="28" t="str">
        <f t="shared" si="4467"/>
        <v/>
      </c>
      <c r="AW505" s="56">
        <f t="shared" si="28"/>
        <v>2</v>
      </c>
      <c r="AX505" s="80">
        <f t="shared" si="29"/>
        <v>-32</v>
      </c>
      <c r="AY505" s="28" t="str">
        <f t="shared" ref="AY505:BB505" si="4468">IFNA(IFS(AY$3=$AP505,"",$AX505=U505,AY$3),"")</f>
        <v/>
      </c>
      <c r="AZ505" s="28" t="str">
        <f t="shared" si="4468"/>
        <v>Peter</v>
      </c>
      <c r="BA505" s="28" t="str">
        <f t="shared" si="4468"/>
        <v/>
      </c>
      <c r="BB505" s="28" t="str">
        <f t="shared" si="4468"/>
        <v/>
      </c>
      <c r="BC505" s="58">
        <f>OFFSET('00_Regnskab_01'!$A$1,MATCH(A505,'00_Regnskab_01'!$A$1:$A$25)-1,2)</f>
        <v>45199</v>
      </c>
      <c r="BE505" s="80">
        <f t="shared" ref="BE505:BH505" si="4469">if(U505&gt;0,1+BE504,0)</f>
        <v>0</v>
      </c>
      <c r="BF505" s="28">
        <f t="shared" si="4469"/>
        <v>0</v>
      </c>
      <c r="BG505" s="28">
        <f t="shared" si="4469"/>
        <v>1</v>
      </c>
      <c r="BH505" s="28">
        <f t="shared" si="4469"/>
        <v>1</v>
      </c>
      <c r="BJ505" s="28">
        <f t="shared" ref="BJ505:BM505" si="4470">if(U505&lt;0,1+BJ504,0)</f>
        <v>1</v>
      </c>
      <c r="BK505" s="28">
        <f t="shared" si="4470"/>
        <v>1</v>
      </c>
      <c r="BL505" s="28">
        <f t="shared" si="4470"/>
        <v>0</v>
      </c>
      <c r="BM505" s="28">
        <f t="shared" si="4470"/>
        <v>0</v>
      </c>
      <c r="BO505" s="74">
        <f t="shared" ref="BO505:BR505" si="4471">if(U505&gt;0,U505+BO504,0)</f>
        <v>0</v>
      </c>
      <c r="BP505" s="74">
        <f t="shared" si="4471"/>
        <v>0</v>
      </c>
      <c r="BQ505" s="110">
        <f t="shared" si="4471"/>
        <v>32</v>
      </c>
      <c r="BR505" s="110">
        <f t="shared" si="4471"/>
        <v>32</v>
      </c>
      <c r="BT505" s="80">
        <f t="shared" ref="BT505:BW505" si="4472">if(U505&lt;0,U505+BT504,0)</f>
        <v>-32</v>
      </c>
      <c r="BU505" s="80">
        <f t="shared" si="4472"/>
        <v>-32</v>
      </c>
      <c r="BV505" s="28">
        <f t="shared" si="4472"/>
        <v>0</v>
      </c>
      <c r="BW505" s="28">
        <f t="shared" si="4472"/>
        <v>0</v>
      </c>
    </row>
    <row r="506">
      <c r="A506" s="53">
        <v>22.0</v>
      </c>
      <c r="B506" s="80">
        <f>'22_31-09-2023_RETTET'!A36</f>
        <v>34</v>
      </c>
      <c r="C506" s="80">
        <f>'22_31-09-2023_RETTET'!B36</f>
        <v>-274</v>
      </c>
      <c r="D506" s="80">
        <f>'22_31-09-2023_RETTET'!C36</f>
        <v>-334</v>
      </c>
      <c r="E506" s="80">
        <f>'22_31-09-2023_RETTET'!D36</f>
        <v>238</v>
      </c>
      <c r="F506" s="80">
        <f>'22_31-09-2023_RETTET'!E36</f>
        <v>370</v>
      </c>
      <c r="G506" s="80">
        <f>'22_31-09-2023_RETTET'!F36</f>
        <v>0</v>
      </c>
      <c r="H506" s="80" t="str">
        <f>'22_31-09-2023_RETTET'!H36</f>
        <v>Thomas</v>
      </c>
      <c r="I506" s="80" t="str">
        <f>'22_31-09-2023_RETTET'!I36</f>
        <v>Janus</v>
      </c>
      <c r="J506" s="80" t="str">
        <f>'22_31-09-2023_RETTET'!J36</f>
        <v>Christian</v>
      </c>
      <c r="K506" s="80" t="str">
        <f>'22_31-09-2023_RETTET'!G36</f>
        <v>10 alm (duefejl</v>
      </c>
      <c r="L506" s="56"/>
      <c r="M506" s="25">
        <v>10.0</v>
      </c>
      <c r="N506" s="25" t="s">
        <v>100</v>
      </c>
      <c r="T506" s="46" t="s">
        <v>15</v>
      </c>
      <c r="U506" s="111">
        <f t="shared" ref="U506:X506" si="4473">C506-C505</f>
        <v>-72</v>
      </c>
      <c r="V506" s="80">
        <f t="shared" si="4473"/>
        <v>24</v>
      </c>
      <c r="W506" s="80">
        <f t="shared" si="4473"/>
        <v>24</v>
      </c>
      <c r="X506" s="80">
        <f t="shared" si="4473"/>
        <v>24</v>
      </c>
      <c r="AB506" s="80">
        <f t="shared" ref="AB506:AE506" si="4474">IF(AB$3=$H506,U506,"")</f>
        <v>-72</v>
      </c>
      <c r="AC506" s="28" t="str">
        <f t="shared" si="4474"/>
        <v/>
      </c>
      <c r="AD506" s="28" t="str">
        <f t="shared" si="4474"/>
        <v/>
      </c>
      <c r="AE506" s="28" t="str">
        <f t="shared" si="4474"/>
        <v/>
      </c>
      <c r="AH506" s="28">
        <f t="shared" si="22"/>
        <v>0</v>
      </c>
      <c r="AI506" s="28">
        <f t="shared" si="23"/>
        <v>-72</v>
      </c>
      <c r="AK506" s="78" t="str">
        <f t="shared" ref="AK506:AN506" si="4475">IF(U506&gt;0,AK$3,"")</f>
        <v/>
      </c>
      <c r="AL506" s="78" t="str">
        <f t="shared" si="4475"/>
        <v>Peter</v>
      </c>
      <c r="AM506" s="78" t="str">
        <f t="shared" si="4475"/>
        <v>Janus</v>
      </c>
      <c r="AN506" s="78" t="str">
        <f t="shared" si="4475"/>
        <v>Christian</v>
      </c>
      <c r="AO506" s="56">
        <f t="shared" si="25"/>
        <v>3</v>
      </c>
      <c r="AP506" s="5" t="str">
        <f t="shared" si="26"/>
        <v>Thomas</v>
      </c>
      <c r="AQ506" s="73" t="str">
        <f>IFERROR(__xludf.DUMMYFUNCTION("IFNA(QUERY(transpose(AY506:BB506),""Select Col1 where Col1 is not null limit 1"",0))"),"")</f>
        <v/>
      </c>
      <c r="AR506" s="56"/>
      <c r="AS506" s="28" t="str">
        <f t="shared" ref="AS506:AV506" si="4476">IF(AK506=AS$3,"",AS$3)</f>
        <v>Thomas</v>
      </c>
      <c r="AT506" s="28" t="str">
        <f t="shared" si="4476"/>
        <v/>
      </c>
      <c r="AU506" s="28" t="str">
        <f t="shared" si="4476"/>
        <v/>
      </c>
      <c r="AV506" s="28" t="str">
        <f t="shared" si="4476"/>
        <v/>
      </c>
      <c r="AW506" s="56">
        <f t="shared" si="28"/>
        <v>1</v>
      </c>
      <c r="AX506" s="80">
        <f t="shared" si="29"/>
        <v>-72</v>
      </c>
      <c r="AY506" s="28" t="str">
        <f t="shared" ref="AY506:BB506" si="4477">IFNA(IFS(AY$3=$AP506,"",$AX506=U506,AY$3),"")</f>
        <v/>
      </c>
      <c r="AZ506" s="28" t="str">
        <f t="shared" si="4477"/>
        <v/>
      </c>
      <c r="BA506" s="28" t="str">
        <f t="shared" si="4477"/>
        <v/>
      </c>
      <c r="BB506" s="28" t="str">
        <f t="shared" si="4477"/>
        <v/>
      </c>
      <c r="BC506" s="58">
        <f>OFFSET('00_Regnskab_01'!$A$1,MATCH(A506,'00_Regnskab_01'!$A$1:$A$25)-1,2)</f>
        <v>45199</v>
      </c>
      <c r="BE506" s="80">
        <f t="shared" ref="BE506:BH506" si="4478">if(U506&gt;0,1+BE505,0)</f>
        <v>0</v>
      </c>
      <c r="BF506" s="28">
        <f t="shared" si="4478"/>
        <v>1</v>
      </c>
      <c r="BG506" s="28">
        <f t="shared" si="4478"/>
        <v>2</v>
      </c>
      <c r="BH506" s="28">
        <f t="shared" si="4478"/>
        <v>2</v>
      </c>
      <c r="BJ506" s="28">
        <f t="shared" ref="BJ506:BM506" si="4479">if(U506&lt;0,1+BJ505,0)</f>
        <v>2</v>
      </c>
      <c r="BK506" s="28">
        <f t="shared" si="4479"/>
        <v>0</v>
      </c>
      <c r="BL506" s="28">
        <f t="shared" si="4479"/>
        <v>0</v>
      </c>
      <c r="BM506" s="28">
        <f t="shared" si="4479"/>
        <v>0</v>
      </c>
      <c r="BO506" s="74">
        <f t="shared" ref="BO506:BR506" si="4480">if(U506&gt;0,U506+BO505,0)</f>
        <v>0</v>
      </c>
      <c r="BP506" s="110">
        <f t="shared" si="4480"/>
        <v>24</v>
      </c>
      <c r="BQ506" s="110">
        <f t="shared" si="4480"/>
        <v>56</v>
      </c>
      <c r="BR506" s="110">
        <f t="shared" si="4480"/>
        <v>56</v>
      </c>
      <c r="BT506" s="80">
        <f t="shared" ref="BT506:BW506" si="4481">if(U506&lt;0,U506+BT505,0)</f>
        <v>-104</v>
      </c>
      <c r="BU506" s="28">
        <f t="shared" si="4481"/>
        <v>0</v>
      </c>
      <c r="BV506" s="28">
        <f t="shared" si="4481"/>
        <v>0</v>
      </c>
      <c r="BW506" s="28">
        <f t="shared" si="4481"/>
        <v>0</v>
      </c>
    </row>
    <row r="507">
      <c r="A507" s="53">
        <v>22.0</v>
      </c>
      <c r="B507" s="80">
        <f>'22_31-09-2023_RETTET'!A37</f>
        <v>35</v>
      </c>
      <c r="C507" s="80">
        <f>'22_31-09-2023_RETTET'!B37</f>
        <v>-290</v>
      </c>
      <c r="D507" s="80">
        <f>'22_31-09-2023_RETTET'!C37</f>
        <v>-286</v>
      </c>
      <c r="E507" s="80">
        <f>'22_31-09-2023_RETTET'!D37</f>
        <v>222</v>
      </c>
      <c r="F507" s="80">
        <f>'22_31-09-2023_RETTET'!E37</f>
        <v>354</v>
      </c>
      <c r="G507" s="80">
        <f>'22_31-09-2023_RETTET'!F37</f>
        <v>0</v>
      </c>
      <c r="H507" s="80" t="str">
        <f>'22_31-09-2023_RETTET'!H37</f>
        <v>Peter</v>
      </c>
      <c r="I507" s="80" t="str">
        <f>'22_31-09-2023_RETTET'!I37</f>
        <v/>
      </c>
      <c r="J507" s="80" t="str">
        <f>'22_31-09-2023_RETTET'!J37</f>
        <v>Janus</v>
      </c>
      <c r="K507" s="80" t="str">
        <f>'22_31-09-2023_RETTET'!G37</f>
        <v>Halv bordlægger</v>
      </c>
      <c r="L507" s="56"/>
      <c r="N507" s="25" t="s">
        <v>101</v>
      </c>
      <c r="T507" s="56"/>
      <c r="U507" s="111">
        <f t="shared" ref="U507:X507" si="4482">C507-C506</f>
        <v>-16</v>
      </c>
      <c r="V507" s="80">
        <f t="shared" si="4482"/>
        <v>48</v>
      </c>
      <c r="W507" s="80">
        <f t="shared" si="4482"/>
        <v>-16</v>
      </c>
      <c r="X507" s="80">
        <f t="shared" si="4482"/>
        <v>-16</v>
      </c>
      <c r="AB507" s="28" t="str">
        <f t="shared" ref="AB507:AE507" si="4483">IF(AB$3=$H507,U507,"")</f>
        <v/>
      </c>
      <c r="AC507" s="80">
        <f t="shared" si="4483"/>
        <v>48</v>
      </c>
      <c r="AD507" s="28" t="str">
        <f t="shared" si="4483"/>
        <v/>
      </c>
      <c r="AE507" s="28" t="str">
        <f t="shared" si="4483"/>
        <v/>
      </c>
      <c r="AH507" s="28">
        <f t="shared" si="22"/>
        <v>48</v>
      </c>
      <c r="AI507" s="28">
        <f t="shared" si="23"/>
        <v>0</v>
      </c>
      <c r="AK507" s="78" t="str">
        <f t="shared" ref="AK507:AN507" si="4484">IF(U507&gt;0,AK$3,"")</f>
        <v/>
      </c>
      <c r="AL507" s="78" t="str">
        <f t="shared" si="4484"/>
        <v>Peter</v>
      </c>
      <c r="AM507" s="78" t="str">
        <f t="shared" si="4484"/>
        <v/>
      </c>
      <c r="AN507" s="78" t="str">
        <f t="shared" si="4484"/>
        <v/>
      </c>
      <c r="AO507" s="56">
        <f t="shared" si="25"/>
        <v>1</v>
      </c>
      <c r="AP507" s="5" t="str">
        <f t="shared" si="26"/>
        <v>Peter</v>
      </c>
      <c r="AQ507" s="73" t="str">
        <f>IFERROR(__xludf.DUMMYFUNCTION("IFNA(QUERY(transpose(AY507:BB507),""Select Col1 where Col1 is not null limit 1"",0))"),"")</f>
        <v/>
      </c>
      <c r="AR507" s="56"/>
      <c r="AS507" s="28" t="str">
        <f t="shared" ref="AS507:AV507" si="4485">IF(AK507=AS$3,"",AS$3)</f>
        <v>Thomas</v>
      </c>
      <c r="AT507" s="28" t="str">
        <f t="shared" si="4485"/>
        <v/>
      </c>
      <c r="AU507" s="28" t="str">
        <f t="shared" si="4485"/>
        <v>Janus</v>
      </c>
      <c r="AV507" s="28" t="str">
        <f t="shared" si="4485"/>
        <v>Christian</v>
      </c>
      <c r="AW507" s="56">
        <f t="shared" si="28"/>
        <v>3</v>
      </c>
      <c r="AX507" s="28">
        <f t="shared" si="29"/>
        <v>48</v>
      </c>
      <c r="AY507" s="28" t="str">
        <f t="shared" ref="AY507:BB507" si="4486">IFNA(IFS(AY$3=$AP507,"",$AX507=U507,AY$3),"")</f>
        <v/>
      </c>
      <c r="AZ507" s="28" t="str">
        <f t="shared" si="4486"/>
        <v/>
      </c>
      <c r="BA507" s="28" t="str">
        <f t="shared" si="4486"/>
        <v/>
      </c>
      <c r="BB507" s="28" t="str">
        <f t="shared" si="4486"/>
        <v/>
      </c>
      <c r="BC507" s="58">
        <f>OFFSET('00_Regnskab_01'!$A$1,MATCH(A507,'00_Regnskab_01'!$A$1:$A$25)-1,2)</f>
        <v>45199</v>
      </c>
      <c r="BE507" s="80">
        <f t="shared" ref="BE507:BH507" si="4487">if(U507&gt;0,1+BE506,0)</f>
        <v>0</v>
      </c>
      <c r="BF507" s="28">
        <f t="shared" si="4487"/>
        <v>2</v>
      </c>
      <c r="BG507" s="28">
        <f t="shared" si="4487"/>
        <v>0</v>
      </c>
      <c r="BH507" s="28">
        <f t="shared" si="4487"/>
        <v>0</v>
      </c>
      <c r="BJ507" s="28">
        <f t="shared" ref="BJ507:BM507" si="4488">if(U507&lt;0,1+BJ506,0)</f>
        <v>3</v>
      </c>
      <c r="BK507" s="28">
        <f t="shared" si="4488"/>
        <v>0</v>
      </c>
      <c r="BL507" s="28">
        <f t="shared" si="4488"/>
        <v>1</v>
      </c>
      <c r="BM507" s="28">
        <f t="shared" si="4488"/>
        <v>1</v>
      </c>
      <c r="BO507" s="74">
        <f t="shared" ref="BO507:BR507" si="4489">if(U507&gt;0,U507+BO506,0)</f>
        <v>0</v>
      </c>
      <c r="BP507" s="110">
        <f t="shared" si="4489"/>
        <v>72</v>
      </c>
      <c r="BQ507" s="74">
        <f t="shared" si="4489"/>
        <v>0</v>
      </c>
      <c r="BR507" s="74">
        <f t="shared" si="4489"/>
        <v>0</v>
      </c>
      <c r="BT507" s="80">
        <f t="shared" ref="BT507:BW507" si="4490">if(U507&lt;0,U507+BT506,0)</f>
        <v>-120</v>
      </c>
      <c r="BU507" s="28">
        <f t="shared" si="4490"/>
        <v>0</v>
      </c>
      <c r="BV507" s="80">
        <f t="shared" si="4490"/>
        <v>-16</v>
      </c>
      <c r="BW507" s="80">
        <f t="shared" si="4490"/>
        <v>-16</v>
      </c>
    </row>
    <row r="508">
      <c r="A508" s="53">
        <v>22.0</v>
      </c>
      <c r="B508" s="80">
        <f>'22_31-09-2023_RETTET'!A38</f>
        <v>36</v>
      </c>
      <c r="C508" s="80">
        <f>'22_31-09-2023_RETTET'!B38</f>
        <v>-282</v>
      </c>
      <c r="D508" s="80">
        <f>'22_31-09-2023_RETTET'!C38</f>
        <v>-278</v>
      </c>
      <c r="E508" s="80">
        <f>'22_31-09-2023_RETTET'!D38</f>
        <v>230</v>
      </c>
      <c r="F508" s="80">
        <f>'22_31-09-2023_RETTET'!E38</f>
        <v>330</v>
      </c>
      <c r="G508" s="80">
        <f>'22_31-09-2023_RETTET'!F38</f>
        <v>0</v>
      </c>
      <c r="H508" s="80" t="str">
        <f>'22_31-09-2023_RETTET'!H38</f>
        <v>Christian</v>
      </c>
      <c r="I508" s="80" t="str">
        <f>'22_31-09-2023_RETTET'!I38</f>
        <v/>
      </c>
      <c r="J508" s="80" t="str">
        <f>'22_31-09-2023_RETTET'!J38</f>
        <v>Peter</v>
      </c>
      <c r="K508" s="80" t="str">
        <f>'22_31-09-2023_RETTET'!G38</f>
        <v>9 alm</v>
      </c>
      <c r="L508" s="56"/>
      <c r="M508" s="25">
        <v>9.0</v>
      </c>
      <c r="N508" s="25" t="s">
        <v>100</v>
      </c>
      <c r="R508" s="25" t="s">
        <v>15</v>
      </c>
      <c r="T508" s="56"/>
      <c r="U508" s="111">
        <f t="shared" ref="U508:X508" si="4491">C508-C507</f>
        <v>8</v>
      </c>
      <c r="V508" s="80">
        <f t="shared" si="4491"/>
        <v>8</v>
      </c>
      <c r="W508" s="80">
        <f t="shared" si="4491"/>
        <v>8</v>
      </c>
      <c r="X508" s="80">
        <f t="shared" si="4491"/>
        <v>-24</v>
      </c>
      <c r="AB508" s="28" t="str">
        <f t="shared" ref="AB508:AE508" si="4492">IF(AB$3=$H508,U508,"")</f>
        <v/>
      </c>
      <c r="AC508" s="28" t="str">
        <f t="shared" si="4492"/>
        <v/>
      </c>
      <c r="AD508" s="28" t="str">
        <f t="shared" si="4492"/>
        <v/>
      </c>
      <c r="AE508" s="80">
        <f t="shared" si="4492"/>
        <v>-24</v>
      </c>
      <c r="AH508" s="28">
        <f t="shared" si="22"/>
        <v>0</v>
      </c>
      <c r="AI508" s="28">
        <f t="shared" si="23"/>
        <v>-24</v>
      </c>
      <c r="AK508" s="78" t="str">
        <f t="shared" ref="AK508:AN508" si="4493">IF(U508&gt;0,AK$3,"")</f>
        <v>Thomas</v>
      </c>
      <c r="AL508" s="78" t="str">
        <f t="shared" si="4493"/>
        <v>Peter</v>
      </c>
      <c r="AM508" s="78" t="str">
        <f t="shared" si="4493"/>
        <v>Janus</v>
      </c>
      <c r="AN508" s="78" t="str">
        <f t="shared" si="4493"/>
        <v/>
      </c>
      <c r="AO508" s="56">
        <f t="shared" si="25"/>
        <v>3</v>
      </c>
      <c r="AP508" s="5" t="str">
        <f t="shared" si="26"/>
        <v>Christian</v>
      </c>
      <c r="AQ508" s="73" t="str">
        <f>IFERROR(__xludf.DUMMYFUNCTION("IFNA(QUERY(transpose(AY508:BB508),""Select Col1 where Col1 is not null limit 1"",0))"),"")</f>
        <v/>
      </c>
      <c r="AR508" s="56"/>
      <c r="AS508" s="28" t="str">
        <f t="shared" ref="AS508:AV508" si="4494">IF(AK508=AS$3,"",AS$3)</f>
        <v/>
      </c>
      <c r="AT508" s="28" t="str">
        <f t="shared" si="4494"/>
        <v/>
      </c>
      <c r="AU508" s="28" t="str">
        <f t="shared" si="4494"/>
        <v/>
      </c>
      <c r="AV508" s="28" t="str">
        <f t="shared" si="4494"/>
        <v>Christian</v>
      </c>
      <c r="AW508" s="56">
        <f t="shared" si="28"/>
        <v>1</v>
      </c>
      <c r="AX508" s="28">
        <f t="shared" si="29"/>
        <v>-24</v>
      </c>
      <c r="AY508" s="28" t="str">
        <f t="shared" ref="AY508:BB508" si="4495">IFNA(IFS(AY$3=$AP508,"",$AX508=U508,AY$3),"")</f>
        <v/>
      </c>
      <c r="AZ508" s="28" t="str">
        <f t="shared" si="4495"/>
        <v/>
      </c>
      <c r="BA508" s="28" t="str">
        <f t="shared" si="4495"/>
        <v/>
      </c>
      <c r="BB508" s="28" t="str">
        <f t="shared" si="4495"/>
        <v/>
      </c>
      <c r="BC508" s="58">
        <f>OFFSET('00_Regnskab_01'!$A$1,MATCH(A508,'00_Regnskab_01'!$A$1:$A$25)-1,2)</f>
        <v>45199</v>
      </c>
      <c r="BE508" s="80">
        <f t="shared" ref="BE508:BH508" si="4496">if(U508&gt;0,1+BE507,0)</f>
        <v>1</v>
      </c>
      <c r="BF508" s="28">
        <f t="shared" si="4496"/>
        <v>3</v>
      </c>
      <c r="BG508" s="28">
        <f t="shared" si="4496"/>
        <v>1</v>
      </c>
      <c r="BH508" s="28">
        <f t="shared" si="4496"/>
        <v>0</v>
      </c>
      <c r="BJ508" s="28">
        <f t="shared" ref="BJ508:BM508" si="4497">if(U508&lt;0,1+BJ507,0)</f>
        <v>0</v>
      </c>
      <c r="BK508" s="28">
        <f t="shared" si="4497"/>
        <v>0</v>
      </c>
      <c r="BL508" s="28">
        <f t="shared" si="4497"/>
        <v>0</v>
      </c>
      <c r="BM508" s="28">
        <f t="shared" si="4497"/>
        <v>2</v>
      </c>
      <c r="BO508" s="110">
        <f t="shared" ref="BO508:BR508" si="4498">if(U508&gt;0,U508+BO507,0)</f>
        <v>8</v>
      </c>
      <c r="BP508" s="110">
        <f t="shared" si="4498"/>
        <v>80</v>
      </c>
      <c r="BQ508" s="110">
        <f t="shared" si="4498"/>
        <v>8</v>
      </c>
      <c r="BR508" s="74">
        <f t="shared" si="4498"/>
        <v>0</v>
      </c>
      <c r="BT508" s="28">
        <f t="shared" ref="BT508:BW508" si="4499">if(U508&lt;0,U508+BT507,0)</f>
        <v>0</v>
      </c>
      <c r="BU508" s="28">
        <f t="shared" si="4499"/>
        <v>0</v>
      </c>
      <c r="BV508" s="28">
        <f t="shared" si="4499"/>
        <v>0</v>
      </c>
      <c r="BW508" s="80">
        <f t="shared" si="4499"/>
        <v>-40</v>
      </c>
    </row>
    <row r="509">
      <c r="A509" s="53">
        <v>22.0</v>
      </c>
      <c r="B509" s="80">
        <f>'22_31-09-2023_RETTET'!A39</f>
        <v>37</v>
      </c>
      <c r="C509" s="80">
        <f>'22_31-09-2023_RETTET'!B39</f>
        <v>-270</v>
      </c>
      <c r="D509" s="80">
        <f>'22_31-09-2023_RETTET'!C39</f>
        <v>-290</v>
      </c>
      <c r="E509" s="80">
        <f>'22_31-09-2023_RETTET'!D39</f>
        <v>242</v>
      </c>
      <c r="F509" s="80">
        <f>'22_31-09-2023_RETTET'!E39</f>
        <v>318</v>
      </c>
      <c r="G509" s="80">
        <f>'22_31-09-2023_RETTET'!F39</f>
        <v>0</v>
      </c>
      <c r="H509" s="80" t="str">
        <f>'22_31-09-2023_RETTET'!H39</f>
        <v>Thomas</v>
      </c>
      <c r="I509" s="80" t="str">
        <f>'22_31-09-2023_RETTET'!I39</f>
        <v>Janus</v>
      </c>
      <c r="J509" s="80" t="str">
        <f>'22_31-09-2023_RETTET'!J39</f>
        <v>Thomas</v>
      </c>
      <c r="K509" s="80" t="str">
        <f>'22_31-09-2023_RETTET'!G39</f>
        <v>9 vip 1 </v>
      </c>
      <c r="L509" s="56"/>
      <c r="M509" s="25">
        <v>9.0</v>
      </c>
      <c r="N509" s="25" t="s">
        <v>86</v>
      </c>
      <c r="O509" s="25">
        <v>1.0</v>
      </c>
      <c r="T509" s="56"/>
      <c r="U509" s="111">
        <f t="shared" ref="U509:X509" si="4500">C509-C508</f>
        <v>12</v>
      </c>
      <c r="V509" s="80">
        <f t="shared" si="4500"/>
        <v>-12</v>
      </c>
      <c r="W509" s="80">
        <f t="shared" si="4500"/>
        <v>12</v>
      </c>
      <c r="X509" s="80">
        <f t="shared" si="4500"/>
        <v>-12</v>
      </c>
      <c r="AB509" s="80">
        <f t="shared" ref="AB509:AE509" si="4501">IF(AB$3=$H509,U509,"")</f>
        <v>12</v>
      </c>
      <c r="AC509" s="28" t="str">
        <f t="shared" si="4501"/>
        <v/>
      </c>
      <c r="AD509" s="28" t="str">
        <f t="shared" si="4501"/>
        <v/>
      </c>
      <c r="AE509" s="28" t="str">
        <f t="shared" si="4501"/>
        <v/>
      </c>
      <c r="AH509" s="28">
        <f t="shared" si="22"/>
        <v>12</v>
      </c>
      <c r="AI509" s="28">
        <f t="shared" si="23"/>
        <v>0</v>
      </c>
      <c r="AK509" s="78" t="str">
        <f t="shared" ref="AK509:AN509" si="4502">IF(U509&gt;0,AK$3,"")</f>
        <v>Thomas</v>
      </c>
      <c r="AL509" s="78" t="str">
        <f t="shared" si="4502"/>
        <v/>
      </c>
      <c r="AM509" s="78" t="str">
        <f t="shared" si="4502"/>
        <v>Janus</v>
      </c>
      <c r="AN509" s="78" t="str">
        <f t="shared" si="4502"/>
        <v/>
      </c>
      <c r="AO509" s="56">
        <f t="shared" si="25"/>
        <v>2</v>
      </c>
      <c r="AP509" s="5" t="str">
        <f t="shared" si="26"/>
        <v>Thomas</v>
      </c>
      <c r="AQ509" s="73" t="str">
        <f>IFERROR(__xludf.DUMMYFUNCTION("IFNA(QUERY(transpose(AY509:BB509),""Select Col1 where Col1 is not null limit 1"",0))"),"Janus")</f>
        <v>Janus</v>
      </c>
      <c r="AR509" s="56"/>
      <c r="AS509" s="28" t="str">
        <f t="shared" ref="AS509:AV509" si="4503">IF(AK509=AS$3,"",AS$3)</f>
        <v/>
      </c>
      <c r="AT509" s="28" t="str">
        <f t="shared" si="4503"/>
        <v>Peter</v>
      </c>
      <c r="AU509" s="28" t="str">
        <f t="shared" si="4503"/>
        <v/>
      </c>
      <c r="AV509" s="28" t="str">
        <f t="shared" si="4503"/>
        <v>Christian</v>
      </c>
      <c r="AW509" s="56">
        <f t="shared" si="28"/>
        <v>2</v>
      </c>
      <c r="AX509" s="80">
        <f t="shared" si="29"/>
        <v>12</v>
      </c>
      <c r="AY509" s="28" t="str">
        <f t="shared" ref="AY509:BB509" si="4504">IFNA(IFS(AY$3=$AP509,"",$AX509=U509,AY$3),"")</f>
        <v/>
      </c>
      <c r="AZ509" s="28" t="str">
        <f t="shared" si="4504"/>
        <v/>
      </c>
      <c r="BA509" s="28" t="str">
        <f t="shared" si="4504"/>
        <v>Janus</v>
      </c>
      <c r="BB509" s="28" t="str">
        <f t="shared" si="4504"/>
        <v/>
      </c>
      <c r="BC509" s="58">
        <f>OFFSET('00_Regnskab_01'!$A$1,MATCH(A509,'00_Regnskab_01'!$A$1:$A$25)-1,2)</f>
        <v>45199</v>
      </c>
      <c r="BE509" s="80">
        <f t="shared" ref="BE509:BH509" si="4505">if(U509&gt;0,1+BE508,0)</f>
        <v>2</v>
      </c>
      <c r="BF509" s="28">
        <f t="shared" si="4505"/>
        <v>0</v>
      </c>
      <c r="BG509" s="28">
        <f t="shared" si="4505"/>
        <v>2</v>
      </c>
      <c r="BH509" s="28">
        <f t="shared" si="4505"/>
        <v>0</v>
      </c>
      <c r="BJ509" s="28">
        <f t="shared" ref="BJ509:BM509" si="4506">if(U509&lt;0,1+BJ508,0)</f>
        <v>0</v>
      </c>
      <c r="BK509" s="28">
        <f t="shared" si="4506"/>
        <v>1</v>
      </c>
      <c r="BL509" s="28">
        <f t="shared" si="4506"/>
        <v>0</v>
      </c>
      <c r="BM509" s="28">
        <f t="shared" si="4506"/>
        <v>3</v>
      </c>
      <c r="BO509" s="110">
        <f t="shared" ref="BO509:BR509" si="4507">if(U509&gt;0,U509+BO508,0)</f>
        <v>20</v>
      </c>
      <c r="BP509" s="74">
        <f t="shared" si="4507"/>
        <v>0</v>
      </c>
      <c r="BQ509" s="110">
        <f t="shared" si="4507"/>
        <v>20</v>
      </c>
      <c r="BR509" s="74">
        <f t="shared" si="4507"/>
        <v>0</v>
      </c>
      <c r="BT509" s="28">
        <f t="shared" ref="BT509:BW509" si="4508">if(U509&lt;0,U509+BT508,0)</f>
        <v>0</v>
      </c>
      <c r="BU509" s="80">
        <f t="shared" si="4508"/>
        <v>-12</v>
      </c>
      <c r="BV509" s="28">
        <f t="shared" si="4508"/>
        <v>0</v>
      </c>
      <c r="BW509" s="80">
        <f t="shared" si="4508"/>
        <v>-52</v>
      </c>
    </row>
    <row r="510">
      <c r="A510" s="53">
        <v>22.0</v>
      </c>
      <c r="B510" s="80">
        <f>'22_31-09-2023_RETTET'!A40</f>
        <v>38</v>
      </c>
      <c r="C510" s="80">
        <f>'22_31-09-2023_RETTET'!B40</f>
        <v>-278</v>
      </c>
      <c r="D510" s="80">
        <f>'22_31-09-2023_RETTET'!C40</f>
        <v>-282</v>
      </c>
      <c r="E510" s="80">
        <f>'22_31-09-2023_RETTET'!D40</f>
        <v>234</v>
      </c>
      <c r="F510" s="80">
        <f>'22_31-09-2023_RETTET'!E40</f>
        <v>326</v>
      </c>
      <c r="G510" s="80">
        <f>'22_31-09-2023_RETTET'!F40</f>
        <v>0</v>
      </c>
      <c r="H510" s="80" t="str">
        <f>'22_31-09-2023_RETTET'!H40</f>
        <v>Peter</v>
      </c>
      <c r="I510" s="80" t="str">
        <f>'22_31-09-2023_RETTET'!I40</f>
        <v>Christian</v>
      </c>
      <c r="J510" s="80" t="str">
        <f>'22_31-09-2023_RETTET'!J40</f>
        <v>Christian</v>
      </c>
      <c r="K510" s="80" t="str">
        <f>'22_31-09-2023_RETTET'!G40</f>
        <v>9 halve</v>
      </c>
      <c r="L510" s="56"/>
      <c r="M510" s="25">
        <v>9.0</v>
      </c>
      <c r="N510" s="25" t="s">
        <v>94</v>
      </c>
      <c r="T510" s="56"/>
      <c r="U510" s="111">
        <f t="shared" ref="U510:X510" si="4509">C510-C509</f>
        <v>-8</v>
      </c>
      <c r="V510" s="80">
        <f t="shared" si="4509"/>
        <v>8</v>
      </c>
      <c r="W510" s="80">
        <f t="shared" si="4509"/>
        <v>-8</v>
      </c>
      <c r="X510" s="80">
        <f t="shared" si="4509"/>
        <v>8</v>
      </c>
      <c r="AB510" s="28" t="str">
        <f t="shared" ref="AB510:AE510" si="4510">IF(AB$3=$H510,U510,"")</f>
        <v/>
      </c>
      <c r="AC510" s="80">
        <f t="shared" si="4510"/>
        <v>8</v>
      </c>
      <c r="AD510" s="28" t="str">
        <f t="shared" si="4510"/>
        <v/>
      </c>
      <c r="AE510" s="28" t="str">
        <f t="shared" si="4510"/>
        <v/>
      </c>
      <c r="AH510" s="28">
        <f t="shared" si="22"/>
        <v>8</v>
      </c>
      <c r="AI510" s="28">
        <f t="shared" si="23"/>
        <v>0</v>
      </c>
      <c r="AK510" s="78" t="str">
        <f t="shared" ref="AK510:AN510" si="4511">IF(U510&gt;0,AK$3,"")</f>
        <v/>
      </c>
      <c r="AL510" s="78" t="str">
        <f t="shared" si="4511"/>
        <v>Peter</v>
      </c>
      <c r="AM510" s="78" t="str">
        <f t="shared" si="4511"/>
        <v/>
      </c>
      <c r="AN510" s="78" t="str">
        <f t="shared" si="4511"/>
        <v>Christian</v>
      </c>
      <c r="AO510" s="56">
        <f t="shared" si="25"/>
        <v>2</v>
      </c>
      <c r="AP510" s="5" t="str">
        <f t="shared" si="26"/>
        <v>Peter</v>
      </c>
      <c r="AQ510" s="73" t="str">
        <f>IFERROR(__xludf.DUMMYFUNCTION("IFNA(QUERY(transpose(AY510:BB510),""Select Col1 where Col1 is not null limit 1"",0))"),"Christian")</f>
        <v>Christian</v>
      </c>
      <c r="AR510" s="56"/>
      <c r="AS510" s="28" t="str">
        <f t="shared" ref="AS510:AV510" si="4512">IF(AK510=AS$3,"",AS$3)</f>
        <v>Thomas</v>
      </c>
      <c r="AT510" s="28" t="str">
        <f t="shared" si="4512"/>
        <v/>
      </c>
      <c r="AU510" s="28" t="str">
        <f t="shared" si="4512"/>
        <v>Janus</v>
      </c>
      <c r="AV510" s="28" t="str">
        <f t="shared" si="4512"/>
        <v/>
      </c>
      <c r="AW510" s="56">
        <f t="shared" si="28"/>
        <v>2</v>
      </c>
      <c r="AX510" s="28">
        <f t="shared" si="29"/>
        <v>8</v>
      </c>
      <c r="AY510" s="28" t="str">
        <f t="shared" ref="AY510:BB510" si="4513">IFNA(IFS(AY$3=$AP510,"",$AX510=U510,AY$3),"")</f>
        <v/>
      </c>
      <c r="AZ510" s="28" t="str">
        <f t="shared" si="4513"/>
        <v/>
      </c>
      <c r="BA510" s="28" t="str">
        <f t="shared" si="4513"/>
        <v/>
      </c>
      <c r="BB510" s="28" t="str">
        <f t="shared" si="4513"/>
        <v>Christian</v>
      </c>
      <c r="BC510" s="58">
        <f>OFFSET('00_Regnskab_01'!$A$1,MATCH(A510,'00_Regnskab_01'!$A$1:$A$25)-1,2)</f>
        <v>45199</v>
      </c>
      <c r="BE510" s="80">
        <f t="shared" ref="BE510:BH510" si="4514">if(U510&gt;0,1+BE509,0)</f>
        <v>0</v>
      </c>
      <c r="BF510" s="28">
        <f t="shared" si="4514"/>
        <v>1</v>
      </c>
      <c r="BG510" s="28">
        <f t="shared" si="4514"/>
        <v>0</v>
      </c>
      <c r="BH510" s="28">
        <f t="shared" si="4514"/>
        <v>1</v>
      </c>
      <c r="BJ510" s="28">
        <f t="shared" ref="BJ510:BM510" si="4515">if(U510&lt;0,1+BJ509,0)</f>
        <v>1</v>
      </c>
      <c r="BK510" s="28">
        <f t="shared" si="4515"/>
        <v>0</v>
      </c>
      <c r="BL510" s="28">
        <f t="shared" si="4515"/>
        <v>1</v>
      </c>
      <c r="BM510" s="28">
        <f t="shared" si="4515"/>
        <v>0</v>
      </c>
      <c r="BO510" s="74">
        <f t="shared" ref="BO510:BR510" si="4516">if(U510&gt;0,U510+BO509,0)</f>
        <v>0</v>
      </c>
      <c r="BP510" s="110">
        <f t="shared" si="4516"/>
        <v>8</v>
      </c>
      <c r="BQ510" s="74">
        <f t="shared" si="4516"/>
        <v>0</v>
      </c>
      <c r="BR510" s="110">
        <f t="shared" si="4516"/>
        <v>8</v>
      </c>
      <c r="BT510" s="80">
        <f t="shared" ref="BT510:BW510" si="4517">if(U510&lt;0,U510+BT509,0)</f>
        <v>-8</v>
      </c>
      <c r="BU510" s="28">
        <f t="shared" si="4517"/>
        <v>0</v>
      </c>
      <c r="BV510" s="80">
        <f t="shared" si="4517"/>
        <v>-8</v>
      </c>
      <c r="BW510" s="28">
        <f t="shared" si="4517"/>
        <v>0</v>
      </c>
    </row>
    <row r="511">
      <c r="A511" s="83">
        <v>22.0</v>
      </c>
      <c r="B511" s="97">
        <f>'22_31-09-2023_RETTET'!A41</f>
        <v>39</v>
      </c>
      <c r="C511" s="97">
        <f>'22_31-09-2023_RETTET'!B41</f>
        <v>-326</v>
      </c>
      <c r="D511" s="97">
        <f>'22_31-09-2023_RETTET'!C41</f>
        <v>-330</v>
      </c>
      <c r="E511" s="97">
        <f>'22_31-09-2023_RETTET'!D41</f>
        <v>282</v>
      </c>
      <c r="F511" s="97">
        <f>'22_31-09-2023_RETTET'!E41</f>
        <v>374</v>
      </c>
      <c r="G511" s="97">
        <f>'22_31-09-2023_RETTET'!F41</f>
        <v>0</v>
      </c>
      <c r="H511" s="97" t="str">
        <f>'22_31-09-2023_RETTET'!H41</f>
        <v>Thomas</v>
      </c>
      <c r="I511" s="97" t="str">
        <f>'22_31-09-2023_RETTET'!I41</f>
        <v>Peter</v>
      </c>
      <c r="J511" s="97" t="str">
        <f>'22_31-09-2023_RETTET'!J41</f>
        <v>Janus</v>
      </c>
      <c r="K511" s="97" t="str">
        <f>'22_31-09-2023_RETTET'!G41</f>
        <v>9 vip i 3</v>
      </c>
      <c r="L511" s="84"/>
      <c r="M511" s="87">
        <v>9.0</v>
      </c>
      <c r="N511" s="87" t="s">
        <v>86</v>
      </c>
      <c r="O511" s="87">
        <v>3.0</v>
      </c>
      <c r="P511" s="84"/>
      <c r="Q511" s="84"/>
      <c r="R511" s="84"/>
      <c r="S511" s="84"/>
      <c r="T511" s="84"/>
      <c r="U511" s="112">
        <f t="shared" ref="U511:X511" si="4518">C511-C510</f>
        <v>-48</v>
      </c>
      <c r="V511" s="97">
        <f t="shared" si="4518"/>
        <v>-48</v>
      </c>
      <c r="W511" s="97">
        <f t="shared" si="4518"/>
        <v>48</v>
      </c>
      <c r="X511" s="97">
        <f t="shared" si="4518"/>
        <v>48</v>
      </c>
      <c r="Y511" s="84"/>
      <c r="Z511" s="84"/>
      <c r="AA511" s="84"/>
      <c r="AB511" s="97">
        <f t="shared" ref="AB511:AE511" si="4519">IF(AB$3=$H511,U511,"")</f>
        <v>-48</v>
      </c>
      <c r="AC511" s="84" t="str">
        <f t="shared" si="4519"/>
        <v/>
      </c>
      <c r="AD511" s="84" t="str">
        <f t="shared" si="4519"/>
        <v/>
      </c>
      <c r="AE511" s="84" t="str">
        <f t="shared" si="4519"/>
        <v/>
      </c>
      <c r="AF511" s="84"/>
      <c r="AG511" s="84"/>
      <c r="AH511" s="84">
        <f t="shared" si="22"/>
        <v>0</v>
      </c>
      <c r="AI511" s="84">
        <f t="shared" si="23"/>
        <v>-48</v>
      </c>
      <c r="AJ511" s="84"/>
      <c r="AK511" s="93" t="str">
        <f t="shared" ref="AK511:AN511" si="4520">IF(U511&gt;0,AK$3,"")</f>
        <v/>
      </c>
      <c r="AL511" s="93" t="str">
        <f t="shared" si="4520"/>
        <v/>
      </c>
      <c r="AM511" s="93" t="str">
        <f t="shared" si="4520"/>
        <v>Janus</v>
      </c>
      <c r="AN511" s="93" t="str">
        <f t="shared" si="4520"/>
        <v>Christian</v>
      </c>
      <c r="AO511" s="84">
        <f t="shared" si="25"/>
        <v>2</v>
      </c>
      <c r="AP511" s="113" t="str">
        <f t="shared" si="26"/>
        <v>Thomas</v>
      </c>
      <c r="AQ511" s="95" t="str">
        <f>IFERROR(__xludf.DUMMYFUNCTION("IFNA(QUERY(transpose(AY511:BB511),""Select Col1 where Col1 is not null limit 1"",0))"),"Peter")</f>
        <v>Peter</v>
      </c>
      <c r="AR511" s="84"/>
      <c r="AS511" s="84" t="str">
        <f t="shared" ref="AS511:AV511" si="4521">IF(AK511=AS$3,"",AS$3)</f>
        <v>Thomas</v>
      </c>
      <c r="AT511" s="84" t="str">
        <f t="shared" si="4521"/>
        <v>Peter</v>
      </c>
      <c r="AU511" s="84" t="str">
        <f t="shared" si="4521"/>
        <v/>
      </c>
      <c r="AV511" s="84" t="str">
        <f t="shared" si="4521"/>
        <v/>
      </c>
      <c r="AW511" s="84">
        <f t="shared" si="28"/>
        <v>2</v>
      </c>
      <c r="AX511" s="97">
        <f t="shared" si="29"/>
        <v>-48</v>
      </c>
      <c r="AY511" s="84" t="str">
        <f t="shared" ref="AY511:BB511" si="4522">IFNA(IFS(AY$3=$AP511,"",$AX511=U511,AY$3),"")</f>
        <v/>
      </c>
      <c r="AZ511" s="84" t="str">
        <f t="shared" si="4522"/>
        <v>Peter</v>
      </c>
      <c r="BA511" s="84" t="str">
        <f t="shared" si="4522"/>
        <v/>
      </c>
      <c r="BB511" s="84" t="str">
        <f t="shared" si="4522"/>
        <v/>
      </c>
      <c r="BC511" s="58">
        <f>OFFSET('00_Regnskab_01'!$A$1,MATCH(A511,'00_Regnskab_01'!$A$1:$A$25)-1,2)</f>
        <v>45199</v>
      </c>
      <c r="BD511" s="84"/>
      <c r="BE511" s="80">
        <f t="shared" ref="BE511:BH511" si="4523">if(U511&gt;0,1+BE510,0)</f>
        <v>0</v>
      </c>
      <c r="BF511" s="28">
        <f t="shared" si="4523"/>
        <v>0</v>
      </c>
      <c r="BG511" s="28">
        <f t="shared" si="4523"/>
        <v>1</v>
      </c>
      <c r="BH511" s="28">
        <f t="shared" si="4523"/>
        <v>2</v>
      </c>
      <c r="BI511" s="84"/>
      <c r="BJ511" s="28">
        <f t="shared" ref="BJ511:BM511" si="4524">if(U511&lt;0,1+BJ510,0)</f>
        <v>2</v>
      </c>
      <c r="BK511" s="28">
        <f t="shared" si="4524"/>
        <v>1</v>
      </c>
      <c r="BL511" s="28">
        <f t="shared" si="4524"/>
        <v>0</v>
      </c>
      <c r="BM511" s="28">
        <f t="shared" si="4524"/>
        <v>0</v>
      </c>
      <c r="BO511" s="74">
        <f t="shared" ref="BO511:BR511" si="4525">if(U511&gt;0,U511+BO510,0)</f>
        <v>0</v>
      </c>
      <c r="BP511" s="74">
        <f t="shared" si="4525"/>
        <v>0</v>
      </c>
      <c r="BQ511" s="110">
        <f t="shared" si="4525"/>
        <v>48</v>
      </c>
      <c r="BR511" s="110">
        <f t="shared" si="4525"/>
        <v>56</v>
      </c>
      <c r="BT511" s="80">
        <f t="shared" ref="BT511:BW511" si="4526">if(U511&lt;0,U511+BT510,0)</f>
        <v>-56</v>
      </c>
      <c r="BU511" s="80">
        <f t="shared" si="4526"/>
        <v>-48</v>
      </c>
      <c r="BV511" s="28">
        <f t="shared" si="4526"/>
        <v>0</v>
      </c>
      <c r="BW511" s="28">
        <f t="shared" si="4526"/>
        <v>0</v>
      </c>
      <c r="BX511" s="84"/>
      <c r="BY511" s="84"/>
    </row>
    <row r="512">
      <c r="A512" s="51">
        <v>23.0</v>
      </c>
      <c r="B512" s="32">
        <f>'23_27-06-2024'!A3</f>
        <v>1</v>
      </c>
      <c r="C512" s="32">
        <f>'23_27-06-2024'!B3</f>
        <v>6</v>
      </c>
      <c r="D512" s="32">
        <f>'23_27-06-2024'!C3</f>
        <v>-6</v>
      </c>
      <c r="E512" s="32">
        <f>'23_27-06-2024'!D3</f>
        <v>6</v>
      </c>
      <c r="F512" s="32">
        <f>'23_27-06-2024'!E3</f>
        <v>-6</v>
      </c>
      <c r="G512" s="32">
        <f>'23_27-06-2024'!F3</f>
        <v>0</v>
      </c>
      <c r="H512" s="32" t="str">
        <f>'23_27-06-2024'!I3</f>
        <v>Thomas</v>
      </c>
      <c r="I512" s="32" t="str">
        <f>'23_27-06-2024'!J3</f>
        <v>Jnaus</v>
      </c>
      <c r="J512" s="32" t="str">
        <f>'23_27-06-2024'!H3</f>
        <v>Christian</v>
      </c>
      <c r="K512" s="32" t="str">
        <f>'23_27-06-2024'!G3</f>
        <v>8 gode</v>
      </c>
      <c r="L512" s="32"/>
      <c r="M512" s="48">
        <v>8.0</v>
      </c>
      <c r="N512" s="48" t="s">
        <v>95</v>
      </c>
      <c r="O512" s="32"/>
      <c r="P512" s="32"/>
      <c r="Q512" s="32"/>
      <c r="R512" s="32"/>
      <c r="S512" s="32"/>
      <c r="T512" s="32"/>
      <c r="U512" s="71">
        <f t="shared" ref="U512:X512" si="4527">C512</f>
        <v>6</v>
      </c>
      <c r="V512" s="32">
        <f t="shared" si="4527"/>
        <v>-6</v>
      </c>
      <c r="W512" s="32">
        <f t="shared" si="4527"/>
        <v>6</v>
      </c>
      <c r="X512" s="32">
        <f t="shared" si="4527"/>
        <v>-6</v>
      </c>
      <c r="Y512" s="32"/>
      <c r="Z512" s="32"/>
      <c r="AA512" s="32"/>
      <c r="AB512" s="32">
        <f t="shared" ref="AB512:AE512" si="4528">IF(AB$3=$H512,U512,"")</f>
        <v>6</v>
      </c>
      <c r="AC512" s="32" t="str">
        <f t="shared" si="4528"/>
        <v/>
      </c>
      <c r="AD512" s="32" t="str">
        <f t="shared" si="4528"/>
        <v/>
      </c>
      <c r="AE512" s="32" t="str">
        <f t="shared" si="4528"/>
        <v/>
      </c>
      <c r="AF512" s="32"/>
      <c r="AG512" s="32"/>
      <c r="AH512" s="32">
        <f t="shared" si="22"/>
        <v>6</v>
      </c>
      <c r="AI512" s="32">
        <f t="shared" si="23"/>
        <v>0</v>
      </c>
      <c r="AJ512" s="32"/>
      <c r="AK512" s="72" t="str">
        <f t="shared" ref="AK512:AN512" si="4529">IF(U512&gt;0,AK$3,"")</f>
        <v>Thomas</v>
      </c>
      <c r="AL512" s="72" t="str">
        <f t="shared" si="4529"/>
        <v/>
      </c>
      <c r="AM512" s="72" t="str">
        <f t="shared" si="4529"/>
        <v>Janus</v>
      </c>
      <c r="AN512" s="72" t="str">
        <f t="shared" si="4529"/>
        <v/>
      </c>
      <c r="AO512" s="32">
        <f t="shared" si="25"/>
        <v>2</v>
      </c>
      <c r="AP512" s="114" t="str">
        <f t="shared" si="26"/>
        <v>Thomas</v>
      </c>
      <c r="AQ512" s="109" t="str">
        <f>IFERROR(__xludf.DUMMYFUNCTION("IFNA(QUERY(transpose(AY512:BB512),""Select Col1 where Col1 is not null limit 1"",0))"),"Janus")</f>
        <v>Janus</v>
      </c>
      <c r="AR512" s="32"/>
      <c r="AS512" s="32" t="str">
        <f t="shared" ref="AS512:AV512" si="4530">IF(AK512=AS$3,"",AS$3)</f>
        <v/>
      </c>
      <c r="AT512" s="32" t="str">
        <f t="shared" si="4530"/>
        <v>Peter</v>
      </c>
      <c r="AU512" s="32" t="str">
        <f t="shared" si="4530"/>
        <v/>
      </c>
      <c r="AV512" s="32" t="str">
        <f t="shared" si="4530"/>
        <v>Christian</v>
      </c>
      <c r="AW512" s="32">
        <f t="shared" si="28"/>
        <v>2</v>
      </c>
      <c r="AX512" s="32">
        <f t="shared" si="29"/>
        <v>6</v>
      </c>
      <c r="AY512" s="32" t="str">
        <f t="shared" ref="AY512:BB512" si="4531">IFNA(IFS(AY$3=$AP512,"",$AX512=U512,AY$3),"")</f>
        <v/>
      </c>
      <c r="AZ512" s="32" t="str">
        <f t="shared" si="4531"/>
        <v/>
      </c>
      <c r="BA512" s="32" t="str">
        <f t="shared" si="4531"/>
        <v>Janus</v>
      </c>
      <c r="BB512" s="32" t="str">
        <f t="shared" si="4531"/>
        <v/>
      </c>
      <c r="BC512" s="58">
        <f>OFFSET('00_Regnskab_01'!$A$1,MATCH(A512,'00_Regnskab_01'!$A$1:$A$25)-1,2)</f>
        <v>45199</v>
      </c>
      <c r="BD512" s="32"/>
      <c r="BE512" s="80">
        <f t="shared" ref="BE512:BH512" si="4532">if(U512&gt;0,1+BE511,0)</f>
        <v>1</v>
      </c>
      <c r="BF512" s="28">
        <f t="shared" si="4532"/>
        <v>0</v>
      </c>
      <c r="BG512" s="28">
        <f t="shared" si="4532"/>
        <v>2</v>
      </c>
      <c r="BH512" s="28">
        <f t="shared" si="4532"/>
        <v>0</v>
      </c>
      <c r="BI512" s="32"/>
      <c r="BJ512" s="28">
        <f t="shared" ref="BJ512:BM512" si="4533">if(U512&lt;0,1+BJ511,0)</f>
        <v>0</v>
      </c>
      <c r="BK512" s="28">
        <f t="shared" si="4533"/>
        <v>2</v>
      </c>
      <c r="BL512" s="28">
        <f t="shared" si="4533"/>
        <v>0</v>
      </c>
      <c r="BM512" s="28">
        <f t="shared" si="4533"/>
        <v>1</v>
      </c>
      <c r="BO512" s="74">
        <f t="shared" ref="BO512:BR512" si="4534">if(U512&gt;0,U512+BO511,0)</f>
        <v>6</v>
      </c>
      <c r="BP512" s="74">
        <f t="shared" si="4534"/>
        <v>0</v>
      </c>
      <c r="BQ512" s="110">
        <f t="shared" si="4534"/>
        <v>54</v>
      </c>
      <c r="BR512" s="74">
        <f t="shared" si="4534"/>
        <v>0</v>
      </c>
      <c r="BT512" s="28">
        <f t="shared" ref="BT512:BW512" si="4535">if(U512&lt;0,U512+BT511,0)</f>
        <v>0</v>
      </c>
      <c r="BU512" s="80">
        <f t="shared" si="4535"/>
        <v>-54</v>
      </c>
      <c r="BV512" s="28">
        <f t="shared" si="4535"/>
        <v>0</v>
      </c>
      <c r="BW512" s="28">
        <f t="shared" si="4535"/>
        <v>-6</v>
      </c>
      <c r="BX512" s="32"/>
      <c r="BY512" s="32"/>
    </row>
    <row r="513">
      <c r="A513" s="53">
        <v>23.0</v>
      </c>
      <c r="B513" s="28">
        <f>'23_27-06-2024'!A4</f>
        <v>2</v>
      </c>
      <c r="C513" s="28">
        <f>'23_27-06-2024'!B4</f>
        <v>-14</v>
      </c>
      <c r="D513" s="28">
        <f>'23_27-06-2024'!C4</f>
        <v>-26</v>
      </c>
      <c r="E513" s="28">
        <f>'23_27-06-2024'!D4</f>
        <v>26</v>
      </c>
      <c r="F513" s="28">
        <f>'23_27-06-2024'!E4</f>
        <v>14</v>
      </c>
      <c r="G513" s="28">
        <f>'23_27-06-2024'!F4</f>
        <v>0</v>
      </c>
      <c r="H513" s="28" t="str">
        <f>'23_27-06-2024'!I4</f>
        <v>Janus</v>
      </c>
      <c r="I513" s="28" t="str">
        <f>'23_27-06-2024'!J4</f>
        <v>Chrisitan</v>
      </c>
      <c r="J513" s="28" t="str">
        <f>'23_27-06-2024'!H4</f>
        <v>Thomas</v>
      </c>
      <c r="K513" s="28" t="str">
        <f>'23_27-06-2024'!G4</f>
        <v>9 gode</v>
      </c>
      <c r="L513" s="56"/>
      <c r="M513" s="25">
        <v>9.0</v>
      </c>
      <c r="N513" s="25" t="s">
        <v>95</v>
      </c>
      <c r="T513" s="56"/>
      <c r="U513" s="77">
        <f t="shared" ref="U513:X513" si="4536">C513-C512</f>
        <v>-20</v>
      </c>
      <c r="V513" s="28">
        <f t="shared" si="4536"/>
        <v>-20</v>
      </c>
      <c r="W513" s="28">
        <f t="shared" si="4536"/>
        <v>20</v>
      </c>
      <c r="X513" s="28">
        <f t="shared" si="4536"/>
        <v>20</v>
      </c>
      <c r="AB513" s="28" t="str">
        <f t="shared" ref="AB513:AE513" si="4537">IF(AB$3=$H513,U513,"")</f>
        <v/>
      </c>
      <c r="AC513" s="28" t="str">
        <f t="shared" si="4537"/>
        <v/>
      </c>
      <c r="AD513" s="28">
        <f t="shared" si="4537"/>
        <v>20</v>
      </c>
      <c r="AE513" s="28" t="str">
        <f t="shared" si="4537"/>
        <v/>
      </c>
      <c r="AH513" s="28">
        <f t="shared" si="22"/>
        <v>20</v>
      </c>
      <c r="AI513" s="28">
        <f t="shared" si="23"/>
        <v>0</v>
      </c>
      <c r="AK513" s="78" t="str">
        <f t="shared" ref="AK513:AN513" si="4538">IF(U513&gt;0,AK$3,"")</f>
        <v/>
      </c>
      <c r="AL513" s="78" t="str">
        <f t="shared" si="4538"/>
        <v/>
      </c>
      <c r="AM513" s="78" t="str">
        <f t="shared" si="4538"/>
        <v>Janus</v>
      </c>
      <c r="AN513" s="78" t="str">
        <f t="shared" si="4538"/>
        <v>Christian</v>
      </c>
      <c r="AO513" s="56">
        <f t="shared" si="25"/>
        <v>2</v>
      </c>
      <c r="AP513" s="8" t="str">
        <f t="shared" si="26"/>
        <v>Janus</v>
      </c>
      <c r="AQ513" s="73" t="str">
        <f>IFERROR(__xludf.DUMMYFUNCTION("IFNA(QUERY(transpose(AY513:BB513),""Select Col1 where Col1 is not null limit 1"",0))"),"Christian")</f>
        <v>Christian</v>
      </c>
      <c r="AR513" s="56"/>
      <c r="AS513" s="28" t="str">
        <f t="shared" ref="AS513:AV513" si="4539">IF(AK513=AS$3,"",AS$3)</f>
        <v>Thomas</v>
      </c>
      <c r="AT513" s="28" t="str">
        <f t="shared" si="4539"/>
        <v>Peter</v>
      </c>
      <c r="AU513" s="28" t="str">
        <f t="shared" si="4539"/>
        <v/>
      </c>
      <c r="AV513" s="28" t="str">
        <f t="shared" si="4539"/>
        <v/>
      </c>
      <c r="AW513" s="56">
        <f t="shared" si="28"/>
        <v>2</v>
      </c>
      <c r="AX513" s="28">
        <f t="shared" si="29"/>
        <v>20</v>
      </c>
      <c r="AY513" s="28" t="str">
        <f t="shared" ref="AY513:BB513" si="4540">IFNA(IFS(AY$3=$AP513,"",$AX513=U513,AY$3),"")</f>
        <v/>
      </c>
      <c r="AZ513" s="28" t="str">
        <f t="shared" si="4540"/>
        <v/>
      </c>
      <c r="BA513" s="28" t="str">
        <f t="shared" si="4540"/>
        <v/>
      </c>
      <c r="BB513" s="28" t="str">
        <f t="shared" si="4540"/>
        <v>Christian</v>
      </c>
      <c r="BC513" s="58">
        <f>OFFSET('00_Regnskab_01'!$A$1,MATCH(A513,'00_Regnskab_01'!$A$1:$A$25)-1,2)</f>
        <v>45199</v>
      </c>
      <c r="BE513" s="80">
        <f t="shared" ref="BE513:BH513" si="4541">if(U513&gt;0,1+BE512,0)</f>
        <v>0</v>
      </c>
      <c r="BF513" s="28">
        <f t="shared" si="4541"/>
        <v>0</v>
      </c>
      <c r="BG513" s="28">
        <f t="shared" si="4541"/>
        <v>3</v>
      </c>
      <c r="BH513" s="28">
        <f t="shared" si="4541"/>
        <v>1</v>
      </c>
      <c r="BJ513" s="28">
        <f t="shared" ref="BJ513:BM513" si="4542">if(U513&lt;0,1+BJ512,0)</f>
        <v>1</v>
      </c>
      <c r="BK513" s="28">
        <f t="shared" si="4542"/>
        <v>3</v>
      </c>
      <c r="BL513" s="28">
        <f t="shared" si="4542"/>
        <v>0</v>
      </c>
      <c r="BM513" s="28">
        <f t="shared" si="4542"/>
        <v>0</v>
      </c>
      <c r="BO513" s="74">
        <f t="shared" ref="BO513:BR513" si="4543">if(U513&gt;0,U513+BO512,0)</f>
        <v>0</v>
      </c>
      <c r="BP513" s="74">
        <f t="shared" si="4543"/>
        <v>0</v>
      </c>
      <c r="BQ513" s="110">
        <f t="shared" si="4543"/>
        <v>74</v>
      </c>
      <c r="BR513" s="74">
        <f t="shared" si="4543"/>
        <v>20</v>
      </c>
      <c r="BT513" s="28">
        <f t="shared" ref="BT513:BW513" si="4544">if(U513&lt;0,U513+BT512,0)</f>
        <v>-20</v>
      </c>
      <c r="BU513" s="80">
        <f t="shared" si="4544"/>
        <v>-74</v>
      </c>
      <c r="BV513" s="28">
        <f t="shared" si="4544"/>
        <v>0</v>
      </c>
      <c r="BW513" s="28">
        <f t="shared" si="4544"/>
        <v>0</v>
      </c>
    </row>
    <row r="514">
      <c r="A514" s="53">
        <v>23.0</v>
      </c>
      <c r="B514" s="28">
        <f>'23_27-06-2024'!A5</f>
        <v>3</v>
      </c>
      <c r="C514" s="28">
        <f>'23_27-06-2024'!B5</f>
        <v>50</v>
      </c>
      <c r="D514" s="28">
        <f>'23_27-06-2024'!C5</f>
        <v>-90</v>
      </c>
      <c r="E514" s="28">
        <f>'23_27-06-2024'!D5</f>
        <v>90</v>
      </c>
      <c r="F514" s="28">
        <f>'23_27-06-2024'!E5</f>
        <v>-50</v>
      </c>
      <c r="G514" s="28">
        <f>'23_27-06-2024'!F5</f>
        <v>0</v>
      </c>
      <c r="H514" s="28" t="str">
        <f>'23_27-06-2024'!I5</f>
        <v>Thomas</v>
      </c>
      <c r="I514" s="28" t="str">
        <f>'23_27-06-2024'!J5</f>
        <v>Janus</v>
      </c>
      <c r="J514" s="28" t="str">
        <f>'23_27-06-2024'!H5</f>
        <v>Peter</v>
      </c>
      <c r="K514" s="28" t="str">
        <f>'23_27-06-2024'!G5</f>
        <v>9 gode i vip 3.</v>
      </c>
      <c r="L514" s="56"/>
      <c r="M514" s="25">
        <v>8.0</v>
      </c>
      <c r="N514" s="25" t="s">
        <v>86</v>
      </c>
      <c r="O514" s="25">
        <v>3.0</v>
      </c>
      <c r="T514" s="56"/>
      <c r="U514" s="77">
        <f t="shared" ref="U514:X514" si="4545">C514-C513</f>
        <v>64</v>
      </c>
      <c r="V514" s="28">
        <f t="shared" si="4545"/>
        <v>-64</v>
      </c>
      <c r="W514" s="28">
        <f t="shared" si="4545"/>
        <v>64</v>
      </c>
      <c r="X514" s="28">
        <f t="shared" si="4545"/>
        <v>-64</v>
      </c>
      <c r="AB514" s="28">
        <f t="shared" ref="AB514:AE514" si="4546">IF(AB$3=$H514,U514,"")</f>
        <v>64</v>
      </c>
      <c r="AC514" s="28" t="str">
        <f t="shared" si="4546"/>
        <v/>
      </c>
      <c r="AD514" s="28" t="str">
        <f t="shared" si="4546"/>
        <v/>
      </c>
      <c r="AE514" s="28" t="str">
        <f t="shared" si="4546"/>
        <v/>
      </c>
      <c r="AH514" s="28">
        <f t="shared" si="22"/>
        <v>64</v>
      </c>
      <c r="AI514" s="28">
        <f t="shared" si="23"/>
        <v>0</v>
      </c>
      <c r="AK514" s="78" t="str">
        <f t="shared" ref="AK514:AN514" si="4547">IF(U514&gt;0,AK$3,"")</f>
        <v>Thomas</v>
      </c>
      <c r="AL514" s="78" t="str">
        <f t="shared" si="4547"/>
        <v/>
      </c>
      <c r="AM514" s="78" t="str">
        <f t="shared" si="4547"/>
        <v>Janus</v>
      </c>
      <c r="AN514" s="78" t="str">
        <f t="shared" si="4547"/>
        <v/>
      </c>
      <c r="AO514" s="56">
        <f t="shared" si="25"/>
        <v>2</v>
      </c>
      <c r="AP514" s="8" t="str">
        <f t="shared" si="26"/>
        <v>Thomas</v>
      </c>
      <c r="AQ514" s="73" t="str">
        <f>IFERROR(__xludf.DUMMYFUNCTION("IFNA(QUERY(transpose(AY514:BB514),""Select Col1 where Col1 is not null limit 1"",0))"),"Janus")</f>
        <v>Janus</v>
      </c>
      <c r="AR514" s="56"/>
      <c r="AS514" s="28" t="str">
        <f t="shared" ref="AS514:AV514" si="4548">IF(AK514=AS$3,"",AS$3)</f>
        <v/>
      </c>
      <c r="AT514" s="28" t="str">
        <f t="shared" si="4548"/>
        <v>Peter</v>
      </c>
      <c r="AU514" s="28" t="str">
        <f t="shared" si="4548"/>
        <v/>
      </c>
      <c r="AV514" s="28" t="str">
        <f t="shared" si="4548"/>
        <v>Christian</v>
      </c>
      <c r="AW514" s="56">
        <f t="shared" si="28"/>
        <v>2</v>
      </c>
      <c r="AX514" s="28">
        <f t="shared" si="29"/>
        <v>64</v>
      </c>
      <c r="AY514" s="28" t="str">
        <f t="shared" ref="AY514:BB514" si="4549">IFNA(IFS(AY$3=$AP514,"",$AX514=U514,AY$3),"")</f>
        <v/>
      </c>
      <c r="AZ514" s="28" t="str">
        <f t="shared" si="4549"/>
        <v/>
      </c>
      <c r="BA514" s="28" t="str">
        <f t="shared" si="4549"/>
        <v>Janus</v>
      </c>
      <c r="BB514" s="28" t="str">
        <f t="shared" si="4549"/>
        <v/>
      </c>
      <c r="BC514" s="58">
        <f>OFFSET('00_Regnskab_01'!$A$1,MATCH(A514,'00_Regnskab_01'!$A$1:$A$25)-1,2)</f>
        <v>45199</v>
      </c>
      <c r="BE514" s="80">
        <f t="shared" ref="BE514:BH514" si="4550">if(U514&gt;0,1+BE513,0)</f>
        <v>1</v>
      </c>
      <c r="BF514" s="28">
        <f t="shared" si="4550"/>
        <v>0</v>
      </c>
      <c r="BG514" s="28">
        <f t="shared" si="4550"/>
        <v>4</v>
      </c>
      <c r="BH514" s="28">
        <f t="shared" si="4550"/>
        <v>0</v>
      </c>
      <c r="BJ514" s="28">
        <f t="shared" ref="BJ514:BM514" si="4551">if(U514&lt;0,1+BJ513,0)</f>
        <v>0</v>
      </c>
      <c r="BK514" s="28">
        <f t="shared" si="4551"/>
        <v>4</v>
      </c>
      <c r="BL514" s="28">
        <f t="shared" si="4551"/>
        <v>0</v>
      </c>
      <c r="BM514" s="28">
        <f t="shared" si="4551"/>
        <v>1</v>
      </c>
      <c r="BO514" s="74">
        <f t="shared" ref="BO514:BR514" si="4552">if(U514&gt;0,U514+BO513,0)</f>
        <v>64</v>
      </c>
      <c r="BP514" s="74">
        <f t="shared" si="4552"/>
        <v>0</v>
      </c>
      <c r="BQ514" s="110">
        <f t="shared" si="4552"/>
        <v>138</v>
      </c>
      <c r="BR514" s="74">
        <f t="shared" si="4552"/>
        <v>0</v>
      </c>
      <c r="BT514" s="28">
        <f t="shared" ref="BT514:BW514" si="4553">if(U514&lt;0,U514+BT513,0)</f>
        <v>0</v>
      </c>
      <c r="BU514" s="80">
        <f t="shared" si="4553"/>
        <v>-138</v>
      </c>
      <c r="BV514" s="28">
        <f t="shared" si="4553"/>
        <v>0</v>
      </c>
      <c r="BW514" s="28">
        <f t="shared" si="4553"/>
        <v>-64</v>
      </c>
    </row>
    <row r="515">
      <c r="A515" s="53">
        <v>23.0</v>
      </c>
      <c r="B515" s="28">
        <f>'23_27-06-2024'!A6</f>
        <v>4</v>
      </c>
      <c r="C515" s="28">
        <f>'23_27-06-2024'!B6</f>
        <v>18</v>
      </c>
      <c r="D515" s="28">
        <f>'23_27-06-2024'!C6</f>
        <v>-122</v>
      </c>
      <c r="E515" s="28">
        <f>'23_27-06-2024'!D6</f>
        <v>122</v>
      </c>
      <c r="F515" s="28">
        <f>'23_27-06-2024'!E6</f>
        <v>-18</v>
      </c>
      <c r="G515" s="28">
        <f>'23_27-06-2024'!F6</f>
        <v>0</v>
      </c>
      <c r="H515" s="28" t="str">
        <f>'23_27-06-2024'!I6</f>
        <v>Thomas</v>
      </c>
      <c r="I515" s="28" t="str">
        <f>'23_27-06-2024'!J6</f>
        <v>Peter</v>
      </c>
      <c r="J515" s="28" t="str">
        <f>'23_27-06-2024'!H6</f>
        <v>Janus</v>
      </c>
      <c r="K515" s="28" t="str">
        <f>'23_27-06-2024'!G6</f>
        <v>10 vip i 2</v>
      </c>
      <c r="L515" s="56"/>
      <c r="M515" s="25">
        <v>10.0</v>
      </c>
      <c r="N515" s="25" t="s">
        <v>86</v>
      </c>
      <c r="O515" s="25">
        <v>2.0</v>
      </c>
      <c r="T515" s="56"/>
      <c r="U515" s="77">
        <f t="shared" ref="U515:X515" si="4554">C515-C514</f>
        <v>-32</v>
      </c>
      <c r="V515" s="28">
        <f t="shared" si="4554"/>
        <v>-32</v>
      </c>
      <c r="W515" s="28">
        <f t="shared" si="4554"/>
        <v>32</v>
      </c>
      <c r="X515" s="28">
        <f t="shared" si="4554"/>
        <v>32</v>
      </c>
      <c r="AB515" s="28">
        <f t="shared" ref="AB515:AE515" si="4555">IF(AB$3=$H515,U515,"")</f>
        <v>-32</v>
      </c>
      <c r="AC515" s="28" t="str">
        <f t="shared" si="4555"/>
        <v/>
      </c>
      <c r="AD515" s="28" t="str">
        <f t="shared" si="4555"/>
        <v/>
      </c>
      <c r="AE515" s="28" t="str">
        <f t="shared" si="4555"/>
        <v/>
      </c>
      <c r="AH515" s="28">
        <f t="shared" si="22"/>
        <v>0</v>
      </c>
      <c r="AI515" s="28">
        <f t="shared" si="23"/>
        <v>-32</v>
      </c>
      <c r="AK515" s="78" t="str">
        <f t="shared" ref="AK515:AN515" si="4556">IF(U515&gt;0,AK$3,"")</f>
        <v/>
      </c>
      <c r="AL515" s="78" t="str">
        <f t="shared" si="4556"/>
        <v/>
      </c>
      <c r="AM515" s="78" t="str">
        <f t="shared" si="4556"/>
        <v>Janus</v>
      </c>
      <c r="AN515" s="78" t="str">
        <f t="shared" si="4556"/>
        <v>Christian</v>
      </c>
      <c r="AO515" s="56">
        <f t="shared" si="25"/>
        <v>2</v>
      </c>
      <c r="AP515" s="8" t="str">
        <f t="shared" si="26"/>
        <v>Thomas</v>
      </c>
      <c r="AQ515" s="73" t="str">
        <f>IFERROR(__xludf.DUMMYFUNCTION("IFNA(QUERY(transpose(AY515:BB515),""Select Col1 where Col1 is not null limit 1"",0))"),"Peter")</f>
        <v>Peter</v>
      </c>
      <c r="AR515" s="56"/>
      <c r="AS515" s="28" t="str">
        <f t="shared" ref="AS515:AV515" si="4557">IF(AK515=AS$3,"",AS$3)</f>
        <v>Thomas</v>
      </c>
      <c r="AT515" s="28" t="str">
        <f t="shared" si="4557"/>
        <v>Peter</v>
      </c>
      <c r="AU515" s="28" t="str">
        <f t="shared" si="4557"/>
        <v/>
      </c>
      <c r="AV515" s="28" t="str">
        <f t="shared" si="4557"/>
        <v/>
      </c>
      <c r="AW515" s="56">
        <f t="shared" si="28"/>
        <v>2</v>
      </c>
      <c r="AX515" s="28">
        <f t="shared" si="29"/>
        <v>-32</v>
      </c>
      <c r="AY515" s="28" t="str">
        <f t="shared" ref="AY515:BB515" si="4558">IFNA(IFS(AY$3=$AP515,"",$AX515=U515,AY$3),"")</f>
        <v/>
      </c>
      <c r="AZ515" s="28" t="str">
        <f t="shared" si="4558"/>
        <v>Peter</v>
      </c>
      <c r="BA515" s="28" t="str">
        <f t="shared" si="4558"/>
        <v/>
      </c>
      <c r="BB515" s="28" t="str">
        <f t="shared" si="4558"/>
        <v/>
      </c>
      <c r="BC515" s="58">
        <f>OFFSET('00_Regnskab_01'!$A$1,MATCH(A515,'00_Regnskab_01'!$A$1:$A$25)-1,2)</f>
        <v>45199</v>
      </c>
      <c r="BE515" s="80">
        <f t="shared" ref="BE515:BH515" si="4559">if(U515&gt;0,1+BE514,0)</f>
        <v>0</v>
      </c>
      <c r="BF515" s="28">
        <f t="shared" si="4559"/>
        <v>0</v>
      </c>
      <c r="BG515" s="28">
        <f t="shared" si="4559"/>
        <v>5</v>
      </c>
      <c r="BH515" s="28">
        <f t="shared" si="4559"/>
        <v>1</v>
      </c>
      <c r="BJ515" s="28">
        <f t="shared" ref="BJ515:BM515" si="4560">if(U515&lt;0,1+BJ514,0)</f>
        <v>1</v>
      </c>
      <c r="BK515" s="28">
        <f t="shared" si="4560"/>
        <v>5</v>
      </c>
      <c r="BL515" s="28">
        <f t="shared" si="4560"/>
        <v>0</v>
      </c>
      <c r="BM515" s="28">
        <f t="shared" si="4560"/>
        <v>0</v>
      </c>
      <c r="BO515" s="74">
        <f t="shared" ref="BO515:BR515" si="4561">if(U515&gt;0,U515+BO514,0)</f>
        <v>0</v>
      </c>
      <c r="BP515" s="74">
        <f t="shared" si="4561"/>
        <v>0</v>
      </c>
      <c r="BQ515" s="110">
        <f t="shared" si="4561"/>
        <v>170</v>
      </c>
      <c r="BR515" s="74">
        <f t="shared" si="4561"/>
        <v>32</v>
      </c>
      <c r="BT515" s="28">
        <f t="shared" ref="BT515:BW515" si="4562">if(U515&lt;0,U515+BT514,0)</f>
        <v>-32</v>
      </c>
      <c r="BU515" s="80">
        <f t="shared" si="4562"/>
        <v>-170</v>
      </c>
      <c r="BV515" s="28">
        <f t="shared" si="4562"/>
        <v>0</v>
      </c>
      <c r="BW515" s="28">
        <f t="shared" si="4562"/>
        <v>0</v>
      </c>
    </row>
    <row r="516">
      <c r="A516" s="53">
        <v>23.0</v>
      </c>
      <c r="B516" s="28">
        <f>'23_27-06-2024'!A7</f>
        <v>5</v>
      </c>
      <c r="C516" s="28">
        <f>'23_27-06-2024'!B7</f>
        <v>30</v>
      </c>
      <c r="D516" s="28">
        <f>'23_27-06-2024'!C7</f>
        <v>-134</v>
      </c>
      <c r="E516" s="28">
        <f>'23_27-06-2024'!D7</f>
        <v>134</v>
      </c>
      <c r="F516" s="28">
        <f>'23_27-06-2024'!E7</f>
        <v>-30</v>
      </c>
      <c r="G516" s="28">
        <f>'23_27-06-2024'!F7</f>
        <v>0</v>
      </c>
      <c r="H516" s="28" t="str">
        <f>'23_27-06-2024'!I7</f>
        <v>Thomas</v>
      </c>
      <c r="I516" s="28" t="str">
        <f>'23_27-06-2024'!J7</f>
        <v>Janus</v>
      </c>
      <c r="J516" s="28" t="str">
        <f>'23_27-06-2024'!H7</f>
        <v>Christian</v>
      </c>
      <c r="K516" s="28" t="str">
        <f>'23_27-06-2024'!G7</f>
        <v>Ren 10</v>
      </c>
      <c r="L516" s="56"/>
      <c r="M516" s="25">
        <v>10.0</v>
      </c>
      <c r="N516" s="25" t="s">
        <v>100</v>
      </c>
      <c r="T516" s="56"/>
      <c r="U516" s="77">
        <f t="shared" ref="U516:X516" si="4563">C516-C515</f>
        <v>12</v>
      </c>
      <c r="V516" s="28">
        <f t="shared" si="4563"/>
        <v>-12</v>
      </c>
      <c r="W516" s="28">
        <f t="shared" si="4563"/>
        <v>12</v>
      </c>
      <c r="X516" s="28">
        <f t="shared" si="4563"/>
        <v>-12</v>
      </c>
      <c r="AB516" s="28">
        <f t="shared" ref="AB516:AE516" si="4564">IF(AB$3=$H516,U516,"")</f>
        <v>12</v>
      </c>
      <c r="AC516" s="28" t="str">
        <f t="shared" si="4564"/>
        <v/>
      </c>
      <c r="AD516" s="28" t="str">
        <f t="shared" si="4564"/>
        <v/>
      </c>
      <c r="AE516" s="28" t="str">
        <f t="shared" si="4564"/>
        <v/>
      </c>
      <c r="AH516" s="28">
        <f t="shared" si="22"/>
        <v>12</v>
      </c>
      <c r="AI516" s="28">
        <f t="shared" si="23"/>
        <v>0</v>
      </c>
      <c r="AK516" s="78" t="str">
        <f t="shared" ref="AK516:AN516" si="4565">IF(U516&gt;0,AK$3,"")</f>
        <v>Thomas</v>
      </c>
      <c r="AL516" s="78" t="str">
        <f t="shared" si="4565"/>
        <v/>
      </c>
      <c r="AM516" s="78" t="str">
        <f t="shared" si="4565"/>
        <v>Janus</v>
      </c>
      <c r="AN516" s="78" t="str">
        <f t="shared" si="4565"/>
        <v/>
      </c>
      <c r="AO516" s="56">
        <f t="shared" si="25"/>
        <v>2</v>
      </c>
      <c r="AP516" s="8" t="str">
        <f t="shared" si="26"/>
        <v>Thomas</v>
      </c>
      <c r="AQ516" s="73" t="str">
        <f>IFERROR(__xludf.DUMMYFUNCTION("IFNA(QUERY(transpose(AY516:BB516),""Select Col1 where Col1 is not null limit 1"",0))"),"Janus")</f>
        <v>Janus</v>
      </c>
      <c r="AR516" s="56"/>
      <c r="AS516" s="28" t="str">
        <f t="shared" ref="AS516:AV516" si="4566">IF(AK516=AS$3,"",AS$3)</f>
        <v/>
      </c>
      <c r="AT516" s="28" t="str">
        <f t="shared" si="4566"/>
        <v>Peter</v>
      </c>
      <c r="AU516" s="28" t="str">
        <f t="shared" si="4566"/>
        <v/>
      </c>
      <c r="AV516" s="28" t="str">
        <f t="shared" si="4566"/>
        <v>Christian</v>
      </c>
      <c r="AW516" s="56">
        <f t="shared" si="28"/>
        <v>2</v>
      </c>
      <c r="AX516" s="28">
        <f t="shared" si="29"/>
        <v>12</v>
      </c>
      <c r="AY516" s="28" t="str">
        <f t="shared" ref="AY516:BB516" si="4567">IFNA(IFS(AY$3=$AP516,"",$AX516=U516,AY$3),"")</f>
        <v/>
      </c>
      <c r="AZ516" s="28" t="str">
        <f t="shared" si="4567"/>
        <v/>
      </c>
      <c r="BA516" s="28" t="str">
        <f t="shared" si="4567"/>
        <v>Janus</v>
      </c>
      <c r="BB516" s="28" t="str">
        <f t="shared" si="4567"/>
        <v/>
      </c>
      <c r="BC516" s="58">
        <f>OFFSET('00_Regnskab_01'!$A$1,MATCH(A516,'00_Regnskab_01'!$A$1:$A$25)-1,2)</f>
        <v>45199</v>
      </c>
      <c r="BE516" s="80">
        <f t="shared" ref="BE516:BH516" si="4568">if(U516&gt;0,1+BE515,0)</f>
        <v>1</v>
      </c>
      <c r="BF516" s="28">
        <f t="shared" si="4568"/>
        <v>0</v>
      </c>
      <c r="BG516" s="28">
        <f t="shared" si="4568"/>
        <v>6</v>
      </c>
      <c r="BH516" s="28">
        <f t="shared" si="4568"/>
        <v>0</v>
      </c>
      <c r="BJ516" s="28">
        <f t="shared" ref="BJ516:BM516" si="4569">if(U516&lt;0,1+BJ515,0)</f>
        <v>0</v>
      </c>
      <c r="BK516" s="28">
        <f t="shared" si="4569"/>
        <v>6</v>
      </c>
      <c r="BL516" s="28">
        <f t="shared" si="4569"/>
        <v>0</v>
      </c>
      <c r="BM516" s="28">
        <f t="shared" si="4569"/>
        <v>1</v>
      </c>
      <c r="BO516" s="74">
        <f t="shared" ref="BO516:BR516" si="4570">if(U516&gt;0,U516+BO515,0)</f>
        <v>12</v>
      </c>
      <c r="BP516" s="74">
        <f t="shared" si="4570"/>
        <v>0</v>
      </c>
      <c r="BQ516" s="110">
        <f t="shared" si="4570"/>
        <v>182</v>
      </c>
      <c r="BR516" s="74">
        <f t="shared" si="4570"/>
        <v>0</v>
      </c>
      <c r="BT516" s="28">
        <f t="shared" ref="BT516:BW516" si="4571">if(U516&lt;0,U516+BT515,0)</f>
        <v>0</v>
      </c>
      <c r="BU516" s="80">
        <f t="shared" si="4571"/>
        <v>-182</v>
      </c>
      <c r="BV516" s="28">
        <f t="shared" si="4571"/>
        <v>0</v>
      </c>
      <c r="BW516" s="28">
        <f t="shared" si="4571"/>
        <v>-12</v>
      </c>
    </row>
    <row r="517">
      <c r="A517" s="53">
        <v>23.0</v>
      </c>
      <c r="B517" s="28">
        <f>'23_27-06-2024'!A8</f>
        <v>6</v>
      </c>
      <c r="C517" s="28">
        <f>'23_27-06-2024'!B8</f>
        <v>34</v>
      </c>
      <c r="D517" s="28">
        <f>'23_27-06-2024'!C8</f>
        <v>-146</v>
      </c>
      <c r="E517" s="28">
        <f>'23_27-06-2024'!D8</f>
        <v>138</v>
      </c>
      <c r="F517" s="28">
        <f>'23_27-06-2024'!E8</f>
        <v>-26</v>
      </c>
      <c r="G517" s="28">
        <f>'23_27-06-2024'!F8</f>
        <v>0</v>
      </c>
      <c r="H517" s="28" t="str">
        <f>'23_27-06-2024'!I8</f>
        <v>Peter</v>
      </c>
      <c r="I517" s="28" t="str">
        <f>'23_27-06-2024'!J8</f>
        <v>Peter</v>
      </c>
      <c r="J517" s="28" t="str">
        <f>'23_27-06-2024'!H8</f>
        <v>Thomas</v>
      </c>
      <c r="K517" s="28" t="str">
        <f>'23_27-06-2024'!G8</f>
        <v>Sol</v>
      </c>
      <c r="L517" s="56"/>
      <c r="N517" s="25" t="s">
        <v>99</v>
      </c>
      <c r="T517" s="56"/>
      <c r="U517" s="77">
        <f t="shared" ref="U517:X517" si="4572">C517-C516</f>
        <v>4</v>
      </c>
      <c r="V517" s="28">
        <f t="shared" si="4572"/>
        <v>-12</v>
      </c>
      <c r="W517" s="28">
        <f t="shared" si="4572"/>
        <v>4</v>
      </c>
      <c r="X517" s="28">
        <f t="shared" si="4572"/>
        <v>4</v>
      </c>
      <c r="AB517" s="28" t="str">
        <f t="shared" ref="AB517:AE517" si="4573">IF(AB$3=$H517,U517,"")</f>
        <v/>
      </c>
      <c r="AC517" s="28">
        <f t="shared" si="4573"/>
        <v>-12</v>
      </c>
      <c r="AD517" s="28" t="str">
        <f t="shared" si="4573"/>
        <v/>
      </c>
      <c r="AE517" s="28" t="str">
        <f t="shared" si="4573"/>
        <v/>
      </c>
      <c r="AH517" s="28">
        <f t="shared" si="22"/>
        <v>0</v>
      </c>
      <c r="AI517" s="28">
        <f t="shared" si="23"/>
        <v>-12</v>
      </c>
      <c r="AK517" s="78" t="str">
        <f t="shared" ref="AK517:AN517" si="4574">IF(U517&gt;0,AK$3,"")</f>
        <v>Thomas</v>
      </c>
      <c r="AL517" s="78" t="str">
        <f t="shared" si="4574"/>
        <v/>
      </c>
      <c r="AM517" s="78" t="str">
        <f t="shared" si="4574"/>
        <v>Janus</v>
      </c>
      <c r="AN517" s="78" t="str">
        <f t="shared" si="4574"/>
        <v>Christian</v>
      </c>
      <c r="AO517" s="56">
        <f t="shared" si="25"/>
        <v>3</v>
      </c>
      <c r="AP517" s="8" t="str">
        <f t="shared" si="26"/>
        <v>Peter</v>
      </c>
      <c r="AQ517" s="73" t="str">
        <f>IFERROR(__xludf.DUMMYFUNCTION("IFNA(QUERY(transpose(AY517:BB517),""Select Col1 where Col1 is not null limit 1"",0))"),"")</f>
        <v/>
      </c>
      <c r="AR517" s="56"/>
      <c r="AS517" s="28" t="str">
        <f t="shared" ref="AS517:AV517" si="4575">IF(AK517=AS$3,"",AS$3)</f>
        <v/>
      </c>
      <c r="AT517" s="28" t="str">
        <f t="shared" si="4575"/>
        <v>Peter</v>
      </c>
      <c r="AU517" s="28" t="str">
        <f t="shared" si="4575"/>
        <v/>
      </c>
      <c r="AV517" s="28" t="str">
        <f t="shared" si="4575"/>
        <v/>
      </c>
      <c r="AW517" s="56">
        <f t="shared" si="28"/>
        <v>1</v>
      </c>
      <c r="AX517" s="28">
        <f t="shared" si="29"/>
        <v>-12</v>
      </c>
      <c r="AY517" s="28" t="str">
        <f t="shared" ref="AY517:BB517" si="4576">IFNA(IFS(AY$3=$AP517,"",$AX517=U517,AY$3),"")</f>
        <v/>
      </c>
      <c r="AZ517" s="28" t="str">
        <f t="shared" si="4576"/>
        <v/>
      </c>
      <c r="BA517" s="28" t="str">
        <f t="shared" si="4576"/>
        <v/>
      </c>
      <c r="BB517" s="28" t="str">
        <f t="shared" si="4576"/>
        <v/>
      </c>
      <c r="BC517" s="58">
        <f>OFFSET('00_Regnskab_01'!$A$1,MATCH(A517,'00_Regnskab_01'!$A$1:$A$25)-1,2)</f>
        <v>45199</v>
      </c>
      <c r="BE517" s="80">
        <f t="shared" ref="BE517:BH517" si="4577">if(U517&gt;0,1+BE516,0)</f>
        <v>2</v>
      </c>
      <c r="BF517" s="28">
        <f t="shared" si="4577"/>
        <v>0</v>
      </c>
      <c r="BG517" s="28">
        <f t="shared" si="4577"/>
        <v>7</v>
      </c>
      <c r="BH517" s="28">
        <f t="shared" si="4577"/>
        <v>1</v>
      </c>
      <c r="BJ517" s="28">
        <f t="shared" ref="BJ517:BM517" si="4578">if(U517&lt;0,1+BJ516,0)</f>
        <v>0</v>
      </c>
      <c r="BK517" s="28">
        <f t="shared" si="4578"/>
        <v>7</v>
      </c>
      <c r="BL517" s="28">
        <f t="shared" si="4578"/>
        <v>0</v>
      </c>
      <c r="BM517" s="28">
        <f t="shared" si="4578"/>
        <v>0</v>
      </c>
      <c r="BO517" s="74">
        <f t="shared" ref="BO517:BR517" si="4579">if(U517&gt;0,U517+BO516,0)</f>
        <v>16</v>
      </c>
      <c r="BP517" s="74">
        <f t="shared" si="4579"/>
        <v>0</v>
      </c>
      <c r="BQ517" s="110">
        <f t="shared" si="4579"/>
        <v>186</v>
      </c>
      <c r="BR517" s="74">
        <f t="shared" si="4579"/>
        <v>4</v>
      </c>
      <c r="BT517" s="28">
        <f t="shared" ref="BT517:BW517" si="4580">if(U517&lt;0,U517+BT516,0)</f>
        <v>0</v>
      </c>
      <c r="BU517" s="80">
        <f t="shared" si="4580"/>
        <v>-194</v>
      </c>
      <c r="BV517" s="28">
        <f t="shared" si="4580"/>
        <v>0</v>
      </c>
      <c r="BW517" s="28">
        <f t="shared" si="4580"/>
        <v>0</v>
      </c>
    </row>
    <row r="518">
      <c r="A518" s="53">
        <v>23.0</v>
      </c>
      <c r="B518" s="28">
        <f>'23_27-06-2024'!A9</f>
        <v>7</v>
      </c>
      <c r="C518" s="28">
        <f>'23_27-06-2024'!B9</f>
        <v>-6</v>
      </c>
      <c r="D518" s="28">
        <f>'23_27-06-2024'!C9</f>
        <v>-186</v>
      </c>
      <c r="E518" s="28">
        <f>'23_27-06-2024'!D9</f>
        <v>178</v>
      </c>
      <c r="F518" s="28">
        <f>'23_27-06-2024'!E9</f>
        <v>14</v>
      </c>
      <c r="G518" s="28">
        <f>'23_27-06-2024'!F9</f>
        <v>0</v>
      </c>
      <c r="H518" s="28" t="str">
        <f>'23_27-06-2024'!I9</f>
        <v>Thomas</v>
      </c>
      <c r="I518" s="28" t="str">
        <f>'23_27-06-2024'!J9</f>
        <v>Peter</v>
      </c>
      <c r="J518" s="28" t="str">
        <f>'23_27-06-2024'!H9</f>
        <v>Peter</v>
      </c>
      <c r="K518" s="28" t="str">
        <f>'23_27-06-2024'!G9</f>
        <v>10 halve</v>
      </c>
      <c r="L518" s="56"/>
      <c r="M518" s="25">
        <v>10.0</v>
      </c>
      <c r="N518" s="25" t="s">
        <v>94</v>
      </c>
      <c r="T518" s="56"/>
      <c r="U518" s="77">
        <f t="shared" ref="U518:X518" si="4581">C518-C517</f>
        <v>-40</v>
      </c>
      <c r="V518" s="28">
        <f t="shared" si="4581"/>
        <v>-40</v>
      </c>
      <c r="W518" s="28">
        <f t="shared" si="4581"/>
        <v>40</v>
      </c>
      <c r="X518" s="28">
        <f t="shared" si="4581"/>
        <v>40</v>
      </c>
      <c r="AB518" s="28">
        <f t="shared" ref="AB518:AE518" si="4582">IF(AB$3=$H518,U518,"")</f>
        <v>-40</v>
      </c>
      <c r="AC518" s="28" t="str">
        <f t="shared" si="4582"/>
        <v/>
      </c>
      <c r="AD518" s="28" t="str">
        <f t="shared" si="4582"/>
        <v/>
      </c>
      <c r="AE518" s="28" t="str">
        <f t="shared" si="4582"/>
        <v/>
      </c>
      <c r="AH518" s="28">
        <f t="shared" si="22"/>
        <v>0</v>
      </c>
      <c r="AI518" s="28">
        <f t="shared" si="23"/>
        <v>-40</v>
      </c>
      <c r="AK518" s="78" t="str">
        <f t="shared" ref="AK518:AN518" si="4583">IF(U518&gt;0,AK$3,"")</f>
        <v/>
      </c>
      <c r="AL518" s="78" t="str">
        <f t="shared" si="4583"/>
        <v/>
      </c>
      <c r="AM518" s="78" t="str">
        <f t="shared" si="4583"/>
        <v>Janus</v>
      </c>
      <c r="AN518" s="78" t="str">
        <f t="shared" si="4583"/>
        <v>Christian</v>
      </c>
      <c r="AO518" s="56">
        <f t="shared" si="25"/>
        <v>2</v>
      </c>
      <c r="AP518" s="8" t="str">
        <f t="shared" si="26"/>
        <v>Thomas</v>
      </c>
      <c r="AQ518" s="73" t="str">
        <f>IFERROR(__xludf.DUMMYFUNCTION("IFNA(QUERY(transpose(AY518:BB518),""Select Col1 where Col1 is not null limit 1"",0))"),"Peter")</f>
        <v>Peter</v>
      </c>
      <c r="AR518" s="56"/>
      <c r="AS518" s="28" t="str">
        <f t="shared" ref="AS518:AV518" si="4584">IF(AK518=AS$3,"",AS$3)</f>
        <v>Thomas</v>
      </c>
      <c r="AT518" s="28" t="str">
        <f t="shared" si="4584"/>
        <v>Peter</v>
      </c>
      <c r="AU518" s="28" t="str">
        <f t="shared" si="4584"/>
        <v/>
      </c>
      <c r="AV518" s="28" t="str">
        <f t="shared" si="4584"/>
        <v/>
      </c>
      <c r="AW518" s="56">
        <f t="shared" si="28"/>
        <v>2</v>
      </c>
      <c r="AX518" s="28">
        <f t="shared" si="29"/>
        <v>-40</v>
      </c>
      <c r="AY518" s="28" t="str">
        <f t="shared" ref="AY518:BB518" si="4585">IFNA(IFS(AY$3=$AP518,"",$AX518=U518,AY$3),"")</f>
        <v/>
      </c>
      <c r="AZ518" s="28" t="str">
        <f t="shared" si="4585"/>
        <v>Peter</v>
      </c>
      <c r="BA518" s="28" t="str">
        <f t="shared" si="4585"/>
        <v/>
      </c>
      <c r="BB518" s="28" t="str">
        <f t="shared" si="4585"/>
        <v/>
      </c>
      <c r="BC518" s="58">
        <f>OFFSET('00_Regnskab_01'!$A$1,MATCH(A518,'00_Regnskab_01'!$A$1:$A$25)-1,2)</f>
        <v>45199</v>
      </c>
      <c r="BE518" s="80">
        <f t="shared" ref="BE518:BH518" si="4586">if(U518&gt;0,1+BE517,0)</f>
        <v>0</v>
      </c>
      <c r="BF518" s="28">
        <f t="shared" si="4586"/>
        <v>0</v>
      </c>
      <c r="BG518" s="28">
        <f t="shared" si="4586"/>
        <v>8</v>
      </c>
      <c r="BH518" s="28">
        <f t="shared" si="4586"/>
        <v>2</v>
      </c>
      <c r="BJ518" s="28">
        <f t="shared" ref="BJ518:BM518" si="4587">if(U518&lt;0,1+BJ517,0)</f>
        <v>1</v>
      </c>
      <c r="BK518" s="28">
        <f t="shared" si="4587"/>
        <v>8</v>
      </c>
      <c r="BL518" s="28">
        <f t="shared" si="4587"/>
        <v>0</v>
      </c>
      <c r="BM518" s="28">
        <f t="shared" si="4587"/>
        <v>0</v>
      </c>
      <c r="BO518" s="74">
        <f t="shared" ref="BO518:BR518" si="4588">if(U518&gt;0,U518+BO517,0)</f>
        <v>0</v>
      </c>
      <c r="BP518" s="74">
        <f t="shared" si="4588"/>
        <v>0</v>
      </c>
      <c r="BQ518" s="110">
        <f t="shared" si="4588"/>
        <v>226</v>
      </c>
      <c r="BR518" s="74">
        <f t="shared" si="4588"/>
        <v>44</v>
      </c>
      <c r="BT518" s="28">
        <f t="shared" ref="BT518:BW518" si="4589">if(U518&lt;0,U518+BT517,0)</f>
        <v>-40</v>
      </c>
      <c r="BU518" s="80">
        <f t="shared" si="4589"/>
        <v>-234</v>
      </c>
      <c r="BV518" s="28">
        <f t="shared" si="4589"/>
        <v>0</v>
      </c>
      <c r="BW518" s="28">
        <f t="shared" si="4589"/>
        <v>0</v>
      </c>
    </row>
    <row r="519">
      <c r="A519" s="53">
        <v>23.0</v>
      </c>
      <c r="B519" s="28">
        <f>'23_27-06-2024'!A10</f>
        <v>8</v>
      </c>
      <c r="C519" s="28">
        <f>'23_27-06-2024'!B10</f>
        <v>-14</v>
      </c>
      <c r="D519" s="28">
        <f>'23_27-06-2024'!C10</f>
        <v>-162</v>
      </c>
      <c r="E519" s="28">
        <f>'23_27-06-2024'!D10</f>
        <v>170</v>
      </c>
      <c r="F519" s="28">
        <f>'23_27-06-2024'!E10</f>
        <v>6</v>
      </c>
      <c r="G519" s="28">
        <f>'23_27-06-2024'!F10</f>
        <v>0</v>
      </c>
      <c r="H519" s="28" t="str">
        <f>'23_27-06-2024'!I10</f>
        <v>Peter</v>
      </c>
      <c r="I519" s="28" t="str">
        <f>'23_27-06-2024'!J10</f>
        <v/>
      </c>
      <c r="J519" s="28" t="str">
        <f>'23_27-06-2024'!H10</f>
        <v>Janus</v>
      </c>
      <c r="K519" s="28" t="str">
        <f>'23_27-06-2024'!G10</f>
        <v>ren sol</v>
      </c>
      <c r="L519" s="56"/>
      <c r="N519" s="25" t="s">
        <v>97</v>
      </c>
      <c r="T519" s="56"/>
      <c r="U519" s="77">
        <f t="shared" ref="U519:X519" si="4590">C519-C518</f>
        <v>-8</v>
      </c>
      <c r="V519" s="28">
        <f t="shared" si="4590"/>
        <v>24</v>
      </c>
      <c r="W519" s="28">
        <f t="shared" si="4590"/>
        <v>-8</v>
      </c>
      <c r="X519" s="28">
        <f t="shared" si="4590"/>
        <v>-8</v>
      </c>
      <c r="AB519" s="28" t="str">
        <f t="shared" ref="AB519:AE519" si="4591">IF(AB$3=$H519,U519,"")</f>
        <v/>
      </c>
      <c r="AC519" s="28">
        <f t="shared" si="4591"/>
        <v>24</v>
      </c>
      <c r="AD519" s="28" t="str">
        <f t="shared" si="4591"/>
        <v/>
      </c>
      <c r="AE519" s="28" t="str">
        <f t="shared" si="4591"/>
        <v/>
      </c>
      <c r="AH519" s="28">
        <f t="shared" si="22"/>
        <v>24</v>
      </c>
      <c r="AI519" s="28">
        <f t="shared" si="23"/>
        <v>0</v>
      </c>
      <c r="AK519" s="78" t="str">
        <f t="shared" ref="AK519:AN519" si="4592">IF(U519&gt;0,AK$3,"")</f>
        <v/>
      </c>
      <c r="AL519" s="78" t="str">
        <f t="shared" si="4592"/>
        <v>Peter</v>
      </c>
      <c r="AM519" s="78" t="str">
        <f t="shared" si="4592"/>
        <v/>
      </c>
      <c r="AN519" s="78" t="str">
        <f t="shared" si="4592"/>
        <v/>
      </c>
      <c r="AO519" s="56">
        <f t="shared" si="25"/>
        <v>1</v>
      </c>
      <c r="AP519" s="8" t="str">
        <f t="shared" si="26"/>
        <v>Peter</v>
      </c>
      <c r="AQ519" s="73" t="str">
        <f>IFERROR(__xludf.DUMMYFUNCTION("IFNA(QUERY(transpose(AY519:BB519),""Select Col1 where Col1 is not null limit 1"",0))"),"")</f>
        <v/>
      </c>
      <c r="AR519" s="56"/>
      <c r="AS519" s="28" t="str">
        <f t="shared" ref="AS519:AV519" si="4593">IF(AK519=AS$3,"",AS$3)</f>
        <v>Thomas</v>
      </c>
      <c r="AT519" s="28" t="str">
        <f t="shared" si="4593"/>
        <v/>
      </c>
      <c r="AU519" s="28" t="str">
        <f t="shared" si="4593"/>
        <v>Janus</v>
      </c>
      <c r="AV519" s="28" t="str">
        <f t="shared" si="4593"/>
        <v>Christian</v>
      </c>
      <c r="AW519" s="56">
        <f t="shared" si="28"/>
        <v>3</v>
      </c>
      <c r="AX519" s="28">
        <f t="shared" si="29"/>
        <v>24</v>
      </c>
      <c r="AY519" s="28" t="str">
        <f t="shared" ref="AY519:BB519" si="4594">IFNA(IFS(AY$3=$AP519,"",$AX519=U519,AY$3),"")</f>
        <v/>
      </c>
      <c r="AZ519" s="28" t="str">
        <f t="shared" si="4594"/>
        <v/>
      </c>
      <c r="BA519" s="28" t="str">
        <f t="shared" si="4594"/>
        <v/>
      </c>
      <c r="BB519" s="28" t="str">
        <f t="shared" si="4594"/>
        <v/>
      </c>
      <c r="BC519" s="58">
        <f>OFFSET('00_Regnskab_01'!$A$1,MATCH(A519,'00_Regnskab_01'!$A$1:$A$25)-1,2)</f>
        <v>45199</v>
      </c>
      <c r="BE519" s="80">
        <f t="shared" ref="BE519:BH519" si="4595">if(U519&gt;0,1+BE518,0)</f>
        <v>0</v>
      </c>
      <c r="BF519" s="28">
        <f t="shared" si="4595"/>
        <v>1</v>
      </c>
      <c r="BG519" s="28">
        <f t="shared" si="4595"/>
        <v>0</v>
      </c>
      <c r="BH519" s="28">
        <f t="shared" si="4595"/>
        <v>0</v>
      </c>
      <c r="BJ519" s="28">
        <f t="shared" ref="BJ519:BM519" si="4596">if(U519&lt;0,1+BJ518,0)</f>
        <v>2</v>
      </c>
      <c r="BK519" s="28">
        <f t="shared" si="4596"/>
        <v>0</v>
      </c>
      <c r="BL519" s="28">
        <f t="shared" si="4596"/>
        <v>1</v>
      </c>
      <c r="BM519" s="28">
        <f t="shared" si="4596"/>
        <v>1</v>
      </c>
      <c r="BO519" s="74">
        <f t="shared" ref="BO519:BR519" si="4597">if(U519&gt;0,U519+BO518,0)</f>
        <v>0</v>
      </c>
      <c r="BP519" s="74">
        <f t="shared" si="4597"/>
        <v>24</v>
      </c>
      <c r="BQ519" s="74">
        <f t="shared" si="4597"/>
        <v>0</v>
      </c>
      <c r="BR519" s="74">
        <f t="shared" si="4597"/>
        <v>0</v>
      </c>
      <c r="BT519" s="28">
        <f t="shared" ref="BT519:BW519" si="4598">if(U519&lt;0,U519+BT518,0)</f>
        <v>-48</v>
      </c>
      <c r="BU519" s="28">
        <f t="shared" si="4598"/>
        <v>0</v>
      </c>
      <c r="BV519" s="28">
        <f t="shared" si="4598"/>
        <v>-8</v>
      </c>
      <c r="BW519" s="28">
        <f t="shared" si="4598"/>
        <v>-8</v>
      </c>
    </row>
    <row r="520">
      <c r="A520" s="53">
        <v>23.0</v>
      </c>
      <c r="B520" s="28">
        <f>'23_27-06-2024'!A11</f>
        <v>9</v>
      </c>
      <c r="C520" s="28">
        <f>'23_27-06-2024'!B11</f>
        <v>-38</v>
      </c>
      <c r="D520" s="28">
        <f>'23_27-06-2024'!C11</f>
        <v>-138</v>
      </c>
      <c r="E520" s="28">
        <f>'23_27-06-2024'!D11</f>
        <v>146</v>
      </c>
      <c r="F520" s="28">
        <f>'23_27-06-2024'!E11</f>
        <v>30</v>
      </c>
      <c r="G520" s="28">
        <f>'23_27-06-2024'!F11</f>
        <v>0</v>
      </c>
      <c r="H520" s="28" t="str">
        <f>'23_27-06-2024'!I11</f>
        <v>THomas</v>
      </c>
      <c r="I520" s="28" t="str">
        <f>'23_27-06-2024'!J11</f>
        <v>Janus</v>
      </c>
      <c r="J520" s="28" t="str">
        <f>'23_27-06-2024'!H11</f>
        <v>Christian</v>
      </c>
      <c r="K520" s="28" t="str">
        <f>'23_27-06-2024'!G11</f>
        <v>8 vip i 3.</v>
      </c>
      <c r="L520" s="56"/>
      <c r="M520" s="25">
        <v>8.0</v>
      </c>
      <c r="N520" s="25" t="s">
        <v>86</v>
      </c>
      <c r="O520" s="25">
        <v>3.0</v>
      </c>
      <c r="T520" s="56"/>
      <c r="U520" s="77">
        <f t="shared" ref="U520:X520" si="4599">C520-C519</f>
        <v>-24</v>
      </c>
      <c r="V520" s="28">
        <f t="shared" si="4599"/>
        <v>24</v>
      </c>
      <c r="W520" s="28">
        <f t="shared" si="4599"/>
        <v>-24</v>
      </c>
      <c r="X520" s="28">
        <f t="shared" si="4599"/>
        <v>24</v>
      </c>
      <c r="AB520" s="28">
        <f t="shared" ref="AB520:AE520" si="4600">IF(AB$3=$H520,U520,"")</f>
        <v>-24</v>
      </c>
      <c r="AC520" s="28" t="str">
        <f t="shared" si="4600"/>
        <v/>
      </c>
      <c r="AD520" s="28" t="str">
        <f t="shared" si="4600"/>
        <v/>
      </c>
      <c r="AE520" s="28" t="str">
        <f t="shared" si="4600"/>
        <v/>
      </c>
      <c r="AH520" s="28">
        <f t="shared" si="22"/>
        <v>0</v>
      </c>
      <c r="AI520" s="28">
        <f t="shared" si="23"/>
        <v>-24</v>
      </c>
      <c r="AK520" s="78" t="str">
        <f t="shared" ref="AK520:AN520" si="4601">IF(U520&gt;0,AK$3,"")</f>
        <v/>
      </c>
      <c r="AL520" s="78" t="str">
        <f t="shared" si="4601"/>
        <v>Peter</v>
      </c>
      <c r="AM520" s="78" t="str">
        <f t="shared" si="4601"/>
        <v/>
      </c>
      <c r="AN520" s="78" t="str">
        <f t="shared" si="4601"/>
        <v>Christian</v>
      </c>
      <c r="AO520" s="56">
        <f t="shared" si="25"/>
        <v>2</v>
      </c>
      <c r="AP520" s="8" t="str">
        <f t="shared" si="26"/>
        <v>THomas</v>
      </c>
      <c r="AQ520" s="73" t="str">
        <f>IFERROR(__xludf.DUMMYFUNCTION("IFNA(QUERY(transpose(AY520:BB520),""Select Col1 where Col1 is not null limit 1"",0))"),"Janus")</f>
        <v>Janus</v>
      </c>
      <c r="AR520" s="56"/>
      <c r="AS520" s="28" t="str">
        <f t="shared" ref="AS520:AV520" si="4602">IF(AK520=AS$3,"",AS$3)</f>
        <v>Thomas</v>
      </c>
      <c r="AT520" s="28" t="str">
        <f t="shared" si="4602"/>
        <v/>
      </c>
      <c r="AU520" s="28" t="str">
        <f t="shared" si="4602"/>
        <v>Janus</v>
      </c>
      <c r="AV520" s="28" t="str">
        <f t="shared" si="4602"/>
        <v/>
      </c>
      <c r="AW520" s="56">
        <f t="shared" si="28"/>
        <v>2</v>
      </c>
      <c r="AX520" s="28">
        <f t="shared" si="29"/>
        <v>-24</v>
      </c>
      <c r="AY520" s="28" t="str">
        <f t="shared" ref="AY520:BB520" si="4603">IFNA(IFS(AY$3=$AP520,"",$AX520=U520,AY$3),"")</f>
        <v/>
      </c>
      <c r="AZ520" s="28" t="str">
        <f t="shared" si="4603"/>
        <v/>
      </c>
      <c r="BA520" s="28" t="str">
        <f t="shared" si="4603"/>
        <v>Janus</v>
      </c>
      <c r="BB520" s="28" t="str">
        <f t="shared" si="4603"/>
        <v/>
      </c>
      <c r="BC520" s="58">
        <f>OFFSET('00_Regnskab_01'!$A$1,MATCH(A520,'00_Regnskab_01'!$A$1:$A$25)-1,2)</f>
        <v>45199</v>
      </c>
      <c r="BE520" s="80">
        <f t="shared" ref="BE520:BH520" si="4604">if(U520&gt;0,1+BE519,0)</f>
        <v>0</v>
      </c>
      <c r="BF520" s="28">
        <f t="shared" si="4604"/>
        <v>2</v>
      </c>
      <c r="BG520" s="28">
        <f t="shared" si="4604"/>
        <v>0</v>
      </c>
      <c r="BH520" s="28">
        <f t="shared" si="4604"/>
        <v>1</v>
      </c>
      <c r="BJ520" s="28">
        <f t="shared" ref="BJ520:BM520" si="4605">if(U520&lt;0,1+BJ519,0)</f>
        <v>3</v>
      </c>
      <c r="BK520" s="28">
        <f t="shared" si="4605"/>
        <v>0</v>
      </c>
      <c r="BL520" s="28">
        <f t="shared" si="4605"/>
        <v>2</v>
      </c>
      <c r="BM520" s="28">
        <f t="shared" si="4605"/>
        <v>0</v>
      </c>
      <c r="BO520" s="74">
        <f t="shared" ref="BO520:BR520" si="4606">if(U520&gt;0,U520+BO519,0)</f>
        <v>0</v>
      </c>
      <c r="BP520" s="74">
        <f t="shared" si="4606"/>
        <v>48</v>
      </c>
      <c r="BQ520" s="74">
        <f t="shared" si="4606"/>
        <v>0</v>
      </c>
      <c r="BR520" s="74">
        <f t="shared" si="4606"/>
        <v>24</v>
      </c>
      <c r="BT520" s="28">
        <f t="shared" ref="BT520:BW520" si="4607">if(U520&lt;0,U520+BT519,0)</f>
        <v>-72</v>
      </c>
      <c r="BU520" s="28">
        <f t="shared" si="4607"/>
        <v>0</v>
      </c>
      <c r="BV520" s="28">
        <f t="shared" si="4607"/>
        <v>-32</v>
      </c>
      <c r="BW520" s="28">
        <f t="shared" si="4607"/>
        <v>0</v>
      </c>
    </row>
    <row r="521">
      <c r="A521" s="53">
        <v>23.0</v>
      </c>
      <c r="B521" s="28">
        <f>'23_27-06-2024'!A12</f>
        <v>10</v>
      </c>
      <c r="C521" s="28">
        <f>'23_27-06-2024'!B12</f>
        <v>-38</v>
      </c>
      <c r="D521" s="28">
        <f>'23_27-06-2024'!C12</f>
        <v>-126</v>
      </c>
      <c r="E521" s="28">
        <f>'23_27-06-2024'!D12</f>
        <v>134</v>
      </c>
      <c r="F521" s="28">
        <f>'23_27-06-2024'!E12</f>
        <v>30</v>
      </c>
      <c r="G521" s="28">
        <f>'23_27-06-2024'!F12</f>
        <v>0</v>
      </c>
      <c r="H521" s="28" t="str">
        <f>'23_27-06-2024'!I12</f>
        <v>Peter</v>
      </c>
      <c r="I521" s="28" t="str">
        <f>'23_27-06-2024'!J12</f>
        <v>Janus</v>
      </c>
      <c r="J521" s="28" t="str">
        <f>'23_27-06-2024'!H12</f>
        <v>Thomas</v>
      </c>
      <c r="K521" s="28" t="str">
        <f>'23_27-06-2024'!G12</f>
        <v>Sol Peter og Janus</v>
      </c>
      <c r="L521" s="56"/>
      <c r="N521" s="25" t="s">
        <v>99</v>
      </c>
      <c r="T521" s="56"/>
      <c r="U521" s="77">
        <f t="shared" ref="U521:X521" si="4608">C521-C520</f>
        <v>0</v>
      </c>
      <c r="V521" s="28">
        <f t="shared" si="4608"/>
        <v>12</v>
      </c>
      <c r="W521" s="28">
        <f t="shared" si="4608"/>
        <v>-12</v>
      </c>
      <c r="X521" s="28">
        <f t="shared" si="4608"/>
        <v>0</v>
      </c>
      <c r="AB521" s="28" t="str">
        <f t="shared" ref="AB521:AE521" si="4609">IF(AB$3=$H521,U521,"")</f>
        <v/>
      </c>
      <c r="AC521" s="28">
        <f t="shared" si="4609"/>
        <v>12</v>
      </c>
      <c r="AD521" s="28" t="str">
        <f t="shared" si="4609"/>
        <v/>
      </c>
      <c r="AE521" s="28" t="str">
        <f t="shared" si="4609"/>
        <v/>
      </c>
      <c r="AH521" s="28">
        <f t="shared" si="22"/>
        <v>12</v>
      </c>
      <c r="AI521" s="28">
        <f t="shared" si="23"/>
        <v>0</v>
      </c>
      <c r="AK521" s="78" t="str">
        <f t="shared" ref="AK521:AN521" si="4610">IF(U521&gt;0,AK$3,"")</f>
        <v/>
      </c>
      <c r="AL521" s="78" t="str">
        <f t="shared" si="4610"/>
        <v>Peter</v>
      </c>
      <c r="AM521" s="78" t="str">
        <f t="shared" si="4610"/>
        <v/>
      </c>
      <c r="AN521" s="78" t="str">
        <f t="shared" si="4610"/>
        <v/>
      </c>
      <c r="AO521" s="56">
        <f t="shared" si="25"/>
        <v>1</v>
      </c>
      <c r="AP521" s="8" t="str">
        <f t="shared" si="26"/>
        <v>Peter</v>
      </c>
      <c r="AQ521" s="73" t="str">
        <f>IFERROR(__xludf.DUMMYFUNCTION("IFNA(QUERY(transpose(AY521:BB521),""Select Col1 where Col1 is not null limit 1"",0))"),"")</f>
        <v/>
      </c>
      <c r="AR521" s="56"/>
      <c r="AS521" s="28" t="str">
        <f t="shared" ref="AS521:AV521" si="4611">IF(AK521=AS$3,"",AS$3)</f>
        <v>Thomas</v>
      </c>
      <c r="AT521" s="28" t="str">
        <f t="shared" si="4611"/>
        <v/>
      </c>
      <c r="AU521" s="28" t="str">
        <f t="shared" si="4611"/>
        <v>Janus</v>
      </c>
      <c r="AV521" s="28" t="str">
        <f t="shared" si="4611"/>
        <v>Christian</v>
      </c>
      <c r="AW521" s="56">
        <f t="shared" si="28"/>
        <v>3</v>
      </c>
      <c r="AX521" s="28">
        <f t="shared" si="29"/>
        <v>12</v>
      </c>
      <c r="AY521" s="28" t="str">
        <f t="shared" ref="AY521:BB521" si="4612">IFNA(IFS(AY$3=$AP521,"",$AX521=U521,AY$3),"")</f>
        <v/>
      </c>
      <c r="AZ521" s="28" t="str">
        <f t="shared" si="4612"/>
        <v/>
      </c>
      <c r="BA521" s="28" t="str">
        <f t="shared" si="4612"/>
        <v/>
      </c>
      <c r="BB521" s="28" t="str">
        <f t="shared" si="4612"/>
        <v/>
      </c>
      <c r="BC521" s="58">
        <f>OFFSET('00_Regnskab_01'!$A$1,MATCH(A521,'00_Regnskab_01'!$A$1:$A$25)-1,2)</f>
        <v>45199</v>
      </c>
      <c r="BE521" s="80">
        <f t="shared" ref="BE521:BH521" si="4613">if(U521&gt;0,1+BE520,0)</f>
        <v>0</v>
      </c>
      <c r="BF521" s="28">
        <f t="shared" si="4613"/>
        <v>3</v>
      </c>
      <c r="BG521" s="28">
        <f t="shared" si="4613"/>
        <v>0</v>
      </c>
      <c r="BH521" s="28">
        <f t="shared" si="4613"/>
        <v>0</v>
      </c>
      <c r="BJ521" s="28">
        <f t="shared" ref="BJ521:BM521" si="4614">if(U521&lt;0,1+BJ520,0)</f>
        <v>0</v>
      </c>
      <c r="BK521" s="28">
        <f t="shared" si="4614"/>
        <v>0</v>
      </c>
      <c r="BL521" s="28">
        <f t="shared" si="4614"/>
        <v>3</v>
      </c>
      <c r="BM521" s="28">
        <f t="shared" si="4614"/>
        <v>0</v>
      </c>
      <c r="BO521" s="74">
        <f t="shared" ref="BO521:BR521" si="4615">if(U521&gt;0,U521+BO520,0)</f>
        <v>0</v>
      </c>
      <c r="BP521" s="74">
        <f t="shared" si="4615"/>
        <v>60</v>
      </c>
      <c r="BQ521" s="74">
        <f t="shared" si="4615"/>
        <v>0</v>
      </c>
      <c r="BR521" s="74">
        <f t="shared" si="4615"/>
        <v>0</v>
      </c>
      <c r="BT521" s="28">
        <f t="shared" ref="BT521:BW521" si="4616">if(U521&lt;0,U521+BT520,0)</f>
        <v>0</v>
      </c>
      <c r="BU521" s="28">
        <f t="shared" si="4616"/>
        <v>0</v>
      </c>
      <c r="BV521" s="28">
        <f t="shared" si="4616"/>
        <v>-44</v>
      </c>
      <c r="BW521" s="28">
        <f t="shared" si="4616"/>
        <v>0</v>
      </c>
    </row>
    <row r="522">
      <c r="A522" s="53">
        <v>23.0</v>
      </c>
      <c r="B522" s="28">
        <f>'23_27-06-2024'!A13</f>
        <v>11</v>
      </c>
      <c r="C522" s="28">
        <f>'23_27-06-2024'!B13</f>
        <v>-22</v>
      </c>
      <c r="D522" s="28">
        <f>'23_27-06-2024'!C13</f>
        <v>-110</v>
      </c>
      <c r="E522" s="28">
        <f>'23_27-06-2024'!D13</f>
        <v>118</v>
      </c>
      <c r="F522" s="28">
        <f>'23_27-06-2024'!E13</f>
        <v>14</v>
      </c>
      <c r="G522" s="28">
        <f>'23_27-06-2024'!F13</f>
        <v>0</v>
      </c>
      <c r="H522" s="28" t="str">
        <f>'23_27-06-2024'!I13</f>
        <v>Christian</v>
      </c>
      <c r="I522" s="28" t="str">
        <f>'23_27-06-2024'!J13</f>
        <v>Janus</v>
      </c>
      <c r="J522" s="28" t="str">
        <f>'23_27-06-2024'!H13</f>
        <v>Peter</v>
      </c>
      <c r="K522" s="28" t="str">
        <f>'23_27-06-2024'!G13</f>
        <v>10 halve</v>
      </c>
      <c r="L522" s="56"/>
      <c r="M522" s="25">
        <v>10.0</v>
      </c>
      <c r="N522" s="25" t="s">
        <v>94</v>
      </c>
      <c r="T522" s="46"/>
      <c r="U522" s="77">
        <f t="shared" ref="U522:X522" si="4617">C522-C521</f>
        <v>16</v>
      </c>
      <c r="V522" s="28">
        <f t="shared" si="4617"/>
        <v>16</v>
      </c>
      <c r="W522" s="28">
        <f t="shared" si="4617"/>
        <v>-16</v>
      </c>
      <c r="X522" s="28">
        <f t="shared" si="4617"/>
        <v>-16</v>
      </c>
      <c r="AB522" s="28" t="str">
        <f t="shared" ref="AB522:AE522" si="4618">IF(AB$3=$H522,U522,"")</f>
        <v/>
      </c>
      <c r="AC522" s="28" t="str">
        <f t="shared" si="4618"/>
        <v/>
      </c>
      <c r="AD522" s="28" t="str">
        <f t="shared" si="4618"/>
        <v/>
      </c>
      <c r="AE522" s="28">
        <f t="shared" si="4618"/>
        <v>-16</v>
      </c>
      <c r="AH522" s="28">
        <f t="shared" si="22"/>
        <v>0</v>
      </c>
      <c r="AI522" s="28">
        <f t="shared" si="23"/>
        <v>-16</v>
      </c>
      <c r="AK522" s="78" t="str">
        <f t="shared" ref="AK522:AN522" si="4619">IF(U522&gt;0,AK$3,"")</f>
        <v>Thomas</v>
      </c>
      <c r="AL522" s="78" t="str">
        <f t="shared" si="4619"/>
        <v>Peter</v>
      </c>
      <c r="AM522" s="78" t="str">
        <f t="shared" si="4619"/>
        <v/>
      </c>
      <c r="AN522" s="78" t="str">
        <f t="shared" si="4619"/>
        <v/>
      </c>
      <c r="AO522" s="56">
        <f t="shared" si="25"/>
        <v>2</v>
      </c>
      <c r="AP522" s="8" t="str">
        <f t="shared" si="26"/>
        <v>Christian</v>
      </c>
      <c r="AQ522" s="73" t="str">
        <f>IFERROR(__xludf.DUMMYFUNCTION("IFNA(QUERY(transpose(AY522:BB522),""Select Col1 where Col1 is not null limit 1"",0))"),"Janus")</f>
        <v>Janus</v>
      </c>
      <c r="AR522" s="56"/>
      <c r="AS522" s="28" t="str">
        <f t="shared" ref="AS522:AV522" si="4620">IF(AK522=AS$3,"",AS$3)</f>
        <v/>
      </c>
      <c r="AT522" s="28" t="str">
        <f t="shared" si="4620"/>
        <v/>
      </c>
      <c r="AU522" s="28" t="str">
        <f t="shared" si="4620"/>
        <v>Janus</v>
      </c>
      <c r="AV522" s="28" t="str">
        <f t="shared" si="4620"/>
        <v>Christian</v>
      </c>
      <c r="AW522" s="56">
        <f t="shared" si="28"/>
        <v>2</v>
      </c>
      <c r="AX522" s="28">
        <f t="shared" si="29"/>
        <v>-16</v>
      </c>
      <c r="AY522" s="28" t="str">
        <f t="shared" ref="AY522:BB522" si="4621">IFNA(IFS(AY$3=$AP522,"",$AX522=U522,AY$3),"")</f>
        <v/>
      </c>
      <c r="AZ522" s="28" t="str">
        <f t="shared" si="4621"/>
        <v/>
      </c>
      <c r="BA522" s="28" t="str">
        <f t="shared" si="4621"/>
        <v>Janus</v>
      </c>
      <c r="BB522" s="28" t="str">
        <f t="shared" si="4621"/>
        <v/>
      </c>
      <c r="BC522" s="58">
        <f>OFFSET('00_Regnskab_01'!$A$1,MATCH(A522,'00_Regnskab_01'!$A$1:$A$25)-1,2)</f>
        <v>45199</v>
      </c>
      <c r="BE522" s="80">
        <f t="shared" ref="BE522:BH522" si="4622">if(U522&gt;0,1+BE521,0)</f>
        <v>1</v>
      </c>
      <c r="BF522" s="28">
        <f t="shared" si="4622"/>
        <v>4</v>
      </c>
      <c r="BG522" s="28">
        <f t="shared" si="4622"/>
        <v>0</v>
      </c>
      <c r="BH522" s="28">
        <f t="shared" si="4622"/>
        <v>0</v>
      </c>
      <c r="BJ522" s="28">
        <f t="shared" ref="BJ522:BM522" si="4623">if(U522&lt;0,1+BJ521,0)</f>
        <v>0</v>
      </c>
      <c r="BK522" s="28">
        <f t="shared" si="4623"/>
        <v>0</v>
      </c>
      <c r="BL522" s="28">
        <f t="shared" si="4623"/>
        <v>4</v>
      </c>
      <c r="BM522" s="28">
        <f t="shared" si="4623"/>
        <v>1</v>
      </c>
      <c r="BO522" s="74">
        <f t="shared" ref="BO522:BR522" si="4624">if(U522&gt;0,U522+BO521,0)</f>
        <v>16</v>
      </c>
      <c r="BP522" s="74">
        <f t="shared" si="4624"/>
        <v>76</v>
      </c>
      <c r="BQ522" s="74">
        <f t="shared" si="4624"/>
        <v>0</v>
      </c>
      <c r="BR522" s="74">
        <f t="shared" si="4624"/>
        <v>0</v>
      </c>
      <c r="BT522" s="28">
        <f t="shared" ref="BT522:BW522" si="4625">if(U522&lt;0,U522+BT521,0)</f>
        <v>0</v>
      </c>
      <c r="BU522" s="28">
        <f t="shared" si="4625"/>
        <v>0</v>
      </c>
      <c r="BV522" s="28">
        <f t="shared" si="4625"/>
        <v>-60</v>
      </c>
      <c r="BW522" s="28">
        <f t="shared" si="4625"/>
        <v>-16</v>
      </c>
    </row>
    <row r="523">
      <c r="A523" s="53">
        <v>23.0</v>
      </c>
      <c r="B523" s="28">
        <f>'23_27-06-2024'!A14</f>
        <v>12</v>
      </c>
      <c r="C523" s="28">
        <f>'23_27-06-2024'!B14</f>
        <v>-26</v>
      </c>
      <c r="D523" s="28">
        <f>'23_27-06-2024'!C14</f>
        <v>-114</v>
      </c>
      <c r="E523" s="28">
        <f>'23_27-06-2024'!D14</f>
        <v>114</v>
      </c>
      <c r="F523" s="28">
        <f>'23_27-06-2024'!E14</f>
        <v>26</v>
      </c>
      <c r="G523" s="28">
        <f>'23_27-06-2024'!F14</f>
        <v>0</v>
      </c>
      <c r="H523" s="28" t="str">
        <f>'23_27-06-2024'!I14</f>
        <v>Christian</v>
      </c>
      <c r="I523" s="28" t="str">
        <f>'23_27-06-2024'!J14</f>
        <v/>
      </c>
      <c r="J523" s="28" t="str">
        <f>'23_27-06-2024'!H14</f>
        <v>Janus</v>
      </c>
      <c r="K523" s="28" t="str">
        <f>'23_27-06-2024'!G14</f>
        <v>sol</v>
      </c>
      <c r="L523" s="56"/>
      <c r="N523" s="25" t="s">
        <v>99</v>
      </c>
      <c r="T523" s="56"/>
      <c r="U523" s="77">
        <f t="shared" ref="U523:X523" si="4626">C523-C522</f>
        <v>-4</v>
      </c>
      <c r="V523" s="28">
        <f t="shared" si="4626"/>
        <v>-4</v>
      </c>
      <c r="W523" s="28">
        <f t="shared" si="4626"/>
        <v>-4</v>
      </c>
      <c r="X523" s="28">
        <f t="shared" si="4626"/>
        <v>12</v>
      </c>
      <c r="AB523" s="28" t="str">
        <f t="shared" ref="AB523:AE523" si="4627">IF(AB$3=$H523,U523,"")</f>
        <v/>
      </c>
      <c r="AC523" s="28" t="str">
        <f t="shared" si="4627"/>
        <v/>
      </c>
      <c r="AD523" s="28" t="str">
        <f t="shared" si="4627"/>
        <v/>
      </c>
      <c r="AE523" s="28">
        <f t="shared" si="4627"/>
        <v>12</v>
      </c>
      <c r="AH523" s="28">
        <f t="shared" si="22"/>
        <v>12</v>
      </c>
      <c r="AI523" s="28">
        <f t="shared" si="23"/>
        <v>0</v>
      </c>
      <c r="AK523" s="78" t="str">
        <f t="shared" ref="AK523:AN523" si="4628">IF(U523&gt;0,AK$3,"")</f>
        <v/>
      </c>
      <c r="AL523" s="78" t="str">
        <f t="shared" si="4628"/>
        <v/>
      </c>
      <c r="AM523" s="78" t="str">
        <f t="shared" si="4628"/>
        <v/>
      </c>
      <c r="AN523" s="78" t="str">
        <f t="shared" si="4628"/>
        <v>Christian</v>
      </c>
      <c r="AO523" s="56">
        <f t="shared" si="25"/>
        <v>1</v>
      </c>
      <c r="AP523" s="8" t="str">
        <f t="shared" si="26"/>
        <v>Christian</v>
      </c>
      <c r="AQ523" s="73" t="str">
        <f>IFERROR(__xludf.DUMMYFUNCTION("IFNA(QUERY(transpose(AY523:BB523),""Select Col1 where Col1 is not null limit 1"",0))"),"")</f>
        <v/>
      </c>
      <c r="AR523" s="56"/>
      <c r="AS523" s="28" t="str">
        <f t="shared" ref="AS523:AV523" si="4629">IF(AK523=AS$3,"",AS$3)</f>
        <v>Thomas</v>
      </c>
      <c r="AT523" s="28" t="str">
        <f t="shared" si="4629"/>
        <v>Peter</v>
      </c>
      <c r="AU523" s="28" t="str">
        <f t="shared" si="4629"/>
        <v>Janus</v>
      </c>
      <c r="AV523" s="28" t="str">
        <f t="shared" si="4629"/>
        <v/>
      </c>
      <c r="AW523" s="56">
        <f t="shared" si="28"/>
        <v>3</v>
      </c>
      <c r="AX523" s="28">
        <f t="shared" si="29"/>
        <v>12</v>
      </c>
      <c r="AY523" s="28" t="str">
        <f t="shared" ref="AY523:BB523" si="4630">IFNA(IFS(AY$3=$AP523,"",$AX523=U523,AY$3),"")</f>
        <v/>
      </c>
      <c r="AZ523" s="28" t="str">
        <f t="shared" si="4630"/>
        <v/>
      </c>
      <c r="BA523" s="28" t="str">
        <f t="shared" si="4630"/>
        <v/>
      </c>
      <c r="BB523" s="28" t="str">
        <f t="shared" si="4630"/>
        <v/>
      </c>
      <c r="BC523" s="58">
        <f>OFFSET('00_Regnskab_01'!$A$1,MATCH(A523,'00_Regnskab_01'!$A$1:$A$25)-1,2)</f>
        <v>45199</v>
      </c>
      <c r="BE523" s="80">
        <f t="shared" ref="BE523:BH523" si="4631">if(U523&gt;0,1+BE522,0)</f>
        <v>0</v>
      </c>
      <c r="BF523" s="28">
        <f t="shared" si="4631"/>
        <v>0</v>
      </c>
      <c r="BG523" s="28">
        <f t="shared" si="4631"/>
        <v>0</v>
      </c>
      <c r="BH523" s="28">
        <f t="shared" si="4631"/>
        <v>1</v>
      </c>
      <c r="BJ523" s="28">
        <f t="shared" ref="BJ523:BM523" si="4632">if(U523&lt;0,1+BJ522,0)</f>
        <v>1</v>
      </c>
      <c r="BK523" s="28">
        <f t="shared" si="4632"/>
        <v>1</v>
      </c>
      <c r="BL523" s="28">
        <f t="shared" si="4632"/>
        <v>5</v>
      </c>
      <c r="BM523" s="28">
        <f t="shared" si="4632"/>
        <v>0</v>
      </c>
      <c r="BO523" s="74">
        <f t="shared" ref="BO523:BR523" si="4633">if(U523&gt;0,U523+BO522,0)</f>
        <v>0</v>
      </c>
      <c r="BP523" s="74">
        <f t="shared" si="4633"/>
        <v>0</v>
      </c>
      <c r="BQ523" s="74">
        <f t="shared" si="4633"/>
        <v>0</v>
      </c>
      <c r="BR523" s="74">
        <f t="shared" si="4633"/>
        <v>12</v>
      </c>
      <c r="BT523" s="28">
        <f t="shared" ref="BT523:BW523" si="4634">if(U523&lt;0,U523+BT522,0)</f>
        <v>-4</v>
      </c>
      <c r="BU523" s="28">
        <f t="shared" si="4634"/>
        <v>-4</v>
      </c>
      <c r="BV523" s="28">
        <f t="shared" si="4634"/>
        <v>-64</v>
      </c>
      <c r="BW523" s="28">
        <f t="shared" si="4634"/>
        <v>0</v>
      </c>
    </row>
    <row r="524">
      <c r="A524" s="53">
        <v>23.0</v>
      </c>
      <c r="B524" s="28">
        <f>'23_27-06-2024'!A15</f>
        <v>13</v>
      </c>
      <c r="C524" s="28">
        <f>'23_27-06-2024'!B15</f>
        <v>22</v>
      </c>
      <c r="D524" s="28">
        <f>'23_27-06-2024'!C15</f>
        <v>-66</v>
      </c>
      <c r="E524" s="28">
        <f>'23_27-06-2024'!D15</f>
        <v>66</v>
      </c>
      <c r="F524" s="28">
        <f>'23_27-06-2024'!E15</f>
        <v>-22</v>
      </c>
      <c r="G524" s="28">
        <f>'23_27-06-2024'!F15</f>
        <v>0</v>
      </c>
      <c r="H524" s="28" t="str">
        <f>'23_27-06-2024'!I15</f>
        <v>Thomas</v>
      </c>
      <c r="I524" s="28" t="str">
        <f>'23_27-06-2024'!J15</f>
        <v>Peter</v>
      </c>
      <c r="J524" s="28" t="str">
        <f>'23_27-06-2024'!H15</f>
        <v>Christian</v>
      </c>
      <c r="K524" s="28" t="str">
        <f>'23_27-06-2024'!G15</f>
        <v>9 vip i 3.</v>
      </c>
      <c r="L524" s="56"/>
      <c r="M524" s="25">
        <v>9.0</v>
      </c>
      <c r="N524" s="25" t="s">
        <v>86</v>
      </c>
      <c r="O524" s="25">
        <v>3.0</v>
      </c>
      <c r="T524" s="56"/>
      <c r="U524" s="77">
        <f t="shared" ref="U524:X524" si="4635">C524-C523</f>
        <v>48</v>
      </c>
      <c r="V524" s="28">
        <f t="shared" si="4635"/>
        <v>48</v>
      </c>
      <c r="W524" s="28">
        <f t="shared" si="4635"/>
        <v>-48</v>
      </c>
      <c r="X524" s="28">
        <f t="shared" si="4635"/>
        <v>-48</v>
      </c>
      <c r="AB524" s="28">
        <f t="shared" ref="AB524:AE524" si="4636">IF(AB$3=$H524,U524,"")</f>
        <v>48</v>
      </c>
      <c r="AC524" s="28" t="str">
        <f t="shared" si="4636"/>
        <v/>
      </c>
      <c r="AD524" s="28" t="str">
        <f t="shared" si="4636"/>
        <v/>
      </c>
      <c r="AE524" s="28" t="str">
        <f t="shared" si="4636"/>
        <v/>
      </c>
      <c r="AH524" s="28">
        <f t="shared" si="22"/>
        <v>48</v>
      </c>
      <c r="AI524" s="28">
        <f t="shared" si="23"/>
        <v>0</v>
      </c>
      <c r="AK524" s="78" t="str">
        <f t="shared" ref="AK524:AN524" si="4637">IF(U524&gt;0,AK$3,"")</f>
        <v>Thomas</v>
      </c>
      <c r="AL524" s="78" t="str">
        <f t="shared" si="4637"/>
        <v>Peter</v>
      </c>
      <c r="AM524" s="78" t="str">
        <f t="shared" si="4637"/>
        <v/>
      </c>
      <c r="AN524" s="78" t="str">
        <f t="shared" si="4637"/>
        <v/>
      </c>
      <c r="AO524" s="56">
        <f t="shared" si="25"/>
        <v>2</v>
      </c>
      <c r="AP524" s="8" t="str">
        <f t="shared" si="26"/>
        <v>Thomas</v>
      </c>
      <c r="AQ524" s="73" t="str">
        <f>IFERROR(__xludf.DUMMYFUNCTION("IFNA(QUERY(transpose(AY524:BB524),""Select Col1 where Col1 is not null limit 1"",0))"),"Peter")</f>
        <v>Peter</v>
      </c>
      <c r="AR524" s="56"/>
      <c r="AS524" s="28" t="str">
        <f t="shared" ref="AS524:AV524" si="4638">IF(AK524=AS$3,"",AS$3)</f>
        <v/>
      </c>
      <c r="AT524" s="28" t="str">
        <f t="shared" si="4638"/>
        <v/>
      </c>
      <c r="AU524" s="28" t="str">
        <f t="shared" si="4638"/>
        <v>Janus</v>
      </c>
      <c r="AV524" s="28" t="str">
        <f t="shared" si="4638"/>
        <v>Christian</v>
      </c>
      <c r="AW524" s="56">
        <f t="shared" si="28"/>
        <v>2</v>
      </c>
      <c r="AX524" s="28">
        <f t="shared" si="29"/>
        <v>48</v>
      </c>
      <c r="AY524" s="28" t="str">
        <f t="shared" ref="AY524:BB524" si="4639">IFNA(IFS(AY$3=$AP524,"",$AX524=U524,AY$3),"")</f>
        <v/>
      </c>
      <c r="AZ524" s="28" t="str">
        <f t="shared" si="4639"/>
        <v>Peter</v>
      </c>
      <c r="BA524" s="28" t="str">
        <f t="shared" si="4639"/>
        <v/>
      </c>
      <c r="BB524" s="28" t="str">
        <f t="shared" si="4639"/>
        <v/>
      </c>
      <c r="BC524" s="58">
        <f>OFFSET('00_Regnskab_01'!$A$1,MATCH(A524,'00_Regnskab_01'!$A$1:$A$25)-1,2)</f>
        <v>45199</v>
      </c>
      <c r="BE524" s="80">
        <f t="shared" ref="BE524:BH524" si="4640">if(U524&gt;0,1+BE523,0)</f>
        <v>1</v>
      </c>
      <c r="BF524" s="28">
        <f t="shared" si="4640"/>
        <v>1</v>
      </c>
      <c r="BG524" s="28">
        <f t="shared" si="4640"/>
        <v>0</v>
      </c>
      <c r="BH524" s="28">
        <f t="shared" si="4640"/>
        <v>0</v>
      </c>
      <c r="BJ524" s="28">
        <f t="shared" ref="BJ524:BM524" si="4641">if(U524&lt;0,1+BJ523,0)</f>
        <v>0</v>
      </c>
      <c r="BK524" s="28">
        <f t="shared" si="4641"/>
        <v>0</v>
      </c>
      <c r="BL524" s="28">
        <f t="shared" si="4641"/>
        <v>6</v>
      </c>
      <c r="BM524" s="28">
        <f t="shared" si="4641"/>
        <v>1</v>
      </c>
      <c r="BO524" s="74">
        <f t="shared" ref="BO524:BR524" si="4642">if(U524&gt;0,U524+BO523,0)</f>
        <v>48</v>
      </c>
      <c r="BP524" s="74">
        <f t="shared" si="4642"/>
        <v>48</v>
      </c>
      <c r="BQ524" s="74">
        <f t="shared" si="4642"/>
        <v>0</v>
      </c>
      <c r="BR524" s="74">
        <f t="shared" si="4642"/>
        <v>0</v>
      </c>
      <c r="BT524" s="28">
        <f t="shared" ref="BT524:BW524" si="4643">if(U524&lt;0,U524+BT523,0)</f>
        <v>0</v>
      </c>
      <c r="BU524" s="28">
        <f t="shared" si="4643"/>
        <v>0</v>
      </c>
      <c r="BV524" s="28">
        <f t="shared" si="4643"/>
        <v>-112</v>
      </c>
      <c r="BW524" s="28">
        <f t="shared" si="4643"/>
        <v>-48</v>
      </c>
    </row>
    <row r="525">
      <c r="A525" s="53">
        <v>23.0</v>
      </c>
      <c r="B525" s="28">
        <f>'23_27-06-2024'!A16</f>
        <v>14</v>
      </c>
      <c r="C525" s="28">
        <f>'23_27-06-2024'!B16</f>
        <v>6</v>
      </c>
      <c r="D525" s="28">
        <f>'23_27-06-2024'!C16</f>
        <v>-50</v>
      </c>
      <c r="E525" s="28">
        <f>'23_27-06-2024'!D16</f>
        <v>82</v>
      </c>
      <c r="F525" s="28">
        <f>'23_27-06-2024'!E16</f>
        <v>-38</v>
      </c>
      <c r="G525" s="28">
        <f>'23_27-06-2024'!F16</f>
        <v>0</v>
      </c>
      <c r="H525" s="28" t="str">
        <f>'23_27-06-2024'!I16</f>
        <v>Thomas</v>
      </c>
      <c r="I525" s="28" t="str">
        <f>'23_27-06-2024'!J16</f>
        <v>Chrisitan</v>
      </c>
      <c r="J525" s="28" t="str">
        <f>'23_27-06-2024'!H16</f>
        <v>Peter</v>
      </c>
      <c r="K525" s="28" t="str">
        <f>'23_27-06-2024'!G16</f>
        <v>9 vip i 2</v>
      </c>
      <c r="L525" s="56"/>
      <c r="M525" s="25">
        <v>9.0</v>
      </c>
      <c r="N525" s="25" t="s">
        <v>86</v>
      </c>
      <c r="O525" s="25">
        <v>2.0</v>
      </c>
      <c r="T525" s="56"/>
      <c r="U525" s="77">
        <f t="shared" ref="U525:X525" si="4644">C525-C524</f>
        <v>-16</v>
      </c>
      <c r="V525" s="28">
        <f t="shared" si="4644"/>
        <v>16</v>
      </c>
      <c r="W525" s="28">
        <f t="shared" si="4644"/>
        <v>16</v>
      </c>
      <c r="X525" s="28">
        <f t="shared" si="4644"/>
        <v>-16</v>
      </c>
      <c r="AB525" s="28">
        <f t="shared" ref="AB525:AE525" si="4645">IF(AB$3=$H525,U525,"")</f>
        <v>-16</v>
      </c>
      <c r="AC525" s="28" t="str">
        <f t="shared" si="4645"/>
        <v/>
      </c>
      <c r="AD525" s="28" t="str">
        <f t="shared" si="4645"/>
        <v/>
      </c>
      <c r="AE525" s="28" t="str">
        <f t="shared" si="4645"/>
        <v/>
      </c>
      <c r="AH525" s="28">
        <f t="shared" si="22"/>
        <v>0</v>
      </c>
      <c r="AI525" s="28">
        <f t="shared" si="23"/>
        <v>-16</v>
      </c>
      <c r="AK525" s="78" t="str">
        <f t="shared" ref="AK525:AN525" si="4646">IF(U525&gt;0,AK$3,"")</f>
        <v/>
      </c>
      <c r="AL525" s="78" t="str">
        <f t="shared" si="4646"/>
        <v>Peter</v>
      </c>
      <c r="AM525" s="78" t="str">
        <f t="shared" si="4646"/>
        <v>Janus</v>
      </c>
      <c r="AN525" s="78" t="str">
        <f t="shared" si="4646"/>
        <v/>
      </c>
      <c r="AO525" s="56">
        <f t="shared" si="25"/>
        <v>2</v>
      </c>
      <c r="AP525" s="8" t="str">
        <f t="shared" si="26"/>
        <v>Thomas</v>
      </c>
      <c r="AQ525" s="73" t="str">
        <f>IFERROR(__xludf.DUMMYFUNCTION("IFNA(QUERY(transpose(AY525:BB525),""Select Col1 where Col1 is not null limit 1"",0))"),"Christian")</f>
        <v>Christian</v>
      </c>
      <c r="AR525" s="56"/>
      <c r="AS525" s="28" t="str">
        <f t="shared" ref="AS525:AV525" si="4647">IF(AK525=AS$3,"",AS$3)</f>
        <v>Thomas</v>
      </c>
      <c r="AT525" s="28" t="str">
        <f t="shared" si="4647"/>
        <v/>
      </c>
      <c r="AU525" s="28" t="str">
        <f t="shared" si="4647"/>
        <v/>
      </c>
      <c r="AV525" s="28" t="str">
        <f t="shared" si="4647"/>
        <v>Christian</v>
      </c>
      <c r="AW525" s="56">
        <f t="shared" si="28"/>
        <v>2</v>
      </c>
      <c r="AX525" s="28">
        <f t="shared" si="29"/>
        <v>-16</v>
      </c>
      <c r="AY525" s="28" t="str">
        <f t="shared" ref="AY525:BB525" si="4648">IFNA(IFS(AY$3=$AP525,"",$AX525=U525,AY$3),"")</f>
        <v/>
      </c>
      <c r="AZ525" s="28" t="str">
        <f t="shared" si="4648"/>
        <v/>
      </c>
      <c r="BA525" s="28" t="str">
        <f t="shared" si="4648"/>
        <v/>
      </c>
      <c r="BB525" s="28" t="str">
        <f t="shared" si="4648"/>
        <v>Christian</v>
      </c>
      <c r="BC525" s="58">
        <f>OFFSET('00_Regnskab_01'!$A$1,MATCH(A525,'00_Regnskab_01'!$A$1:$A$25)-1,2)</f>
        <v>45199</v>
      </c>
      <c r="BE525" s="80">
        <f t="shared" ref="BE525:BH525" si="4649">if(U525&gt;0,1+BE524,0)</f>
        <v>0</v>
      </c>
      <c r="BF525" s="28">
        <f t="shared" si="4649"/>
        <v>2</v>
      </c>
      <c r="BG525" s="28">
        <f t="shared" si="4649"/>
        <v>1</v>
      </c>
      <c r="BH525" s="28">
        <f t="shared" si="4649"/>
        <v>0</v>
      </c>
      <c r="BJ525" s="28">
        <f t="shared" ref="BJ525:BM525" si="4650">if(U525&lt;0,1+BJ524,0)</f>
        <v>1</v>
      </c>
      <c r="BK525" s="28">
        <f t="shared" si="4650"/>
        <v>0</v>
      </c>
      <c r="BL525" s="28">
        <f t="shared" si="4650"/>
        <v>0</v>
      </c>
      <c r="BM525" s="28">
        <f t="shared" si="4650"/>
        <v>2</v>
      </c>
      <c r="BO525" s="74">
        <f t="shared" ref="BO525:BR525" si="4651">if(U525&gt;0,U525+BO524,0)</f>
        <v>0</v>
      </c>
      <c r="BP525" s="74">
        <f t="shared" si="4651"/>
        <v>64</v>
      </c>
      <c r="BQ525" s="74">
        <f t="shared" si="4651"/>
        <v>16</v>
      </c>
      <c r="BR525" s="74">
        <f t="shared" si="4651"/>
        <v>0</v>
      </c>
      <c r="BT525" s="28">
        <f t="shared" ref="BT525:BW525" si="4652">if(U525&lt;0,U525+BT524,0)</f>
        <v>-16</v>
      </c>
      <c r="BU525" s="28">
        <f t="shared" si="4652"/>
        <v>0</v>
      </c>
      <c r="BV525" s="28">
        <f t="shared" si="4652"/>
        <v>0</v>
      </c>
      <c r="BW525" s="28">
        <f t="shared" si="4652"/>
        <v>-64</v>
      </c>
    </row>
    <row r="526">
      <c r="A526" s="53">
        <v>23.0</v>
      </c>
      <c r="B526" s="28">
        <f>'23_27-06-2024'!A17</f>
        <v>15</v>
      </c>
      <c r="C526" s="28">
        <f>'23_27-06-2024'!B17</f>
        <v>-250</v>
      </c>
      <c r="D526" s="28">
        <f>'23_27-06-2024'!C17</f>
        <v>-306</v>
      </c>
      <c r="E526" s="28">
        <f>'23_27-06-2024'!D17</f>
        <v>338</v>
      </c>
      <c r="F526" s="28">
        <f>'23_27-06-2024'!E17</f>
        <v>218</v>
      </c>
      <c r="G526" s="28">
        <f>'23_27-06-2024'!F17</f>
        <v>0</v>
      </c>
      <c r="H526" s="28" t="str">
        <f>'23_27-06-2024'!I17</f>
        <v>Thomas</v>
      </c>
      <c r="I526" s="28" t="str">
        <f>'23_27-06-2024'!J17</f>
        <v>Peter</v>
      </c>
      <c r="J526" s="28" t="str">
        <f>'23_27-06-2024'!H17</f>
        <v>Janus</v>
      </c>
      <c r="K526" s="28" t="str">
        <f>'23_27-06-2024'!G17</f>
        <v>10 vip i 3 gode</v>
      </c>
      <c r="L526" s="56"/>
      <c r="M526" s="25">
        <v>10.0</v>
      </c>
      <c r="N526" s="25" t="s">
        <v>86</v>
      </c>
      <c r="O526" s="25">
        <v>3.0</v>
      </c>
      <c r="R526" s="25" t="s">
        <v>15</v>
      </c>
      <c r="T526" s="56"/>
      <c r="U526" s="77">
        <f t="shared" ref="U526:X526" si="4653">C526-C525</f>
        <v>-256</v>
      </c>
      <c r="V526" s="28">
        <f t="shared" si="4653"/>
        <v>-256</v>
      </c>
      <c r="W526" s="28">
        <f t="shared" si="4653"/>
        <v>256</v>
      </c>
      <c r="X526" s="28">
        <f t="shared" si="4653"/>
        <v>256</v>
      </c>
      <c r="AB526" s="28">
        <f t="shared" ref="AB526:AE526" si="4654">IF(AB$3=$H526,U526,"")</f>
        <v>-256</v>
      </c>
      <c r="AC526" s="28" t="str">
        <f t="shared" si="4654"/>
        <v/>
      </c>
      <c r="AD526" s="28" t="str">
        <f t="shared" si="4654"/>
        <v/>
      </c>
      <c r="AE526" s="28" t="str">
        <f t="shared" si="4654"/>
        <v/>
      </c>
      <c r="AH526" s="28">
        <f t="shared" si="22"/>
        <v>0</v>
      </c>
      <c r="AI526" s="28">
        <f t="shared" si="23"/>
        <v>-256</v>
      </c>
      <c r="AK526" s="78" t="str">
        <f t="shared" ref="AK526:AN526" si="4655">IF(U526&gt;0,AK$3,"")</f>
        <v/>
      </c>
      <c r="AL526" s="78" t="str">
        <f t="shared" si="4655"/>
        <v/>
      </c>
      <c r="AM526" s="78" t="str">
        <f t="shared" si="4655"/>
        <v>Janus</v>
      </c>
      <c r="AN526" s="78" t="str">
        <f t="shared" si="4655"/>
        <v>Christian</v>
      </c>
      <c r="AO526" s="56">
        <f t="shared" si="25"/>
        <v>2</v>
      </c>
      <c r="AP526" s="8" t="str">
        <f t="shared" si="26"/>
        <v>Thomas</v>
      </c>
      <c r="AQ526" s="73" t="str">
        <f>IFERROR(__xludf.DUMMYFUNCTION("IFNA(QUERY(transpose(AY526:BB526),""Select Col1 where Col1 is not null limit 1"",0))"),"Peter")</f>
        <v>Peter</v>
      </c>
      <c r="AR526" s="56"/>
      <c r="AS526" s="28" t="str">
        <f t="shared" ref="AS526:AV526" si="4656">IF(AK526=AS$3,"",AS$3)</f>
        <v>Thomas</v>
      </c>
      <c r="AT526" s="28" t="str">
        <f t="shared" si="4656"/>
        <v>Peter</v>
      </c>
      <c r="AU526" s="28" t="str">
        <f t="shared" si="4656"/>
        <v/>
      </c>
      <c r="AV526" s="28" t="str">
        <f t="shared" si="4656"/>
        <v/>
      </c>
      <c r="AW526" s="56">
        <f t="shared" si="28"/>
        <v>2</v>
      </c>
      <c r="AX526" s="28">
        <f t="shared" si="29"/>
        <v>-256</v>
      </c>
      <c r="AY526" s="28" t="str">
        <f t="shared" ref="AY526:BB526" si="4657">IFNA(IFS(AY$3=$AP526,"",$AX526=U526,AY$3),"")</f>
        <v/>
      </c>
      <c r="AZ526" s="28" t="str">
        <f t="shared" si="4657"/>
        <v>Peter</v>
      </c>
      <c r="BA526" s="28" t="str">
        <f t="shared" si="4657"/>
        <v/>
      </c>
      <c r="BB526" s="28" t="str">
        <f t="shared" si="4657"/>
        <v/>
      </c>
      <c r="BC526" s="58">
        <f>OFFSET('00_Regnskab_01'!$A$1,MATCH(A526,'00_Regnskab_01'!$A$1:$A$25)-1,2)</f>
        <v>45199</v>
      </c>
      <c r="BE526" s="80">
        <f t="shared" ref="BE526:BH526" si="4658">if(U526&gt;0,1+BE525,0)</f>
        <v>0</v>
      </c>
      <c r="BF526" s="28">
        <f t="shared" si="4658"/>
        <v>0</v>
      </c>
      <c r="BG526" s="28">
        <f t="shared" si="4658"/>
        <v>2</v>
      </c>
      <c r="BH526" s="28">
        <f t="shared" si="4658"/>
        <v>1</v>
      </c>
      <c r="BJ526" s="28">
        <f t="shared" ref="BJ526:BM526" si="4659">if(U526&lt;0,1+BJ525,0)</f>
        <v>2</v>
      </c>
      <c r="BK526" s="28">
        <f t="shared" si="4659"/>
        <v>1</v>
      </c>
      <c r="BL526" s="28">
        <f t="shared" si="4659"/>
        <v>0</v>
      </c>
      <c r="BM526" s="28">
        <f t="shared" si="4659"/>
        <v>0</v>
      </c>
      <c r="BO526" s="74">
        <f t="shared" ref="BO526:BR526" si="4660">if(U526&gt;0,U526+BO525,0)</f>
        <v>0</v>
      </c>
      <c r="BP526" s="74">
        <f t="shared" si="4660"/>
        <v>0</v>
      </c>
      <c r="BQ526" s="74">
        <f t="shared" si="4660"/>
        <v>272</v>
      </c>
      <c r="BR526" s="74">
        <f t="shared" si="4660"/>
        <v>256</v>
      </c>
      <c r="BT526" s="28">
        <f t="shared" ref="BT526:BW526" si="4661">if(U526&lt;0,U526+BT525,0)</f>
        <v>-272</v>
      </c>
      <c r="BU526" s="28">
        <f t="shared" si="4661"/>
        <v>-256</v>
      </c>
      <c r="BV526" s="28">
        <f t="shared" si="4661"/>
        <v>0</v>
      </c>
      <c r="BW526" s="28">
        <f t="shared" si="4661"/>
        <v>0</v>
      </c>
    </row>
    <row r="527">
      <c r="A527" s="53">
        <v>23.0</v>
      </c>
      <c r="B527" s="28">
        <f>'23_27-06-2024'!A18</f>
        <v>16</v>
      </c>
      <c r="C527" s="28">
        <f>'23_27-06-2024'!B18</f>
        <v>-254</v>
      </c>
      <c r="D527" s="28">
        <f>'23_27-06-2024'!C18</f>
        <v>-310</v>
      </c>
      <c r="E527" s="28">
        <f>'23_27-06-2024'!D18</f>
        <v>334</v>
      </c>
      <c r="F527" s="28">
        <f>'23_27-06-2024'!E18</f>
        <v>230</v>
      </c>
      <c r="G527" s="28">
        <f>'23_27-06-2024'!F18</f>
        <v>0</v>
      </c>
      <c r="H527" s="28" t="str">
        <f>'23_27-06-2024'!I18</f>
        <v>Christian</v>
      </c>
      <c r="I527" s="28" t="str">
        <f>'23_27-06-2024'!J18</f>
        <v/>
      </c>
      <c r="J527" s="28" t="str">
        <f>'23_27-06-2024'!H18</f>
        <v>Christian</v>
      </c>
      <c r="K527" s="28" t="str">
        <f>'23_27-06-2024'!G18</f>
        <v>Sol</v>
      </c>
      <c r="L527" s="56"/>
      <c r="N527" s="25" t="s">
        <v>99</v>
      </c>
      <c r="T527" s="56"/>
      <c r="U527" s="77">
        <f t="shared" ref="U527:X527" si="4662">C527-C526</f>
        <v>-4</v>
      </c>
      <c r="V527" s="28">
        <f t="shared" si="4662"/>
        <v>-4</v>
      </c>
      <c r="W527" s="28">
        <f t="shared" si="4662"/>
        <v>-4</v>
      </c>
      <c r="X527" s="28">
        <f t="shared" si="4662"/>
        <v>12</v>
      </c>
      <c r="AB527" s="28" t="str">
        <f t="shared" ref="AB527:AE527" si="4663">IF(AB$3=$H527,U527,"")</f>
        <v/>
      </c>
      <c r="AC527" s="28" t="str">
        <f t="shared" si="4663"/>
        <v/>
      </c>
      <c r="AD527" s="28" t="str">
        <f t="shared" si="4663"/>
        <v/>
      </c>
      <c r="AE527" s="28">
        <f t="shared" si="4663"/>
        <v>12</v>
      </c>
      <c r="AH527" s="28">
        <f t="shared" si="22"/>
        <v>12</v>
      </c>
      <c r="AI527" s="28">
        <f t="shared" si="23"/>
        <v>0</v>
      </c>
      <c r="AK527" s="78" t="str">
        <f t="shared" ref="AK527:AN527" si="4664">IF(U527&gt;0,AK$3,"")</f>
        <v/>
      </c>
      <c r="AL527" s="78" t="str">
        <f t="shared" si="4664"/>
        <v/>
      </c>
      <c r="AM527" s="78" t="str">
        <f t="shared" si="4664"/>
        <v/>
      </c>
      <c r="AN527" s="78" t="str">
        <f t="shared" si="4664"/>
        <v>Christian</v>
      </c>
      <c r="AO527" s="56">
        <f t="shared" si="25"/>
        <v>1</v>
      </c>
      <c r="AP527" s="8" t="str">
        <f t="shared" si="26"/>
        <v>Christian</v>
      </c>
      <c r="AQ527" s="73" t="str">
        <f>IFERROR(__xludf.DUMMYFUNCTION("IFNA(QUERY(transpose(AY527:BB527),""Select Col1 where Col1 is not null limit 1"",0))"),"")</f>
        <v/>
      </c>
      <c r="AR527" s="56"/>
      <c r="AS527" s="28" t="str">
        <f t="shared" ref="AS527:AV527" si="4665">IF(AK527=AS$3,"",AS$3)</f>
        <v>Thomas</v>
      </c>
      <c r="AT527" s="28" t="str">
        <f t="shared" si="4665"/>
        <v>Peter</v>
      </c>
      <c r="AU527" s="28" t="str">
        <f t="shared" si="4665"/>
        <v>Janus</v>
      </c>
      <c r="AV527" s="28" t="str">
        <f t="shared" si="4665"/>
        <v/>
      </c>
      <c r="AW527" s="56">
        <f t="shared" si="28"/>
        <v>3</v>
      </c>
      <c r="AX527" s="28">
        <f t="shared" si="29"/>
        <v>12</v>
      </c>
      <c r="AY527" s="28" t="str">
        <f t="shared" ref="AY527:BB527" si="4666">IFNA(IFS(AY$3=$AP527,"",$AX527=U527,AY$3),"")</f>
        <v/>
      </c>
      <c r="AZ527" s="28" t="str">
        <f t="shared" si="4666"/>
        <v/>
      </c>
      <c r="BA527" s="28" t="str">
        <f t="shared" si="4666"/>
        <v/>
      </c>
      <c r="BB527" s="28" t="str">
        <f t="shared" si="4666"/>
        <v/>
      </c>
      <c r="BC527" s="58">
        <f>OFFSET('00_Regnskab_01'!$A$1,MATCH(A527,'00_Regnskab_01'!$A$1:$A$25)-1,2)</f>
        <v>45199</v>
      </c>
      <c r="BE527" s="80">
        <f t="shared" ref="BE527:BH527" si="4667">if(U527&gt;0,1+BE526,0)</f>
        <v>0</v>
      </c>
      <c r="BF527" s="28">
        <f t="shared" si="4667"/>
        <v>0</v>
      </c>
      <c r="BG527" s="28">
        <f t="shared" si="4667"/>
        <v>0</v>
      </c>
      <c r="BH527" s="28">
        <f t="shared" si="4667"/>
        <v>2</v>
      </c>
      <c r="BJ527" s="28">
        <f t="shared" ref="BJ527:BM527" si="4668">if(U527&lt;0,1+BJ526,0)</f>
        <v>3</v>
      </c>
      <c r="BK527" s="28">
        <f t="shared" si="4668"/>
        <v>2</v>
      </c>
      <c r="BL527" s="28">
        <f t="shared" si="4668"/>
        <v>1</v>
      </c>
      <c r="BM527" s="28">
        <f t="shared" si="4668"/>
        <v>0</v>
      </c>
      <c r="BO527" s="74">
        <f t="shared" ref="BO527:BR527" si="4669">if(U527&gt;0,U527+BO526,0)</f>
        <v>0</v>
      </c>
      <c r="BP527" s="74">
        <f t="shared" si="4669"/>
        <v>0</v>
      </c>
      <c r="BQ527" s="74">
        <f t="shared" si="4669"/>
        <v>0</v>
      </c>
      <c r="BR527" s="74">
        <f t="shared" si="4669"/>
        <v>268</v>
      </c>
      <c r="BT527" s="28">
        <f t="shared" ref="BT527:BW527" si="4670">if(U527&lt;0,U527+BT526,0)</f>
        <v>-276</v>
      </c>
      <c r="BU527" s="28">
        <f t="shared" si="4670"/>
        <v>-260</v>
      </c>
      <c r="BV527" s="28">
        <f t="shared" si="4670"/>
        <v>-4</v>
      </c>
      <c r="BW527" s="28">
        <f t="shared" si="4670"/>
        <v>0</v>
      </c>
    </row>
    <row r="528">
      <c r="A528" s="53">
        <v>23.0</v>
      </c>
      <c r="B528" s="28">
        <f>'23_27-06-2024'!A19</f>
        <v>17</v>
      </c>
      <c r="C528" s="28">
        <f>'23_27-06-2024'!B19</f>
        <v>-266</v>
      </c>
      <c r="D528" s="28">
        <f>'23_27-06-2024'!C19</f>
        <v>-322</v>
      </c>
      <c r="E528" s="28">
        <f>'23_27-06-2024'!D19</f>
        <v>346</v>
      </c>
      <c r="F528" s="28">
        <f>'23_27-06-2024'!E19</f>
        <v>242</v>
      </c>
      <c r="G528" s="28">
        <f>'23_27-06-2024'!F19</f>
        <v>0</v>
      </c>
      <c r="H528" s="28" t="str">
        <f>'23_27-06-2024'!I19</f>
        <v>Christian</v>
      </c>
      <c r="I528" s="28" t="str">
        <f>'23_27-06-2024'!J19</f>
        <v>Janus</v>
      </c>
      <c r="J528" s="28" t="str">
        <f>'23_27-06-2024'!H19</f>
        <v>Thomas</v>
      </c>
      <c r="K528" s="28" t="str">
        <f>'23_27-06-2024'!G19</f>
        <v>10 alm</v>
      </c>
      <c r="L528" s="56"/>
      <c r="M528" s="25">
        <v>10.0</v>
      </c>
      <c r="N528" s="25" t="s">
        <v>100</v>
      </c>
      <c r="T528" s="56"/>
      <c r="U528" s="77">
        <f t="shared" ref="U528:X528" si="4671">C528-C527</f>
        <v>-12</v>
      </c>
      <c r="V528" s="28">
        <f t="shared" si="4671"/>
        <v>-12</v>
      </c>
      <c r="W528" s="28">
        <f t="shared" si="4671"/>
        <v>12</v>
      </c>
      <c r="X528" s="28">
        <f t="shared" si="4671"/>
        <v>12</v>
      </c>
      <c r="AB528" s="28" t="str">
        <f t="shared" ref="AB528:AE528" si="4672">IF(AB$3=$H528,U528,"")</f>
        <v/>
      </c>
      <c r="AC528" s="28" t="str">
        <f t="shared" si="4672"/>
        <v/>
      </c>
      <c r="AD528" s="28" t="str">
        <f t="shared" si="4672"/>
        <v/>
      </c>
      <c r="AE528" s="28">
        <f t="shared" si="4672"/>
        <v>12</v>
      </c>
      <c r="AH528" s="28">
        <f t="shared" si="22"/>
        <v>12</v>
      </c>
      <c r="AI528" s="28">
        <f t="shared" si="23"/>
        <v>0</v>
      </c>
      <c r="AK528" s="78" t="str">
        <f t="shared" ref="AK528:AN528" si="4673">IF(U528&gt;0,AK$3,"")</f>
        <v/>
      </c>
      <c r="AL528" s="78" t="str">
        <f t="shared" si="4673"/>
        <v/>
      </c>
      <c r="AM528" s="78" t="str">
        <f t="shared" si="4673"/>
        <v>Janus</v>
      </c>
      <c r="AN528" s="78" t="str">
        <f t="shared" si="4673"/>
        <v>Christian</v>
      </c>
      <c r="AO528" s="56">
        <f t="shared" si="25"/>
        <v>2</v>
      </c>
      <c r="AP528" s="8" t="str">
        <f t="shared" si="26"/>
        <v>Christian</v>
      </c>
      <c r="AQ528" s="73" t="str">
        <f>IFERROR(__xludf.DUMMYFUNCTION("IFNA(QUERY(transpose(AY528:BB528),""Select Col1 where Col1 is not null limit 1"",0))"),"Janus")</f>
        <v>Janus</v>
      </c>
      <c r="AR528" s="56"/>
      <c r="AS528" s="28" t="str">
        <f t="shared" ref="AS528:AV528" si="4674">IF(AK528=AS$3,"",AS$3)</f>
        <v>Thomas</v>
      </c>
      <c r="AT528" s="28" t="str">
        <f t="shared" si="4674"/>
        <v>Peter</v>
      </c>
      <c r="AU528" s="28" t="str">
        <f t="shared" si="4674"/>
        <v/>
      </c>
      <c r="AV528" s="28" t="str">
        <f t="shared" si="4674"/>
        <v/>
      </c>
      <c r="AW528" s="56">
        <f t="shared" si="28"/>
        <v>2</v>
      </c>
      <c r="AX528" s="28">
        <f t="shared" si="29"/>
        <v>12</v>
      </c>
      <c r="AY528" s="28" t="str">
        <f t="shared" ref="AY528:BB528" si="4675">IFNA(IFS(AY$3=$AP528,"",$AX528=U528,AY$3),"")</f>
        <v/>
      </c>
      <c r="AZ528" s="28" t="str">
        <f t="shared" si="4675"/>
        <v/>
      </c>
      <c r="BA528" s="28" t="str">
        <f t="shared" si="4675"/>
        <v>Janus</v>
      </c>
      <c r="BB528" s="28" t="str">
        <f t="shared" si="4675"/>
        <v/>
      </c>
      <c r="BC528" s="58">
        <f>OFFSET('00_Regnskab_01'!$A$1,MATCH(A528,'00_Regnskab_01'!$A$1:$A$25)-1,2)</f>
        <v>45199</v>
      </c>
      <c r="BE528" s="80">
        <f t="shared" ref="BE528:BH528" si="4676">if(U528&gt;0,1+BE527,0)</f>
        <v>0</v>
      </c>
      <c r="BF528" s="28">
        <f t="shared" si="4676"/>
        <v>0</v>
      </c>
      <c r="BG528" s="28">
        <f t="shared" si="4676"/>
        <v>1</v>
      </c>
      <c r="BH528" s="28">
        <f t="shared" si="4676"/>
        <v>3</v>
      </c>
      <c r="BJ528" s="28">
        <f t="shared" ref="BJ528:BM528" si="4677">if(U528&lt;0,1+BJ527,0)</f>
        <v>4</v>
      </c>
      <c r="BK528" s="28">
        <f t="shared" si="4677"/>
        <v>3</v>
      </c>
      <c r="BL528" s="28">
        <f t="shared" si="4677"/>
        <v>0</v>
      </c>
      <c r="BM528" s="28">
        <f t="shared" si="4677"/>
        <v>0</v>
      </c>
      <c r="BO528" s="74">
        <f t="shared" ref="BO528:BR528" si="4678">if(U528&gt;0,U528+BO527,0)</f>
        <v>0</v>
      </c>
      <c r="BP528" s="74">
        <f t="shared" si="4678"/>
        <v>0</v>
      </c>
      <c r="BQ528" s="74">
        <f t="shared" si="4678"/>
        <v>12</v>
      </c>
      <c r="BR528" s="74">
        <f t="shared" si="4678"/>
        <v>280</v>
      </c>
      <c r="BT528" s="28">
        <f t="shared" ref="BT528:BW528" si="4679">if(U528&lt;0,U528+BT527,0)</f>
        <v>-288</v>
      </c>
      <c r="BU528" s="28">
        <f t="shared" si="4679"/>
        <v>-272</v>
      </c>
      <c r="BV528" s="28">
        <f t="shared" si="4679"/>
        <v>0</v>
      </c>
      <c r="BW528" s="28">
        <f t="shared" si="4679"/>
        <v>0</v>
      </c>
    </row>
    <row r="529">
      <c r="A529" s="53">
        <v>23.0</v>
      </c>
      <c r="B529" s="28">
        <f>'23_27-06-2024'!A20</f>
        <v>18</v>
      </c>
      <c r="C529" s="28">
        <f>'23_27-06-2024'!B20</f>
        <v>-270</v>
      </c>
      <c r="D529" s="28">
        <f>'23_27-06-2024'!C20</f>
        <v>-310</v>
      </c>
      <c r="E529" s="28">
        <f>'23_27-06-2024'!D20</f>
        <v>342</v>
      </c>
      <c r="F529" s="28">
        <f>'23_27-06-2024'!E20</f>
        <v>238</v>
      </c>
      <c r="G529" s="28">
        <f>'23_27-06-2024'!F20</f>
        <v>0</v>
      </c>
      <c r="H529" s="28" t="str">
        <f>'23_27-06-2024'!I20</f>
        <v>Peter</v>
      </c>
      <c r="I529" s="28" t="str">
        <f>'23_27-06-2024'!J20</f>
        <v/>
      </c>
      <c r="J529" s="28" t="str">
        <f>'23_27-06-2024'!H20</f>
        <v>Peter</v>
      </c>
      <c r="K529" s="28" t="str">
        <f>'23_27-06-2024'!G20</f>
        <v>Sol</v>
      </c>
      <c r="L529" s="56"/>
      <c r="N529" s="25" t="s">
        <v>99</v>
      </c>
      <c r="T529" s="56"/>
      <c r="U529" s="77">
        <f t="shared" ref="U529:X529" si="4680">C529-C528</f>
        <v>-4</v>
      </c>
      <c r="V529" s="28">
        <f t="shared" si="4680"/>
        <v>12</v>
      </c>
      <c r="W529" s="28">
        <f t="shared" si="4680"/>
        <v>-4</v>
      </c>
      <c r="X529" s="28">
        <f t="shared" si="4680"/>
        <v>-4</v>
      </c>
      <c r="AB529" s="28" t="str">
        <f t="shared" ref="AB529:AE529" si="4681">IF(AB$3=$H529,U529,"")</f>
        <v/>
      </c>
      <c r="AC529" s="28">
        <f t="shared" si="4681"/>
        <v>12</v>
      </c>
      <c r="AD529" s="28" t="str">
        <f t="shared" si="4681"/>
        <v/>
      </c>
      <c r="AE529" s="28" t="str">
        <f t="shared" si="4681"/>
        <v/>
      </c>
      <c r="AH529" s="28">
        <f t="shared" si="22"/>
        <v>12</v>
      </c>
      <c r="AI529" s="28">
        <f t="shared" si="23"/>
        <v>0</v>
      </c>
      <c r="AK529" s="78" t="str">
        <f t="shared" ref="AK529:AN529" si="4682">IF(U529&gt;0,AK$3,"")</f>
        <v/>
      </c>
      <c r="AL529" s="78" t="str">
        <f t="shared" si="4682"/>
        <v>Peter</v>
      </c>
      <c r="AM529" s="78" t="str">
        <f t="shared" si="4682"/>
        <v/>
      </c>
      <c r="AN529" s="78" t="str">
        <f t="shared" si="4682"/>
        <v/>
      </c>
      <c r="AO529" s="56">
        <f t="shared" si="25"/>
        <v>1</v>
      </c>
      <c r="AP529" s="8" t="str">
        <f t="shared" si="26"/>
        <v>Peter</v>
      </c>
      <c r="AQ529" s="73" t="str">
        <f>IFERROR(__xludf.DUMMYFUNCTION("IFNA(QUERY(transpose(AY529:BB529),""Select Col1 where Col1 is not null limit 1"",0))"),"")</f>
        <v/>
      </c>
      <c r="AR529" s="56"/>
      <c r="AS529" s="28" t="str">
        <f t="shared" ref="AS529:AV529" si="4683">IF(AK529=AS$3,"",AS$3)</f>
        <v>Thomas</v>
      </c>
      <c r="AT529" s="28" t="str">
        <f t="shared" si="4683"/>
        <v/>
      </c>
      <c r="AU529" s="28" t="str">
        <f t="shared" si="4683"/>
        <v>Janus</v>
      </c>
      <c r="AV529" s="28" t="str">
        <f t="shared" si="4683"/>
        <v>Christian</v>
      </c>
      <c r="AW529" s="56">
        <f t="shared" si="28"/>
        <v>3</v>
      </c>
      <c r="AX529" s="28">
        <f t="shared" si="29"/>
        <v>12</v>
      </c>
      <c r="AY529" s="28" t="str">
        <f t="shared" ref="AY529:BB529" si="4684">IFNA(IFS(AY$3=$AP529,"",$AX529=U529,AY$3),"")</f>
        <v/>
      </c>
      <c r="AZ529" s="28" t="str">
        <f t="shared" si="4684"/>
        <v/>
      </c>
      <c r="BA529" s="28" t="str">
        <f t="shared" si="4684"/>
        <v/>
      </c>
      <c r="BB529" s="28" t="str">
        <f t="shared" si="4684"/>
        <v/>
      </c>
      <c r="BC529" s="58">
        <f>OFFSET('00_Regnskab_01'!$A$1,MATCH(A529,'00_Regnskab_01'!$A$1:$A$25)-1,2)</f>
        <v>45199</v>
      </c>
      <c r="BE529" s="80">
        <f t="shared" ref="BE529:BH529" si="4685">if(U529&gt;0,1+BE528,0)</f>
        <v>0</v>
      </c>
      <c r="BF529" s="28">
        <f t="shared" si="4685"/>
        <v>1</v>
      </c>
      <c r="BG529" s="28">
        <f t="shared" si="4685"/>
        <v>0</v>
      </c>
      <c r="BH529" s="28">
        <f t="shared" si="4685"/>
        <v>0</v>
      </c>
      <c r="BJ529" s="28">
        <f t="shared" ref="BJ529:BM529" si="4686">if(U529&lt;0,1+BJ528,0)</f>
        <v>5</v>
      </c>
      <c r="BK529" s="28">
        <f t="shared" si="4686"/>
        <v>0</v>
      </c>
      <c r="BL529" s="28">
        <f t="shared" si="4686"/>
        <v>1</v>
      </c>
      <c r="BM529" s="28">
        <f t="shared" si="4686"/>
        <v>1</v>
      </c>
      <c r="BO529" s="74">
        <f t="shared" ref="BO529:BR529" si="4687">if(U529&gt;0,U529+BO528,0)</f>
        <v>0</v>
      </c>
      <c r="BP529" s="74">
        <f t="shared" si="4687"/>
        <v>12</v>
      </c>
      <c r="BQ529" s="74">
        <f t="shared" si="4687"/>
        <v>0</v>
      </c>
      <c r="BR529" s="74">
        <f t="shared" si="4687"/>
        <v>0</v>
      </c>
      <c r="BT529" s="28">
        <f t="shared" ref="BT529:BW529" si="4688">if(U529&lt;0,U529+BT528,0)</f>
        <v>-292</v>
      </c>
      <c r="BU529" s="28">
        <f t="shared" si="4688"/>
        <v>0</v>
      </c>
      <c r="BV529" s="28">
        <f t="shared" si="4688"/>
        <v>-4</v>
      </c>
      <c r="BW529" s="28">
        <f t="shared" si="4688"/>
        <v>-4</v>
      </c>
    </row>
    <row r="530">
      <c r="A530" s="83">
        <v>23.0</v>
      </c>
      <c r="B530" s="84">
        <f>'23_27-06-2024'!A21</f>
        <v>19</v>
      </c>
      <c r="C530" s="84">
        <f>'23_27-06-2024'!B21</f>
        <v>-294</v>
      </c>
      <c r="D530" s="84">
        <f>'23_27-06-2024'!C21</f>
        <v>-286</v>
      </c>
      <c r="E530" s="84">
        <f>'23_27-06-2024'!D21</f>
        <v>366</v>
      </c>
      <c r="F530" s="84">
        <f>'23_27-06-2024'!E21</f>
        <v>214</v>
      </c>
      <c r="G530" s="84">
        <f>'23_27-06-2024'!F21</f>
        <v>0</v>
      </c>
      <c r="H530" s="84" t="str">
        <f>'23_27-06-2024'!I21</f>
        <v>Janus</v>
      </c>
      <c r="I530" s="84" t="str">
        <f>'23_27-06-2024'!J21</f>
        <v>Peter</v>
      </c>
      <c r="J530" s="84" t="str">
        <f>'23_27-06-2024'!H21</f>
        <v>Janus</v>
      </c>
      <c r="K530" s="84" t="str">
        <f>'23_27-06-2024'!G21</f>
        <v>10 halve</v>
      </c>
      <c r="L530" s="84"/>
      <c r="M530" s="87">
        <v>10.0</v>
      </c>
      <c r="N530" s="87" t="s">
        <v>94</v>
      </c>
      <c r="O530" s="84"/>
      <c r="P530" s="84"/>
      <c r="Q530" s="84"/>
      <c r="R530" s="84"/>
      <c r="S530" s="84"/>
      <c r="T530" s="84"/>
      <c r="U530" s="88">
        <f t="shared" ref="U530:X530" si="4689">C530-C529</f>
        <v>-24</v>
      </c>
      <c r="V530" s="84">
        <f t="shared" si="4689"/>
        <v>24</v>
      </c>
      <c r="W530" s="84">
        <f t="shared" si="4689"/>
        <v>24</v>
      </c>
      <c r="X530" s="84">
        <f t="shared" si="4689"/>
        <v>-24</v>
      </c>
      <c r="Y530" s="84"/>
      <c r="Z530" s="84"/>
      <c r="AA530" s="84"/>
      <c r="AB530" s="84" t="str">
        <f t="shared" ref="AB530:AE530" si="4690">IF(AB$3=$H530,U530,"")</f>
        <v/>
      </c>
      <c r="AC530" s="84" t="str">
        <f t="shared" si="4690"/>
        <v/>
      </c>
      <c r="AD530" s="84">
        <f t="shared" si="4690"/>
        <v>24</v>
      </c>
      <c r="AE530" s="84" t="str">
        <f t="shared" si="4690"/>
        <v/>
      </c>
      <c r="AF530" s="84"/>
      <c r="AG530" s="84"/>
      <c r="AH530" s="84">
        <f t="shared" si="22"/>
        <v>24</v>
      </c>
      <c r="AI530" s="84">
        <f t="shared" si="23"/>
        <v>0</v>
      </c>
      <c r="AJ530" s="84"/>
      <c r="AK530" s="93" t="str">
        <f t="shared" ref="AK530:AN530" si="4691">IF(U530&gt;0,AK$3,"")</f>
        <v/>
      </c>
      <c r="AL530" s="93" t="str">
        <f t="shared" si="4691"/>
        <v>Peter</v>
      </c>
      <c r="AM530" s="93" t="str">
        <f t="shared" si="4691"/>
        <v>Janus</v>
      </c>
      <c r="AN530" s="93" t="str">
        <f t="shared" si="4691"/>
        <v/>
      </c>
      <c r="AO530" s="84">
        <f t="shared" si="25"/>
        <v>2</v>
      </c>
      <c r="AP530" s="94" t="str">
        <f t="shared" si="26"/>
        <v>Janus</v>
      </c>
      <c r="AQ530" s="95" t="str">
        <f>IFERROR(__xludf.DUMMYFUNCTION("IFNA(QUERY(transpose(AY530:BB530),""Select Col1 where Col1 is not null limit 1"",0))"),"Peter")</f>
        <v>Peter</v>
      </c>
      <c r="AR530" s="84"/>
      <c r="AS530" s="84" t="str">
        <f t="shared" ref="AS530:AV530" si="4692">IF(AK530=AS$3,"",AS$3)</f>
        <v>Thomas</v>
      </c>
      <c r="AT530" s="84" t="str">
        <f t="shared" si="4692"/>
        <v/>
      </c>
      <c r="AU530" s="84" t="str">
        <f t="shared" si="4692"/>
        <v/>
      </c>
      <c r="AV530" s="84" t="str">
        <f t="shared" si="4692"/>
        <v>Christian</v>
      </c>
      <c r="AW530" s="84">
        <f t="shared" si="28"/>
        <v>2</v>
      </c>
      <c r="AX530" s="84">
        <f t="shared" si="29"/>
        <v>24</v>
      </c>
      <c r="AY530" s="84" t="str">
        <f t="shared" ref="AY530:BB530" si="4693">IFNA(IFS(AY$3=$AP530,"",$AX530=U530,AY$3),"")</f>
        <v/>
      </c>
      <c r="AZ530" s="84" t="str">
        <f t="shared" si="4693"/>
        <v>Peter</v>
      </c>
      <c r="BA530" s="84" t="str">
        <f t="shared" si="4693"/>
        <v/>
      </c>
      <c r="BB530" s="84" t="str">
        <f t="shared" si="4693"/>
        <v/>
      </c>
      <c r="BC530" s="96">
        <f>OFFSET('00_Regnskab_01'!$A$1,MATCH(A530,'00_Regnskab_01'!$A$1:$A$25)-1,2)</f>
        <v>45199</v>
      </c>
      <c r="BD530" s="84"/>
      <c r="BE530" s="97">
        <f t="shared" ref="BE530:BH530" si="4694">if(U530&gt;0,1+BE529,0)</f>
        <v>0</v>
      </c>
      <c r="BF530" s="84">
        <f t="shared" si="4694"/>
        <v>2</v>
      </c>
      <c r="BG530" s="84">
        <f t="shared" si="4694"/>
        <v>1</v>
      </c>
      <c r="BH530" s="84">
        <f t="shared" si="4694"/>
        <v>0</v>
      </c>
      <c r="BI530" s="84"/>
      <c r="BJ530" s="28">
        <f t="shared" ref="BJ530:BM530" si="4695">if(U530&lt;0,1+BJ529,0)</f>
        <v>6</v>
      </c>
      <c r="BK530" s="28">
        <f t="shared" si="4695"/>
        <v>0</v>
      </c>
      <c r="BL530" s="28">
        <f t="shared" si="4695"/>
        <v>0</v>
      </c>
      <c r="BM530" s="28">
        <f t="shared" si="4695"/>
        <v>2</v>
      </c>
      <c r="BN530" s="84"/>
      <c r="BO530" s="98">
        <f t="shared" ref="BO530:BR530" si="4696">if(U530&gt;0,U530+BO529,0)</f>
        <v>0</v>
      </c>
      <c r="BP530" s="98">
        <f t="shared" si="4696"/>
        <v>36</v>
      </c>
      <c r="BQ530" s="98">
        <f t="shared" si="4696"/>
        <v>24</v>
      </c>
      <c r="BR530" s="98">
        <f t="shared" si="4696"/>
        <v>0</v>
      </c>
      <c r="BS530" s="84"/>
      <c r="BT530" s="84">
        <f t="shared" ref="BT530:BW530" si="4697">if(U530&lt;0,U530+BT529,0)</f>
        <v>-316</v>
      </c>
      <c r="BU530" s="84">
        <f t="shared" si="4697"/>
        <v>0</v>
      </c>
      <c r="BV530" s="84">
        <f t="shared" si="4697"/>
        <v>0</v>
      </c>
      <c r="BW530" s="84">
        <f t="shared" si="4697"/>
        <v>-28</v>
      </c>
      <c r="BX530" s="84"/>
      <c r="BY530" s="84"/>
    </row>
    <row r="531">
      <c r="A531" s="115">
        <v>24.0</v>
      </c>
      <c r="B531" s="24">
        <f>'24_6-8-2024'!A3</f>
        <v>1</v>
      </c>
      <c r="C531" s="32">
        <f>'24_6-8-2024'!B3</f>
        <v>-4</v>
      </c>
      <c r="D531" s="32">
        <f>'24_6-8-2024'!D3</f>
        <v>-4</v>
      </c>
      <c r="E531" s="32">
        <f>'24_6-8-2024'!C3</f>
        <v>-4</v>
      </c>
      <c r="F531" s="32">
        <f>'24_6-8-2024'!E3</f>
        <v>12</v>
      </c>
      <c r="G531" s="32">
        <f>'24_6-8-2024'!F3</f>
        <v>0</v>
      </c>
      <c r="H531" s="32" t="str">
        <f>'24_6-8-2024'!J3</f>
        <v/>
      </c>
      <c r="I531" s="32" t="str">
        <f>'24_6-8-2024'!K3</f>
        <v/>
      </c>
      <c r="J531" s="32" t="str">
        <f>'24_6-8-2024'!I3</f>
        <v>Christian</v>
      </c>
      <c r="K531" s="48" t="str">
        <f>'24_6-8-2024'!G3</f>
        <v>Sol</v>
      </c>
      <c r="L531" s="32"/>
      <c r="M531" s="32"/>
      <c r="N531" s="48" t="s">
        <v>99</v>
      </c>
      <c r="O531" s="32"/>
      <c r="P531" s="32"/>
      <c r="Q531" s="32"/>
      <c r="R531" s="32"/>
      <c r="S531" s="32"/>
      <c r="T531" s="32"/>
      <c r="U531" s="71">
        <f t="shared" ref="U531:X531" si="4698">C531</f>
        <v>-4</v>
      </c>
      <c r="V531" s="32">
        <f t="shared" si="4698"/>
        <v>-4</v>
      </c>
      <c r="W531" s="32">
        <f t="shared" si="4698"/>
        <v>-4</v>
      </c>
      <c r="X531" s="32">
        <f t="shared" si="4698"/>
        <v>12</v>
      </c>
      <c r="Y531" s="32"/>
      <c r="Z531" s="32"/>
      <c r="AA531" s="32"/>
      <c r="AB531" s="32" t="str">
        <f t="shared" ref="AB531:AE531" si="4699">IF(AB$3=$H531,U531,"")</f>
        <v/>
      </c>
      <c r="AC531" s="32" t="str">
        <f t="shared" si="4699"/>
        <v/>
      </c>
      <c r="AD531" s="32" t="str">
        <f t="shared" si="4699"/>
        <v/>
      </c>
      <c r="AE531" s="32" t="str">
        <f t="shared" si="4699"/>
        <v/>
      </c>
      <c r="AF531" s="32"/>
      <c r="AG531" s="32"/>
      <c r="AH531" s="32">
        <f t="shared" si="22"/>
        <v>0</v>
      </c>
      <c r="AI531" s="32">
        <f t="shared" si="23"/>
        <v>0</v>
      </c>
      <c r="AJ531" s="32"/>
      <c r="AK531" s="72" t="str">
        <f t="shared" ref="AK531:AN531" si="4700">IF(U531&gt;0,AK$3,"")</f>
        <v/>
      </c>
      <c r="AL531" s="72" t="str">
        <f t="shared" si="4700"/>
        <v/>
      </c>
      <c r="AM531" s="72" t="str">
        <f t="shared" si="4700"/>
        <v/>
      </c>
      <c r="AN531" s="72" t="str">
        <f t="shared" si="4700"/>
        <v>Christian</v>
      </c>
      <c r="AO531" s="32">
        <f t="shared" si="25"/>
        <v>1</v>
      </c>
      <c r="AP531" s="114" t="str">
        <f t="shared" si="26"/>
        <v/>
      </c>
      <c r="AQ531" s="109" t="str">
        <f>IFERROR(__xludf.DUMMYFUNCTION("IFNA(QUERY(transpose(AY531:BB531),""Select Col1 where Col1 is not null limit 1"",0))"),"")</f>
        <v/>
      </c>
      <c r="AR531" s="32"/>
      <c r="AS531" s="32" t="str">
        <f t="shared" ref="AS531:AV531" si="4701">IF(AK531=AS$3,"",AS$3)</f>
        <v>Thomas</v>
      </c>
      <c r="AT531" s="32" t="str">
        <f t="shared" si="4701"/>
        <v>Peter</v>
      </c>
      <c r="AU531" s="32" t="str">
        <f t="shared" si="4701"/>
        <v>Janus</v>
      </c>
      <c r="AV531" s="32" t="str">
        <f t="shared" si="4701"/>
        <v/>
      </c>
      <c r="AW531" s="32">
        <f t="shared" si="28"/>
        <v>3</v>
      </c>
      <c r="AX531" s="32">
        <f t="shared" si="29"/>
        <v>0</v>
      </c>
      <c r="AY531" s="32" t="str">
        <f t="shared" ref="AY531:BB531" si="4702">IFNA(IFS(AY$3=$AP531,"",$AX531=U531,AY$3),"")</f>
        <v/>
      </c>
      <c r="AZ531" s="32" t="str">
        <f t="shared" si="4702"/>
        <v/>
      </c>
      <c r="BA531" s="32" t="str">
        <f t="shared" si="4702"/>
        <v/>
      </c>
      <c r="BB531" s="32" t="str">
        <f t="shared" si="4702"/>
        <v/>
      </c>
      <c r="BC531" s="58">
        <f>OFFSET('00_Regnskab_01'!$A$1,MATCH(A531,'00_Regnskab_01'!$A$1:$A$25)-1,2)</f>
        <v>45199</v>
      </c>
      <c r="BD531" s="32"/>
      <c r="BE531" s="80">
        <f t="shared" ref="BE531:BH531" si="4703">if(U531&gt;0,1+BE530,0)</f>
        <v>0</v>
      </c>
      <c r="BF531" s="28">
        <f t="shared" si="4703"/>
        <v>0</v>
      </c>
      <c r="BG531" s="28">
        <f t="shared" si="4703"/>
        <v>0</v>
      </c>
      <c r="BH531" s="28">
        <f t="shared" si="4703"/>
        <v>1</v>
      </c>
      <c r="BI531" s="32"/>
      <c r="BJ531" s="28">
        <f t="shared" ref="BJ531:BM531" si="4704">if(U531&lt;0,1+BJ530,0)</f>
        <v>7</v>
      </c>
      <c r="BK531" s="28">
        <f t="shared" si="4704"/>
        <v>1</v>
      </c>
      <c r="BL531" s="28">
        <f t="shared" si="4704"/>
        <v>1</v>
      </c>
      <c r="BM531" s="28">
        <f t="shared" si="4704"/>
        <v>0</v>
      </c>
      <c r="BO531" s="74">
        <f t="shared" ref="BO531:BR531" si="4705">if(U531&gt;0,U531+BO530,0)</f>
        <v>0</v>
      </c>
      <c r="BP531" s="74">
        <f t="shared" si="4705"/>
        <v>0</v>
      </c>
      <c r="BQ531" s="74">
        <f t="shared" si="4705"/>
        <v>0</v>
      </c>
      <c r="BR531" s="74">
        <f t="shared" si="4705"/>
        <v>12</v>
      </c>
      <c r="BT531" s="28">
        <f t="shared" ref="BT531:BW531" si="4706">if(U531&lt;0,U531+BT530,0)</f>
        <v>-320</v>
      </c>
      <c r="BU531" s="28">
        <f t="shared" si="4706"/>
        <v>-4</v>
      </c>
      <c r="BV531" s="28">
        <f t="shared" si="4706"/>
        <v>-4</v>
      </c>
      <c r="BW531" s="28">
        <f t="shared" si="4706"/>
        <v>0</v>
      </c>
      <c r="BX531" s="32"/>
      <c r="BY531" s="32"/>
    </row>
    <row r="532">
      <c r="A532" s="53">
        <v>24.0</v>
      </c>
      <c r="B532" s="28">
        <f>'24_6-8-2024'!A4</f>
        <v>2</v>
      </c>
      <c r="C532" s="28">
        <f>'24_6-8-2024'!B4</f>
        <v>8</v>
      </c>
      <c r="D532" s="28">
        <f>'24_6-8-2024'!D4</f>
        <v>8</v>
      </c>
      <c r="E532" s="28">
        <f>'24_6-8-2024'!C4</f>
        <v>-40</v>
      </c>
      <c r="F532" s="28">
        <f>'24_6-8-2024'!E4</f>
        <v>24</v>
      </c>
      <c r="G532" s="28">
        <f>'24_6-8-2024'!F4</f>
        <v>0</v>
      </c>
      <c r="H532" s="28" t="str">
        <f>'24_6-8-2024'!J4</f>
        <v>Selvmakker</v>
      </c>
      <c r="I532" s="28" t="str">
        <f>'24_6-8-2024'!K4</f>
        <v/>
      </c>
      <c r="J532" s="28" t="str">
        <f>'24_6-8-2024'!I4</f>
        <v>Janus</v>
      </c>
      <c r="K532" s="25" t="str">
        <f>'24_6-8-2024'!G4</f>
        <v>9 halve</v>
      </c>
      <c r="L532" s="56"/>
      <c r="M532" s="25">
        <v>9.0</v>
      </c>
      <c r="N532" s="25" t="s">
        <v>94</v>
      </c>
      <c r="T532" s="56"/>
      <c r="U532" s="77">
        <f t="shared" ref="U532:X532" si="4707">C532-C531</f>
        <v>12</v>
      </c>
      <c r="V532" s="28">
        <f t="shared" si="4707"/>
        <v>12</v>
      </c>
      <c r="W532" s="28">
        <f t="shared" si="4707"/>
        <v>-36</v>
      </c>
      <c r="X532" s="28">
        <f t="shared" si="4707"/>
        <v>12</v>
      </c>
      <c r="AB532" s="28" t="str">
        <f t="shared" ref="AB532:AE532" si="4708">IF(AB$3=$H532,U532,"")</f>
        <v/>
      </c>
      <c r="AC532" s="28" t="str">
        <f t="shared" si="4708"/>
        <v/>
      </c>
      <c r="AD532" s="28" t="str">
        <f t="shared" si="4708"/>
        <v/>
      </c>
      <c r="AE532" s="28" t="str">
        <f t="shared" si="4708"/>
        <v/>
      </c>
      <c r="AH532" s="28">
        <f t="shared" si="22"/>
        <v>0</v>
      </c>
      <c r="AI532" s="28">
        <f t="shared" si="23"/>
        <v>0</v>
      </c>
      <c r="AK532" s="78" t="str">
        <f t="shared" ref="AK532:AN532" si="4709">IF(U532&gt;0,AK$3,"")</f>
        <v>Thomas</v>
      </c>
      <c r="AL532" s="78" t="str">
        <f t="shared" si="4709"/>
        <v>Peter</v>
      </c>
      <c r="AM532" s="78" t="str">
        <f t="shared" si="4709"/>
        <v/>
      </c>
      <c r="AN532" s="78" t="str">
        <f t="shared" si="4709"/>
        <v>Christian</v>
      </c>
      <c r="AO532" s="56">
        <f t="shared" si="25"/>
        <v>3</v>
      </c>
      <c r="AP532" s="8" t="str">
        <f t="shared" si="26"/>
        <v>Selvmakker</v>
      </c>
      <c r="AQ532" s="73" t="str">
        <f>IFERROR(__xludf.DUMMYFUNCTION("IFNA(QUERY(transpose(AY532:BB532),""Select Col1 where Col1 is not null limit 1"",0))"),"")</f>
        <v/>
      </c>
      <c r="AR532" s="56"/>
      <c r="AS532" s="28" t="str">
        <f t="shared" ref="AS532:AV532" si="4710">IF(AK532=AS$3,"",AS$3)</f>
        <v/>
      </c>
      <c r="AT532" s="28" t="str">
        <f t="shared" si="4710"/>
        <v/>
      </c>
      <c r="AU532" s="28" t="str">
        <f t="shared" si="4710"/>
        <v>Janus</v>
      </c>
      <c r="AV532" s="28" t="str">
        <f t="shared" si="4710"/>
        <v/>
      </c>
      <c r="AW532" s="56">
        <f t="shared" si="28"/>
        <v>1</v>
      </c>
      <c r="AX532" s="28">
        <f t="shared" si="29"/>
        <v>0</v>
      </c>
      <c r="AY532" s="28" t="str">
        <f t="shared" ref="AY532:BB532" si="4711">IFNA(IFS(AY$3=$AP532,"",$AX532=U532,AY$3),"")</f>
        <v/>
      </c>
      <c r="AZ532" s="28" t="str">
        <f t="shared" si="4711"/>
        <v/>
      </c>
      <c r="BA532" s="28" t="str">
        <f t="shared" si="4711"/>
        <v/>
      </c>
      <c r="BB532" s="28" t="str">
        <f t="shared" si="4711"/>
        <v/>
      </c>
      <c r="BC532" s="58">
        <f>OFFSET('00_Regnskab_01'!$A$1,MATCH(A532,'00_Regnskab_01'!$A$1:$A$25)-1,2)</f>
        <v>45199</v>
      </c>
      <c r="BE532" s="80">
        <f t="shared" ref="BE532:BH532" si="4712">if(U532&gt;0,1+BE531,0)</f>
        <v>1</v>
      </c>
      <c r="BF532" s="28">
        <f t="shared" si="4712"/>
        <v>1</v>
      </c>
      <c r="BG532" s="28">
        <f t="shared" si="4712"/>
        <v>0</v>
      </c>
      <c r="BH532" s="28">
        <f t="shared" si="4712"/>
        <v>2</v>
      </c>
      <c r="BJ532" s="28">
        <f t="shared" ref="BJ532:BM532" si="4713">if(U532&lt;0,1+BJ531,0)</f>
        <v>0</v>
      </c>
      <c r="BK532" s="28">
        <f t="shared" si="4713"/>
        <v>0</v>
      </c>
      <c r="BL532" s="28">
        <f t="shared" si="4713"/>
        <v>2</v>
      </c>
      <c r="BM532" s="28">
        <f t="shared" si="4713"/>
        <v>0</v>
      </c>
      <c r="BO532" s="74">
        <f t="shared" ref="BO532:BR532" si="4714">if(U532&gt;0,U532+BO531,0)</f>
        <v>12</v>
      </c>
      <c r="BP532" s="74">
        <f t="shared" si="4714"/>
        <v>12</v>
      </c>
      <c r="BQ532" s="74">
        <f t="shared" si="4714"/>
        <v>0</v>
      </c>
      <c r="BR532" s="74">
        <f t="shared" si="4714"/>
        <v>24</v>
      </c>
      <c r="BT532" s="28">
        <f t="shared" ref="BT532:BW532" si="4715">if(U532&lt;0,U532+BT531,0)</f>
        <v>0</v>
      </c>
      <c r="BU532" s="28">
        <f t="shared" si="4715"/>
        <v>0</v>
      </c>
      <c r="BV532" s="28">
        <f t="shared" si="4715"/>
        <v>-40</v>
      </c>
      <c r="BW532" s="28">
        <f t="shared" si="4715"/>
        <v>0</v>
      </c>
    </row>
    <row r="533">
      <c r="A533" s="53">
        <v>24.0</v>
      </c>
      <c r="B533" s="28">
        <f>'24_6-8-2024'!A5</f>
        <v>3</v>
      </c>
      <c r="C533" s="28">
        <f>'24_6-8-2024'!B5</f>
        <v>0</v>
      </c>
      <c r="D533" s="28">
        <f>'24_6-8-2024'!D5</f>
        <v>16</v>
      </c>
      <c r="E533" s="28">
        <f>'24_6-8-2024'!C5</f>
        <v>-32</v>
      </c>
      <c r="F533" s="28">
        <f>'24_6-8-2024'!E5</f>
        <v>16</v>
      </c>
      <c r="G533" s="28">
        <f>'24_6-8-2024'!F5</f>
        <v>0</v>
      </c>
      <c r="H533" s="28" t="str">
        <f>'24_6-8-2024'!J5</f>
        <v>Thomas</v>
      </c>
      <c r="I533" s="28" t="str">
        <f>'24_6-8-2024'!K5</f>
        <v/>
      </c>
      <c r="J533" s="28" t="str">
        <f>'24_6-8-2024'!I5</f>
        <v>Christian</v>
      </c>
      <c r="K533" s="25" t="str">
        <f>'24_6-8-2024'!G5</f>
        <v>9 halve</v>
      </c>
      <c r="L533" s="56"/>
      <c r="M533" s="25">
        <v>9.0</v>
      </c>
      <c r="N533" s="25" t="s">
        <v>94</v>
      </c>
      <c r="T533" s="56"/>
      <c r="U533" s="77">
        <f t="shared" ref="U533:X533" si="4716">C533-C532</f>
        <v>-8</v>
      </c>
      <c r="V533" s="28">
        <f t="shared" si="4716"/>
        <v>8</v>
      </c>
      <c r="W533" s="28">
        <f t="shared" si="4716"/>
        <v>8</v>
      </c>
      <c r="X533" s="28">
        <f t="shared" si="4716"/>
        <v>-8</v>
      </c>
      <c r="AB533" s="28">
        <f t="shared" ref="AB533:AE533" si="4717">IF(AB$3=$H533,U533,"")</f>
        <v>-8</v>
      </c>
      <c r="AC533" s="28" t="str">
        <f t="shared" si="4717"/>
        <v/>
      </c>
      <c r="AD533" s="28" t="str">
        <f t="shared" si="4717"/>
        <v/>
      </c>
      <c r="AE533" s="28" t="str">
        <f t="shared" si="4717"/>
        <v/>
      </c>
      <c r="AH533" s="28">
        <f t="shared" si="22"/>
        <v>0</v>
      </c>
      <c r="AI533" s="28">
        <f t="shared" si="23"/>
        <v>-8</v>
      </c>
      <c r="AK533" s="78" t="str">
        <f t="shared" ref="AK533:AN533" si="4718">IF(U533&gt;0,AK$3,"")</f>
        <v/>
      </c>
      <c r="AL533" s="78" t="str">
        <f t="shared" si="4718"/>
        <v>Peter</v>
      </c>
      <c r="AM533" s="78" t="str">
        <f t="shared" si="4718"/>
        <v>Janus</v>
      </c>
      <c r="AN533" s="78" t="str">
        <f t="shared" si="4718"/>
        <v/>
      </c>
      <c r="AO533" s="56">
        <f t="shared" si="25"/>
        <v>2</v>
      </c>
      <c r="AP533" s="8" t="str">
        <f t="shared" si="26"/>
        <v>Thomas</v>
      </c>
      <c r="AQ533" s="73" t="str">
        <f>IFERROR(__xludf.DUMMYFUNCTION("IFNA(QUERY(transpose(AY533:BB533),""Select Col1 where Col1 is not null limit 1"",0))"),"Christian")</f>
        <v>Christian</v>
      </c>
      <c r="AR533" s="56"/>
      <c r="AS533" s="28" t="str">
        <f t="shared" ref="AS533:AV533" si="4719">IF(AK533=AS$3,"",AS$3)</f>
        <v>Thomas</v>
      </c>
      <c r="AT533" s="28" t="str">
        <f t="shared" si="4719"/>
        <v/>
      </c>
      <c r="AU533" s="28" t="str">
        <f t="shared" si="4719"/>
        <v/>
      </c>
      <c r="AV533" s="28" t="str">
        <f t="shared" si="4719"/>
        <v>Christian</v>
      </c>
      <c r="AW533" s="56">
        <f t="shared" si="28"/>
        <v>2</v>
      </c>
      <c r="AX533" s="28">
        <f t="shared" si="29"/>
        <v>-8</v>
      </c>
      <c r="AY533" s="28" t="str">
        <f t="shared" ref="AY533:BB533" si="4720">IFNA(IFS(AY$3=$AP533,"",$AX533=U533,AY$3),"")</f>
        <v/>
      </c>
      <c r="AZ533" s="28" t="str">
        <f t="shared" si="4720"/>
        <v/>
      </c>
      <c r="BA533" s="28" t="str">
        <f t="shared" si="4720"/>
        <v/>
      </c>
      <c r="BB533" s="28" t="str">
        <f t="shared" si="4720"/>
        <v>Christian</v>
      </c>
      <c r="BC533" s="58">
        <f>OFFSET('00_Regnskab_01'!$A$1,MATCH(A533,'00_Regnskab_01'!$A$1:$A$25)-1,2)</f>
        <v>45199</v>
      </c>
      <c r="BE533" s="80">
        <f t="shared" ref="BE533:BH533" si="4721">if(U533&gt;0,1+BE532,0)</f>
        <v>0</v>
      </c>
      <c r="BF533" s="28">
        <f t="shared" si="4721"/>
        <v>2</v>
      </c>
      <c r="BG533" s="28">
        <f t="shared" si="4721"/>
        <v>1</v>
      </c>
      <c r="BH533" s="28">
        <f t="shared" si="4721"/>
        <v>0</v>
      </c>
      <c r="BJ533" s="28">
        <f t="shared" ref="BJ533:BM533" si="4722">if(U533&lt;0,1+BJ532,0)</f>
        <v>1</v>
      </c>
      <c r="BK533" s="28">
        <f t="shared" si="4722"/>
        <v>0</v>
      </c>
      <c r="BL533" s="28">
        <f t="shared" si="4722"/>
        <v>0</v>
      </c>
      <c r="BM533" s="28">
        <f t="shared" si="4722"/>
        <v>1</v>
      </c>
      <c r="BO533" s="74">
        <f t="shared" ref="BO533:BR533" si="4723">if(U533&gt;0,U533+BO532,0)</f>
        <v>0</v>
      </c>
      <c r="BP533" s="74">
        <f t="shared" si="4723"/>
        <v>20</v>
      </c>
      <c r="BQ533" s="74">
        <f t="shared" si="4723"/>
        <v>8</v>
      </c>
      <c r="BR533" s="74">
        <f t="shared" si="4723"/>
        <v>0</v>
      </c>
      <c r="BT533" s="28">
        <f t="shared" ref="BT533:BW533" si="4724">if(U533&lt;0,U533+BT532,0)</f>
        <v>-8</v>
      </c>
      <c r="BU533" s="28">
        <f t="shared" si="4724"/>
        <v>0</v>
      </c>
      <c r="BV533" s="28">
        <f t="shared" si="4724"/>
        <v>0</v>
      </c>
      <c r="BW533" s="28">
        <f t="shared" si="4724"/>
        <v>-8</v>
      </c>
    </row>
    <row r="534">
      <c r="A534" s="53">
        <v>24.0</v>
      </c>
      <c r="B534" s="28">
        <f>'24_6-8-2024'!A6</f>
        <v>4</v>
      </c>
      <c r="C534" s="28">
        <f>'24_6-8-2024'!B6</f>
        <v>-8</v>
      </c>
      <c r="D534" s="28">
        <f>'24_6-8-2024'!D6</f>
        <v>8</v>
      </c>
      <c r="E534" s="28">
        <f>'24_6-8-2024'!C6</f>
        <v>-40</v>
      </c>
      <c r="F534" s="28">
        <f>'24_6-8-2024'!E6</f>
        <v>40</v>
      </c>
      <c r="G534" s="28">
        <f>'24_6-8-2024'!F6</f>
        <v>0</v>
      </c>
      <c r="H534" s="28" t="str">
        <f>'24_6-8-2024'!J6</f>
        <v/>
      </c>
      <c r="I534" s="28" t="str">
        <f>'24_6-8-2024'!K6</f>
        <v/>
      </c>
      <c r="J534" s="28" t="str">
        <f>'24_6-8-2024'!I6</f>
        <v>Christian</v>
      </c>
      <c r="K534" s="25" t="str">
        <f>'24_6-8-2024'!G6</f>
        <v>Ren sol</v>
      </c>
      <c r="L534" s="56"/>
      <c r="N534" s="25" t="s">
        <v>97</v>
      </c>
      <c r="T534" s="56"/>
      <c r="U534" s="77">
        <f t="shared" ref="U534:X534" si="4725">C534-C533</f>
        <v>-8</v>
      </c>
      <c r="V534" s="28">
        <f t="shared" si="4725"/>
        <v>-8</v>
      </c>
      <c r="W534" s="28">
        <f t="shared" si="4725"/>
        <v>-8</v>
      </c>
      <c r="X534" s="28">
        <f t="shared" si="4725"/>
        <v>24</v>
      </c>
      <c r="AB534" s="28" t="str">
        <f t="shared" ref="AB534:AE534" si="4726">IF(AB$3=$H534,U534,"")</f>
        <v/>
      </c>
      <c r="AC534" s="28" t="str">
        <f t="shared" si="4726"/>
        <v/>
      </c>
      <c r="AD534" s="28" t="str">
        <f t="shared" si="4726"/>
        <v/>
      </c>
      <c r="AE534" s="28" t="str">
        <f t="shared" si="4726"/>
        <v/>
      </c>
      <c r="AH534" s="28">
        <f t="shared" si="22"/>
        <v>0</v>
      </c>
      <c r="AI534" s="28">
        <f t="shared" si="23"/>
        <v>0</v>
      </c>
      <c r="AK534" s="78" t="str">
        <f t="shared" ref="AK534:AN534" si="4727">IF(U534&gt;0,AK$3,"")</f>
        <v/>
      </c>
      <c r="AL534" s="78" t="str">
        <f t="shared" si="4727"/>
        <v/>
      </c>
      <c r="AM534" s="78" t="str">
        <f t="shared" si="4727"/>
        <v/>
      </c>
      <c r="AN534" s="78" t="str">
        <f t="shared" si="4727"/>
        <v>Christian</v>
      </c>
      <c r="AO534" s="56">
        <f t="shared" si="25"/>
        <v>1</v>
      </c>
      <c r="AP534" s="8" t="str">
        <f t="shared" si="26"/>
        <v/>
      </c>
      <c r="AQ534" s="73" t="str">
        <f>IFERROR(__xludf.DUMMYFUNCTION("IFNA(QUERY(transpose(AY534:BB534),""Select Col1 where Col1 is not null limit 1"",0))"),"")</f>
        <v/>
      </c>
      <c r="AR534" s="56"/>
      <c r="AS534" s="28" t="str">
        <f t="shared" ref="AS534:AV534" si="4728">IF(AK534=AS$3,"",AS$3)</f>
        <v>Thomas</v>
      </c>
      <c r="AT534" s="28" t="str">
        <f t="shared" si="4728"/>
        <v>Peter</v>
      </c>
      <c r="AU534" s="28" t="str">
        <f t="shared" si="4728"/>
        <v>Janus</v>
      </c>
      <c r="AV534" s="28" t="str">
        <f t="shared" si="4728"/>
        <v/>
      </c>
      <c r="AW534" s="56">
        <f t="shared" si="28"/>
        <v>3</v>
      </c>
      <c r="AX534" s="28">
        <f t="shared" si="29"/>
        <v>0</v>
      </c>
      <c r="AY534" s="28" t="str">
        <f t="shared" ref="AY534:BB534" si="4729">IFNA(IFS(AY$3=$AP534,"",$AX534=U534,AY$3),"")</f>
        <v/>
      </c>
      <c r="AZ534" s="28" t="str">
        <f t="shared" si="4729"/>
        <v/>
      </c>
      <c r="BA534" s="28" t="str">
        <f t="shared" si="4729"/>
        <v/>
      </c>
      <c r="BB534" s="28" t="str">
        <f t="shared" si="4729"/>
        <v/>
      </c>
      <c r="BC534" s="58">
        <f>OFFSET('00_Regnskab_01'!$A$1,MATCH(A534,'00_Regnskab_01'!$A$1:$A$25)-1,2)</f>
        <v>45199</v>
      </c>
      <c r="BE534" s="80">
        <f t="shared" ref="BE534:BH534" si="4730">if(U534&gt;0,1+BE533,0)</f>
        <v>0</v>
      </c>
      <c r="BF534" s="28">
        <f t="shared" si="4730"/>
        <v>0</v>
      </c>
      <c r="BG534" s="28">
        <f t="shared" si="4730"/>
        <v>0</v>
      </c>
      <c r="BH534" s="28">
        <f t="shared" si="4730"/>
        <v>1</v>
      </c>
      <c r="BJ534" s="28">
        <f t="shared" ref="BJ534:BM534" si="4731">if(U534&lt;0,1+BJ533,0)</f>
        <v>2</v>
      </c>
      <c r="BK534" s="28">
        <f t="shared" si="4731"/>
        <v>1</v>
      </c>
      <c r="BL534" s="28">
        <f t="shared" si="4731"/>
        <v>1</v>
      </c>
      <c r="BM534" s="28">
        <f t="shared" si="4731"/>
        <v>0</v>
      </c>
      <c r="BO534" s="74">
        <f t="shared" ref="BO534:BR534" si="4732">if(U534&gt;0,U534+BO533,0)</f>
        <v>0</v>
      </c>
      <c r="BP534" s="74">
        <f t="shared" si="4732"/>
        <v>0</v>
      </c>
      <c r="BQ534" s="74">
        <f t="shared" si="4732"/>
        <v>0</v>
      </c>
      <c r="BR534" s="74">
        <f t="shared" si="4732"/>
        <v>24</v>
      </c>
      <c r="BT534" s="28">
        <f t="shared" ref="BT534:BW534" si="4733">if(U534&lt;0,U534+BT533,0)</f>
        <v>-16</v>
      </c>
      <c r="BU534" s="28">
        <f t="shared" si="4733"/>
        <v>-8</v>
      </c>
      <c r="BV534" s="28">
        <f t="shared" si="4733"/>
        <v>-8</v>
      </c>
      <c r="BW534" s="28">
        <f t="shared" si="4733"/>
        <v>0</v>
      </c>
    </row>
    <row r="535">
      <c r="A535" s="53">
        <v>24.0</v>
      </c>
      <c r="B535" s="28">
        <f>'24_6-8-2024'!A7</f>
        <v>5</v>
      </c>
      <c r="C535" s="28">
        <f>'24_6-8-2024'!B7</f>
        <v>4</v>
      </c>
      <c r="D535" s="28">
        <f>'24_6-8-2024'!D7</f>
        <v>4</v>
      </c>
      <c r="E535" s="28">
        <f>'24_6-8-2024'!C7</f>
        <v>-44</v>
      </c>
      <c r="F535" s="28">
        <f>'24_6-8-2024'!E7</f>
        <v>36</v>
      </c>
      <c r="G535" s="28">
        <f>'24_6-8-2024'!F7</f>
        <v>0</v>
      </c>
      <c r="H535" s="28" t="str">
        <f>'24_6-8-2024'!J7</f>
        <v/>
      </c>
      <c r="I535" s="28" t="str">
        <f>'24_6-8-2024'!K7</f>
        <v/>
      </c>
      <c r="J535" s="28" t="str">
        <f>'24_6-8-2024'!I7</f>
        <v>Thomas</v>
      </c>
      <c r="K535" s="25" t="str">
        <f>'24_6-8-2024'!G7</f>
        <v>sol</v>
      </c>
      <c r="L535" s="56"/>
      <c r="N535" s="25" t="s">
        <v>99</v>
      </c>
      <c r="T535" s="56"/>
      <c r="U535" s="77">
        <f t="shared" ref="U535:X535" si="4734">C535-C534</f>
        <v>12</v>
      </c>
      <c r="V535" s="28">
        <f t="shared" si="4734"/>
        <v>-4</v>
      </c>
      <c r="W535" s="28">
        <f t="shared" si="4734"/>
        <v>-4</v>
      </c>
      <c r="X535" s="28">
        <f t="shared" si="4734"/>
        <v>-4</v>
      </c>
      <c r="AB535" s="28" t="str">
        <f t="shared" ref="AB535:AE535" si="4735">IF(AB$3=$H535,U535,"")</f>
        <v/>
      </c>
      <c r="AC535" s="28" t="str">
        <f t="shared" si="4735"/>
        <v/>
      </c>
      <c r="AD535" s="28" t="str">
        <f t="shared" si="4735"/>
        <v/>
      </c>
      <c r="AE535" s="28" t="str">
        <f t="shared" si="4735"/>
        <v/>
      </c>
      <c r="AH535" s="28">
        <f t="shared" si="22"/>
        <v>0</v>
      </c>
      <c r="AI535" s="28">
        <f t="shared" si="23"/>
        <v>0</v>
      </c>
      <c r="AK535" s="78" t="str">
        <f t="shared" ref="AK535:AN535" si="4736">IF(U535&gt;0,AK$3,"")</f>
        <v>Thomas</v>
      </c>
      <c r="AL535" s="78" t="str">
        <f t="shared" si="4736"/>
        <v/>
      </c>
      <c r="AM535" s="78" t="str">
        <f t="shared" si="4736"/>
        <v/>
      </c>
      <c r="AN535" s="78" t="str">
        <f t="shared" si="4736"/>
        <v/>
      </c>
      <c r="AO535" s="56">
        <f t="shared" si="25"/>
        <v>1</v>
      </c>
      <c r="AP535" s="8" t="str">
        <f t="shared" si="26"/>
        <v/>
      </c>
      <c r="AQ535" s="73" t="str">
        <f>IFERROR(__xludf.DUMMYFUNCTION("IFNA(QUERY(transpose(AY535:BB535),""Select Col1 where Col1 is not null limit 1"",0))"),"")</f>
        <v/>
      </c>
      <c r="AR535" s="56"/>
      <c r="AS535" s="28" t="str">
        <f t="shared" ref="AS535:AV535" si="4737">IF(AK535=AS$3,"",AS$3)</f>
        <v/>
      </c>
      <c r="AT535" s="28" t="str">
        <f t="shared" si="4737"/>
        <v>Peter</v>
      </c>
      <c r="AU535" s="28" t="str">
        <f t="shared" si="4737"/>
        <v>Janus</v>
      </c>
      <c r="AV535" s="28" t="str">
        <f t="shared" si="4737"/>
        <v>Christian</v>
      </c>
      <c r="AW535" s="56">
        <f t="shared" si="28"/>
        <v>3</v>
      </c>
      <c r="AX535" s="28">
        <f t="shared" si="29"/>
        <v>0</v>
      </c>
      <c r="AY535" s="28" t="str">
        <f t="shared" ref="AY535:BB535" si="4738">IFNA(IFS(AY$3=$AP535,"",$AX535=U535,AY$3),"")</f>
        <v/>
      </c>
      <c r="AZ535" s="28" t="str">
        <f t="shared" si="4738"/>
        <v/>
      </c>
      <c r="BA535" s="28" t="str">
        <f t="shared" si="4738"/>
        <v/>
      </c>
      <c r="BB535" s="28" t="str">
        <f t="shared" si="4738"/>
        <v/>
      </c>
      <c r="BC535" s="58">
        <f>OFFSET('00_Regnskab_01'!$A$1,MATCH(A535,'00_Regnskab_01'!$A$1:$A$25)-1,2)</f>
        <v>45199</v>
      </c>
      <c r="BE535" s="80">
        <f t="shared" ref="BE535:BH535" si="4739">if(U535&gt;0,1+BE534,0)</f>
        <v>1</v>
      </c>
      <c r="BF535" s="28">
        <f t="shared" si="4739"/>
        <v>0</v>
      </c>
      <c r="BG535" s="28">
        <f t="shared" si="4739"/>
        <v>0</v>
      </c>
      <c r="BH535" s="28">
        <f t="shared" si="4739"/>
        <v>0</v>
      </c>
      <c r="BJ535" s="28">
        <f t="shared" ref="BJ535:BM535" si="4740">if(U535&lt;0,1+BJ534,0)</f>
        <v>0</v>
      </c>
      <c r="BK535" s="28">
        <f t="shared" si="4740"/>
        <v>2</v>
      </c>
      <c r="BL535" s="28">
        <f t="shared" si="4740"/>
        <v>2</v>
      </c>
      <c r="BM535" s="28">
        <f t="shared" si="4740"/>
        <v>1</v>
      </c>
      <c r="BO535" s="74">
        <f t="shared" ref="BO535:BR535" si="4741">if(U535&gt;0,U535+BO534,0)</f>
        <v>12</v>
      </c>
      <c r="BP535" s="74">
        <f t="shared" si="4741"/>
        <v>0</v>
      </c>
      <c r="BQ535" s="74">
        <f t="shared" si="4741"/>
        <v>0</v>
      </c>
      <c r="BR535" s="74">
        <f t="shared" si="4741"/>
        <v>0</v>
      </c>
      <c r="BT535" s="28">
        <f t="shared" ref="BT535:BW535" si="4742">if(U535&lt;0,U535+BT534,0)</f>
        <v>0</v>
      </c>
      <c r="BU535" s="28">
        <f t="shared" si="4742"/>
        <v>-12</v>
      </c>
      <c r="BV535" s="28">
        <f t="shared" si="4742"/>
        <v>-12</v>
      </c>
      <c r="BW535" s="28">
        <f t="shared" si="4742"/>
        <v>-4</v>
      </c>
    </row>
    <row r="536">
      <c r="A536" s="53">
        <v>24.0</v>
      </c>
      <c r="B536" s="28">
        <f>'24_6-8-2024'!A8</f>
        <v>6</v>
      </c>
      <c r="C536" s="28">
        <f>'24_6-8-2024'!B8</f>
        <v>52</v>
      </c>
      <c r="D536" s="28">
        <f>'24_6-8-2024'!D8</f>
        <v>-44</v>
      </c>
      <c r="E536" s="28">
        <f>'24_6-8-2024'!C8</f>
        <v>4</v>
      </c>
      <c r="F536" s="28">
        <f>'24_6-8-2024'!E8</f>
        <v>-12</v>
      </c>
      <c r="G536" s="28">
        <f>'24_6-8-2024'!F8</f>
        <v>0</v>
      </c>
      <c r="H536" s="28" t="str">
        <f>'24_6-8-2024'!J8</f>
        <v>Janus</v>
      </c>
      <c r="I536" s="28" t="str">
        <f>'24_6-8-2024'!K8</f>
        <v/>
      </c>
      <c r="J536" s="28" t="str">
        <f>'24_6-8-2024'!I8</f>
        <v>Thomas</v>
      </c>
      <c r="K536" s="25" t="str">
        <f>'24_6-8-2024'!G8</f>
        <v>9 vip i 3</v>
      </c>
      <c r="L536" s="56"/>
      <c r="M536" s="25">
        <v>9.0</v>
      </c>
      <c r="N536" s="25" t="s">
        <v>86</v>
      </c>
      <c r="O536" s="25">
        <v>3.0</v>
      </c>
      <c r="T536" s="56"/>
      <c r="U536" s="77">
        <f t="shared" ref="U536:X536" si="4743">C536-C535</f>
        <v>48</v>
      </c>
      <c r="V536" s="28">
        <f t="shared" si="4743"/>
        <v>-48</v>
      </c>
      <c r="W536" s="28">
        <f t="shared" si="4743"/>
        <v>48</v>
      </c>
      <c r="X536" s="28">
        <f t="shared" si="4743"/>
        <v>-48</v>
      </c>
      <c r="AB536" s="28" t="str">
        <f t="shared" ref="AB536:AE536" si="4744">IF(AB$3=$H536,U536,"")</f>
        <v/>
      </c>
      <c r="AC536" s="28" t="str">
        <f t="shared" si="4744"/>
        <v/>
      </c>
      <c r="AD536" s="28">
        <f t="shared" si="4744"/>
        <v>48</v>
      </c>
      <c r="AE536" s="28" t="str">
        <f t="shared" si="4744"/>
        <v/>
      </c>
      <c r="AH536" s="28">
        <f t="shared" si="22"/>
        <v>48</v>
      </c>
      <c r="AI536" s="28">
        <f t="shared" si="23"/>
        <v>0</v>
      </c>
      <c r="AK536" s="78" t="str">
        <f t="shared" ref="AK536:AN536" si="4745">IF(U536&gt;0,AK$3,"")</f>
        <v>Thomas</v>
      </c>
      <c r="AL536" s="78" t="str">
        <f t="shared" si="4745"/>
        <v/>
      </c>
      <c r="AM536" s="78" t="str">
        <f t="shared" si="4745"/>
        <v>Janus</v>
      </c>
      <c r="AN536" s="78" t="str">
        <f t="shared" si="4745"/>
        <v/>
      </c>
      <c r="AO536" s="56">
        <f t="shared" si="25"/>
        <v>2</v>
      </c>
      <c r="AP536" s="8" t="str">
        <f t="shared" si="26"/>
        <v>Janus</v>
      </c>
      <c r="AQ536" s="73" t="str">
        <f>IFERROR(__xludf.DUMMYFUNCTION("IFNA(QUERY(transpose(AY536:BB536),""Select Col1 where Col1 is not null limit 1"",0))"),"Thomas")</f>
        <v>Thomas</v>
      </c>
      <c r="AR536" s="56"/>
      <c r="AS536" s="28" t="str">
        <f t="shared" ref="AS536:AV536" si="4746">IF(AK536=AS$3,"",AS$3)</f>
        <v/>
      </c>
      <c r="AT536" s="28" t="str">
        <f t="shared" si="4746"/>
        <v>Peter</v>
      </c>
      <c r="AU536" s="28" t="str">
        <f t="shared" si="4746"/>
        <v/>
      </c>
      <c r="AV536" s="28" t="str">
        <f t="shared" si="4746"/>
        <v>Christian</v>
      </c>
      <c r="AW536" s="56">
        <f t="shared" si="28"/>
        <v>2</v>
      </c>
      <c r="AX536" s="28">
        <f t="shared" si="29"/>
        <v>48</v>
      </c>
      <c r="AY536" s="28" t="str">
        <f t="shared" ref="AY536:BB536" si="4747">IFNA(IFS(AY$3=$AP536,"",$AX536=U536,AY$3),"")</f>
        <v>Thomas</v>
      </c>
      <c r="AZ536" s="28" t="str">
        <f t="shared" si="4747"/>
        <v/>
      </c>
      <c r="BA536" s="28" t="str">
        <f t="shared" si="4747"/>
        <v/>
      </c>
      <c r="BB536" s="28" t="str">
        <f t="shared" si="4747"/>
        <v/>
      </c>
      <c r="BC536" s="58">
        <f>OFFSET('00_Regnskab_01'!$A$1,MATCH(A536,'00_Regnskab_01'!$A$1:$A$25)-1,2)</f>
        <v>45199</v>
      </c>
      <c r="BE536" s="80">
        <f t="shared" ref="BE536:BH536" si="4748">if(U536&gt;0,1+BE535,0)</f>
        <v>2</v>
      </c>
      <c r="BF536" s="28">
        <f t="shared" si="4748"/>
        <v>0</v>
      </c>
      <c r="BG536" s="28">
        <f t="shared" si="4748"/>
        <v>1</v>
      </c>
      <c r="BH536" s="28">
        <f t="shared" si="4748"/>
        <v>0</v>
      </c>
      <c r="BJ536" s="28">
        <f t="shared" ref="BJ536:BM536" si="4749">if(U536&lt;0,1+BJ535,0)</f>
        <v>0</v>
      </c>
      <c r="BK536" s="28">
        <f t="shared" si="4749"/>
        <v>3</v>
      </c>
      <c r="BL536" s="28">
        <f t="shared" si="4749"/>
        <v>0</v>
      </c>
      <c r="BM536" s="28">
        <f t="shared" si="4749"/>
        <v>2</v>
      </c>
      <c r="BO536" s="74">
        <f t="shared" ref="BO536:BR536" si="4750">if(U536&gt;0,U536+BO535,0)</f>
        <v>60</v>
      </c>
      <c r="BP536" s="74">
        <f t="shared" si="4750"/>
        <v>0</v>
      </c>
      <c r="BQ536" s="74">
        <f t="shared" si="4750"/>
        <v>48</v>
      </c>
      <c r="BR536" s="74">
        <f t="shared" si="4750"/>
        <v>0</v>
      </c>
      <c r="BT536" s="28">
        <f t="shared" ref="BT536:BW536" si="4751">if(U536&lt;0,U536+BT535,0)</f>
        <v>0</v>
      </c>
      <c r="BU536" s="28">
        <f t="shared" si="4751"/>
        <v>-60</v>
      </c>
      <c r="BV536" s="28">
        <f t="shared" si="4751"/>
        <v>0</v>
      </c>
      <c r="BW536" s="28">
        <f t="shared" si="4751"/>
        <v>-52</v>
      </c>
    </row>
    <row r="537">
      <c r="A537" s="53">
        <v>24.0</v>
      </c>
      <c r="B537" s="28">
        <f>'24_6-8-2024'!A9</f>
        <v>7</v>
      </c>
      <c r="C537" s="28">
        <f>'24_6-8-2024'!B9</f>
        <v>56</v>
      </c>
      <c r="D537" s="28">
        <f>'24_6-8-2024'!D9</f>
        <v>-56</v>
      </c>
      <c r="E537" s="28">
        <f>'24_6-8-2024'!C9</f>
        <v>8</v>
      </c>
      <c r="F537" s="28">
        <f>'24_6-8-2024'!E9</f>
        <v>-8</v>
      </c>
      <c r="G537" s="28">
        <f>'24_6-8-2024'!F9</f>
        <v>0</v>
      </c>
      <c r="H537" s="28" t="str">
        <f>'24_6-8-2024'!J9</f>
        <v/>
      </c>
      <c r="I537" s="28" t="str">
        <f>'24_6-8-2024'!K9</f>
        <v/>
      </c>
      <c r="J537" s="28" t="str">
        <f>'24_6-8-2024'!I9</f>
        <v>Peter</v>
      </c>
      <c r="K537" s="25" t="str">
        <f>'24_6-8-2024'!G9</f>
        <v>sol</v>
      </c>
      <c r="L537" s="56"/>
      <c r="N537" s="25" t="s">
        <v>99</v>
      </c>
      <c r="T537" s="56"/>
      <c r="U537" s="77">
        <f t="shared" ref="U537:X537" si="4752">C537-C536</f>
        <v>4</v>
      </c>
      <c r="V537" s="28">
        <f t="shared" si="4752"/>
        <v>-12</v>
      </c>
      <c r="W537" s="28">
        <f t="shared" si="4752"/>
        <v>4</v>
      </c>
      <c r="X537" s="28">
        <f t="shared" si="4752"/>
        <v>4</v>
      </c>
      <c r="AB537" s="28" t="str">
        <f t="shared" ref="AB537:AE537" si="4753">IF(AB$3=$H537,U537,"")</f>
        <v/>
      </c>
      <c r="AC537" s="28" t="str">
        <f t="shared" si="4753"/>
        <v/>
      </c>
      <c r="AD537" s="28" t="str">
        <f t="shared" si="4753"/>
        <v/>
      </c>
      <c r="AE537" s="28" t="str">
        <f t="shared" si="4753"/>
        <v/>
      </c>
      <c r="AH537" s="28">
        <f t="shared" si="22"/>
        <v>0</v>
      </c>
      <c r="AI537" s="28">
        <f t="shared" si="23"/>
        <v>0</v>
      </c>
      <c r="AK537" s="78" t="str">
        <f t="shared" ref="AK537:AN537" si="4754">IF(U537&gt;0,AK$3,"")</f>
        <v>Thomas</v>
      </c>
      <c r="AL537" s="78" t="str">
        <f t="shared" si="4754"/>
        <v/>
      </c>
      <c r="AM537" s="78" t="str">
        <f t="shared" si="4754"/>
        <v>Janus</v>
      </c>
      <c r="AN537" s="78" t="str">
        <f t="shared" si="4754"/>
        <v>Christian</v>
      </c>
      <c r="AO537" s="56">
        <f t="shared" si="25"/>
        <v>3</v>
      </c>
      <c r="AP537" s="8" t="str">
        <f t="shared" si="26"/>
        <v/>
      </c>
      <c r="AQ537" s="73" t="str">
        <f>IFERROR(__xludf.DUMMYFUNCTION("IFNA(QUERY(transpose(AY537:BB537),""Select Col1 where Col1 is not null limit 1"",0))"),"")</f>
        <v/>
      </c>
      <c r="AR537" s="56"/>
      <c r="AS537" s="28" t="str">
        <f t="shared" ref="AS537:AV537" si="4755">IF(AK537=AS$3,"",AS$3)</f>
        <v/>
      </c>
      <c r="AT537" s="28" t="str">
        <f t="shared" si="4755"/>
        <v>Peter</v>
      </c>
      <c r="AU537" s="28" t="str">
        <f t="shared" si="4755"/>
        <v/>
      </c>
      <c r="AV537" s="28" t="str">
        <f t="shared" si="4755"/>
        <v/>
      </c>
      <c r="AW537" s="56">
        <f t="shared" si="28"/>
        <v>1</v>
      </c>
      <c r="AX537" s="28">
        <f t="shared" si="29"/>
        <v>0</v>
      </c>
      <c r="AY537" s="28" t="str">
        <f t="shared" ref="AY537:BB537" si="4756">IFNA(IFS(AY$3=$AP537,"",$AX537=U537,AY$3),"")</f>
        <v/>
      </c>
      <c r="AZ537" s="28" t="str">
        <f t="shared" si="4756"/>
        <v/>
      </c>
      <c r="BA537" s="28" t="str">
        <f t="shared" si="4756"/>
        <v/>
      </c>
      <c r="BB537" s="28" t="str">
        <f t="shared" si="4756"/>
        <v/>
      </c>
      <c r="BC537" s="58">
        <f>OFFSET('00_Regnskab_01'!$A$1,MATCH(A537,'00_Regnskab_01'!$A$1:$A$25)-1,2)</f>
        <v>45199</v>
      </c>
      <c r="BE537" s="80">
        <f t="shared" ref="BE537:BH537" si="4757">if(U537&gt;0,1+BE536,0)</f>
        <v>3</v>
      </c>
      <c r="BF537" s="28">
        <f t="shared" si="4757"/>
        <v>0</v>
      </c>
      <c r="BG537" s="28">
        <f t="shared" si="4757"/>
        <v>2</v>
      </c>
      <c r="BH537" s="28">
        <f t="shared" si="4757"/>
        <v>1</v>
      </c>
      <c r="BJ537" s="28">
        <f t="shared" ref="BJ537:BM537" si="4758">if(U537&lt;0,1+BJ536,0)</f>
        <v>0</v>
      </c>
      <c r="BK537" s="28">
        <f t="shared" si="4758"/>
        <v>4</v>
      </c>
      <c r="BL537" s="28">
        <f t="shared" si="4758"/>
        <v>0</v>
      </c>
      <c r="BM537" s="28">
        <f t="shared" si="4758"/>
        <v>0</v>
      </c>
      <c r="BO537" s="74">
        <f t="shared" ref="BO537:BR537" si="4759">if(U537&gt;0,U537+BO536,0)</f>
        <v>64</v>
      </c>
      <c r="BP537" s="74">
        <f t="shared" si="4759"/>
        <v>0</v>
      </c>
      <c r="BQ537" s="74">
        <f t="shared" si="4759"/>
        <v>52</v>
      </c>
      <c r="BR537" s="74">
        <f t="shared" si="4759"/>
        <v>4</v>
      </c>
      <c r="BT537" s="28">
        <f t="shared" ref="BT537:BW537" si="4760">if(U537&lt;0,U537+BT536,0)</f>
        <v>0</v>
      </c>
      <c r="BU537" s="28">
        <f t="shared" si="4760"/>
        <v>-72</v>
      </c>
      <c r="BV537" s="28">
        <f t="shared" si="4760"/>
        <v>0</v>
      </c>
      <c r="BW537" s="28">
        <f t="shared" si="4760"/>
        <v>0</v>
      </c>
    </row>
    <row r="538">
      <c r="A538" s="53">
        <v>24.0</v>
      </c>
      <c r="B538" s="28">
        <f>'24_6-8-2024'!A10</f>
        <v>8</v>
      </c>
      <c r="C538" s="28">
        <f>'24_6-8-2024'!B10</f>
        <v>48</v>
      </c>
      <c r="D538" s="28">
        <f>'24_6-8-2024'!D10</f>
        <v>-64</v>
      </c>
      <c r="E538" s="28">
        <f>'24_6-8-2024'!C10</f>
        <v>16</v>
      </c>
      <c r="F538" s="28">
        <f>'24_6-8-2024'!E10</f>
        <v>0</v>
      </c>
      <c r="G538" s="28">
        <f>'24_6-8-2024'!F10</f>
        <v>0</v>
      </c>
      <c r="H538" s="28" t="str">
        <f>'24_6-8-2024'!J10</f>
        <v>Peter</v>
      </c>
      <c r="I538" s="28" t="str">
        <f>'24_6-8-2024'!K10</f>
        <v/>
      </c>
      <c r="J538" s="28" t="str">
        <f>'24_6-8-2024'!I10</f>
        <v>Thomas</v>
      </c>
      <c r="K538" s="25" t="str">
        <f>'24_6-8-2024'!G10</f>
        <v>8 halve</v>
      </c>
      <c r="L538" s="56"/>
      <c r="M538" s="25">
        <v>8.0</v>
      </c>
      <c r="N538" s="25" t="s">
        <v>94</v>
      </c>
      <c r="T538" s="56"/>
      <c r="U538" s="77">
        <f t="shared" ref="U538:X538" si="4761">C538-C537</f>
        <v>-8</v>
      </c>
      <c r="V538" s="28">
        <f t="shared" si="4761"/>
        <v>-8</v>
      </c>
      <c r="W538" s="28">
        <f t="shared" si="4761"/>
        <v>8</v>
      </c>
      <c r="X538" s="28">
        <f t="shared" si="4761"/>
        <v>8</v>
      </c>
      <c r="AB538" s="28" t="str">
        <f t="shared" ref="AB538:AE538" si="4762">IF(AB$3=$H538,U538,"")</f>
        <v/>
      </c>
      <c r="AC538" s="28">
        <f t="shared" si="4762"/>
        <v>-8</v>
      </c>
      <c r="AD538" s="28" t="str">
        <f t="shared" si="4762"/>
        <v/>
      </c>
      <c r="AE538" s="28" t="str">
        <f t="shared" si="4762"/>
        <v/>
      </c>
      <c r="AH538" s="28">
        <f t="shared" si="22"/>
        <v>0</v>
      </c>
      <c r="AI538" s="28">
        <f t="shared" si="23"/>
        <v>-8</v>
      </c>
      <c r="AK538" s="78" t="str">
        <f t="shared" ref="AK538:AN538" si="4763">IF(U538&gt;0,AK$3,"")</f>
        <v/>
      </c>
      <c r="AL538" s="78" t="str">
        <f t="shared" si="4763"/>
        <v/>
      </c>
      <c r="AM538" s="78" t="str">
        <f t="shared" si="4763"/>
        <v>Janus</v>
      </c>
      <c r="AN538" s="78" t="str">
        <f t="shared" si="4763"/>
        <v>Christian</v>
      </c>
      <c r="AO538" s="56">
        <f t="shared" si="25"/>
        <v>2</v>
      </c>
      <c r="AP538" s="8" t="str">
        <f t="shared" si="26"/>
        <v>Peter</v>
      </c>
      <c r="AQ538" s="73" t="str">
        <f>IFERROR(__xludf.DUMMYFUNCTION("IFNA(QUERY(transpose(AY538:BB538),""Select Col1 where Col1 is not null limit 1"",0))"),"Thomas")</f>
        <v>Thomas</v>
      </c>
      <c r="AR538" s="56"/>
      <c r="AS538" s="28" t="str">
        <f t="shared" ref="AS538:AV538" si="4764">IF(AK538=AS$3,"",AS$3)</f>
        <v>Thomas</v>
      </c>
      <c r="AT538" s="28" t="str">
        <f t="shared" si="4764"/>
        <v>Peter</v>
      </c>
      <c r="AU538" s="28" t="str">
        <f t="shared" si="4764"/>
        <v/>
      </c>
      <c r="AV538" s="28" t="str">
        <f t="shared" si="4764"/>
        <v/>
      </c>
      <c r="AW538" s="56">
        <f t="shared" si="28"/>
        <v>2</v>
      </c>
      <c r="AX538" s="28">
        <f t="shared" si="29"/>
        <v>-8</v>
      </c>
      <c r="AY538" s="28" t="str">
        <f t="shared" ref="AY538:BB538" si="4765">IFNA(IFS(AY$3=$AP538,"",$AX538=U538,AY$3),"")</f>
        <v>Thomas</v>
      </c>
      <c r="AZ538" s="28" t="str">
        <f t="shared" si="4765"/>
        <v/>
      </c>
      <c r="BA538" s="28" t="str">
        <f t="shared" si="4765"/>
        <v/>
      </c>
      <c r="BB538" s="28" t="str">
        <f t="shared" si="4765"/>
        <v/>
      </c>
      <c r="BC538" s="58">
        <f>OFFSET('00_Regnskab_01'!$A$1,MATCH(A538,'00_Regnskab_01'!$A$1:$A$25)-1,2)</f>
        <v>45199</v>
      </c>
      <c r="BE538" s="80">
        <f t="shared" ref="BE538:BH538" si="4766">if(U538&gt;0,1+BE537,0)</f>
        <v>0</v>
      </c>
      <c r="BF538" s="28">
        <f t="shared" si="4766"/>
        <v>0</v>
      </c>
      <c r="BG538" s="28">
        <f t="shared" si="4766"/>
        <v>3</v>
      </c>
      <c r="BH538" s="28">
        <f t="shared" si="4766"/>
        <v>2</v>
      </c>
      <c r="BJ538" s="28">
        <f t="shared" ref="BJ538:BM538" si="4767">if(U538&lt;0,1+BJ537,0)</f>
        <v>1</v>
      </c>
      <c r="BK538" s="28">
        <f t="shared" si="4767"/>
        <v>5</v>
      </c>
      <c r="BL538" s="28">
        <f t="shared" si="4767"/>
        <v>0</v>
      </c>
      <c r="BM538" s="28">
        <f t="shared" si="4767"/>
        <v>0</v>
      </c>
      <c r="BO538" s="74">
        <f t="shared" ref="BO538:BR538" si="4768">if(U538&gt;0,U538+BO537,0)</f>
        <v>0</v>
      </c>
      <c r="BP538" s="74">
        <f t="shared" si="4768"/>
        <v>0</v>
      </c>
      <c r="BQ538" s="74">
        <f t="shared" si="4768"/>
        <v>60</v>
      </c>
      <c r="BR538" s="74">
        <f t="shared" si="4768"/>
        <v>12</v>
      </c>
      <c r="BT538" s="28">
        <f t="shared" ref="BT538:BW538" si="4769">if(U538&lt;0,U538+BT537,0)</f>
        <v>-8</v>
      </c>
      <c r="BU538" s="28">
        <f t="shared" si="4769"/>
        <v>-80</v>
      </c>
      <c r="BV538" s="28">
        <f t="shared" si="4769"/>
        <v>0</v>
      </c>
      <c r="BW538" s="28">
        <f t="shared" si="4769"/>
        <v>0</v>
      </c>
    </row>
    <row r="539">
      <c r="A539" s="53">
        <v>24.0</v>
      </c>
      <c r="B539" s="28">
        <f>'24_6-8-2024'!A11</f>
        <v>9</v>
      </c>
      <c r="C539" s="28">
        <f>'24_6-8-2024'!B11</f>
        <v>40</v>
      </c>
      <c r="D539" s="28">
        <f>'24_6-8-2024'!D11</f>
        <v>-72</v>
      </c>
      <c r="E539" s="28">
        <f>'24_6-8-2024'!C11</f>
        <v>8</v>
      </c>
      <c r="F539" s="28">
        <f>'24_6-8-2024'!E11</f>
        <v>24</v>
      </c>
      <c r="G539" s="28">
        <f>'24_6-8-2024'!F11</f>
        <v>0</v>
      </c>
      <c r="H539" s="28" t="str">
        <f>'24_6-8-2024'!J11</f>
        <v/>
      </c>
      <c r="I539" s="28" t="str">
        <f>'24_6-8-2024'!K11</f>
        <v/>
      </c>
      <c r="J539" s="28" t="str">
        <f>'24_6-8-2024'!I11</f>
        <v>Christian</v>
      </c>
      <c r="K539" s="25" t="str">
        <f>'24_6-8-2024'!G11</f>
        <v>ren sol</v>
      </c>
      <c r="L539" s="56"/>
      <c r="N539" s="25" t="s">
        <v>97</v>
      </c>
      <c r="T539" s="56"/>
      <c r="U539" s="77">
        <f t="shared" ref="U539:X539" si="4770">C539-C538</f>
        <v>-8</v>
      </c>
      <c r="V539" s="28">
        <f t="shared" si="4770"/>
        <v>-8</v>
      </c>
      <c r="W539" s="28">
        <f t="shared" si="4770"/>
        <v>-8</v>
      </c>
      <c r="X539" s="28">
        <f t="shared" si="4770"/>
        <v>24</v>
      </c>
      <c r="AB539" s="28" t="str">
        <f t="shared" ref="AB539:AE539" si="4771">IF(AB$3=$H539,U539,"")</f>
        <v/>
      </c>
      <c r="AC539" s="28" t="str">
        <f t="shared" si="4771"/>
        <v/>
      </c>
      <c r="AD539" s="28" t="str">
        <f t="shared" si="4771"/>
        <v/>
      </c>
      <c r="AE539" s="28" t="str">
        <f t="shared" si="4771"/>
        <v/>
      </c>
      <c r="AH539" s="28">
        <f t="shared" si="22"/>
        <v>0</v>
      </c>
      <c r="AI539" s="28">
        <f t="shared" si="23"/>
        <v>0</v>
      </c>
      <c r="AK539" s="78" t="str">
        <f t="shared" ref="AK539:AN539" si="4772">IF(U539&gt;0,AK$3,"")</f>
        <v/>
      </c>
      <c r="AL539" s="78" t="str">
        <f t="shared" si="4772"/>
        <v/>
      </c>
      <c r="AM539" s="78" t="str">
        <f t="shared" si="4772"/>
        <v/>
      </c>
      <c r="AN539" s="78" t="str">
        <f t="shared" si="4772"/>
        <v>Christian</v>
      </c>
      <c r="AO539" s="56">
        <f t="shared" si="25"/>
        <v>1</v>
      </c>
      <c r="AP539" s="8" t="str">
        <f t="shared" si="26"/>
        <v/>
      </c>
      <c r="AQ539" s="73" t="str">
        <f>IFERROR(__xludf.DUMMYFUNCTION("IFNA(QUERY(transpose(AY539:BB539),""Select Col1 where Col1 is not null limit 1"",0))"),"")</f>
        <v/>
      </c>
      <c r="AR539" s="56"/>
      <c r="AS539" s="28" t="str">
        <f t="shared" ref="AS539:AV539" si="4773">IF(AK539=AS$3,"",AS$3)</f>
        <v>Thomas</v>
      </c>
      <c r="AT539" s="28" t="str">
        <f t="shared" si="4773"/>
        <v>Peter</v>
      </c>
      <c r="AU539" s="28" t="str">
        <f t="shared" si="4773"/>
        <v>Janus</v>
      </c>
      <c r="AV539" s="28" t="str">
        <f t="shared" si="4773"/>
        <v/>
      </c>
      <c r="AW539" s="56">
        <f t="shared" si="28"/>
        <v>3</v>
      </c>
      <c r="AX539" s="28">
        <f t="shared" si="29"/>
        <v>0</v>
      </c>
      <c r="AY539" s="28" t="str">
        <f t="shared" ref="AY539:BB539" si="4774">IFNA(IFS(AY$3=$AP539,"",$AX539=U539,AY$3),"")</f>
        <v/>
      </c>
      <c r="AZ539" s="28" t="str">
        <f t="shared" si="4774"/>
        <v/>
      </c>
      <c r="BA539" s="28" t="str">
        <f t="shared" si="4774"/>
        <v/>
      </c>
      <c r="BB539" s="28" t="str">
        <f t="shared" si="4774"/>
        <v/>
      </c>
      <c r="BC539" s="58">
        <f>OFFSET('00_Regnskab_01'!$A$1,MATCH(A539,'00_Regnskab_01'!$A$1:$A$25)-1,2)</f>
        <v>45199</v>
      </c>
      <c r="BE539" s="80">
        <f t="shared" ref="BE539:BH539" si="4775">if(U539&gt;0,1+BE538,0)</f>
        <v>0</v>
      </c>
      <c r="BF539" s="28">
        <f t="shared" si="4775"/>
        <v>0</v>
      </c>
      <c r="BG539" s="28">
        <f t="shared" si="4775"/>
        <v>0</v>
      </c>
      <c r="BH539" s="28">
        <f t="shared" si="4775"/>
        <v>3</v>
      </c>
      <c r="BJ539" s="28">
        <f t="shared" ref="BJ539:BM539" si="4776">if(U539&lt;0,1+BJ538,0)</f>
        <v>2</v>
      </c>
      <c r="BK539" s="28">
        <f t="shared" si="4776"/>
        <v>6</v>
      </c>
      <c r="BL539" s="28">
        <f t="shared" si="4776"/>
        <v>1</v>
      </c>
      <c r="BM539" s="28">
        <f t="shared" si="4776"/>
        <v>0</v>
      </c>
      <c r="BO539" s="74">
        <f t="shared" ref="BO539:BR539" si="4777">if(U539&gt;0,U539+BO538,0)</f>
        <v>0</v>
      </c>
      <c r="BP539" s="74">
        <f t="shared" si="4777"/>
        <v>0</v>
      </c>
      <c r="BQ539" s="74">
        <f t="shared" si="4777"/>
        <v>0</v>
      </c>
      <c r="BR539" s="74">
        <f t="shared" si="4777"/>
        <v>36</v>
      </c>
      <c r="BT539" s="28">
        <f t="shared" ref="BT539:BW539" si="4778">if(U539&lt;0,U539+BT538,0)</f>
        <v>-16</v>
      </c>
      <c r="BU539" s="28">
        <f t="shared" si="4778"/>
        <v>-88</v>
      </c>
      <c r="BV539" s="28">
        <f t="shared" si="4778"/>
        <v>-8</v>
      </c>
      <c r="BW539" s="28">
        <f t="shared" si="4778"/>
        <v>0</v>
      </c>
    </row>
    <row r="540">
      <c r="A540" s="53">
        <v>24.0</v>
      </c>
      <c r="B540" s="28">
        <f>'24_6-8-2024'!A12</f>
        <v>10</v>
      </c>
      <c r="C540" s="28">
        <f>'24_6-8-2024'!B12</f>
        <v>28</v>
      </c>
      <c r="D540" s="28">
        <f>'24_6-8-2024'!D12</f>
        <v>-84</v>
      </c>
      <c r="E540" s="28">
        <f>'24_6-8-2024'!C12</f>
        <v>20</v>
      </c>
      <c r="F540" s="28">
        <f>'24_6-8-2024'!E12</f>
        <v>36</v>
      </c>
      <c r="G540" s="28">
        <f>'24_6-8-2024'!F12</f>
        <v>0</v>
      </c>
      <c r="H540" s="28" t="str">
        <f>'24_6-8-2024'!J12</f>
        <v>Thomas</v>
      </c>
      <c r="I540" s="28" t="str">
        <f>'24_6-8-2024'!K12</f>
        <v/>
      </c>
      <c r="J540" s="28" t="str">
        <f>'24_6-8-2024'!I12</f>
        <v>Peter</v>
      </c>
      <c r="K540" s="25" t="str">
        <f>'24_6-8-2024'!G12</f>
        <v>9 halve</v>
      </c>
      <c r="L540" s="56"/>
      <c r="M540" s="25">
        <v>9.0</v>
      </c>
      <c r="N540" s="25" t="s">
        <v>94</v>
      </c>
      <c r="T540" s="56"/>
      <c r="U540" s="77">
        <f t="shared" ref="U540:X540" si="4779">C540-C539</f>
        <v>-12</v>
      </c>
      <c r="V540" s="28">
        <f t="shared" si="4779"/>
        <v>-12</v>
      </c>
      <c r="W540" s="28">
        <f t="shared" si="4779"/>
        <v>12</v>
      </c>
      <c r="X540" s="28">
        <f t="shared" si="4779"/>
        <v>12</v>
      </c>
      <c r="AB540" s="28">
        <f t="shared" ref="AB540:AE540" si="4780">IF(AB$3=$H540,U540,"")</f>
        <v>-12</v>
      </c>
      <c r="AC540" s="28" t="str">
        <f t="shared" si="4780"/>
        <v/>
      </c>
      <c r="AD540" s="28" t="str">
        <f t="shared" si="4780"/>
        <v/>
      </c>
      <c r="AE540" s="28" t="str">
        <f t="shared" si="4780"/>
        <v/>
      </c>
      <c r="AH540" s="28">
        <f t="shared" si="22"/>
        <v>0</v>
      </c>
      <c r="AI540" s="28">
        <f t="shared" si="23"/>
        <v>-12</v>
      </c>
      <c r="AK540" s="78" t="str">
        <f t="shared" ref="AK540:AN540" si="4781">IF(U540&gt;0,AK$3,"")</f>
        <v/>
      </c>
      <c r="AL540" s="78" t="str">
        <f t="shared" si="4781"/>
        <v/>
      </c>
      <c r="AM540" s="78" t="str">
        <f t="shared" si="4781"/>
        <v>Janus</v>
      </c>
      <c r="AN540" s="78" t="str">
        <f t="shared" si="4781"/>
        <v>Christian</v>
      </c>
      <c r="AO540" s="56">
        <f t="shared" si="25"/>
        <v>2</v>
      </c>
      <c r="AP540" s="8" t="str">
        <f t="shared" si="26"/>
        <v>Thomas</v>
      </c>
      <c r="AQ540" s="73" t="str">
        <f>IFERROR(__xludf.DUMMYFUNCTION("IFNA(QUERY(transpose(AY540:BB540),""Select Col1 where Col1 is not null limit 1"",0))"),"Peter")</f>
        <v>Peter</v>
      </c>
      <c r="AR540" s="56"/>
      <c r="AS540" s="28" t="str">
        <f t="shared" ref="AS540:AV540" si="4782">IF(AK540=AS$3,"",AS$3)</f>
        <v>Thomas</v>
      </c>
      <c r="AT540" s="28" t="str">
        <f t="shared" si="4782"/>
        <v>Peter</v>
      </c>
      <c r="AU540" s="28" t="str">
        <f t="shared" si="4782"/>
        <v/>
      </c>
      <c r="AV540" s="28" t="str">
        <f t="shared" si="4782"/>
        <v/>
      </c>
      <c r="AW540" s="56">
        <f t="shared" si="28"/>
        <v>2</v>
      </c>
      <c r="AX540" s="28">
        <f t="shared" si="29"/>
        <v>-12</v>
      </c>
      <c r="AY540" s="28" t="str">
        <f t="shared" ref="AY540:BB540" si="4783">IFNA(IFS(AY$3=$AP540,"",$AX540=U540,AY$3),"")</f>
        <v/>
      </c>
      <c r="AZ540" s="28" t="str">
        <f t="shared" si="4783"/>
        <v>Peter</v>
      </c>
      <c r="BA540" s="28" t="str">
        <f t="shared" si="4783"/>
        <v/>
      </c>
      <c r="BB540" s="28" t="str">
        <f t="shared" si="4783"/>
        <v/>
      </c>
      <c r="BC540" s="58">
        <f>OFFSET('00_Regnskab_01'!$A$1,MATCH(A540,'00_Regnskab_01'!$A$1:$A$25)-1,2)</f>
        <v>45199</v>
      </c>
      <c r="BE540" s="80">
        <f t="shared" ref="BE540:BH540" si="4784">if(U540&gt;0,1+BE539,0)</f>
        <v>0</v>
      </c>
      <c r="BF540" s="28">
        <f t="shared" si="4784"/>
        <v>0</v>
      </c>
      <c r="BG540" s="28">
        <f t="shared" si="4784"/>
        <v>1</v>
      </c>
      <c r="BH540" s="28">
        <f t="shared" si="4784"/>
        <v>4</v>
      </c>
      <c r="BJ540" s="28">
        <f t="shared" ref="BJ540:BM540" si="4785">if(U540&lt;0,1+BJ539,0)</f>
        <v>3</v>
      </c>
      <c r="BK540" s="28">
        <f t="shared" si="4785"/>
        <v>7</v>
      </c>
      <c r="BL540" s="28">
        <f t="shared" si="4785"/>
        <v>0</v>
      </c>
      <c r="BM540" s="28">
        <f t="shared" si="4785"/>
        <v>0</v>
      </c>
      <c r="BO540" s="74">
        <f t="shared" ref="BO540:BR540" si="4786">if(U540&gt;0,U540+BO539,0)</f>
        <v>0</v>
      </c>
      <c r="BP540" s="74">
        <f t="shared" si="4786"/>
        <v>0</v>
      </c>
      <c r="BQ540" s="74">
        <f t="shared" si="4786"/>
        <v>12</v>
      </c>
      <c r="BR540" s="74">
        <f t="shared" si="4786"/>
        <v>48</v>
      </c>
      <c r="BT540" s="28">
        <f t="shared" ref="BT540:BW540" si="4787">if(U540&lt;0,U540+BT539,0)</f>
        <v>-28</v>
      </c>
      <c r="BU540" s="28">
        <f t="shared" si="4787"/>
        <v>-100</v>
      </c>
      <c r="BV540" s="28">
        <f t="shared" si="4787"/>
        <v>0</v>
      </c>
      <c r="BW540" s="28">
        <f t="shared" si="4787"/>
        <v>0</v>
      </c>
    </row>
    <row r="541">
      <c r="A541" s="53">
        <v>24.0</v>
      </c>
      <c r="B541" s="28">
        <f>'24_6-8-2024'!A13</f>
        <v>11</v>
      </c>
      <c r="C541" s="28">
        <f>'24_6-8-2024'!B13</f>
        <v>20</v>
      </c>
      <c r="D541" s="28">
        <f>'24_6-8-2024'!D13</f>
        <v>-60</v>
      </c>
      <c r="E541" s="28">
        <f>'24_6-8-2024'!C13</f>
        <v>12</v>
      </c>
      <c r="F541" s="28">
        <f>'24_6-8-2024'!E13</f>
        <v>28</v>
      </c>
      <c r="G541" s="28">
        <f>'24_6-8-2024'!F13</f>
        <v>0</v>
      </c>
      <c r="H541" s="28" t="str">
        <f>'24_6-8-2024'!J13</f>
        <v/>
      </c>
      <c r="I541" s="28" t="str">
        <f>'24_6-8-2024'!K13</f>
        <v/>
      </c>
      <c r="J541" s="28" t="str">
        <f>'24_6-8-2024'!I13</f>
        <v>Peter</v>
      </c>
      <c r="K541" s="25" t="str">
        <f>'24_6-8-2024'!G13</f>
        <v>Ren sol</v>
      </c>
      <c r="L541" s="56"/>
      <c r="N541" s="25" t="s">
        <v>97</v>
      </c>
      <c r="T541" s="56"/>
      <c r="U541" s="77">
        <f t="shared" ref="U541:X541" si="4788">C541-C540</f>
        <v>-8</v>
      </c>
      <c r="V541" s="28">
        <f t="shared" si="4788"/>
        <v>24</v>
      </c>
      <c r="W541" s="28">
        <f t="shared" si="4788"/>
        <v>-8</v>
      </c>
      <c r="X541" s="28">
        <f t="shared" si="4788"/>
        <v>-8</v>
      </c>
      <c r="AB541" s="28" t="str">
        <f t="shared" ref="AB541:AE541" si="4789">IF(AB$3=$H541,U541,"")</f>
        <v/>
      </c>
      <c r="AC541" s="28" t="str">
        <f t="shared" si="4789"/>
        <v/>
      </c>
      <c r="AD541" s="28" t="str">
        <f t="shared" si="4789"/>
        <v/>
      </c>
      <c r="AE541" s="28" t="str">
        <f t="shared" si="4789"/>
        <v/>
      </c>
      <c r="AH541" s="28">
        <f t="shared" si="22"/>
        <v>0</v>
      </c>
      <c r="AI541" s="28">
        <f t="shared" si="23"/>
        <v>0</v>
      </c>
      <c r="AK541" s="78" t="str">
        <f t="shared" ref="AK541:AN541" si="4790">IF(U541&gt;0,AK$3,"")</f>
        <v/>
      </c>
      <c r="AL541" s="78" t="str">
        <f t="shared" si="4790"/>
        <v>Peter</v>
      </c>
      <c r="AM541" s="78" t="str">
        <f t="shared" si="4790"/>
        <v/>
      </c>
      <c r="AN541" s="78" t="str">
        <f t="shared" si="4790"/>
        <v/>
      </c>
      <c r="AO541" s="56">
        <f t="shared" si="25"/>
        <v>1</v>
      </c>
      <c r="AP541" s="8" t="str">
        <f t="shared" si="26"/>
        <v/>
      </c>
      <c r="AQ541" s="73" t="str">
        <f>IFERROR(__xludf.DUMMYFUNCTION("IFNA(QUERY(transpose(AY541:BB541),""Select Col1 where Col1 is not null limit 1"",0))"),"")</f>
        <v/>
      </c>
      <c r="AR541" s="56"/>
      <c r="AS541" s="28" t="str">
        <f t="shared" ref="AS541:AV541" si="4791">IF(AK541=AS$3,"",AS$3)</f>
        <v>Thomas</v>
      </c>
      <c r="AT541" s="28" t="str">
        <f t="shared" si="4791"/>
        <v/>
      </c>
      <c r="AU541" s="28" t="str">
        <f t="shared" si="4791"/>
        <v>Janus</v>
      </c>
      <c r="AV541" s="28" t="str">
        <f t="shared" si="4791"/>
        <v>Christian</v>
      </c>
      <c r="AW541" s="56">
        <f t="shared" si="28"/>
        <v>3</v>
      </c>
      <c r="AX541" s="28">
        <f t="shared" si="29"/>
        <v>0</v>
      </c>
      <c r="AY541" s="28" t="str">
        <f t="shared" ref="AY541:BB541" si="4792">IFNA(IFS(AY$3=$AP541,"",$AX541=U541,AY$3),"")</f>
        <v/>
      </c>
      <c r="AZ541" s="28" t="str">
        <f t="shared" si="4792"/>
        <v/>
      </c>
      <c r="BA541" s="28" t="str">
        <f t="shared" si="4792"/>
        <v/>
      </c>
      <c r="BB541" s="28" t="str">
        <f t="shared" si="4792"/>
        <v/>
      </c>
      <c r="BC541" s="58">
        <f>OFFSET('00_Regnskab_01'!$A$1,MATCH(A541,'00_Regnskab_01'!$A$1:$A$25)-1,2)</f>
        <v>45199</v>
      </c>
      <c r="BE541" s="80">
        <f t="shared" ref="BE541:BH541" si="4793">if(U541&gt;0,1+BE540,0)</f>
        <v>0</v>
      </c>
      <c r="BF541" s="28">
        <f t="shared" si="4793"/>
        <v>1</v>
      </c>
      <c r="BG541" s="28">
        <f t="shared" si="4793"/>
        <v>0</v>
      </c>
      <c r="BH541" s="28">
        <f t="shared" si="4793"/>
        <v>0</v>
      </c>
      <c r="BJ541" s="28">
        <f t="shared" ref="BJ541:BM541" si="4794">if(U541&lt;0,1+BJ540,0)</f>
        <v>4</v>
      </c>
      <c r="BK541" s="28">
        <f t="shared" si="4794"/>
        <v>0</v>
      </c>
      <c r="BL541" s="28">
        <f t="shared" si="4794"/>
        <v>1</v>
      </c>
      <c r="BM541" s="28">
        <f t="shared" si="4794"/>
        <v>1</v>
      </c>
      <c r="BO541" s="74">
        <f t="shared" ref="BO541:BR541" si="4795">if(U541&gt;0,U541+BO540,0)</f>
        <v>0</v>
      </c>
      <c r="BP541" s="74">
        <f t="shared" si="4795"/>
        <v>24</v>
      </c>
      <c r="BQ541" s="74">
        <f t="shared" si="4795"/>
        <v>0</v>
      </c>
      <c r="BR541" s="74">
        <f t="shared" si="4795"/>
        <v>0</v>
      </c>
      <c r="BT541" s="28">
        <f t="shared" ref="BT541:BW541" si="4796">if(U541&lt;0,U541+BT540,0)</f>
        <v>-36</v>
      </c>
      <c r="BU541" s="28">
        <f t="shared" si="4796"/>
        <v>0</v>
      </c>
      <c r="BV541" s="28">
        <f t="shared" si="4796"/>
        <v>-8</v>
      </c>
      <c r="BW541" s="28">
        <f t="shared" si="4796"/>
        <v>-8</v>
      </c>
    </row>
    <row r="542">
      <c r="A542" s="53">
        <v>24.0</v>
      </c>
      <c r="B542" s="28">
        <f>'24_6-8-2024'!A14</f>
        <v>12</v>
      </c>
      <c r="C542" s="28">
        <f>'24_6-8-2024'!B14</f>
        <v>30</v>
      </c>
      <c r="D542" s="28">
        <f>'24_6-8-2024'!D14</f>
        <v>-70</v>
      </c>
      <c r="E542" s="28">
        <f>'24_6-8-2024'!C14</f>
        <v>2</v>
      </c>
      <c r="F542" s="28">
        <f>'24_6-8-2024'!E14</f>
        <v>38</v>
      </c>
      <c r="G542" s="28">
        <f>'24_6-8-2024'!F14</f>
        <v>0</v>
      </c>
      <c r="H542" s="28" t="str">
        <f>'24_6-8-2024'!J14</f>
        <v>Christian</v>
      </c>
      <c r="I542" s="28" t="str">
        <f>'24_6-8-2024'!K14</f>
        <v/>
      </c>
      <c r="J542" s="28" t="str">
        <f>'24_6-8-2024'!I14</f>
        <v>Thomas</v>
      </c>
      <c r="K542" s="25" t="str">
        <f>'24_6-8-2024'!G14</f>
        <v>8 gode</v>
      </c>
      <c r="L542" s="56"/>
      <c r="M542" s="25">
        <v>8.0</v>
      </c>
      <c r="N542" s="25" t="s">
        <v>95</v>
      </c>
      <c r="T542" s="56"/>
      <c r="U542" s="77">
        <f t="shared" ref="U542:X542" si="4797">C542-C541</f>
        <v>10</v>
      </c>
      <c r="V542" s="28">
        <f t="shared" si="4797"/>
        <v>-10</v>
      </c>
      <c r="W542" s="28">
        <f t="shared" si="4797"/>
        <v>-10</v>
      </c>
      <c r="X542" s="28">
        <f t="shared" si="4797"/>
        <v>10</v>
      </c>
      <c r="AB542" s="28" t="str">
        <f t="shared" ref="AB542:AE542" si="4798">IF(AB$3=$H542,U542,"")</f>
        <v/>
      </c>
      <c r="AC542" s="28" t="str">
        <f t="shared" si="4798"/>
        <v/>
      </c>
      <c r="AD542" s="28" t="str">
        <f t="shared" si="4798"/>
        <v/>
      </c>
      <c r="AE542" s="28">
        <f t="shared" si="4798"/>
        <v>10</v>
      </c>
      <c r="AH542" s="28">
        <f t="shared" si="22"/>
        <v>10</v>
      </c>
      <c r="AI542" s="28">
        <f t="shared" si="23"/>
        <v>0</v>
      </c>
      <c r="AK542" s="78" t="str">
        <f t="shared" ref="AK542:AN542" si="4799">IF(U542&gt;0,AK$3,"")</f>
        <v>Thomas</v>
      </c>
      <c r="AL542" s="78" t="str">
        <f t="shared" si="4799"/>
        <v/>
      </c>
      <c r="AM542" s="78" t="str">
        <f t="shared" si="4799"/>
        <v/>
      </c>
      <c r="AN542" s="78" t="str">
        <f t="shared" si="4799"/>
        <v>Christian</v>
      </c>
      <c r="AO542" s="56">
        <f t="shared" si="25"/>
        <v>2</v>
      </c>
      <c r="AP542" s="8" t="str">
        <f t="shared" si="26"/>
        <v>Christian</v>
      </c>
      <c r="AQ542" s="73" t="str">
        <f>IFERROR(__xludf.DUMMYFUNCTION("IFNA(QUERY(transpose(AY542:BB542),""Select Col1 where Col1 is not null limit 1"",0))"),"Thomas")</f>
        <v>Thomas</v>
      </c>
      <c r="AR542" s="56"/>
      <c r="AS542" s="28" t="str">
        <f t="shared" ref="AS542:AV542" si="4800">IF(AK542=AS$3,"",AS$3)</f>
        <v/>
      </c>
      <c r="AT542" s="28" t="str">
        <f t="shared" si="4800"/>
        <v>Peter</v>
      </c>
      <c r="AU542" s="28" t="str">
        <f t="shared" si="4800"/>
        <v>Janus</v>
      </c>
      <c r="AV542" s="28" t="str">
        <f t="shared" si="4800"/>
        <v/>
      </c>
      <c r="AW542" s="56">
        <f t="shared" si="28"/>
        <v>2</v>
      </c>
      <c r="AX542" s="28">
        <f t="shared" si="29"/>
        <v>10</v>
      </c>
      <c r="AY542" s="28" t="str">
        <f t="shared" ref="AY542:BB542" si="4801">IFNA(IFS(AY$3=$AP542,"",$AX542=U542,AY$3),"")</f>
        <v>Thomas</v>
      </c>
      <c r="AZ542" s="28" t="str">
        <f t="shared" si="4801"/>
        <v/>
      </c>
      <c r="BA542" s="28" t="str">
        <f t="shared" si="4801"/>
        <v/>
      </c>
      <c r="BB542" s="28" t="str">
        <f t="shared" si="4801"/>
        <v/>
      </c>
      <c r="BC542" s="58">
        <f>OFFSET('00_Regnskab_01'!$A$1,MATCH(A542,'00_Regnskab_01'!$A$1:$A$25)-1,2)</f>
        <v>45199</v>
      </c>
      <c r="BE542" s="80">
        <f t="shared" ref="BE542:BH542" si="4802">if(U542&gt;0,1+BE541,0)</f>
        <v>1</v>
      </c>
      <c r="BF542" s="28">
        <f t="shared" si="4802"/>
        <v>0</v>
      </c>
      <c r="BG542" s="28">
        <f t="shared" si="4802"/>
        <v>0</v>
      </c>
      <c r="BH542" s="28">
        <f t="shared" si="4802"/>
        <v>1</v>
      </c>
      <c r="BJ542" s="28">
        <f t="shared" ref="BJ542:BM542" si="4803">if(U542&lt;0,1+BJ541,0)</f>
        <v>0</v>
      </c>
      <c r="BK542" s="28">
        <f t="shared" si="4803"/>
        <v>1</v>
      </c>
      <c r="BL542" s="28">
        <f t="shared" si="4803"/>
        <v>2</v>
      </c>
      <c r="BM542" s="28">
        <f t="shared" si="4803"/>
        <v>0</v>
      </c>
      <c r="BO542" s="74">
        <f t="shared" ref="BO542:BR542" si="4804">if(U542&gt;0,U542+BO541,0)</f>
        <v>10</v>
      </c>
      <c r="BP542" s="74">
        <f t="shared" si="4804"/>
        <v>0</v>
      </c>
      <c r="BQ542" s="74">
        <f t="shared" si="4804"/>
        <v>0</v>
      </c>
      <c r="BR542" s="74">
        <f t="shared" si="4804"/>
        <v>10</v>
      </c>
      <c r="BT542" s="28">
        <f t="shared" ref="BT542:BW542" si="4805">if(U542&lt;0,U542+BT541,0)</f>
        <v>0</v>
      </c>
      <c r="BU542" s="28">
        <f t="shared" si="4805"/>
        <v>-10</v>
      </c>
      <c r="BV542" s="28">
        <f t="shared" si="4805"/>
        <v>-18</v>
      </c>
      <c r="BW542" s="28">
        <f t="shared" si="4805"/>
        <v>0</v>
      </c>
    </row>
    <row r="543">
      <c r="A543" s="53">
        <v>24.0</v>
      </c>
      <c r="B543" s="28">
        <f>'24_6-8-2024'!A15</f>
        <v>13</v>
      </c>
      <c r="C543" s="28">
        <f>'24_6-8-2024'!B15</f>
        <v>24</v>
      </c>
      <c r="D543" s="28">
        <f>'24_6-8-2024'!D15</f>
        <v>-76</v>
      </c>
      <c r="E543" s="28">
        <f>'24_6-8-2024'!C15</f>
        <v>8</v>
      </c>
      <c r="F543" s="28">
        <f>'24_6-8-2024'!E15</f>
        <v>44</v>
      </c>
      <c r="G543" s="28">
        <f>'24_6-8-2024'!F15</f>
        <v>0</v>
      </c>
      <c r="H543" s="28" t="str">
        <f>'24_6-8-2024'!J15</f>
        <v>Janus</v>
      </c>
      <c r="I543" s="28" t="str">
        <f>'24_6-8-2024'!K15</f>
        <v/>
      </c>
      <c r="J543" s="28" t="str">
        <f>'24_6-8-2024'!I15</f>
        <v>Christian</v>
      </c>
      <c r="K543" s="25" t="str">
        <f>'24_6-8-2024'!G15</f>
        <v>9 alm</v>
      </c>
      <c r="L543" s="56"/>
      <c r="M543" s="25">
        <v>9.0</v>
      </c>
      <c r="N543" s="25" t="s">
        <v>100</v>
      </c>
      <c r="T543" s="56"/>
      <c r="U543" s="77">
        <f t="shared" ref="U543:X543" si="4806">C543-C542</f>
        <v>-6</v>
      </c>
      <c r="V543" s="28">
        <f t="shared" si="4806"/>
        <v>-6</v>
      </c>
      <c r="W543" s="28">
        <f t="shared" si="4806"/>
        <v>6</v>
      </c>
      <c r="X543" s="28">
        <f t="shared" si="4806"/>
        <v>6</v>
      </c>
      <c r="AB543" s="28" t="str">
        <f t="shared" ref="AB543:AE543" si="4807">IF(AB$3=$H543,U543,"")</f>
        <v/>
      </c>
      <c r="AC543" s="28" t="str">
        <f t="shared" si="4807"/>
        <v/>
      </c>
      <c r="AD543" s="28">
        <f t="shared" si="4807"/>
        <v>6</v>
      </c>
      <c r="AE543" s="28" t="str">
        <f t="shared" si="4807"/>
        <v/>
      </c>
      <c r="AH543" s="28">
        <f t="shared" si="22"/>
        <v>6</v>
      </c>
      <c r="AI543" s="28">
        <f t="shared" si="23"/>
        <v>0</v>
      </c>
      <c r="AK543" s="78" t="str">
        <f t="shared" ref="AK543:AN543" si="4808">IF(U543&gt;0,AK$3,"")</f>
        <v/>
      </c>
      <c r="AL543" s="78" t="str">
        <f t="shared" si="4808"/>
        <v/>
      </c>
      <c r="AM543" s="78" t="str">
        <f t="shared" si="4808"/>
        <v>Janus</v>
      </c>
      <c r="AN543" s="78" t="str">
        <f t="shared" si="4808"/>
        <v>Christian</v>
      </c>
      <c r="AO543" s="56">
        <f t="shared" si="25"/>
        <v>2</v>
      </c>
      <c r="AP543" s="8" t="str">
        <f t="shared" si="26"/>
        <v>Janus</v>
      </c>
      <c r="AQ543" s="73" t="str">
        <f>IFERROR(__xludf.DUMMYFUNCTION("IFNA(QUERY(transpose(AY543:BB543),""Select Col1 where Col1 is not null limit 1"",0))"),"Christian")</f>
        <v>Christian</v>
      </c>
      <c r="AR543" s="56"/>
      <c r="AS543" s="28" t="str">
        <f t="shared" ref="AS543:AV543" si="4809">IF(AK543=AS$3,"",AS$3)</f>
        <v>Thomas</v>
      </c>
      <c r="AT543" s="28" t="str">
        <f t="shared" si="4809"/>
        <v>Peter</v>
      </c>
      <c r="AU543" s="28" t="str">
        <f t="shared" si="4809"/>
        <v/>
      </c>
      <c r="AV543" s="28" t="str">
        <f t="shared" si="4809"/>
        <v/>
      </c>
      <c r="AW543" s="56">
        <f t="shared" si="28"/>
        <v>2</v>
      </c>
      <c r="AX543" s="28">
        <f t="shared" si="29"/>
        <v>6</v>
      </c>
      <c r="AY543" s="28" t="str">
        <f t="shared" ref="AY543:BB543" si="4810">IFNA(IFS(AY$3=$AP543,"",$AX543=U543,AY$3),"")</f>
        <v/>
      </c>
      <c r="AZ543" s="28" t="str">
        <f t="shared" si="4810"/>
        <v/>
      </c>
      <c r="BA543" s="28" t="str">
        <f t="shared" si="4810"/>
        <v/>
      </c>
      <c r="BB543" s="28" t="str">
        <f t="shared" si="4810"/>
        <v>Christian</v>
      </c>
      <c r="BC543" s="58">
        <f>OFFSET('00_Regnskab_01'!$A$1,MATCH(A543,'00_Regnskab_01'!$A$1:$A$25)-1,2)</f>
        <v>45199</v>
      </c>
      <c r="BE543" s="80">
        <f t="shared" ref="BE543:BH543" si="4811">if(U543&gt;0,1+BE542,0)</f>
        <v>0</v>
      </c>
      <c r="BF543" s="28">
        <f t="shared" si="4811"/>
        <v>0</v>
      </c>
      <c r="BG543" s="28">
        <f t="shared" si="4811"/>
        <v>1</v>
      </c>
      <c r="BH543" s="28">
        <f t="shared" si="4811"/>
        <v>2</v>
      </c>
      <c r="BJ543" s="28">
        <f t="shared" ref="BJ543:BM543" si="4812">if(U543&lt;0,1+BJ542,0)</f>
        <v>1</v>
      </c>
      <c r="BK543" s="28">
        <f t="shared" si="4812"/>
        <v>2</v>
      </c>
      <c r="BL543" s="28">
        <f t="shared" si="4812"/>
        <v>0</v>
      </c>
      <c r="BM543" s="28">
        <f t="shared" si="4812"/>
        <v>0</v>
      </c>
      <c r="BO543" s="74">
        <f t="shared" ref="BO543:BR543" si="4813">if(U543&gt;0,U543+BO542,0)</f>
        <v>0</v>
      </c>
      <c r="BP543" s="74">
        <f t="shared" si="4813"/>
        <v>0</v>
      </c>
      <c r="BQ543" s="74">
        <f t="shared" si="4813"/>
        <v>6</v>
      </c>
      <c r="BR543" s="74">
        <f t="shared" si="4813"/>
        <v>16</v>
      </c>
      <c r="BT543" s="28">
        <f t="shared" ref="BT543:BW543" si="4814">if(U543&lt;0,U543+BT542,0)</f>
        <v>-6</v>
      </c>
      <c r="BU543" s="28">
        <f t="shared" si="4814"/>
        <v>-16</v>
      </c>
      <c r="BV543" s="28">
        <f t="shared" si="4814"/>
        <v>0</v>
      </c>
      <c r="BW543" s="28">
        <f t="shared" si="4814"/>
        <v>0</v>
      </c>
    </row>
    <row r="544">
      <c r="A544" s="53">
        <v>24.0</v>
      </c>
      <c r="B544" s="28">
        <f>'24_6-8-2024'!A16</f>
        <v>14</v>
      </c>
      <c r="C544" s="28">
        <f>'24_6-8-2024'!B16</f>
        <v>-8</v>
      </c>
      <c r="D544" s="28">
        <f>'24_6-8-2024'!D16</f>
        <v>-108</v>
      </c>
      <c r="E544" s="28">
        <f>'24_6-8-2024'!C16</f>
        <v>40</v>
      </c>
      <c r="F544" s="28">
        <f>'24_6-8-2024'!E16</f>
        <v>76</v>
      </c>
      <c r="G544" s="28">
        <f>'24_6-8-2024'!F16</f>
        <v>0</v>
      </c>
      <c r="H544" s="28" t="str">
        <f>'24_6-8-2024'!J16</f>
        <v>Thomas</v>
      </c>
      <c r="I544" s="28" t="str">
        <f>'24_6-8-2024'!K16</f>
        <v/>
      </c>
      <c r="J544" s="28" t="str">
        <f>'24_6-8-2024'!I16</f>
        <v>Peter</v>
      </c>
      <c r="K544" s="25" t="str">
        <f>'24_6-8-2024'!G16</f>
        <v>9 vip i 3</v>
      </c>
      <c r="L544" s="56"/>
      <c r="M544" s="25">
        <v>9.0</v>
      </c>
      <c r="N544" s="25" t="s">
        <v>86</v>
      </c>
      <c r="O544" s="25">
        <v>3.0</v>
      </c>
      <c r="T544" s="56"/>
      <c r="U544" s="77">
        <f t="shared" ref="U544:X544" si="4815">C544-C543</f>
        <v>-32</v>
      </c>
      <c r="V544" s="28">
        <f t="shared" si="4815"/>
        <v>-32</v>
      </c>
      <c r="W544" s="28">
        <f t="shared" si="4815"/>
        <v>32</v>
      </c>
      <c r="X544" s="28">
        <f t="shared" si="4815"/>
        <v>32</v>
      </c>
      <c r="AB544" s="28">
        <f t="shared" ref="AB544:AE544" si="4816">IF(AB$3=$H544,U544,"")</f>
        <v>-32</v>
      </c>
      <c r="AC544" s="28" t="str">
        <f t="shared" si="4816"/>
        <v/>
      </c>
      <c r="AD544" s="28" t="str">
        <f t="shared" si="4816"/>
        <v/>
      </c>
      <c r="AE544" s="28" t="str">
        <f t="shared" si="4816"/>
        <v/>
      </c>
      <c r="AH544" s="28">
        <f t="shared" si="22"/>
        <v>0</v>
      </c>
      <c r="AI544" s="28">
        <f t="shared" si="23"/>
        <v>-32</v>
      </c>
      <c r="AK544" s="78" t="str">
        <f t="shared" ref="AK544:AN544" si="4817">IF(U544&gt;0,AK$3,"")</f>
        <v/>
      </c>
      <c r="AL544" s="78" t="str">
        <f t="shared" si="4817"/>
        <v/>
      </c>
      <c r="AM544" s="78" t="str">
        <f t="shared" si="4817"/>
        <v>Janus</v>
      </c>
      <c r="AN544" s="78" t="str">
        <f t="shared" si="4817"/>
        <v>Christian</v>
      </c>
      <c r="AO544" s="56">
        <f t="shared" si="25"/>
        <v>2</v>
      </c>
      <c r="AP544" s="8" t="str">
        <f t="shared" si="26"/>
        <v>Thomas</v>
      </c>
      <c r="AQ544" s="73" t="str">
        <f>IFERROR(__xludf.DUMMYFUNCTION("IFNA(QUERY(transpose(AY544:BB544),""Select Col1 where Col1 is not null limit 1"",0))"),"Peter")</f>
        <v>Peter</v>
      </c>
      <c r="AR544" s="56"/>
      <c r="AS544" s="28" t="str">
        <f t="shared" ref="AS544:AV544" si="4818">IF(AK544=AS$3,"",AS$3)</f>
        <v>Thomas</v>
      </c>
      <c r="AT544" s="28" t="str">
        <f t="shared" si="4818"/>
        <v>Peter</v>
      </c>
      <c r="AU544" s="28" t="str">
        <f t="shared" si="4818"/>
        <v/>
      </c>
      <c r="AV544" s="28" t="str">
        <f t="shared" si="4818"/>
        <v/>
      </c>
      <c r="AW544" s="56">
        <f t="shared" si="28"/>
        <v>2</v>
      </c>
      <c r="AX544" s="28">
        <f t="shared" si="29"/>
        <v>-32</v>
      </c>
      <c r="AY544" s="28" t="str">
        <f t="shared" ref="AY544:BB544" si="4819">IFNA(IFS(AY$3=$AP544,"",$AX544=U544,AY$3),"")</f>
        <v/>
      </c>
      <c r="AZ544" s="28" t="str">
        <f t="shared" si="4819"/>
        <v>Peter</v>
      </c>
      <c r="BA544" s="28" t="str">
        <f t="shared" si="4819"/>
        <v/>
      </c>
      <c r="BB544" s="28" t="str">
        <f t="shared" si="4819"/>
        <v/>
      </c>
      <c r="BC544" s="58">
        <f>OFFSET('00_Regnskab_01'!$A$1,MATCH(A544,'00_Regnskab_01'!$A$1:$A$25)-1,2)</f>
        <v>45199</v>
      </c>
      <c r="BE544" s="80">
        <f t="shared" ref="BE544:BH544" si="4820">if(U544&gt;0,1+BE543,0)</f>
        <v>0</v>
      </c>
      <c r="BF544" s="28">
        <f t="shared" si="4820"/>
        <v>0</v>
      </c>
      <c r="BG544" s="28">
        <f t="shared" si="4820"/>
        <v>2</v>
      </c>
      <c r="BH544" s="28">
        <f t="shared" si="4820"/>
        <v>3</v>
      </c>
      <c r="BJ544" s="28">
        <f t="shared" ref="BJ544:BM544" si="4821">if(U544&lt;0,1+BJ543,0)</f>
        <v>2</v>
      </c>
      <c r="BK544" s="28">
        <f t="shared" si="4821"/>
        <v>3</v>
      </c>
      <c r="BL544" s="28">
        <f t="shared" si="4821"/>
        <v>0</v>
      </c>
      <c r="BM544" s="28">
        <f t="shared" si="4821"/>
        <v>0</v>
      </c>
      <c r="BO544" s="74">
        <f t="shared" ref="BO544:BR544" si="4822">if(U544&gt;0,U544+BO543,0)</f>
        <v>0</v>
      </c>
      <c r="BP544" s="74">
        <f t="shared" si="4822"/>
        <v>0</v>
      </c>
      <c r="BQ544" s="74">
        <f t="shared" si="4822"/>
        <v>38</v>
      </c>
      <c r="BR544" s="74">
        <f t="shared" si="4822"/>
        <v>48</v>
      </c>
      <c r="BT544" s="28">
        <f t="shared" ref="BT544:BW544" si="4823">if(U544&lt;0,U544+BT543,0)</f>
        <v>-38</v>
      </c>
      <c r="BU544" s="28">
        <f t="shared" si="4823"/>
        <v>-48</v>
      </c>
      <c r="BV544" s="28">
        <f t="shared" si="4823"/>
        <v>0</v>
      </c>
      <c r="BW544" s="28">
        <f t="shared" si="4823"/>
        <v>0</v>
      </c>
    </row>
    <row r="545">
      <c r="A545" s="53">
        <v>24.0</v>
      </c>
      <c r="B545" s="28">
        <f>'24_6-8-2024'!A17</f>
        <v>15</v>
      </c>
      <c r="C545" s="28">
        <f>'24_6-8-2024'!B17</f>
        <v>4</v>
      </c>
      <c r="D545" s="28">
        <f>'24_6-8-2024'!D17</f>
        <v>-112</v>
      </c>
      <c r="E545" s="28">
        <f>'24_6-8-2024'!C17</f>
        <v>36</v>
      </c>
      <c r="F545" s="28">
        <f>'24_6-8-2024'!E17</f>
        <v>72</v>
      </c>
      <c r="G545" s="28">
        <f>'24_6-8-2024'!F17</f>
        <v>0</v>
      </c>
      <c r="H545" s="28" t="str">
        <f>'24_6-8-2024'!J17</f>
        <v/>
      </c>
      <c r="I545" s="28" t="str">
        <f>'24_6-8-2024'!K17</f>
        <v/>
      </c>
      <c r="J545" s="28" t="str">
        <f>'24_6-8-2024'!I17</f>
        <v>Thomas</v>
      </c>
      <c r="K545" s="25" t="str">
        <f>'24_6-8-2024'!G17</f>
        <v>Sol</v>
      </c>
      <c r="L545" s="56"/>
      <c r="N545" s="25" t="s">
        <v>99</v>
      </c>
      <c r="T545" s="56"/>
      <c r="U545" s="77">
        <f t="shared" ref="U545:X545" si="4824">C545-C544</f>
        <v>12</v>
      </c>
      <c r="V545" s="28">
        <f t="shared" si="4824"/>
        <v>-4</v>
      </c>
      <c r="W545" s="28">
        <f t="shared" si="4824"/>
        <v>-4</v>
      </c>
      <c r="X545" s="28">
        <f t="shared" si="4824"/>
        <v>-4</v>
      </c>
      <c r="AB545" s="28" t="str">
        <f t="shared" ref="AB545:AE545" si="4825">IF(AB$3=$H545,U545,"")</f>
        <v/>
      </c>
      <c r="AC545" s="28" t="str">
        <f t="shared" si="4825"/>
        <v/>
      </c>
      <c r="AD545" s="28" t="str">
        <f t="shared" si="4825"/>
        <v/>
      </c>
      <c r="AE545" s="28" t="str">
        <f t="shared" si="4825"/>
        <v/>
      </c>
      <c r="AH545" s="28">
        <f t="shared" si="22"/>
        <v>0</v>
      </c>
      <c r="AI545" s="28">
        <f t="shared" si="23"/>
        <v>0</v>
      </c>
      <c r="AK545" s="78" t="str">
        <f t="shared" ref="AK545:AN545" si="4826">IF(U545&gt;0,AK$3,"")</f>
        <v>Thomas</v>
      </c>
      <c r="AL545" s="78" t="str">
        <f t="shared" si="4826"/>
        <v/>
      </c>
      <c r="AM545" s="78" t="str">
        <f t="shared" si="4826"/>
        <v/>
      </c>
      <c r="AN545" s="78" t="str">
        <f t="shared" si="4826"/>
        <v/>
      </c>
      <c r="AO545" s="56">
        <f t="shared" si="25"/>
        <v>1</v>
      </c>
      <c r="AP545" s="8" t="str">
        <f t="shared" si="26"/>
        <v/>
      </c>
      <c r="AQ545" s="73" t="str">
        <f>IFERROR(__xludf.DUMMYFUNCTION("IFNA(QUERY(transpose(AY545:BB545),""Select Col1 where Col1 is not null limit 1"",0))"),"")</f>
        <v/>
      </c>
      <c r="AR545" s="56"/>
      <c r="AS545" s="28" t="str">
        <f t="shared" ref="AS545:AV545" si="4827">IF(AK545=AS$3,"",AS$3)</f>
        <v/>
      </c>
      <c r="AT545" s="28" t="str">
        <f t="shared" si="4827"/>
        <v>Peter</v>
      </c>
      <c r="AU545" s="28" t="str">
        <f t="shared" si="4827"/>
        <v>Janus</v>
      </c>
      <c r="AV545" s="28" t="str">
        <f t="shared" si="4827"/>
        <v>Christian</v>
      </c>
      <c r="AW545" s="56">
        <f t="shared" si="28"/>
        <v>3</v>
      </c>
      <c r="AX545" s="28">
        <f t="shared" si="29"/>
        <v>0</v>
      </c>
      <c r="AY545" s="28" t="str">
        <f t="shared" ref="AY545:BB545" si="4828">IFNA(IFS(AY$3=$AP545,"",$AX545=U545,AY$3),"")</f>
        <v/>
      </c>
      <c r="AZ545" s="28" t="str">
        <f t="shared" si="4828"/>
        <v/>
      </c>
      <c r="BA545" s="28" t="str">
        <f t="shared" si="4828"/>
        <v/>
      </c>
      <c r="BB545" s="28" t="str">
        <f t="shared" si="4828"/>
        <v/>
      </c>
      <c r="BC545" s="58">
        <f>OFFSET('00_Regnskab_01'!$A$1,MATCH(A545,'00_Regnskab_01'!$A$1:$A$25)-1,2)</f>
        <v>45199</v>
      </c>
      <c r="BE545" s="80">
        <f t="shared" ref="BE545:BH545" si="4829">if(U545&gt;0,1+BE544,0)</f>
        <v>1</v>
      </c>
      <c r="BF545" s="28">
        <f t="shared" si="4829"/>
        <v>0</v>
      </c>
      <c r="BG545" s="28">
        <f t="shared" si="4829"/>
        <v>0</v>
      </c>
      <c r="BH545" s="28">
        <f t="shared" si="4829"/>
        <v>0</v>
      </c>
      <c r="BJ545" s="28">
        <f t="shared" ref="BJ545:BM545" si="4830">if(U545&lt;0,1+BJ544,0)</f>
        <v>0</v>
      </c>
      <c r="BK545" s="28">
        <f t="shared" si="4830"/>
        <v>4</v>
      </c>
      <c r="BL545" s="28">
        <f t="shared" si="4830"/>
        <v>1</v>
      </c>
      <c r="BM545" s="28">
        <f t="shared" si="4830"/>
        <v>1</v>
      </c>
      <c r="BO545" s="74">
        <f t="shared" ref="BO545:BR545" si="4831">if(U545&gt;0,U545+BO544,0)</f>
        <v>12</v>
      </c>
      <c r="BP545" s="74">
        <f t="shared" si="4831"/>
        <v>0</v>
      </c>
      <c r="BQ545" s="74">
        <f t="shared" si="4831"/>
        <v>0</v>
      </c>
      <c r="BR545" s="74">
        <f t="shared" si="4831"/>
        <v>0</v>
      </c>
      <c r="BT545" s="28">
        <f t="shared" ref="BT545:BW545" si="4832">if(U545&lt;0,U545+BT544,0)</f>
        <v>0</v>
      </c>
      <c r="BU545" s="28">
        <f t="shared" si="4832"/>
        <v>-52</v>
      </c>
      <c r="BV545" s="28">
        <f t="shared" si="4832"/>
        <v>-4</v>
      </c>
      <c r="BW545" s="28">
        <f t="shared" si="4832"/>
        <v>-4</v>
      </c>
    </row>
    <row r="546">
      <c r="A546" s="53">
        <v>24.0</v>
      </c>
      <c r="B546" s="28">
        <f>'24_6-8-2024'!A18</f>
        <v>16</v>
      </c>
      <c r="C546" s="28">
        <f>'24_6-8-2024'!B18</f>
        <v>40</v>
      </c>
      <c r="D546" s="28">
        <f>'24_6-8-2024'!D18</f>
        <v>-76</v>
      </c>
      <c r="E546" s="28">
        <f>'24_6-8-2024'!C18</f>
        <v>0</v>
      </c>
      <c r="F546" s="28">
        <f>'24_6-8-2024'!E18</f>
        <v>36</v>
      </c>
      <c r="G546" s="28">
        <f>'24_6-8-2024'!F18</f>
        <v>0</v>
      </c>
      <c r="H546" s="28" t="str">
        <f>'24_6-8-2024'!J18</f>
        <v>Peter</v>
      </c>
      <c r="I546" s="28" t="str">
        <f>'24_6-8-2024'!K18</f>
        <v/>
      </c>
      <c r="J546" s="28" t="str">
        <f>'24_6-8-2024'!I18</f>
        <v>Thomas</v>
      </c>
      <c r="K546" s="25" t="str">
        <f>'24_6-8-2024'!G18</f>
        <v>9 vip i 3</v>
      </c>
      <c r="L546" s="56"/>
      <c r="M546" s="25">
        <v>9.0</v>
      </c>
      <c r="N546" s="25" t="s">
        <v>86</v>
      </c>
      <c r="O546" s="25">
        <v>3.0</v>
      </c>
      <c r="T546" s="56"/>
      <c r="U546" s="77">
        <f t="shared" ref="U546:X546" si="4833">C546-C545</f>
        <v>36</v>
      </c>
      <c r="V546" s="28">
        <f t="shared" si="4833"/>
        <v>36</v>
      </c>
      <c r="W546" s="28">
        <f t="shared" si="4833"/>
        <v>-36</v>
      </c>
      <c r="X546" s="28">
        <f t="shared" si="4833"/>
        <v>-36</v>
      </c>
      <c r="AB546" s="28" t="str">
        <f t="shared" ref="AB546:AE546" si="4834">IF(AB$3=$H546,U546,"")</f>
        <v/>
      </c>
      <c r="AC546" s="28">
        <f t="shared" si="4834"/>
        <v>36</v>
      </c>
      <c r="AD546" s="28" t="str">
        <f t="shared" si="4834"/>
        <v/>
      </c>
      <c r="AE546" s="28" t="str">
        <f t="shared" si="4834"/>
        <v/>
      </c>
      <c r="AH546" s="28">
        <f t="shared" si="22"/>
        <v>36</v>
      </c>
      <c r="AI546" s="28">
        <f t="shared" si="23"/>
        <v>0</v>
      </c>
      <c r="AK546" s="78" t="str">
        <f t="shared" ref="AK546:AN546" si="4835">IF(U546&gt;0,AK$3,"")</f>
        <v>Thomas</v>
      </c>
      <c r="AL546" s="78" t="str">
        <f t="shared" si="4835"/>
        <v>Peter</v>
      </c>
      <c r="AM546" s="78" t="str">
        <f t="shared" si="4835"/>
        <v/>
      </c>
      <c r="AN546" s="78" t="str">
        <f t="shared" si="4835"/>
        <v/>
      </c>
      <c r="AO546" s="56">
        <f t="shared" si="25"/>
        <v>2</v>
      </c>
      <c r="AP546" s="8" t="str">
        <f t="shared" si="26"/>
        <v>Peter</v>
      </c>
      <c r="AQ546" s="73" t="str">
        <f>IFERROR(__xludf.DUMMYFUNCTION("IFNA(QUERY(transpose(AY546:BB546),""Select Col1 where Col1 is not null limit 1"",0))"),"Thomas")</f>
        <v>Thomas</v>
      </c>
      <c r="AR546" s="56"/>
      <c r="AS546" s="28" t="str">
        <f t="shared" ref="AS546:AV546" si="4836">IF(AK546=AS$3,"",AS$3)</f>
        <v/>
      </c>
      <c r="AT546" s="28" t="str">
        <f t="shared" si="4836"/>
        <v/>
      </c>
      <c r="AU546" s="28" t="str">
        <f t="shared" si="4836"/>
        <v>Janus</v>
      </c>
      <c r="AV546" s="28" t="str">
        <f t="shared" si="4836"/>
        <v>Christian</v>
      </c>
      <c r="AW546" s="56">
        <f t="shared" si="28"/>
        <v>2</v>
      </c>
      <c r="AX546" s="28">
        <f t="shared" si="29"/>
        <v>36</v>
      </c>
      <c r="AY546" s="28" t="str">
        <f t="shared" ref="AY546:BB546" si="4837">IFNA(IFS(AY$3=$AP546,"",$AX546=U546,AY$3),"")</f>
        <v>Thomas</v>
      </c>
      <c r="AZ546" s="28" t="str">
        <f t="shared" si="4837"/>
        <v/>
      </c>
      <c r="BA546" s="28" t="str">
        <f t="shared" si="4837"/>
        <v/>
      </c>
      <c r="BB546" s="28" t="str">
        <f t="shared" si="4837"/>
        <v/>
      </c>
      <c r="BC546" s="58">
        <f>OFFSET('00_Regnskab_01'!$A$1,MATCH(A546,'00_Regnskab_01'!$A$1:$A$25)-1,2)</f>
        <v>45199</v>
      </c>
      <c r="BE546" s="80">
        <f t="shared" ref="BE546:BH546" si="4838">if(U546&gt;0,1+BE545,0)</f>
        <v>2</v>
      </c>
      <c r="BF546" s="28">
        <f t="shared" si="4838"/>
        <v>1</v>
      </c>
      <c r="BG546" s="28">
        <f t="shared" si="4838"/>
        <v>0</v>
      </c>
      <c r="BH546" s="28">
        <f t="shared" si="4838"/>
        <v>0</v>
      </c>
      <c r="BJ546" s="28">
        <f t="shared" ref="BJ546:BM546" si="4839">if(U546&lt;0,1+BJ545,0)</f>
        <v>0</v>
      </c>
      <c r="BK546" s="28">
        <f t="shared" si="4839"/>
        <v>0</v>
      </c>
      <c r="BL546" s="28">
        <f t="shared" si="4839"/>
        <v>2</v>
      </c>
      <c r="BM546" s="28">
        <f t="shared" si="4839"/>
        <v>2</v>
      </c>
      <c r="BO546" s="74">
        <f t="shared" ref="BO546:BR546" si="4840">if(U546&gt;0,U546+BO545,0)</f>
        <v>48</v>
      </c>
      <c r="BP546" s="74">
        <f t="shared" si="4840"/>
        <v>36</v>
      </c>
      <c r="BQ546" s="74">
        <f t="shared" si="4840"/>
        <v>0</v>
      </c>
      <c r="BR546" s="74">
        <f t="shared" si="4840"/>
        <v>0</v>
      </c>
      <c r="BT546" s="28">
        <f t="shared" ref="BT546:BW546" si="4841">if(U546&lt;0,U546+BT545,0)</f>
        <v>0</v>
      </c>
      <c r="BU546" s="28">
        <f t="shared" si="4841"/>
        <v>0</v>
      </c>
      <c r="BV546" s="28">
        <f t="shared" si="4841"/>
        <v>-40</v>
      </c>
      <c r="BW546" s="28">
        <f t="shared" si="4841"/>
        <v>-40</v>
      </c>
    </row>
    <row r="547">
      <c r="A547" s="83">
        <v>24.0</v>
      </c>
      <c r="B547" s="84">
        <f>'24_6-8-2024'!A19</f>
        <v>17</v>
      </c>
      <c r="C547" s="84">
        <f>'24_6-8-2024'!B19</f>
        <v>32</v>
      </c>
      <c r="D547" s="84">
        <f>'24_6-8-2024'!D19</f>
        <v>-68</v>
      </c>
      <c r="E547" s="84">
        <f>'24_6-8-2024'!C19</f>
        <v>8</v>
      </c>
      <c r="F547" s="84">
        <f>'24_6-8-2024'!E19</f>
        <v>28</v>
      </c>
      <c r="G547" s="84">
        <f>'24_6-8-2024'!F19</f>
        <v>0</v>
      </c>
      <c r="H547" s="84" t="str">
        <f>'24_6-8-2024'!J19</f>
        <v>Janus</v>
      </c>
      <c r="I547" s="84" t="str">
        <f>'24_6-8-2024'!K19</f>
        <v/>
      </c>
      <c r="J547" s="84" t="str">
        <f>'24_6-8-2024'!I19</f>
        <v>Peter</v>
      </c>
      <c r="K547" s="87" t="str">
        <f>'24_6-8-2024'!G19</f>
        <v>9 sans</v>
      </c>
      <c r="L547" s="84"/>
      <c r="M547" s="87">
        <v>9.0</v>
      </c>
      <c r="N547" s="87" t="s">
        <v>98</v>
      </c>
      <c r="O547" s="84"/>
      <c r="P547" s="84"/>
      <c r="Q547" s="84"/>
      <c r="R547" s="84"/>
      <c r="S547" s="84"/>
      <c r="T547" s="84"/>
      <c r="U547" s="88">
        <f t="shared" ref="U547:X547" si="4842">C547-C546</f>
        <v>-8</v>
      </c>
      <c r="V547" s="84">
        <f t="shared" si="4842"/>
        <v>8</v>
      </c>
      <c r="W547" s="84">
        <f t="shared" si="4842"/>
        <v>8</v>
      </c>
      <c r="X547" s="84">
        <f t="shared" si="4842"/>
        <v>-8</v>
      </c>
      <c r="Y547" s="84"/>
      <c r="Z547" s="84"/>
      <c r="AA547" s="84"/>
      <c r="AB547" s="84" t="str">
        <f t="shared" ref="AB547:AE547" si="4843">IF(AB$3=$H547,U547,"")</f>
        <v/>
      </c>
      <c r="AC547" s="84" t="str">
        <f t="shared" si="4843"/>
        <v/>
      </c>
      <c r="AD547" s="84">
        <f t="shared" si="4843"/>
        <v>8</v>
      </c>
      <c r="AE547" s="84" t="str">
        <f t="shared" si="4843"/>
        <v/>
      </c>
      <c r="AF547" s="84"/>
      <c r="AG547" s="84"/>
      <c r="AH547" s="84">
        <f t="shared" si="22"/>
        <v>8</v>
      </c>
      <c r="AI547" s="84">
        <f t="shared" si="23"/>
        <v>0</v>
      </c>
      <c r="AJ547" s="84"/>
      <c r="AK547" s="93" t="str">
        <f t="shared" ref="AK547:AN547" si="4844">IF(U547&gt;0,AK$3,"")</f>
        <v/>
      </c>
      <c r="AL547" s="93" t="str">
        <f t="shared" si="4844"/>
        <v>Peter</v>
      </c>
      <c r="AM547" s="93" t="str">
        <f t="shared" si="4844"/>
        <v>Janus</v>
      </c>
      <c r="AN547" s="93" t="str">
        <f t="shared" si="4844"/>
        <v/>
      </c>
      <c r="AO547" s="84">
        <f t="shared" si="25"/>
        <v>2</v>
      </c>
      <c r="AP547" s="94" t="str">
        <f t="shared" si="26"/>
        <v>Janus</v>
      </c>
      <c r="AQ547" s="95" t="str">
        <f>IFERROR(__xludf.DUMMYFUNCTION("IFNA(QUERY(transpose(AY547:BB547),""Select Col1 where Col1 is not null limit 1"",0))"),"Peter")</f>
        <v>Peter</v>
      </c>
      <c r="AR547" s="84"/>
      <c r="AS547" s="84" t="str">
        <f t="shared" ref="AS547:AV547" si="4845">IF(AK547=AS$3,"",AS$3)</f>
        <v>Thomas</v>
      </c>
      <c r="AT547" s="84" t="str">
        <f t="shared" si="4845"/>
        <v/>
      </c>
      <c r="AU547" s="84" t="str">
        <f t="shared" si="4845"/>
        <v/>
      </c>
      <c r="AV547" s="84" t="str">
        <f t="shared" si="4845"/>
        <v>Christian</v>
      </c>
      <c r="AW547" s="84">
        <f t="shared" si="28"/>
        <v>2</v>
      </c>
      <c r="AX547" s="84">
        <f t="shared" si="29"/>
        <v>8</v>
      </c>
      <c r="AY547" s="84" t="str">
        <f t="shared" ref="AY547:BB547" si="4846">IFNA(IFS(AY$3=$AP547,"",$AX547=U547,AY$3),"")</f>
        <v/>
      </c>
      <c r="AZ547" s="84" t="str">
        <f t="shared" si="4846"/>
        <v>Peter</v>
      </c>
      <c r="BA547" s="84" t="str">
        <f t="shared" si="4846"/>
        <v/>
      </c>
      <c r="BB547" s="84" t="str">
        <f t="shared" si="4846"/>
        <v/>
      </c>
      <c r="BC547" s="96">
        <f>OFFSET('00_Regnskab_01'!$A$1,MATCH(A547,'00_Regnskab_01'!$A$1:$A$25)-1,2)</f>
        <v>45199</v>
      </c>
      <c r="BD547" s="84"/>
      <c r="BE547" s="97">
        <f t="shared" ref="BE547:BH547" si="4847">if(U547&gt;0,1+BE546,0)</f>
        <v>0</v>
      </c>
      <c r="BF547" s="84">
        <f t="shared" si="4847"/>
        <v>2</v>
      </c>
      <c r="BG547" s="84">
        <f t="shared" si="4847"/>
        <v>1</v>
      </c>
      <c r="BH547" s="84">
        <f t="shared" si="4847"/>
        <v>0</v>
      </c>
      <c r="BI547" s="84"/>
      <c r="BJ547" s="28">
        <f t="shared" ref="BJ547:BM547" si="4848">if(U547&lt;0,1+BJ546,0)</f>
        <v>1</v>
      </c>
      <c r="BK547" s="28">
        <f t="shared" si="4848"/>
        <v>0</v>
      </c>
      <c r="BL547" s="28">
        <f t="shared" si="4848"/>
        <v>0</v>
      </c>
      <c r="BM547" s="28">
        <f t="shared" si="4848"/>
        <v>3</v>
      </c>
      <c r="BN547" s="84"/>
      <c r="BO547" s="98">
        <f t="shared" ref="BO547:BR547" si="4849">if(U547&gt;0,U547+BO546,0)</f>
        <v>0</v>
      </c>
      <c r="BP547" s="98">
        <f t="shared" si="4849"/>
        <v>44</v>
      </c>
      <c r="BQ547" s="98">
        <f t="shared" si="4849"/>
        <v>8</v>
      </c>
      <c r="BR547" s="98">
        <f t="shared" si="4849"/>
        <v>0</v>
      </c>
      <c r="BS547" s="84"/>
      <c r="BT547" s="84">
        <f t="shared" ref="BT547:BW547" si="4850">if(U547&lt;0,U547+BT546,0)</f>
        <v>-8</v>
      </c>
      <c r="BU547" s="84">
        <f t="shared" si="4850"/>
        <v>0</v>
      </c>
      <c r="BV547" s="84">
        <f t="shared" si="4850"/>
        <v>0</v>
      </c>
      <c r="BW547" s="84">
        <f t="shared" si="4850"/>
        <v>-48</v>
      </c>
      <c r="BX547" s="84"/>
      <c r="BY547" s="84"/>
    </row>
    <row r="548">
      <c r="A548" s="51">
        <v>25.0</v>
      </c>
      <c r="B548" s="32">
        <f>'25_29-11-2024'!A3</f>
        <v>1</v>
      </c>
      <c r="C548" s="32">
        <f>'25_29-11-2024'!B3</f>
        <v>8</v>
      </c>
      <c r="D548" s="32">
        <f>'25_29-11-2024'!C3</f>
        <v>8</v>
      </c>
      <c r="E548" s="32">
        <f>'25_29-11-2024'!D3</f>
        <v>-24</v>
      </c>
      <c r="F548" s="32">
        <f>'25_29-11-2024'!E3</f>
        <v>8</v>
      </c>
      <c r="G548" s="32">
        <f>'25_29-11-2024'!F3</f>
        <v>0</v>
      </c>
      <c r="H548" s="48" t="str">
        <f>'25_29-11-2024'!I3</f>
        <v>janus</v>
      </c>
      <c r="I548" s="32" t="str">
        <f>'25_29-11-2024'!J3</f>
        <v/>
      </c>
      <c r="J548" s="32" t="str">
        <f>'25_29-11-2024'!H3</f>
        <v>Christian</v>
      </c>
      <c r="K548" s="32" t="str">
        <f>'25_29-11-2024'!G3</f>
        <v>Ren sol</v>
      </c>
      <c r="L548" s="32"/>
      <c r="M548" s="32"/>
      <c r="N548" s="48" t="s">
        <v>97</v>
      </c>
      <c r="O548" s="32"/>
      <c r="P548" s="32"/>
      <c r="Q548" s="32"/>
      <c r="R548" s="32"/>
      <c r="S548" s="32"/>
      <c r="T548" s="32"/>
      <c r="U548" s="71">
        <f t="shared" ref="U548:X548" si="4851">C548</f>
        <v>8</v>
      </c>
      <c r="V548" s="32">
        <f t="shared" si="4851"/>
        <v>8</v>
      </c>
      <c r="W548" s="32">
        <f t="shared" si="4851"/>
        <v>-24</v>
      </c>
      <c r="X548" s="32">
        <f t="shared" si="4851"/>
        <v>8</v>
      </c>
      <c r="Y548" s="32"/>
      <c r="Z548" s="32"/>
      <c r="AA548" s="32"/>
      <c r="AB548" s="32" t="str">
        <f t="shared" ref="AB548:AE548" si="4852">IF(AB$3=$H548,U548,"")</f>
        <v/>
      </c>
      <c r="AC548" s="32" t="str">
        <f t="shared" si="4852"/>
        <v/>
      </c>
      <c r="AD548" s="32">
        <f t="shared" si="4852"/>
        <v>-24</v>
      </c>
      <c r="AE548" s="32" t="str">
        <f t="shared" si="4852"/>
        <v/>
      </c>
      <c r="AF548" s="32"/>
      <c r="AG548" s="32"/>
      <c r="AH548" s="32">
        <f t="shared" si="22"/>
        <v>0</v>
      </c>
      <c r="AI548" s="32">
        <f t="shared" si="23"/>
        <v>-24</v>
      </c>
      <c r="AJ548" s="32"/>
      <c r="AK548" s="72" t="str">
        <f t="shared" ref="AK548:AN548" si="4853">IF(U548&gt;0,AK$3,"")</f>
        <v>Thomas</v>
      </c>
      <c r="AL548" s="72" t="str">
        <f t="shared" si="4853"/>
        <v>Peter</v>
      </c>
      <c r="AM548" s="72" t="str">
        <f t="shared" si="4853"/>
        <v/>
      </c>
      <c r="AN548" s="72" t="str">
        <f t="shared" si="4853"/>
        <v>Christian</v>
      </c>
      <c r="AO548" s="32">
        <f t="shared" si="25"/>
        <v>3</v>
      </c>
      <c r="AP548" s="114" t="str">
        <f t="shared" si="26"/>
        <v>janus</v>
      </c>
      <c r="AQ548" s="109" t="str">
        <f>IFERROR(__xludf.DUMMYFUNCTION("IFNA(QUERY(transpose(AY548:BB548),""Select Col1 where Col1 is not null limit 1"",0))"),"")</f>
        <v/>
      </c>
      <c r="AR548" s="32"/>
      <c r="AS548" s="32" t="str">
        <f t="shared" ref="AS548:AV548" si="4854">IF(AK548=AS$3,"",AS$3)</f>
        <v/>
      </c>
      <c r="AT548" s="32" t="str">
        <f t="shared" si="4854"/>
        <v/>
      </c>
      <c r="AU548" s="32" t="str">
        <f t="shared" si="4854"/>
        <v>Janus</v>
      </c>
      <c r="AV548" s="32" t="str">
        <f t="shared" si="4854"/>
        <v/>
      </c>
      <c r="AW548" s="32">
        <f t="shared" si="28"/>
        <v>1</v>
      </c>
      <c r="AX548" s="32">
        <f t="shared" si="29"/>
        <v>-24</v>
      </c>
      <c r="AY548" s="32" t="str">
        <f t="shared" ref="AY548:BB548" si="4855">IFNA(IFS(AY$3=$AP548,"",$AX548=U548,AY$3),"")</f>
        <v/>
      </c>
      <c r="AZ548" s="32" t="str">
        <f t="shared" si="4855"/>
        <v/>
      </c>
      <c r="BA548" s="32" t="str">
        <f t="shared" si="4855"/>
        <v/>
      </c>
      <c r="BB548" s="32" t="str">
        <f t="shared" si="4855"/>
        <v/>
      </c>
      <c r="BC548" s="58">
        <f>OFFSET('00_Regnskab_01'!$A$1,MATCH(A548,'00_Regnskab_01'!$A$1:$A$25)-1,2)</f>
        <v>45199</v>
      </c>
      <c r="BD548" s="32"/>
      <c r="BE548" s="80">
        <f t="shared" ref="BE548:BH548" si="4856">if(U548&gt;0,1+BE547,0)</f>
        <v>1</v>
      </c>
      <c r="BF548" s="28">
        <f t="shared" si="4856"/>
        <v>3</v>
      </c>
      <c r="BG548" s="28">
        <f t="shared" si="4856"/>
        <v>0</v>
      </c>
      <c r="BH548" s="28">
        <f t="shared" si="4856"/>
        <v>1</v>
      </c>
      <c r="BI548" s="32"/>
      <c r="BJ548" s="28">
        <f t="shared" ref="BJ548:BM548" si="4857">if(U548&lt;0,1+BJ547,0)</f>
        <v>0</v>
      </c>
      <c r="BK548" s="28">
        <f t="shared" si="4857"/>
        <v>0</v>
      </c>
      <c r="BL548" s="28">
        <f t="shared" si="4857"/>
        <v>1</v>
      </c>
      <c r="BM548" s="28">
        <f t="shared" si="4857"/>
        <v>0</v>
      </c>
      <c r="BO548" s="74">
        <f t="shared" ref="BO548:BR548" si="4858">if(U548&gt;0,U548+BO547,0)</f>
        <v>8</v>
      </c>
      <c r="BP548" s="74">
        <f t="shared" si="4858"/>
        <v>52</v>
      </c>
      <c r="BQ548" s="74">
        <f t="shared" si="4858"/>
        <v>0</v>
      </c>
      <c r="BR548" s="74">
        <f t="shared" si="4858"/>
        <v>8</v>
      </c>
      <c r="BT548" s="28">
        <f t="shared" ref="BT548:BW548" si="4859">if(U548&lt;0,U548+BT547,0)</f>
        <v>0</v>
      </c>
      <c r="BU548" s="28">
        <f t="shared" si="4859"/>
        <v>0</v>
      </c>
      <c r="BV548" s="28">
        <f t="shared" si="4859"/>
        <v>-24</v>
      </c>
      <c r="BW548" s="28">
        <f t="shared" si="4859"/>
        <v>0</v>
      </c>
      <c r="BX548" s="32"/>
      <c r="BY548" s="32"/>
    </row>
    <row r="549">
      <c r="A549" s="53">
        <v>25.0</v>
      </c>
      <c r="B549" s="28">
        <f>'25_29-11-2024'!A4</f>
        <v>2</v>
      </c>
      <c r="C549" s="28">
        <f>'25_29-11-2024'!B4</f>
        <v>20</v>
      </c>
      <c r="D549" s="28">
        <f>'25_29-11-2024'!C4</f>
        <v>12</v>
      </c>
      <c r="E549" s="28">
        <f>'25_29-11-2024'!D4</f>
        <v>-44</v>
      </c>
      <c r="F549" s="28">
        <f>'25_29-11-2024'!E4</f>
        <v>12</v>
      </c>
      <c r="G549" s="28">
        <f>'25_29-11-2024'!F4</f>
        <v>0</v>
      </c>
      <c r="H549" s="25" t="str">
        <f>'25_29-11-2024'!I4</f>
        <v>Thomas</v>
      </c>
      <c r="I549" s="28" t="str">
        <f>'25_29-11-2024'!J4</f>
        <v/>
      </c>
      <c r="J549" s="28" t="str">
        <f>'25_29-11-2024'!H4</f>
        <v>Thomas</v>
      </c>
      <c r="K549" s="28" t="str">
        <f>'25_29-11-2024'!G4</f>
        <v>9 ruder til klør</v>
      </c>
      <c r="L549" s="56"/>
      <c r="M549" s="25">
        <v>9.0</v>
      </c>
      <c r="N549" s="25" t="s">
        <v>100</v>
      </c>
      <c r="T549" s="56"/>
      <c r="U549" s="77">
        <f t="shared" ref="U549:X549" si="4860">C549-C548</f>
        <v>12</v>
      </c>
      <c r="V549" s="28">
        <f t="shared" si="4860"/>
        <v>4</v>
      </c>
      <c r="W549" s="28">
        <f t="shared" si="4860"/>
        <v>-20</v>
      </c>
      <c r="X549" s="28">
        <f t="shared" si="4860"/>
        <v>4</v>
      </c>
      <c r="AB549" s="28">
        <f t="shared" ref="AB549:AE549" si="4861">IF(AB$3=$H549,U549,"")</f>
        <v>12</v>
      </c>
      <c r="AC549" s="28" t="str">
        <f t="shared" si="4861"/>
        <v/>
      </c>
      <c r="AD549" s="28" t="str">
        <f t="shared" si="4861"/>
        <v/>
      </c>
      <c r="AE549" s="28" t="str">
        <f t="shared" si="4861"/>
        <v/>
      </c>
      <c r="AH549" s="28">
        <f t="shared" si="22"/>
        <v>12</v>
      </c>
      <c r="AI549" s="28">
        <f t="shared" si="23"/>
        <v>0</v>
      </c>
      <c r="AK549" s="78" t="str">
        <f t="shared" ref="AK549:AN549" si="4862">IF(U549&gt;0,AK$3,"")</f>
        <v>Thomas</v>
      </c>
      <c r="AL549" s="78" t="str">
        <f t="shared" si="4862"/>
        <v>Peter</v>
      </c>
      <c r="AM549" s="78" t="str">
        <f t="shared" si="4862"/>
        <v/>
      </c>
      <c r="AN549" s="78" t="str">
        <f t="shared" si="4862"/>
        <v>Christian</v>
      </c>
      <c r="AO549" s="56">
        <f t="shared" si="25"/>
        <v>3</v>
      </c>
      <c r="AP549" s="8" t="str">
        <f t="shared" si="26"/>
        <v>Thomas</v>
      </c>
      <c r="AQ549" s="73" t="str">
        <f>IFERROR(__xludf.DUMMYFUNCTION("IFNA(QUERY(transpose(AY549:BB549),""Select Col1 where Col1 is not null limit 1"",0))"),"")</f>
        <v/>
      </c>
      <c r="AR549" s="56"/>
      <c r="AS549" s="28" t="str">
        <f t="shared" ref="AS549:AV549" si="4863">IF(AK549=AS$3,"",AS$3)</f>
        <v/>
      </c>
      <c r="AT549" s="28" t="str">
        <f t="shared" si="4863"/>
        <v/>
      </c>
      <c r="AU549" s="28" t="str">
        <f t="shared" si="4863"/>
        <v>Janus</v>
      </c>
      <c r="AV549" s="28" t="str">
        <f t="shared" si="4863"/>
        <v/>
      </c>
      <c r="AW549" s="56">
        <f t="shared" si="28"/>
        <v>1</v>
      </c>
      <c r="AX549" s="28">
        <f t="shared" si="29"/>
        <v>12</v>
      </c>
      <c r="AY549" s="28" t="str">
        <f t="shared" ref="AY549:BB549" si="4864">IFNA(IFS(AY$3=$AP549,"",$AX549=U549,AY$3),"")</f>
        <v/>
      </c>
      <c r="AZ549" s="28" t="str">
        <f t="shared" si="4864"/>
        <v/>
      </c>
      <c r="BA549" s="28" t="str">
        <f t="shared" si="4864"/>
        <v/>
      </c>
      <c r="BB549" s="28" t="str">
        <f t="shared" si="4864"/>
        <v/>
      </c>
      <c r="BC549" s="58">
        <f>OFFSET('00_Regnskab_01'!$A$1,MATCH(A549,'00_Regnskab_01'!$A$1:$A$25)-1,2)</f>
        <v>45199</v>
      </c>
      <c r="BE549" s="80">
        <f t="shared" ref="BE549:BH549" si="4865">if(U549&gt;0,1+BE548,0)</f>
        <v>2</v>
      </c>
      <c r="BF549" s="28">
        <f t="shared" si="4865"/>
        <v>4</v>
      </c>
      <c r="BG549" s="28">
        <f t="shared" si="4865"/>
        <v>0</v>
      </c>
      <c r="BH549" s="28">
        <f t="shared" si="4865"/>
        <v>2</v>
      </c>
      <c r="BJ549" s="28">
        <f t="shared" ref="BJ549:BM549" si="4866">if(U549&lt;0,1+BJ548,0)</f>
        <v>0</v>
      </c>
      <c r="BK549" s="28">
        <f t="shared" si="4866"/>
        <v>0</v>
      </c>
      <c r="BL549" s="28">
        <f t="shared" si="4866"/>
        <v>2</v>
      </c>
      <c r="BM549" s="28">
        <f t="shared" si="4866"/>
        <v>0</v>
      </c>
      <c r="BO549" s="74">
        <f t="shared" ref="BO549:BR549" si="4867">if(U549&gt;0,U549+BO548,0)</f>
        <v>20</v>
      </c>
      <c r="BP549" s="74">
        <f t="shared" si="4867"/>
        <v>56</v>
      </c>
      <c r="BQ549" s="74">
        <f t="shared" si="4867"/>
        <v>0</v>
      </c>
      <c r="BR549" s="74">
        <f t="shared" si="4867"/>
        <v>12</v>
      </c>
      <c r="BT549" s="28">
        <f t="shared" ref="BT549:BW549" si="4868">if(U549&lt;0,U549+BT548,0)</f>
        <v>0</v>
      </c>
      <c r="BU549" s="28">
        <f t="shared" si="4868"/>
        <v>0</v>
      </c>
      <c r="BV549" s="28">
        <f t="shared" si="4868"/>
        <v>-44</v>
      </c>
      <c r="BW549" s="28">
        <f t="shared" si="4868"/>
        <v>0</v>
      </c>
    </row>
    <row r="550">
      <c r="A550" s="53">
        <v>25.0</v>
      </c>
      <c r="B550" s="28">
        <f>'25_29-11-2024'!A5</f>
        <v>3</v>
      </c>
      <c r="C550" s="28">
        <f>'25_29-11-2024'!B5</f>
        <v>16</v>
      </c>
      <c r="D550" s="28">
        <f>'25_29-11-2024'!C5</f>
        <v>32</v>
      </c>
      <c r="E550" s="28">
        <f>'25_29-11-2024'!D5</f>
        <v>-48</v>
      </c>
      <c r="F550" s="28">
        <f>'25_29-11-2024'!E5</f>
        <v>0</v>
      </c>
      <c r="G550" s="28">
        <f>'25_29-11-2024'!F5</f>
        <v>0</v>
      </c>
      <c r="H550" s="25" t="str">
        <f>'25_29-11-2024'!I5</f>
        <v>Peter</v>
      </c>
      <c r="I550" s="28" t="str">
        <f>'25_29-11-2024'!J5</f>
        <v>Janus</v>
      </c>
      <c r="J550" s="28" t="str">
        <f>'25_29-11-2024'!H5</f>
        <v>Janus</v>
      </c>
      <c r="K550" s="28" t="str">
        <f>'25_29-11-2024'!G5</f>
        <v>9 gode</v>
      </c>
      <c r="L550" s="56"/>
      <c r="M550" s="25">
        <v>9.0</v>
      </c>
      <c r="N550" s="25" t="s">
        <v>95</v>
      </c>
      <c r="T550" s="56"/>
      <c r="U550" s="77">
        <f t="shared" ref="U550:X550" si="4869">C550-C549</f>
        <v>-4</v>
      </c>
      <c r="V550" s="28">
        <f t="shared" si="4869"/>
        <v>20</v>
      </c>
      <c r="W550" s="28">
        <f t="shared" si="4869"/>
        <v>-4</v>
      </c>
      <c r="X550" s="28">
        <f t="shared" si="4869"/>
        <v>-12</v>
      </c>
      <c r="AB550" s="28" t="str">
        <f t="shared" ref="AB550:AE550" si="4870">IF(AB$3=$H550,U550,"")</f>
        <v/>
      </c>
      <c r="AC550" s="28">
        <f t="shared" si="4870"/>
        <v>20</v>
      </c>
      <c r="AD550" s="28" t="str">
        <f t="shared" si="4870"/>
        <v/>
      </c>
      <c r="AE550" s="28" t="str">
        <f t="shared" si="4870"/>
        <v/>
      </c>
      <c r="AH550" s="28">
        <f t="shared" si="22"/>
        <v>20</v>
      </c>
      <c r="AI550" s="28">
        <f t="shared" si="23"/>
        <v>0</v>
      </c>
      <c r="AK550" s="78" t="str">
        <f t="shared" ref="AK550:AN550" si="4871">IF(U550&gt;0,AK$3,"")</f>
        <v/>
      </c>
      <c r="AL550" s="78" t="str">
        <f t="shared" si="4871"/>
        <v>Peter</v>
      </c>
      <c r="AM550" s="78" t="str">
        <f t="shared" si="4871"/>
        <v/>
      </c>
      <c r="AN550" s="78" t="str">
        <f t="shared" si="4871"/>
        <v/>
      </c>
      <c r="AO550" s="56">
        <f t="shared" si="25"/>
        <v>1</v>
      </c>
      <c r="AP550" s="8" t="str">
        <f t="shared" si="26"/>
        <v>Peter</v>
      </c>
      <c r="AQ550" s="73" t="str">
        <f>IFERROR(__xludf.DUMMYFUNCTION("IFNA(QUERY(transpose(AY550:BB550),""Select Col1 where Col1 is not null limit 1"",0))"),"")</f>
        <v/>
      </c>
      <c r="AR550" s="56"/>
      <c r="AS550" s="28" t="str">
        <f t="shared" ref="AS550:AV550" si="4872">IF(AK550=AS$3,"",AS$3)</f>
        <v>Thomas</v>
      </c>
      <c r="AT550" s="28" t="str">
        <f t="shared" si="4872"/>
        <v/>
      </c>
      <c r="AU550" s="28" t="str">
        <f t="shared" si="4872"/>
        <v>Janus</v>
      </c>
      <c r="AV550" s="28" t="str">
        <f t="shared" si="4872"/>
        <v>Christian</v>
      </c>
      <c r="AW550" s="56">
        <f t="shared" si="28"/>
        <v>3</v>
      </c>
      <c r="AX550" s="28">
        <f t="shared" si="29"/>
        <v>20</v>
      </c>
      <c r="AY550" s="28" t="str">
        <f t="shared" ref="AY550:BB550" si="4873">IFNA(IFS(AY$3=$AP550,"",$AX550=U550,AY$3),"")</f>
        <v/>
      </c>
      <c r="AZ550" s="28" t="str">
        <f t="shared" si="4873"/>
        <v/>
      </c>
      <c r="BA550" s="28" t="str">
        <f t="shared" si="4873"/>
        <v/>
      </c>
      <c r="BB550" s="28" t="str">
        <f t="shared" si="4873"/>
        <v/>
      </c>
      <c r="BC550" s="58">
        <f>OFFSET('00_Regnskab_01'!$A$1,MATCH(A550,'00_Regnskab_01'!$A$1:$A$25)-1,2)</f>
        <v>45199</v>
      </c>
      <c r="BE550" s="80">
        <f t="shared" ref="BE550:BH550" si="4874">if(U550&gt;0,1+BE549,0)</f>
        <v>0</v>
      </c>
      <c r="BF550" s="28">
        <f t="shared" si="4874"/>
        <v>5</v>
      </c>
      <c r="BG550" s="28">
        <f t="shared" si="4874"/>
        <v>0</v>
      </c>
      <c r="BH550" s="28">
        <f t="shared" si="4874"/>
        <v>0</v>
      </c>
      <c r="BJ550" s="28">
        <f t="shared" ref="BJ550:BM550" si="4875">if(U550&lt;0,1+BJ549,0)</f>
        <v>1</v>
      </c>
      <c r="BK550" s="28">
        <f t="shared" si="4875"/>
        <v>0</v>
      </c>
      <c r="BL550" s="28">
        <f t="shared" si="4875"/>
        <v>3</v>
      </c>
      <c r="BM550" s="28">
        <f t="shared" si="4875"/>
        <v>1</v>
      </c>
      <c r="BO550" s="74">
        <f t="shared" ref="BO550:BR550" si="4876">if(U550&gt;0,U550+BO549,0)</f>
        <v>0</v>
      </c>
      <c r="BP550" s="74">
        <f t="shared" si="4876"/>
        <v>76</v>
      </c>
      <c r="BQ550" s="74">
        <f t="shared" si="4876"/>
        <v>0</v>
      </c>
      <c r="BR550" s="74">
        <f t="shared" si="4876"/>
        <v>0</v>
      </c>
      <c r="BT550" s="28">
        <f t="shared" ref="BT550:BW550" si="4877">if(U550&lt;0,U550+BT549,0)</f>
        <v>-4</v>
      </c>
      <c r="BU550" s="28">
        <f t="shared" si="4877"/>
        <v>0</v>
      </c>
      <c r="BV550" s="28">
        <f t="shared" si="4877"/>
        <v>-48</v>
      </c>
      <c r="BW550" s="28">
        <f t="shared" si="4877"/>
        <v>-12</v>
      </c>
    </row>
    <row r="551">
      <c r="A551" s="53">
        <v>25.0</v>
      </c>
      <c r="B551" s="28">
        <f>'25_29-11-2024'!A6</f>
        <v>4</v>
      </c>
      <c r="C551" s="28">
        <f>'25_29-11-2024'!B6</f>
        <v>44</v>
      </c>
      <c r="D551" s="28">
        <f>'25_29-11-2024'!C6</f>
        <v>20</v>
      </c>
      <c r="E551" s="28">
        <f>'25_29-11-2024'!D6</f>
        <v>-20</v>
      </c>
      <c r="F551" s="28">
        <f>'25_29-11-2024'!E6</f>
        <v>-44</v>
      </c>
      <c r="G551" s="28">
        <f>'25_29-11-2024'!F6</f>
        <v>0</v>
      </c>
      <c r="H551" s="25" t="str">
        <f>'25_29-11-2024'!I6</f>
        <v>Thomas</v>
      </c>
      <c r="I551" s="28" t="str">
        <f>'25_29-11-2024'!J6</f>
        <v>Janus</v>
      </c>
      <c r="J551" s="28" t="str">
        <f>'25_29-11-2024'!H6</f>
        <v>Peter</v>
      </c>
      <c r="K551" s="28" t="str">
        <f>'25_29-11-2024'!G6</f>
        <v>10 gode</v>
      </c>
      <c r="L551" s="56"/>
      <c r="M551" s="25">
        <v>10.0</v>
      </c>
      <c r="N551" s="25" t="s">
        <v>95</v>
      </c>
      <c r="T551" s="56"/>
      <c r="U551" s="77">
        <f t="shared" ref="U551:X551" si="4878">C551-C550</f>
        <v>28</v>
      </c>
      <c r="V551" s="28">
        <f t="shared" si="4878"/>
        <v>-12</v>
      </c>
      <c r="W551" s="28">
        <f t="shared" si="4878"/>
        <v>28</v>
      </c>
      <c r="X551" s="28">
        <f t="shared" si="4878"/>
        <v>-44</v>
      </c>
      <c r="AB551" s="28">
        <f t="shared" ref="AB551:AE551" si="4879">IF(AB$3=$H551,U551,"")</f>
        <v>28</v>
      </c>
      <c r="AC551" s="28" t="str">
        <f t="shared" si="4879"/>
        <v/>
      </c>
      <c r="AD551" s="28" t="str">
        <f t="shared" si="4879"/>
        <v/>
      </c>
      <c r="AE551" s="28" t="str">
        <f t="shared" si="4879"/>
        <v/>
      </c>
      <c r="AH551" s="28">
        <f t="shared" si="22"/>
        <v>28</v>
      </c>
      <c r="AI551" s="28">
        <f t="shared" si="23"/>
        <v>0</v>
      </c>
      <c r="AK551" s="78" t="str">
        <f t="shared" ref="AK551:AN551" si="4880">IF(U551&gt;0,AK$3,"")</f>
        <v>Thomas</v>
      </c>
      <c r="AL551" s="78" t="str">
        <f t="shared" si="4880"/>
        <v/>
      </c>
      <c r="AM551" s="78" t="str">
        <f t="shared" si="4880"/>
        <v>Janus</v>
      </c>
      <c r="AN551" s="78" t="str">
        <f t="shared" si="4880"/>
        <v/>
      </c>
      <c r="AO551" s="56">
        <f t="shared" si="25"/>
        <v>2</v>
      </c>
      <c r="AP551" s="8" t="str">
        <f t="shared" si="26"/>
        <v>Thomas</v>
      </c>
      <c r="AQ551" s="73" t="str">
        <f>IFERROR(__xludf.DUMMYFUNCTION("IFNA(QUERY(transpose(AY551:BB551),""Select Col1 where Col1 is not null limit 1"",0))"),"Janus")</f>
        <v>Janus</v>
      </c>
      <c r="AR551" s="56"/>
      <c r="AS551" s="28" t="str">
        <f t="shared" ref="AS551:AV551" si="4881">IF(AK551=AS$3,"",AS$3)</f>
        <v/>
      </c>
      <c r="AT551" s="28" t="str">
        <f t="shared" si="4881"/>
        <v>Peter</v>
      </c>
      <c r="AU551" s="28" t="str">
        <f t="shared" si="4881"/>
        <v/>
      </c>
      <c r="AV551" s="28" t="str">
        <f t="shared" si="4881"/>
        <v>Christian</v>
      </c>
      <c r="AW551" s="56">
        <f t="shared" si="28"/>
        <v>2</v>
      </c>
      <c r="AX551" s="28">
        <f t="shared" si="29"/>
        <v>28</v>
      </c>
      <c r="AY551" s="28" t="str">
        <f t="shared" ref="AY551:BB551" si="4882">IFNA(IFS(AY$3=$AP551,"",$AX551=U551,AY$3),"")</f>
        <v/>
      </c>
      <c r="AZ551" s="28" t="str">
        <f t="shared" si="4882"/>
        <v/>
      </c>
      <c r="BA551" s="28" t="str">
        <f t="shared" si="4882"/>
        <v>Janus</v>
      </c>
      <c r="BB551" s="28" t="str">
        <f t="shared" si="4882"/>
        <v/>
      </c>
      <c r="BC551" s="58">
        <f>OFFSET('00_Regnskab_01'!$A$1,MATCH(A551,'00_Regnskab_01'!$A$1:$A$25)-1,2)</f>
        <v>45199</v>
      </c>
      <c r="BE551" s="80">
        <f t="shared" ref="BE551:BH551" si="4883">if(U551&gt;0,1+BE550,0)</f>
        <v>1</v>
      </c>
      <c r="BF551" s="28">
        <f t="shared" si="4883"/>
        <v>0</v>
      </c>
      <c r="BG551" s="28">
        <f t="shared" si="4883"/>
        <v>1</v>
      </c>
      <c r="BH551" s="28">
        <f t="shared" si="4883"/>
        <v>0</v>
      </c>
      <c r="BJ551" s="28">
        <f t="shared" ref="BJ551:BM551" si="4884">if(U551&lt;0,1+BJ550,0)</f>
        <v>0</v>
      </c>
      <c r="BK551" s="28">
        <f t="shared" si="4884"/>
        <v>1</v>
      </c>
      <c r="BL551" s="28">
        <f t="shared" si="4884"/>
        <v>0</v>
      </c>
      <c r="BM551" s="28">
        <f t="shared" si="4884"/>
        <v>2</v>
      </c>
      <c r="BO551" s="74">
        <f t="shared" ref="BO551:BR551" si="4885">if(U551&gt;0,U551+BO550,0)</f>
        <v>28</v>
      </c>
      <c r="BP551" s="74">
        <f t="shared" si="4885"/>
        <v>0</v>
      </c>
      <c r="BQ551" s="74">
        <f t="shared" si="4885"/>
        <v>28</v>
      </c>
      <c r="BR551" s="74">
        <f t="shared" si="4885"/>
        <v>0</v>
      </c>
      <c r="BT551" s="28">
        <f t="shared" ref="BT551:BW551" si="4886">if(U551&lt;0,U551+BT550,0)</f>
        <v>0</v>
      </c>
      <c r="BU551" s="28">
        <f t="shared" si="4886"/>
        <v>-12</v>
      </c>
      <c r="BV551" s="28">
        <f t="shared" si="4886"/>
        <v>0</v>
      </c>
      <c r="BW551" s="28">
        <f t="shared" si="4886"/>
        <v>-56</v>
      </c>
    </row>
    <row r="552">
      <c r="A552" s="53">
        <v>25.0</v>
      </c>
      <c r="B552" s="28">
        <f>'25_29-11-2024'!A7</f>
        <v>5</v>
      </c>
      <c r="C552" s="28">
        <f>'25_29-11-2024'!B7</f>
        <v>84</v>
      </c>
      <c r="D552" s="28">
        <f>'25_29-11-2024'!C7</f>
        <v>20</v>
      </c>
      <c r="E552" s="28">
        <f>'25_29-11-2024'!D7</f>
        <v>-4</v>
      </c>
      <c r="F552" s="28">
        <f>'25_29-11-2024'!E7</f>
        <v>-100</v>
      </c>
      <c r="G552" s="28">
        <f>'25_29-11-2024'!F7</f>
        <v>0</v>
      </c>
      <c r="H552" s="25" t="str">
        <f>'25_29-11-2024'!I7</f>
        <v>Peter</v>
      </c>
      <c r="I552" s="28" t="str">
        <f>'25_29-11-2024'!J7</f>
        <v>Thomas</v>
      </c>
      <c r="J552" s="28" t="str">
        <f>'25_29-11-2024'!H7</f>
        <v>Christian</v>
      </c>
      <c r="K552" s="28" t="str">
        <f>'25_29-11-2024'!G7</f>
        <v>9 gode</v>
      </c>
      <c r="L552" s="56"/>
      <c r="M552" s="25">
        <v>9.0</v>
      </c>
      <c r="N552" s="25" t="s">
        <v>95</v>
      </c>
      <c r="T552" s="56"/>
      <c r="U552" s="77">
        <f t="shared" ref="U552:X552" si="4887">C552-C551</f>
        <v>40</v>
      </c>
      <c r="V552" s="28">
        <f t="shared" si="4887"/>
        <v>0</v>
      </c>
      <c r="W552" s="28">
        <f t="shared" si="4887"/>
        <v>16</v>
      </c>
      <c r="X552" s="28">
        <f t="shared" si="4887"/>
        <v>-56</v>
      </c>
      <c r="AB552" s="28" t="str">
        <f t="shared" ref="AB552:AE552" si="4888">IF(AB$3=$H552,U552,"")</f>
        <v/>
      </c>
      <c r="AC552" s="28">
        <f t="shared" si="4888"/>
        <v>0</v>
      </c>
      <c r="AD552" s="28" t="str">
        <f t="shared" si="4888"/>
        <v/>
      </c>
      <c r="AE552" s="28" t="str">
        <f t="shared" si="4888"/>
        <v/>
      </c>
      <c r="AH552" s="28">
        <f t="shared" si="22"/>
        <v>0</v>
      </c>
      <c r="AI552" s="28">
        <f t="shared" si="23"/>
        <v>0</v>
      </c>
      <c r="AK552" s="78" t="str">
        <f t="shared" ref="AK552:AN552" si="4889">IF(U552&gt;0,AK$3,"")</f>
        <v>Thomas</v>
      </c>
      <c r="AL552" s="78" t="str">
        <f t="shared" si="4889"/>
        <v/>
      </c>
      <c r="AM552" s="78" t="str">
        <f t="shared" si="4889"/>
        <v>Janus</v>
      </c>
      <c r="AN552" s="78" t="str">
        <f t="shared" si="4889"/>
        <v/>
      </c>
      <c r="AO552" s="56">
        <f t="shared" si="25"/>
        <v>2</v>
      </c>
      <c r="AP552" s="8" t="str">
        <f t="shared" si="26"/>
        <v>Peter</v>
      </c>
      <c r="AQ552" s="73" t="str">
        <f>IFERROR(__xludf.DUMMYFUNCTION("IFNA(QUERY(transpose(AY552:BB552),""Select Col1 where Col1 is not null limit 1"",0))"),"")</f>
        <v/>
      </c>
      <c r="AR552" s="56"/>
      <c r="AS552" s="28" t="str">
        <f t="shared" ref="AS552:AV552" si="4890">IF(AK552=AS$3,"",AS$3)</f>
        <v/>
      </c>
      <c r="AT552" s="28" t="str">
        <f t="shared" si="4890"/>
        <v>Peter</v>
      </c>
      <c r="AU552" s="28" t="str">
        <f t="shared" si="4890"/>
        <v/>
      </c>
      <c r="AV552" s="28" t="str">
        <f t="shared" si="4890"/>
        <v>Christian</v>
      </c>
      <c r="AW552" s="56">
        <f t="shared" si="28"/>
        <v>2</v>
      </c>
      <c r="AX552" s="28">
        <f t="shared" si="29"/>
        <v>0</v>
      </c>
      <c r="AY552" s="28" t="str">
        <f t="shared" ref="AY552:BB552" si="4891">IFNA(IFS(AY$3=$AP552,"",$AX552=U552,AY$3),"")</f>
        <v/>
      </c>
      <c r="AZ552" s="28" t="str">
        <f t="shared" si="4891"/>
        <v/>
      </c>
      <c r="BA552" s="28" t="str">
        <f t="shared" si="4891"/>
        <v/>
      </c>
      <c r="BB552" s="28" t="str">
        <f t="shared" si="4891"/>
        <v/>
      </c>
      <c r="BC552" s="58">
        <f>OFFSET('00_Regnskab_01'!$A$1,MATCH(A552,'00_Regnskab_01'!$A$1:$A$25)-1,2)</f>
        <v>45199</v>
      </c>
      <c r="BE552" s="80">
        <f t="shared" ref="BE552:BH552" si="4892">if(U552&gt;0,1+BE551,0)</f>
        <v>2</v>
      </c>
      <c r="BF552" s="28">
        <f t="shared" si="4892"/>
        <v>0</v>
      </c>
      <c r="BG552" s="28">
        <f t="shared" si="4892"/>
        <v>2</v>
      </c>
      <c r="BH552" s="28">
        <f t="shared" si="4892"/>
        <v>0</v>
      </c>
      <c r="BJ552" s="28">
        <f t="shared" ref="BJ552:BM552" si="4893">if(U552&lt;0,1+BJ551,0)</f>
        <v>0</v>
      </c>
      <c r="BK552" s="28">
        <f t="shared" si="4893"/>
        <v>0</v>
      </c>
      <c r="BL552" s="28">
        <f t="shared" si="4893"/>
        <v>0</v>
      </c>
      <c r="BM552" s="28">
        <f t="shared" si="4893"/>
        <v>3</v>
      </c>
      <c r="BO552" s="74">
        <f t="shared" ref="BO552:BR552" si="4894">if(U552&gt;0,U552+BO551,0)</f>
        <v>68</v>
      </c>
      <c r="BP552" s="74">
        <f t="shared" si="4894"/>
        <v>0</v>
      </c>
      <c r="BQ552" s="74">
        <f t="shared" si="4894"/>
        <v>44</v>
      </c>
      <c r="BR552" s="74">
        <f t="shared" si="4894"/>
        <v>0</v>
      </c>
      <c r="BT552" s="28">
        <f t="shared" ref="BT552:BW552" si="4895">if(U552&lt;0,U552+BT551,0)</f>
        <v>0</v>
      </c>
      <c r="BU552" s="28">
        <f t="shared" si="4895"/>
        <v>0</v>
      </c>
      <c r="BV552" s="28">
        <f t="shared" si="4895"/>
        <v>0</v>
      </c>
      <c r="BW552" s="28">
        <f t="shared" si="4895"/>
        <v>-112</v>
      </c>
    </row>
    <row r="553">
      <c r="A553" s="53">
        <v>25.0</v>
      </c>
      <c r="B553" s="28">
        <f>'25_29-11-2024'!A8</f>
        <v>6</v>
      </c>
      <c r="C553" s="28">
        <f>'25_29-11-2024'!B8</f>
        <v>140</v>
      </c>
      <c r="D553" s="28">
        <f>'25_29-11-2024'!C8</f>
        <v>4</v>
      </c>
      <c r="E553" s="28">
        <f>'25_29-11-2024'!D8</f>
        <v>-4</v>
      </c>
      <c r="F553" s="28">
        <f>'25_29-11-2024'!E8</f>
        <v>-140</v>
      </c>
      <c r="G553" s="28">
        <f>'25_29-11-2024'!F8</f>
        <v>0</v>
      </c>
      <c r="H553" s="25" t="str">
        <f>'25_29-11-2024'!I8</f>
        <v>Thomas</v>
      </c>
      <c r="I553" s="28" t="str">
        <f>'25_29-11-2024'!J8</f>
        <v>Christian</v>
      </c>
      <c r="J553" s="28" t="str">
        <f>'25_29-11-2024'!H8</f>
        <v>Thomas</v>
      </c>
      <c r="K553" s="28" t="str">
        <f>'25_29-11-2024'!G8</f>
        <v>9 vip i 1. Hjerte til spar</v>
      </c>
      <c r="L553" s="56"/>
      <c r="M553" s="25">
        <v>9.0</v>
      </c>
      <c r="N553" s="25" t="s">
        <v>86</v>
      </c>
      <c r="O553" s="25">
        <v>1.0</v>
      </c>
      <c r="T553" s="56"/>
      <c r="U553" s="77">
        <f t="shared" ref="U553:X553" si="4896">C553-C552</f>
        <v>56</v>
      </c>
      <c r="V553" s="28">
        <f t="shared" si="4896"/>
        <v>-16</v>
      </c>
      <c r="W553" s="28">
        <f t="shared" si="4896"/>
        <v>0</v>
      </c>
      <c r="X553" s="28">
        <f t="shared" si="4896"/>
        <v>-40</v>
      </c>
      <c r="AB553" s="28">
        <f t="shared" ref="AB553:AE553" si="4897">IF(AB$3=$H553,U553,"")</f>
        <v>56</v>
      </c>
      <c r="AC553" s="28" t="str">
        <f t="shared" si="4897"/>
        <v/>
      </c>
      <c r="AD553" s="28" t="str">
        <f t="shared" si="4897"/>
        <v/>
      </c>
      <c r="AE553" s="28" t="str">
        <f t="shared" si="4897"/>
        <v/>
      </c>
      <c r="AH553" s="28">
        <f t="shared" si="22"/>
        <v>56</v>
      </c>
      <c r="AI553" s="28">
        <f t="shared" si="23"/>
        <v>0</v>
      </c>
      <c r="AK553" s="78" t="str">
        <f t="shared" ref="AK553:AN553" si="4898">IF(U553&gt;0,AK$3,"")</f>
        <v>Thomas</v>
      </c>
      <c r="AL553" s="78" t="str">
        <f t="shared" si="4898"/>
        <v/>
      </c>
      <c r="AM553" s="78" t="str">
        <f t="shared" si="4898"/>
        <v/>
      </c>
      <c r="AN553" s="78" t="str">
        <f t="shared" si="4898"/>
        <v/>
      </c>
      <c r="AO553" s="56">
        <f t="shared" si="25"/>
        <v>1</v>
      </c>
      <c r="AP553" s="8" t="str">
        <f t="shared" si="26"/>
        <v>Thomas</v>
      </c>
      <c r="AQ553" s="73" t="str">
        <f>IFERROR(__xludf.DUMMYFUNCTION("IFNA(QUERY(transpose(AY553:BB553),""Select Col1 where Col1 is not null limit 1"",0))"),"")</f>
        <v/>
      </c>
      <c r="AR553" s="56"/>
      <c r="AS553" s="28" t="str">
        <f t="shared" ref="AS553:AV553" si="4899">IF(AK553=AS$3,"",AS$3)</f>
        <v/>
      </c>
      <c r="AT553" s="28" t="str">
        <f t="shared" si="4899"/>
        <v>Peter</v>
      </c>
      <c r="AU553" s="28" t="str">
        <f t="shared" si="4899"/>
        <v>Janus</v>
      </c>
      <c r="AV553" s="28" t="str">
        <f t="shared" si="4899"/>
        <v>Christian</v>
      </c>
      <c r="AW553" s="56">
        <f t="shared" si="28"/>
        <v>3</v>
      </c>
      <c r="AX553" s="28">
        <f t="shared" si="29"/>
        <v>56</v>
      </c>
      <c r="AY553" s="28" t="str">
        <f t="shared" ref="AY553:BB553" si="4900">IFNA(IFS(AY$3=$AP553,"",$AX553=U553,AY$3),"")</f>
        <v/>
      </c>
      <c r="AZ553" s="28" t="str">
        <f t="shared" si="4900"/>
        <v/>
      </c>
      <c r="BA553" s="28" t="str">
        <f t="shared" si="4900"/>
        <v/>
      </c>
      <c r="BB553" s="28" t="str">
        <f t="shared" si="4900"/>
        <v/>
      </c>
      <c r="BC553" s="58">
        <f>OFFSET('00_Regnskab_01'!$A$1,MATCH(A553,'00_Regnskab_01'!$A$1:$A$25)-1,2)</f>
        <v>45199</v>
      </c>
      <c r="BE553" s="80">
        <f t="shared" ref="BE553:BH553" si="4901">if(U553&gt;0,1+BE552,0)</f>
        <v>3</v>
      </c>
      <c r="BF553" s="28">
        <f t="shared" si="4901"/>
        <v>0</v>
      </c>
      <c r="BG553" s="28">
        <f t="shared" si="4901"/>
        <v>0</v>
      </c>
      <c r="BH553" s="28">
        <f t="shared" si="4901"/>
        <v>0</v>
      </c>
      <c r="BJ553" s="28">
        <f t="shared" ref="BJ553:BM553" si="4902">if(U553&lt;0,1+BJ552,0)</f>
        <v>0</v>
      </c>
      <c r="BK553" s="28">
        <f t="shared" si="4902"/>
        <v>1</v>
      </c>
      <c r="BL553" s="28">
        <f t="shared" si="4902"/>
        <v>0</v>
      </c>
      <c r="BM553" s="28">
        <f t="shared" si="4902"/>
        <v>4</v>
      </c>
      <c r="BO553" s="74">
        <f t="shared" ref="BO553:BR553" si="4903">if(U553&gt;0,U553+BO552,0)</f>
        <v>124</v>
      </c>
      <c r="BP553" s="74">
        <f t="shared" si="4903"/>
        <v>0</v>
      </c>
      <c r="BQ553" s="74">
        <f t="shared" si="4903"/>
        <v>0</v>
      </c>
      <c r="BR553" s="74">
        <f t="shared" si="4903"/>
        <v>0</v>
      </c>
      <c r="BT553" s="28">
        <f t="shared" ref="BT553:BW553" si="4904">if(U553&lt;0,U553+BT552,0)</f>
        <v>0</v>
      </c>
      <c r="BU553" s="28">
        <f t="shared" si="4904"/>
        <v>-16</v>
      </c>
      <c r="BV553" s="28">
        <f t="shared" si="4904"/>
        <v>0</v>
      </c>
      <c r="BW553" s="28">
        <f t="shared" si="4904"/>
        <v>-152</v>
      </c>
    </row>
    <row r="554">
      <c r="A554" s="53">
        <v>25.0</v>
      </c>
      <c r="B554" s="28">
        <f>'25_29-11-2024'!A9</f>
        <v>7</v>
      </c>
      <c r="C554" s="28">
        <f>'25_29-11-2024'!B9</f>
        <v>228</v>
      </c>
      <c r="D554" s="28">
        <f>'25_29-11-2024'!C9</f>
        <v>-44</v>
      </c>
      <c r="E554" s="28">
        <f>'25_29-11-2024'!D9</f>
        <v>28</v>
      </c>
      <c r="F554" s="28">
        <f>'25_29-11-2024'!E9</f>
        <v>-212</v>
      </c>
      <c r="G554" s="28">
        <f>'25_29-11-2024'!F9</f>
        <v>0</v>
      </c>
      <c r="H554" s="25" t="str">
        <f>'25_29-11-2024'!I9</f>
        <v>Thomas</v>
      </c>
      <c r="I554" s="28" t="str">
        <f>'25_29-11-2024'!J9</f>
        <v>Janus</v>
      </c>
      <c r="J554" s="28" t="str">
        <f>'25_29-11-2024'!H9</f>
        <v>Janus</v>
      </c>
      <c r="K554" s="28" t="str">
        <f>'25_29-11-2024'!G9</f>
        <v>9 vip i 3. Hjerte til spar</v>
      </c>
      <c r="L554" s="56"/>
      <c r="M554" s="25">
        <v>9.0</v>
      </c>
      <c r="N554" s="25" t="s">
        <v>86</v>
      </c>
      <c r="O554" s="25">
        <v>3.0</v>
      </c>
      <c r="T554" s="56"/>
      <c r="U554" s="116">
        <f t="shared" ref="U554:X554" si="4905">C554-C553</f>
        <v>88</v>
      </c>
      <c r="V554" s="82">
        <f t="shared" si="4905"/>
        <v>-48</v>
      </c>
      <c r="W554" s="82">
        <f t="shared" si="4905"/>
        <v>32</v>
      </c>
      <c r="X554" s="82">
        <f t="shared" si="4905"/>
        <v>-72</v>
      </c>
      <c r="AB554" s="28">
        <f t="shared" ref="AB554:AE554" si="4906">IF(AB$3=$H554,U554,"")</f>
        <v>88</v>
      </c>
      <c r="AC554" s="28" t="str">
        <f t="shared" si="4906"/>
        <v/>
      </c>
      <c r="AD554" s="28" t="str">
        <f t="shared" si="4906"/>
        <v/>
      </c>
      <c r="AE554" s="28" t="str">
        <f t="shared" si="4906"/>
        <v/>
      </c>
      <c r="AH554" s="28">
        <f t="shared" si="22"/>
        <v>88</v>
      </c>
      <c r="AI554" s="28">
        <f t="shared" si="23"/>
        <v>0</v>
      </c>
      <c r="AK554" s="78" t="str">
        <f t="shared" ref="AK554:AN554" si="4907">IF(U554&gt;0,AK$3,"")</f>
        <v>Thomas</v>
      </c>
      <c r="AL554" s="78" t="str">
        <f t="shared" si="4907"/>
        <v/>
      </c>
      <c r="AM554" s="78" t="str">
        <f t="shared" si="4907"/>
        <v>Janus</v>
      </c>
      <c r="AN554" s="78" t="str">
        <f t="shared" si="4907"/>
        <v/>
      </c>
      <c r="AO554" s="56">
        <f t="shared" si="25"/>
        <v>2</v>
      </c>
      <c r="AP554" s="8" t="str">
        <f t="shared" si="26"/>
        <v>Thomas</v>
      </c>
      <c r="AQ554" s="73" t="str">
        <f>IFERROR(__xludf.DUMMYFUNCTION("IFNA(QUERY(transpose(AY554:BB554),""Select Col1 where Col1 is not null limit 1"",0))"),"")</f>
        <v/>
      </c>
      <c r="AR554" s="56"/>
      <c r="AS554" s="28" t="str">
        <f t="shared" ref="AS554:AV554" si="4908">IF(AK554=AS$3,"",AS$3)</f>
        <v/>
      </c>
      <c r="AT554" s="28" t="str">
        <f t="shared" si="4908"/>
        <v>Peter</v>
      </c>
      <c r="AU554" s="28" t="str">
        <f t="shared" si="4908"/>
        <v/>
      </c>
      <c r="AV554" s="28" t="str">
        <f t="shared" si="4908"/>
        <v>Christian</v>
      </c>
      <c r="AW554" s="56">
        <f t="shared" si="28"/>
        <v>2</v>
      </c>
      <c r="AX554" s="28">
        <f t="shared" si="29"/>
        <v>88</v>
      </c>
      <c r="AY554" s="28" t="str">
        <f t="shared" ref="AY554:BB554" si="4909">IFNA(IFS(AY$3=$AP554,"",$AX554=U554,AY$3),"")</f>
        <v/>
      </c>
      <c r="AZ554" s="28" t="str">
        <f t="shared" si="4909"/>
        <v/>
      </c>
      <c r="BA554" s="28" t="str">
        <f t="shared" si="4909"/>
        <v/>
      </c>
      <c r="BB554" s="28" t="str">
        <f t="shared" si="4909"/>
        <v/>
      </c>
      <c r="BC554" s="58">
        <f>OFFSET('00_Regnskab_01'!$A$1,MATCH(A554,'00_Regnskab_01'!$A$1:$A$25)-1,2)</f>
        <v>45199</v>
      </c>
      <c r="BE554" s="80">
        <f t="shared" ref="BE554:BH554" si="4910">if(U554&gt;0,1+BE553,0)</f>
        <v>4</v>
      </c>
      <c r="BF554" s="28">
        <f t="shared" si="4910"/>
        <v>0</v>
      </c>
      <c r="BG554" s="28">
        <f t="shared" si="4910"/>
        <v>1</v>
      </c>
      <c r="BH554" s="28">
        <f t="shared" si="4910"/>
        <v>0</v>
      </c>
      <c r="BJ554" s="28">
        <f t="shared" ref="BJ554:BM554" si="4911">if(U554&lt;0,1+BJ553,0)</f>
        <v>0</v>
      </c>
      <c r="BK554" s="28">
        <f t="shared" si="4911"/>
        <v>2</v>
      </c>
      <c r="BL554" s="28">
        <f t="shared" si="4911"/>
        <v>0</v>
      </c>
      <c r="BM554" s="28">
        <f t="shared" si="4911"/>
        <v>5</v>
      </c>
      <c r="BO554" s="74">
        <f t="shared" ref="BO554:BR554" si="4912">if(U554&gt;0,U554+BO553,0)</f>
        <v>212</v>
      </c>
      <c r="BP554" s="74">
        <f t="shared" si="4912"/>
        <v>0</v>
      </c>
      <c r="BQ554" s="74">
        <f t="shared" si="4912"/>
        <v>32</v>
      </c>
      <c r="BR554" s="74">
        <f t="shared" si="4912"/>
        <v>0</v>
      </c>
      <c r="BT554" s="28">
        <f t="shared" ref="BT554:BW554" si="4913">if(U554&lt;0,U554+BT553,0)</f>
        <v>0</v>
      </c>
      <c r="BU554" s="28">
        <f t="shared" si="4913"/>
        <v>-64</v>
      </c>
      <c r="BV554" s="28">
        <f t="shared" si="4913"/>
        <v>0</v>
      </c>
      <c r="BW554" s="28">
        <f t="shared" si="4913"/>
        <v>-224</v>
      </c>
    </row>
    <row r="555">
      <c r="A555" s="53">
        <v>25.0</v>
      </c>
      <c r="B555" s="28">
        <f>'25_29-11-2024'!A10</f>
        <v>8</v>
      </c>
      <c r="C555" s="28">
        <f>'25_29-11-2024'!B10</f>
        <v>312</v>
      </c>
      <c r="D555" s="28">
        <f>'25_29-11-2024'!C10</f>
        <v>-96</v>
      </c>
      <c r="E555" s="28">
        <f>'25_29-11-2024'!D10</f>
        <v>56</v>
      </c>
      <c r="F555" s="28">
        <f>'25_29-11-2024'!E10</f>
        <v>-272</v>
      </c>
      <c r="G555" s="28">
        <f>'25_29-11-2024'!F10</f>
        <v>0</v>
      </c>
      <c r="H555" s="25" t="str">
        <f>'25_29-11-2024'!I10</f>
        <v>Christian</v>
      </c>
      <c r="I555" s="28" t="str">
        <f>'25_29-11-2024'!J10</f>
        <v/>
      </c>
      <c r="J555" s="28" t="str">
        <f>'25_29-11-2024'!H10</f>
        <v>Peter</v>
      </c>
      <c r="K555" s="28" t="str">
        <f>'25_29-11-2024'!G10</f>
        <v>Sol</v>
      </c>
      <c r="L555" s="56"/>
      <c r="N555" s="25" t="s">
        <v>99</v>
      </c>
      <c r="T555" s="56"/>
      <c r="U555" s="77">
        <f t="shared" ref="U555:X555" si="4914">C555-C554</f>
        <v>84</v>
      </c>
      <c r="V555" s="28">
        <f t="shared" si="4914"/>
        <v>-52</v>
      </c>
      <c r="W555" s="28">
        <f t="shared" si="4914"/>
        <v>28</v>
      </c>
      <c r="X555" s="28">
        <f t="shared" si="4914"/>
        <v>-60</v>
      </c>
      <c r="AB555" s="28" t="str">
        <f t="shared" ref="AB555:AE555" si="4915">IF(AB$3=$H555,U555,"")</f>
        <v/>
      </c>
      <c r="AC555" s="28" t="str">
        <f t="shared" si="4915"/>
        <v/>
      </c>
      <c r="AD555" s="28" t="str">
        <f t="shared" si="4915"/>
        <v/>
      </c>
      <c r="AE555" s="28">
        <f t="shared" si="4915"/>
        <v>-60</v>
      </c>
      <c r="AH555" s="28">
        <f t="shared" si="22"/>
        <v>0</v>
      </c>
      <c r="AI555" s="28">
        <f t="shared" si="23"/>
        <v>-60</v>
      </c>
      <c r="AK555" s="78" t="str">
        <f t="shared" ref="AK555:AN555" si="4916">IF(U555&gt;0,AK$3,"")</f>
        <v>Thomas</v>
      </c>
      <c r="AL555" s="78" t="str">
        <f t="shared" si="4916"/>
        <v/>
      </c>
      <c r="AM555" s="78" t="str">
        <f t="shared" si="4916"/>
        <v>Janus</v>
      </c>
      <c r="AN555" s="78" t="str">
        <f t="shared" si="4916"/>
        <v/>
      </c>
      <c r="AO555" s="56">
        <f t="shared" si="25"/>
        <v>2</v>
      </c>
      <c r="AP555" s="8" t="str">
        <f t="shared" si="26"/>
        <v>Christian</v>
      </c>
      <c r="AQ555" s="73" t="str">
        <f>IFERROR(__xludf.DUMMYFUNCTION("IFNA(QUERY(transpose(AY555:BB555),""Select Col1 where Col1 is not null limit 1"",0))"),"")</f>
        <v/>
      </c>
      <c r="AR555" s="56"/>
      <c r="AS555" s="28" t="str">
        <f t="shared" ref="AS555:AV555" si="4917">IF(AK555=AS$3,"",AS$3)</f>
        <v/>
      </c>
      <c r="AT555" s="28" t="str">
        <f t="shared" si="4917"/>
        <v>Peter</v>
      </c>
      <c r="AU555" s="28" t="str">
        <f t="shared" si="4917"/>
        <v/>
      </c>
      <c r="AV555" s="28" t="str">
        <f t="shared" si="4917"/>
        <v>Christian</v>
      </c>
      <c r="AW555" s="56">
        <f t="shared" si="28"/>
        <v>2</v>
      </c>
      <c r="AX555" s="28">
        <f t="shared" si="29"/>
        <v>-60</v>
      </c>
      <c r="AY555" s="28" t="str">
        <f t="shared" ref="AY555:BB555" si="4918">IFNA(IFS(AY$3=$AP555,"",$AX555=U555,AY$3),"")</f>
        <v/>
      </c>
      <c r="AZ555" s="28" t="str">
        <f t="shared" si="4918"/>
        <v/>
      </c>
      <c r="BA555" s="28" t="str">
        <f t="shared" si="4918"/>
        <v/>
      </c>
      <c r="BB555" s="28" t="str">
        <f t="shared" si="4918"/>
        <v/>
      </c>
      <c r="BC555" s="58">
        <f>OFFSET('00_Regnskab_01'!$A$1,MATCH(A555,'00_Regnskab_01'!$A$1:$A$25)-1,2)</f>
        <v>45199</v>
      </c>
      <c r="BE555" s="80">
        <f t="shared" ref="BE555:BH555" si="4919">if(U555&gt;0,1+BE554,0)</f>
        <v>5</v>
      </c>
      <c r="BF555" s="28">
        <f t="shared" si="4919"/>
        <v>0</v>
      </c>
      <c r="BG555" s="28">
        <f t="shared" si="4919"/>
        <v>2</v>
      </c>
      <c r="BH555" s="28">
        <f t="shared" si="4919"/>
        <v>0</v>
      </c>
      <c r="BJ555" s="28">
        <f t="shared" ref="BJ555:BM555" si="4920">if(U555&lt;0,1+BJ554,0)</f>
        <v>0</v>
      </c>
      <c r="BK555" s="28">
        <f t="shared" si="4920"/>
        <v>3</v>
      </c>
      <c r="BL555" s="28">
        <f t="shared" si="4920"/>
        <v>0</v>
      </c>
      <c r="BM555" s="28">
        <f t="shared" si="4920"/>
        <v>6</v>
      </c>
      <c r="BO555" s="74">
        <f t="shared" ref="BO555:BR555" si="4921">if(U555&gt;0,U555+BO554,0)</f>
        <v>296</v>
      </c>
      <c r="BP555" s="74">
        <f t="shared" si="4921"/>
        <v>0</v>
      </c>
      <c r="BQ555" s="74">
        <f t="shared" si="4921"/>
        <v>60</v>
      </c>
      <c r="BR555" s="74">
        <f t="shared" si="4921"/>
        <v>0</v>
      </c>
      <c r="BT555" s="28">
        <f t="shared" ref="BT555:BW555" si="4922">if(U555&lt;0,U555+BT554,0)</f>
        <v>0</v>
      </c>
      <c r="BU555" s="28">
        <f t="shared" si="4922"/>
        <v>-116</v>
      </c>
      <c r="BV555" s="28">
        <f t="shared" si="4922"/>
        <v>0</v>
      </c>
      <c r="BW555" s="28">
        <f t="shared" si="4922"/>
        <v>-284</v>
      </c>
    </row>
    <row r="556">
      <c r="A556" s="53">
        <v>25.0</v>
      </c>
      <c r="B556" s="28">
        <f>'25_29-11-2024'!A11</f>
        <v>9</v>
      </c>
      <c r="C556" s="28">
        <f>'25_29-11-2024'!B11</f>
        <v>232</v>
      </c>
      <c r="D556" s="28">
        <f>'25_29-11-2024'!C11</f>
        <v>-16</v>
      </c>
      <c r="E556" s="28">
        <f>'25_29-11-2024'!D11</f>
        <v>136</v>
      </c>
      <c r="F556" s="28">
        <f>'25_29-11-2024'!E11</f>
        <v>-352</v>
      </c>
      <c r="G556" s="28">
        <f>'25_29-11-2024'!F11</f>
        <v>0</v>
      </c>
      <c r="H556" s="25" t="str">
        <f>'25_29-11-2024'!I11</f>
        <v>Peter</v>
      </c>
      <c r="I556" s="28" t="str">
        <f>'25_29-11-2024'!J11</f>
        <v>Janus</v>
      </c>
      <c r="J556" s="28" t="str">
        <f>'25_29-11-2024'!H11</f>
        <v/>
      </c>
      <c r="K556" s="28" t="str">
        <f>'25_29-11-2024'!G11</f>
        <v>10 sang til ruder es</v>
      </c>
      <c r="L556" s="56"/>
      <c r="M556" s="25">
        <v>10.0</v>
      </c>
      <c r="N556" s="25" t="s">
        <v>98</v>
      </c>
      <c r="S556" s="25" t="s">
        <v>15</v>
      </c>
      <c r="T556" s="56"/>
      <c r="U556" s="77">
        <f t="shared" ref="U556:X556" si="4923">C556-C555</f>
        <v>-80</v>
      </c>
      <c r="V556" s="28">
        <f t="shared" si="4923"/>
        <v>80</v>
      </c>
      <c r="W556" s="28">
        <f t="shared" si="4923"/>
        <v>80</v>
      </c>
      <c r="X556" s="28">
        <f t="shared" si="4923"/>
        <v>-80</v>
      </c>
      <c r="AB556" s="28" t="str">
        <f t="shared" ref="AB556:AE556" si="4924">IF(AB$3=$H556,U556,"")</f>
        <v/>
      </c>
      <c r="AC556" s="28">
        <f t="shared" si="4924"/>
        <v>80</v>
      </c>
      <c r="AD556" s="28" t="str">
        <f t="shared" si="4924"/>
        <v/>
      </c>
      <c r="AE556" s="28" t="str">
        <f t="shared" si="4924"/>
        <v/>
      </c>
      <c r="AH556" s="28">
        <f t="shared" si="22"/>
        <v>80</v>
      </c>
      <c r="AI556" s="28">
        <f t="shared" si="23"/>
        <v>0</v>
      </c>
      <c r="AK556" s="78" t="str">
        <f t="shared" ref="AK556:AN556" si="4925">IF(U556&gt;0,AK$3,"")</f>
        <v/>
      </c>
      <c r="AL556" s="78" t="str">
        <f t="shared" si="4925"/>
        <v>Peter</v>
      </c>
      <c r="AM556" s="78" t="str">
        <f t="shared" si="4925"/>
        <v>Janus</v>
      </c>
      <c r="AN556" s="78" t="str">
        <f t="shared" si="4925"/>
        <v/>
      </c>
      <c r="AO556" s="56">
        <f t="shared" si="25"/>
        <v>2</v>
      </c>
      <c r="AP556" s="8" t="str">
        <f t="shared" si="26"/>
        <v>Peter</v>
      </c>
      <c r="AQ556" s="73" t="str">
        <f>IFERROR(__xludf.DUMMYFUNCTION("IFNA(QUERY(transpose(AY556:BB556),""Select Col1 where Col1 is not null limit 1"",0))"),"Janus")</f>
        <v>Janus</v>
      </c>
      <c r="AR556" s="56"/>
      <c r="AS556" s="28" t="str">
        <f t="shared" ref="AS556:AV556" si="4926">IF(AK556=AS$3,"",AS$3)</f>
        <v>Thomas</v>
      </c>
      <c r="AT556" s="28" t="str">
        <f t="shared" si="4926"/>
        <v/>
      </c>
      <c r="AU556" s="28" t="str">
        <f t="shared" si="4926"/>
        <v/>
      </c>
      <c r="AV556" s="28" t="str">
        <f t="shared" si="4926"/>
        <v>Christian</v>
      </c>
      <c r="AW556" s="56">
        <f t="shared" si="28"/>
        <v>2</v>
      </c>
      <c r="AX556" s="28">
        <f t="shared" si="29"/>
        <v>80</v>
      </c>
      <c r="AY556" s="28" t="str">
        <f t="shared" ref="AY556:BB556" si="4927">IFNA(IFS(AY$3=$AP556,"",$AX556=U556,AY$3),"")</f>
        <v/>
      </c>
      <c r="AZ556" s="28" t="str">
        <f t="shared" si="4927"/>
        <v/>
      </c>
      <c r="BA556" s="28" t="str">
        <f t="shared" si="4927"/>
        <v>Janus</v>
      </c>
      <c r="BB556" s="28" t="str">
        <f t="shared" si="4927"/>
        <v/>
      </c>
      <c r="BC556" s="58">
        <f>OFFSET('00_Regnskab_01'!$A$1,MATCH(A556,'00_Regnskab_01'!$A$1:$A$25)-1,2)</f>
        <v>45199</v>
      </c>
      <c r="BE556" s="80">
        <f t="shared" ref="BE556:BH556" si="4928">if(U556&gt;0,1+BE555,0)</f>
        <v>0</v>
      </c>
      <c r="BF556" s="28">
        <f t="shared" si="4928"/>
        <v>1</v>
      </c>
      <c r="BG556" s="28">
        <f t="shared" si="4928"/>
        <v>3</v>
      </c>
      <c r="BH556" s="28">
        <f t="shared" si="4928"/>
        <v>0</v>
      </c>
      <c r="BJ556" s="28">
        <f t="shared" ref="BJ556:BM556" si="4929">if(U556&lt;0,1+BJ555,0)</f>
        <v>1</v>
      </c>
      <c r="BK556" s="28">
        <f t="shared" si="4929"/>
        <v>0</v>
      </c>
      <c r="BL556" s="28">
        <f t="shared" si="4929"/>
        <v>0</v>
      </c>
      <c r="BM556" s="28">
        <f t="shared" si="4929"/>
        <v>7</v>
      </c>
      <c r="BO556" s="74">
        <f t="shared" ref="BO556:BR556" si="4930">if(U556&gt;0,U556+BO555,0)</f>
        <v>0</v>
      </c>
      <c r="BP556" s="74">
        <f t="shared" si="4930"/>
        <v>80</v>
      </c>
      <c r="BQ556" s="74">
        <f t="shared" si="4930"/>
        <v>140</v>
      </c>
      <c r="BR556" s="74">
        <f t="shared" si="4930"/>
        <v>0</v>
      </c>
      <c r="BT556" s="28">
        <f t="shared" ref="BT556:BW556" si="4931">if(U556&lt;0,U556+BT555,0)</f>
        <v>-80</v>
      </c>
      <c r="BU556" s="28">
        <f t="shared" si="4931"/>
        <v>0</v>
      </c>
      <c r="BV556" s="28">
        <f t="shared" si="4931"/>
        <v>0</v>
      </c>
      <c r="BW556" s="28">
        <f t="shared" si="4931"/>
        <v>-364</v>
      </c>
    </row>
    <row r="557">
      <c r="A557" s="53">
        <v>25.0</v>
      </c>
      <c r="B557" s="28">
        <f>'25_29-11-2024'!A12</f>
        <v>10</v>
      </c>
      <c r="C557" s="28">
        <f>'25_29-11-2024'!B12</f>
        <v>224</v>
      </c>
      <c r="D557" s="28">
        <f>'25_29-11-2024'!C12</f>
        <v>-24</v>
      </c>
      <c r="E557" s="28">
        <f>'25_29-11-2024'!D12</f>
        <v>144</v>
      </c>
      <c r="F557" s="28">
        <f>'25_29-11-2024'!E12</f>
        <v>-344</v>
      </c>
      <c r="G557" s="28">
        <f>'25_29-11-2024'!F12</f>
        <v>0</v>
      </c>
      <c r="H557" s="25" t="str">
        <f>'25_29-11-2024'!I12</f>
        <v>Christian</v>
      </c>
      <c r="I557" s="28" t="str">
        <f>'25_29-11-2024'!J12</f>
        <v>Janus</v>
      </c>
      <c r="J557" s="28" t="str">
        <f>'25_29-11-2024'!H12</f>
        <v/>
      </c>
      <c r="K557" s="28" t="str">
        <f>'25_29-11-2024'!G12</f>
        <v>10 spar tul hjerter es</v>
      </c>
      <c r="L557" s="56"/>
      <c r="M557" s="25">
        <v>10.0</v>
      </c>
      <c r="N557" s="25" t="s">
        <v>100</v>
      </c>
      <c r="T557" s="56"/>
      <c r="U557" s="77">
        <f t="shared" ref="U557:X557" si="4932">C557-C556</f>
        <v>-8</v>
      </c>
      <c r="V557" s="28">
        <f t="shared" si="4932"/>
        <v>-8</v>
      </c>
      <c r="W557" s="28">
        <f t="shared" si="4932"/>
        <v>8</v>
      </c>
      <c r="X557" s="28">
        <f t="shared" si="4932"/>
        <v>8</v>
      </c>
      <c r="AB557" s="28" t="str">
        <f t="shared" ref="AB557:AE557" si="4933">IF(AB$3=$H557,U557,"")</f>
        <v/>
      </c>
      <c r="AC557" s="28" t="str">
        <f t="shared" si="4933"/>
        <v/>
      </c>
      <c r="AD557" s="28" t="str">
        <f t="shared" si="4933"/>
        <v/>
      </c>
      <c r="AE557" s="28">
        <f t="shared" si="4933"/>
        <v>8</v>
      </c>
      <c r="AH557" s="28">
        <f t="shared" si="22"/>
        <v>8</v>
      </c>
      <c r="AI557" s="28">
        <f t="shared" si="23"/>
        <v>0</v>
      </c>
      <c r="AK557" s="78" t="str">
        <f t="shared" ref="AK557:AN557" si="4934">IF(U557&gt;0,AK$3,"")</f>
        <v/>
      </c>
      <c r="AL557" s="78" t="str">
        <f t="shared" si="4934"/>
        <v/>
      </c>
      <c r="AM557" s="78" t="str">
        <f t="shared" si="4934"/>
        <v>Janus</v>
      </c>
      <c r="AN557" s="78" t="str">
        <f t="shared" si="4934"/>
        <v>Christian</v>
      </c>
      <c r="AO557" s="56">
        <f t="shared" si="25"/>
        <v>2</v>
      </c>
      <c r="AP557" s="8" t="str">
        <f t="shared" si="26"/>
        <v>Christian</v>
      </c>
      <c r="AQ557" s="73" t="str">
        <f>IFERROR(__xludf.DUMMYFUNCTION("IFNA(QUERY(transpose(AY557:BB557),""Select Col1 where Col1 is not null limit 1"",0))"),"Janus")</f>
        <v>Janus</v>
      </c>
      <c r="AR557" s="56"/>
      <c r="AS557" s="28" t="str">
        <f t="shared" ref="AS557:AV557" si="4935">IF(AK557=AS$3,"",AS$3)</f>
        <v>Thomas</v>
      </c>
      <c r="AT557" s="28" t="str">
        <f t="shared" si="4935"/>
        <v>Peter</v>
      </c>
      <c r="AU557" s="28" t="str">
        <f t="shared" si="4935"/>
        <v/>
      </c>
      <c r="AV557" s="28" t="str">
        <f t="shared" si="4935"/>
        <v/>
      </c>
      <c r="AW557" s="56">
        <f t="shared" si="28"/>
        <v>2</v>
      </c>
      <c r="AX557" s="28">
        <f t="shared" si="29"/>
        <v>8</v>
      </c>
      <c r="AY557" s="28" t="str">
        <f t="shared" ref="AY557:BB557" si="4936">IFNA(IFS(AY$3=$AP557,"",$AX557=U557,AY$3),"")</f>
        <v/>
      </c>
      <c r="AZ557" s="28" t="str">
        <f t="shared" si="4936"/>
        <v/>
      </c>
      <c r="BA557" s="28" t="str">
        <f t="shared" si="4936"/>
        <v>Janus</v>
      </c>
      <c r="BB557" s="28" t="str">
        <f t="shared" si="4936"/>
        <v/>
      </c>
      <c r="BC557" s="58">
        <f>OFFSET('00_Regnskab_01'!$A$1,MATCH(A557,'00_Regnskab_01'!$A$1:$A$25)-1,2)</f>
        <v>45199</v>
      </c>
      <c r="BE557" s="80">
        <f t="shared" ref="BE557:BH557" si="4937">if(U557&gt;0,1+BE556,0)</f>
        <v>0</v>
      </c>
      <c r="BF557" s="28">
        <f t="shared" si="4937"/>
        <v>0</v>
      </c>
      <c r="BG557" s="28">
        <f t="shared" si="4937"/>
        <v>4</v>
      </c>
      <c r="BH557" s="28">
        <f t="shared" si="4937"/>
        <v>1</v>
      </c>
      <c r="BJ557" s="28">
        <f t="shared" ref="BJ557:BM557" si="4938">if(U557&lt;0,1+BJ556,0)</f>
        <v>2</v>
      </c>
      <c r="BK557" s="28">
        <f t="shared" si="4938"/>
        <v>1</v>
      </c>
      <c r="BL557" s="28">
        <f t="shared" si="4938"/>
        <v>0</v>
      </c>
      <c r="BM557" s="28">
        <f t="shared" si="4938"/>
        <v>0</v>
      </c>
      <c r="BO557" s="74">
        <f t="shared" ref="BO557:BR557" si="4939">if(U557&gt;0,U557+BO556,0)</f>
        <v>0</v>
      </c>
      <c r="BP557" s="74">
        <f t="shared" si="4939"/>
        <v>0</v>
      </c>
      <c r="BQ557" s="74">
        <f t="shared" si="4939"/>
        <v>148</v>
      </c>
      <c r="BR557" s="74">
        <f t="shared" si="4939"/>
        <v>8</v>
      </c>
      <c r="BT557" s="28">
        <f t="shared" ref="BT557:BW557" si="4940">if(U557&lt;0,U557+BT556,0)</f>
        <v>-88</v>
      </c>
      <c r="BU557" s="28">
        <f t="shared" si="4940"/>
        <v>-8</v>
      </c>
      <c r="BV557" s="28">
        <f t="shared" si="4940"/>
        <v>0</v>
      </c>
      <c r="BW557" s="28">
        <f t="shared" si="4940"/>
        <v>0</v>
      </c>
    </row>
    <row r="558">
      <c r="A558" s="53">
        <v>25.0</v>
      </c>
      <c r="B558" s="28">
        <f>'25_29-11-2024'!A13</f>
        <v>11</v>
      </c>
      <c r="C558" s="28">
        <f>'25_29-11-2024'!B13</f>
        <v>232</v>
      </c>
      <c r="D558" s="28">
        <f>'25_29-11-2024'!C13</f>
        <v>-48</v>
      </c>
      <c r="E558" s="28">
        <f>'25_29-11-2024'!D13</f>
        <v>152</v>
      </c>
      <c r="F558" s="28">
        <f>'25_29-11-2024'!E13</f>
        <v>-336</v>
      </c>
      <c r="G558" s="28">
        <f>'25_29-11-2024'!F13</f>
        <v>0</v>
      </c>
      <c r="H558" s="25" t="str">
        <f>'25_29-11-2024'!I13</f>
        <v>Peter</v>
      </c>
      <c r="I558" s="28" t="str">
        <f>'25_29-11-2024'!J13</f>
        <v/>
      </c>
      <c r="J558" s="28" t="str">
        <f>'25_29-11-2024'!H13</f>
        <v/>
      </c>
      <c r="K558" s="28" t="str">
        <f>'25_29-11-2024'!G13</f>
        <v>Ren sol</v>
      </c>
      <c r="L558" s="56"/>
      <c r="N558" s="25" t="s">
        <v>97</v>
      </c>
      <c r="T558" s="56"/>
      <c r="U558" s="77">
        <f t="shared" ref="U558:X558" si="4941">C558-C557</f>
        <v>8</v>
      </c>
      <c r="V558" s="28">
        <f t="shared" si="4941"/>
        <v>-24</v>
      </c>
      <c r="W558" s="28">
        <f t="shared" si="4941"/>
        <v>8</v>
      </c>
      <c r="X558" s="28">
        <f t="shared" si="4941"/>
        <v>8</v>
      </c>
      <c r="AB558" s="28" t="str">
        <f t="shared" ref="AB558:AE558" si="4942">IF(AB$3=$H558,U558,"")</f>
        <v/>
      </c>
      <c r="AC558" s="28">
        <f t="shared" si="4942"/>
        <v>-24</v>
      </c>
      <c r="AD558" s="28" t="str">
        <f t="shared" si="4942"/>
        <v/>
      </c>
      <c r="AE558" s="28" t="str">
        <f t="shared" si="4942"/>
        <v/>
      </c>
      <c r="AH558" s="28">
        <f t="shared" si="22"/>
        <v>0</v>
      </c>
      <c r="AI558" s="28">
        <f t="shared" si="23"/>
        <v>-24</v>
      </c>
      <c r="AK558" s="78" t="str">
        <f t="shared" ref="AK558:AN558" si="4943">IF(U558&gt;0,AK$3,"")</f>
        <v>Thomas</v>
      </c>
      <c r="AL558" s="78" t="str">
        <f t="shared" si="4943"/>
        <v/>
      </c>
      <c r="AM558" s="78" t="str">
        <f t="shared" si="4943"/>
        <v>Janus</v>
      </c>
      <c r="AN558" s="78" t="str">
        <f t="shared" si="4943"/>
        <v>Christian</v>
      </c>
      <c r="AO558" s="56">
        <f t="shared" si="25"/>
        <v>3</v>
      </c>
      <c r="AP558" s="8" t="str">
        <f t="shared" si="26"/>
        <v>Peter</v>
      </c>
      <c r="AQ558" s="73" t="str">
        <f>IFERROR(__xludf.DUMMYFUNCTION("IFNA(QUERY(transpose(AY558:BB558),""Select Col1 where Col1 is not null limit 1"",0))"),"")</f>
        <v/>
      </c>
      <c r="AR558" s="56"/>
      <c r="AS558" s="28" t="str">
        <f t="shared" ref="AS558:AV558" si="4944">IF(AK558=AS$3,"",AS$3)</f>
        <v/>
      </c>
      <c r="AT558" s="28" t="str">
        <f t="shared" si="4944"/>
        <v>Peter</v>
      </c>
      <c r="AU558" s="28" t="str">
        <f t="shared" si="4944"/>
        <v/>
      </c>
      <c r="AV558" s="28" t="str">
        <f t="shared" si="4944"/>
        <v/>
      </c>
      <c r="AW558" s="56">
        <f t="shared" si="28"/>
        <v>1</v>
      </c>
      <c r="AX558" s="28">
        <f t="shared" si="29"/>
        <v>-24</v>
      </c>
      <c r="AY558" s="28" t="str">
        <f t="shared" ref="AY558:BB558" si="4945">IFNA(IFS(AY$3=$AP558,"",$AX558=U558,AY$3),"")</f>
        <v/>
      </c>
      <c r="AZ558" s="28" t="str">
        <f t="shared" si="4945"/>
        <v/>
      </c>
      <c r="BA558" s="28" t="str">
        <f t="shared" si="4945"/>
        <v/>
      </c>
      <c r="BB558" s="28" t="str">
        <f t="shared" si="4945"/>
        <v/>
      </c>
      <c r="BC558" s="58">
        <f>OFFSET('00_Regnskab_01'!$A$1,MATCH(A558,'00_Regnskab_01'!$A$1:$A$25)-1,2)</f>
        <v>45199</v>
      </c>
      <c r="BE558" s="80">
        <f t="shared" ref="BE558:BH558" si="4946">if(U558&gt;0,1+BE557,0)</f>
        <v>1</v>
      </c>
      <c r="BF558" s="28">
        <f t="shared" si="4946"/>
        <v>0</v>
      </c>
      <c r="BG558" s="28">
        <f t="shared" si="4946"/>
        <v>5</v>
      </c>
      <c r="BH558" s="28">
        <f t="shared" si="4946"/>
        <v>2</v>
      </c>
      <c r="BJ558" s="28">
        <f t="shared" ref="BJ558:BM558" si="4947">if(U558&lt;0,1+BJ557,0)</f>
        <v>0</v>
      </c>
      <c r="BK558" s="28">
        <f t="shared" si="4947"/>
        <v>2</v>
      </c>
      <c r="BL558" s="28">
        <f t="shared" si="4947"/>
        <v>0</v>
      </c>
      <c r="BM558" s="28">
        <f t="shared" si="4947"/>
        <v>0</v>
      </c>
      <c r="BO558" s="74">
        <f t="shared" ref="BO558:BR558" si="4948">if(U558&gt;0,U558+BO557,0)</f>
        <v>8</v>
      </c>
      <c r="BP558" s="74">
        <f t="shared" si="4948"/>
        <v>0</v>
      </c>
      <c r="BQ558" s="74">
        <f t="shared" si="4948"/>
        <v>156</v>
      </c>
      <c r="BR558" s="74">
        <f t="shared" si="4948"/>
        <v>16</v>
      </c>
      <c r="BT558" s="28">
        <f t="shared" ref="BT558:BW558" si="4949">if(U558&lt;0,U558+BT557,0)</f>
        <v>0</v>
      </c>
      <c r="BU558" s="28">
        <f t="shared" si="4949"/>
        <v>-32</v>
      </c>
      <c r="BV558" s="28">
        <f t="shared" si="4949"/>
        <v>0</v>
      </c>
      <c r="BW558" s="28">
        <f t="shared" si="4949"/>
        <v>0</v>
      </c>
    </row>
    <row r="559">
      <c r="A559" s="53">
        <v>25.0</v>
      </c>
      <c r="B559" s="28">
        <f>'25_29-11-2024'!A14</f>
        <v>12</v>
      </c>
      <c r="C559" s="28">
        <f>'25_29-11-2024'!B14</f>
        <v>244</v>
      </c>
      <c r="D559" s="28">
        <f>'25_29-11-2024'!C14</f>
        <v>-60</v>
      </c>
      <c r="E559" s="28">
        <f>'25_29-11-2024'!D14</f>
        <v>140</v>
      </c>
      <c r="F559" s="28">
        <f>'25_29-11-2024'!E14</f>
        <v>-324</v>
      </c>
      <c r="G559" s="28">
        <f>'25_29-11-2024'!F14</f>
        <v>0</v>
      </c>
      <c r="H559" s="25" t="str">
        <f>'25_29-11-2024'!I14</f>
        <v>Christian</v>
      </c>
      <c r="I559" s="28" t="str">
        <f>'25_29-11-2024'!J14</f>
        <v>Thomas</v>
      </c>
      <c r="J559" s="28" t="str">
        <f>'25_29-11-2024'!H14</f>
        <v/>
      </c>
      <c r="K559" s="28" t="str">
        <f>'25_29-11-2024'!G14</f>
        <v>10 alm</v>
      </c>
      <c r="L559" s="56"/>
      <c r="M559" s="25">
        <v>10.0</v>
      </c>
      <c r="N559" s="25" t="s">
        <v>100</v>
      </c>
      <c r="T559" s="56"/>
      <c r="U559" s="77">
        <f t="shared" ref="U559:X559" si="4950">C559-C558</f>
        <v>12</v>
      </c>
      <c r="V559" s="28">
        <f t="shared" si="4950"/>
        <v>-12</v>
      </c>
      <c r="W559" s="28">
        <f t="shared" si="4950"/>
        <v>-12</v>
      </c>
      <c r="X559" s="28">
        <f t="shared" si="4950"/>
        <v>12</v>
      </c>
      <c r="AB559" s="28" t="str">
        <f t="shared" ref="AB559:AE559" si="4951">IF(AB$3=$H559,U559,"")</f>
        <v/>
      </c>
      <c r="AC559" s="28" t="str">
        <f t="shared" si="4951"/>
        <v/>
      </c>
      <c r="AD559" s="28" t="str">
        <f t="shared" si="4951"/>
        <v/>
      </c>
      <c r="AE559" s="28">
        <f t="shared" si="4951"/>
        <v>12</v>
      </c>
      <c r="AH559" s="28">
        <f t="shared" si="22"/>
        <v>12</v>
      </c>
      <c r="AI559" s="28">
        <f t="shared" si="23"/>
        <v>0</v>
      </c>
      <c r="AK559" s="78" t="str">
        <f t="shared" ref="AK559:AN559" si="4952">IF(U559&gt;0,AK$3,"")</f>
        <v>Thomas</v>
      </c>
      <c r="AL559" s="78" t="str">
        <f t="shared" si="4952"/>
        <v/>
      </c>
      <c r="AM559" s="78" t="str">
        <f t="shared" si="4952"/>
        <v/>
      </c>
      <c r="AN559" s="78" t="str">
        <f t="shared" si="4952"/>
        <v>Christian</v>
      </c>
      <c r="AO559" s="56">
        <f t="shared" si="25"/>
        <v>2</v>
      </c>
      <c r="AP559" s="8" t="str">
        <f t="shared" si="26"/>
        <v>Christian</v>
      </c>
      <c r="AQ559" s="73" t="str">
        <f>IFERROR(__xludf.DUMMYFUNCTION("IFNA(QUERY(transpose(AY559:BB559),""Select Col1 where Col1 is not null limit 1"",0))"),"Thomas")</f>
        <v>Thomas</v>
      </c>
      <c r="AR559" s="56"/>
      <c r="AS559" s="28" t="str">
        <f t="shared" ref="AS559:AV559" si="4953">IF(AK559=AS$3,"",AS$3)</f>
        <v/>
      </c>
      <c r="AT559" s="28" t="str">
        <f t="shared" si="4953"/>
        <v>Peter</v>
      </c>
      <c r="AU559" s="28" t="str">
        <f t="shared" si="4953"/>
        <v>Janus</v>
      </c>
      <c r="AV559" s="28" t="str">
        <f t="shared" si="4953"/>
        <v/>
      </c>
      <c r="AW559" s="56">
        <f t="shared" si="28"/>
        <v>2</v>
      </c>
      <c r="AX559" s="28">
        <f t="shared" si="29"/>
        <v>12</v>
      </c>
      <c r="AY559" s="28" t="str">
        <f t="shared" ref="AY559:BB559" si="4954">IFNA(IFS(AY$3=$AP559,"",$AX559=U559,AY$3),"")</f>
        <v>Thomas</v>
      </c>
      <c r="AZ559" s="28" t="str">
        <f t="shared" si="4954"/>
        <v/>
      </c>
      <c r="BA559" s="28" t="str">
        <f t="shared" si="4954"/>
        <v/>
      </c>
      <c r="BB559" s="28" t="str">
        <f t="shared" si="4954"/>
        <v/>
      </c>
      <c r="BC559" s="58">
        <f>OFFSET('00_Regnskab_01'!$A$1,MATCH(A559,'00_Regnskab_01'!$A$1:$A$25)-1,2)</f>
        <v>45199</v>
      </c>
      <c r="BE559" s="80">
        <f t="shared" ref="BE559:BH559" si="4955">if(U559&gt;0,1+BE558,0)</f>
        <v>2</v>
      </c>
      <c r="BF559" s="28">
        <f t="shared" si="4955"/>
        <v>0</v>
      </c>
      <c r="BG559" s="28">
        <f t="shared" si="4955"/>
        <v>0</v>
      </c>
      <c r="BH559" s="28">
        <f t="shared" si="4955"/>
        <v>3</v>
      </c>
      <c r="BJ559" s="28">
        <f t="shared" ref="BJ559:BM559" si="4956">if(U559&lt;0,1+BJ558,0)</f>
        <v>0</v>
      </c>
      <c r="BK559" s="28">
        <f t="shared" si="4956"/>
        <v>3</v>
      </c>
      <c r="BL559" s="28">
        <f t="shared" si="4956"/>
        <v>1</v>
      </c>
      <c r="BM559" s="28">
        <f t="shared" si="4956"/>
        <v>0</v>
      </c>
      <c r="BO559" s="74">
        <f t="shared" ref="BO559:BR559" si="4957">if(U559&gt;0,U559+BO558,0)</f>
        <v>20</v>
      </c>
      <c r="BP559" s="74">
        <f t="shared" si="4957"/>
        <v>0</v>
      </c>
      <c r="BQ559" s="74">
        <f t="shared" si="4957"/>
        <v>0</v>
      </c>
      <c r="BR559" s="74">
        <f t="shared" si="4957"/>
        <v>28</v>
      </c>
      <c r="BT559" s="28">
        <f t="shared" ref="BT559:BW559" si="4958">if(U559&lt;0,U559+BT558,0)</f>
        <v>0</v>
      </c>
      <c r="BU559" s="28">
        <f t="shared" si="4958"/>
        <v>-44</v>
      </c>
      <c r="BV559" s="28">
        <f t="shared" si="4958"/>
        <v>-12</v>
      </c>
      <c r="BW559" s="28">
        <f t="shared" si="4958"/>
        <v>0</v>
      </c>
    </row>
    <row r="560">
      <c r="A560" s="53">
        <v>25.0</v>
      </c>
      <c r="B560" s="28">
        <f>'25_29-11-2024'!A15</f>
        <v>13</v>
      </c>
      <c r="C560" s="28">
        <f>'25_29-11-2024'!B15</f>
        <v>228</v>
      </c>
      <c r="D560" s="28">
        <f>'25_29-11-2024'!C15</f>
        <v>-76</v>
      </c>
      <c r="E560" s="28">
        <f>'25_29-11-2024'!D15</f>
        <v>124</v>
      </c>
      <c r="F560" s="28">
        <f>'25_29-11-2024'!E15</f>
        <v>-276</v>
      </c>
      <c r="G560" s="28">
        <f>'25_29-11-2024'!F15</f>
        <v>0</v>
      </c>
      <c r="H560" s="25" t="str">
        <f>'25_29-11-2024'!I15</f>
        <v>Christian</v>
      </c>
      <c r="I560" s="28" t="str">
        <f>'25_29-11-2024'!J15</f>
        <v>Christian</v>
      </c>
      <c r="J560" s="28" t="str">
        <f>'25_29-11-2024'!H15</f>
        <v/>
      </c>
      <c r="K560" s="28" t="str">
        <f>'25_29-11-2024'!G15</f>
        <v>9 gode til hjerter</v>
      </c>
      <c r="L560" s="56"/>
      <c r="M560" s="25">
        <v>9.0</v>
      </c>
      <c r="N560" s="25" t="s">
        <v>95</v>
      </c>
      <c r="R560" s="25" t="s">
        <v>15</v>
      </c>
      <c r="T560" s="56"/>
      <c r="U560" s="77">
        <f t="shared" ref="U560:X560" si="4959">C560-C559</f>
        <v>-16</v>
      </c>
      <c r="V560" s="28">
        <f t="shared" si="4959"/>
        <v>-16</v>
      </c>
      <c r="W560" s="28">
        <f t="shared" si="4959"/>
        <v>-16</v>
      </c>
      <c r="X560" s="28">
        <f t="shared" si="4959"/>
        <v>48</v>
      </c>
      <c r="AB560" s="28" t="str">
        <f t="shared" ref="AB560:AE560" si="4960">IF(AB$3=$H560,U560,"")</f>
        <v/>
      </c>
      <c r="AC560" s="28" t="str">
        <f t="shared" si="4960"/>
        <v/>
      </c>
      <c r="AD560" s="28" t="str">
        <f t="shared" si="4960"/>
        <v/>
      </c>
      <c r="AE560" s="28">
        <f t="shared" si="4960"/>
        <v>48</v>
      </c>
      <c r="AH560" s="28">
        <f t="shared" si="22"/>
        <v>48</v>
      </c>
      <c r="AI560" s="28">
        <f t="shared" si="23"/>
        <v>0</v>
      </c>
      <c r="AK560" s="78" t="str">
        <f t="shared" ref="AK560:AN560" si="4961">IF(U560&gt;0,AK$3,"")</f>
        <v/>
      </c>
      <c r="AL560" s="78" t="str">
        <f t="shared" si="4961"/>
        <v/>
      </c>
      <c r="AM560" s="78" t="str">
        <f t="shared" si="4961"/>
        <v/>
      </c>
      <c r="AN560" s="78" t="str">
        <f t="shared" si="4961"/>
        <v>Christian</v>
      </c>
      <c r="AO560" s="56">
        <f t="shared" si="25"/>
        <v>1</v>
      </c>
      <c r="AP560" s="8" t="str">
        <f t="shared" si="26"/>
        <v>Christian</v>
      </c>
      <c r="AQ560" s="73" t="str">
        <f>IFERROR(__xludf.DUMMYFUNCTION("IFNA(QUERY(transpose(AY560:BB560),""Select Col1 where Col1 is not null limit 1"",0))"),"")</f>
        <v/>
      </c>
      <c r="AR560" s="56"/>
      <c r="AS560" s="28" t="str">
        <f t="shared" ref="AS560:AV560" si="4962">IF(AK560=AS$3,"",AS$3)</f>
        <v>Thomas</v>
      </c>
      <c r="AT560" s="28" t="str">
        <f t="shared" si="4962"/>
        <v>Peter</v>
      </c>
      <c r="AU560" s="28" t="str">
        <f t="shared" si="4962"/>
        <v>Janus</v>
      </c>
      <c r="AV560" s="28" t="str">
        <f t="shared" si="4962"/>
        <v/>
      </c>
      <c r="AW560" s="56">
        <f t="shared" si="28"/>
        <v>3</v>
      </c>
      <c r="AX560" s="28">
        <f t="shared" si="29"/>
        <v>48</v>
      </c>
      <c r="AY560" s="28" t="str">
        <f t="shared" ref="AY560:BB560" si="4963">IFNA(IFS(AY$3=$AP560,"",$AX560=U560,AY$3),"")</f>
        <v/>
      </c>
      <c r="AZ560" s="28" t="str">
        <f t="shared" si="4963"/>
        <v/>
      </c>
      <c r="BA560" s="28" t="str">
        <f t="shared" si="4963"/>
        <v/>
      </c>
      <c r="BB560" s="28" t="str">
        <f t="shared" si="4963"/>
        <v/>
      </c>
      <c r="BC560" s="58">
        <f>OFFSET('00_Regnskab_01'!$A$1,MATCH(A560,'00_Regnskab_01'!$A$1:$A$25)-1,2)</f>
        <v>45199</v>
      </c>
      <c r="BE560" s="80">
        <f t="shared" ref="BE560:BH560" si="4964">if(U560&gt;0,1+BE559,0)</f>
        <v>0</v>
      </c>
      <c r="BF560" s="28">
        <f t="shared" si="4964"/>
        <v>0</v>
      </c>
      <c r="BG560" s="28">
        <f t="shared" si="4964"/>
        <v>0</v>
      </c>
      <c r="BH560" s="28">
        <f t="shared" si="4964"/>
        <v>4</v>
      </c>
      <c r="BJ560" s="28">
        <f t="shared" ref="BJ560:BM560" si="4965">if(U560&lt;0,1+BJ559,0)</f>
        <v>1</v>
      </c>
      <c r="BK560" s="28">
        <f t="shared" si="4965"/>
        <v>4</v>
      </c>
      <c r="BL560" s="28">
        <f t="shared" si="4965"/>
        <v>2</v>
      </c>
      <c r="BM560" s="28">
        <f t="shared" si="4965"/>
        <v>0</v>
      </c>
      <c r="BO560" s="74">
        <f t="shared" ref="BO560:BR560" si="4966">if(U560&gt;0,U560+BO559,0)</f>
        <v>0</v>
      </c>
      <c r="BP560" s="74">
        <f t="shared" si="4966"/>
        <v>0</v>
      </c>
      <c r="BQ560" s="74">
        <f t="shared" si="4966"/>
        <v>0</v>
      </c>
      <c r="BR560" s="74">
        <f t="shared" si="4966"/>
        <v>76</v>
      </c>
      <c r="BT560" s="28">
        <f t="shared" ref="BT560:BW560" si="4967">if(U560&lt;0,U560+BT559,0)</f>
        <v>-16</v>
      </c>
      <c r="BU560" s="28">
        <f t="shared" si="4967"/>
        <v>-60</v>
      </c>
      <c r="BV560" s="28">
        <f t="shared" si="4967"/>
        <v>-28</v>
      </c>
      <c r="BW560" s="28">
        <f t="shared" si="4967"/>
        <v>0</v>
      </c>
    </row>
    <row r="561">
      <c r="A561" s="53">
        <v>25.0</v>
      </c>
      <c r="B561" s="28">
        <f>'25_29-11-2024'!A16</f>
        <v>14</v>
      </c>
      <c r="C561" s="28">
        <f>'25_29-11-2024'!B16</f>
        <v>260</v>
      </c>
      <c r="D561" s="28">
        <f>'25_29-11-2024'!C16</f>
        <v>-44</v>
      </c>
      <c r="E561" s="28">
        <f>'25_29-11-2024'!D16</f>
        <v>92</v>
      </c>
      <c r="F561" s="28">
        <f>'25_29-11-2024'!E16</f>
        <v>-308</v>
      </c>
      <c r="G561" s="28">
        <f>'25_29-11-2024'!F16</f>
        <v>0</v>
      </c>
      <c r="H561" s="25" t="str">
        <f>'25_29-11-2024'!I16</f>
        <v/>
      </c>
      <c r="I561" s="28" t="str">
        <f>'25_29-11-2024'!J16</f>
        <v/>
      </c>
      <c r="J561" s="28" t="str">
        <f>'25_29-11-2024'!H16</f>
        <v/>
      </c>
      <c r="K561" s="28" t="str">
        <f>'25_29-11-2024'!G16</f>
        <v>9 vip 3</v>
      </c>
      <c r="L561" s="56"/>
      <c r="M561" s="25">
        <v>9.0</v>
      </c>
      <c r="N561" s="25" t="s">
        <v>86</v>
      </c>
      <c r="O561" s="25">
        <v>3.0</v>
      </c>
      <c r="T561" s="56"/>
      <c r="U561" s="77">
        <f t="shared" ref="U561:X561" si="4968">C561-C560</f>
        <v>32</v>
      </c>
      <c r="V561" s="28">
        <f t="shared" si="4968"/>
        <v>32</v>
      </c>
      <c r="W561" s="28">
        <f t="shared" si="4968"/>
        <v>-32</v>
      </c>
      <c r="X561" s="28">
        <f t="shared" si="4968"/>
        <v>-32</v>
      </c>
      <c r="AB561" s="28" t="str">
        <f t="shared" ref="AB561:AE561" si="4969">IF(AB$3=$H561,U561,"")</f>
        <v/>
      </c>
      <c r="AC561" s="28" t="str">
        <f t="shared" si="4969"/>
        <v/>
      </c>
      <c r="AD561" s="28" t="str">
        <f t="shared" si="4969"/>
        <v/>
      </c>
      <c r="AE561" s="28" t="str">
        <f t="shared" si="4969"/>
        <v/>
      </c>
      <c r="AH561" s="28">
        <f t="shared" si="22"/>
        <v>0</v>
      </c>
      <c r="AI561" s="28">
        <f t="shared" si="23"/>
        <v>0</v>
      </c>
      <c r="AK561" s="78" t="str">
        <f t="shared" ref="AK561:AN561" si="4970">IF(U561&gt;0,AK$3,"")</f>
        <v>Thomas</v>
      </c>
      <c r="AL561" s="78" t="str">
        <f t="shared" si="4970"/>
        <v>Peter</v>
      </c>
      <c r="AM561" s="78" t="str">
        <f t="shared" si="4970"/>
        <v/>
      </c>
      <c r="AN561" s="78" t="str">
        <f t="shared" si="4970"/>
        <v/>
      </c>
      <c r="AO561" s="56">
        <f t="shared" si="25"/>
        <v>2</v>
      </c>
      <c r="AP561" s="8" t="str">
        <f t="shared" si="26"/>
        <v/>
      </c>
      <c r="AQ561" s="73" t="str">
        <f>IFERROR(__xludf.DUMMYFUNCTION("IFNA(QUERY(transpose(AY561:BB561),""Select Col1 where Col1 is not null limit 1"",0))"),"")</f>
        <v/>
      </c>
      <c r="AR561" s="56"/>
      <c r="AS561" s="28" t="str">
        <f t="shared" ref="AS561:AV561" si="4971">IF(AK561=AS$3,"",AS$3)</f>
        <v/>
      </c>
      <c r="AT561" s="28" t="str">
        <f t="shared" si="4971"/>
        <v/>
      </c>
      <c r="AU561" s="28" t="str">
        <f t="shared" si="4971"/>
        <v>Janus</v>
      </c>
      <c r="AV561" s="28" t="str">
        <f t="shared" si="4971"/>
        <v>Christian</v>
      </c>
      <c r="AW561" s="56">
        <f t="shared" si="28"/>
        <v>2</v>
      </c>
      <c r="AX561" s="28">
        <f t="shared" si="29"/>
        <v>0</v>
      </c>
      <c r="AY561" s="28" t="str">
        <f t="shared" ref="AY561:BB561" si="4972">IFNA(IFS(AY$3=$AP561,"",$AX561=U561,AY$3),"")</f>
        <v/>
      </c>
      <c r="AZ561" s="28" t="str">
        <f t="shared" si="4972"/>
        <v/>
      </c>
      <c r="BA561" s="28" t="str">
        <f t="shared" si="4972"/>
        <v/>
      </c>
      <c r="BB561" s="28" t="str">
        <f t="shared" si="4972"/>
        <v/>
      </c>
      <c r="BC561" s="58">
        <f>OFFSET('00_Regnskab_01'!$A$1,MATCH(A561,'00_Regnskab_01'!$A$1:$A$25)-1,2)</f>
        <v>45199</v>
      </c>
      <c r="BE561" s="80">
        <f t="shared" ref="BE561:BH561" si="4973">if(U561&gt;0,1+BE560,0)</f>
        <v>1</v>
      </c>
      <c r="BF561" s="28">
        <f t="shared" si="4973"/>
        <v>1</v>
      </c>
      <c r="BG561" s="28">
        <f t="shared" si="4973"/>
        <v>0</v>
      </c>
      <c r="BH561" s="28">
        <f t="shared" si="4973"/>
        <v>0</v>
      </c>
      <c r="BJ561" s="28">
        <f t="shared" ref="BJ561:BM561" si="4974">if(U561&lt;0,1+BJ560,0)</f>
        <v>0</v>
      </c>
      <c r="BK561" s="28">
        <f t="shared" si="4974"/>
        <v>0</v>
      </c>
      <c r="BL561" s="28">
        <f t="shared" si="4974"/>
        <v>3</v>
      </c>
      <c r="BM561" s="28">
        <f t="shared" si="4974"/>
        <v>1</v>
      </c>
      <c r="BO561" s="74">
        <f t="shared" ref="BO561:BR561" si="4975">if(U561&gt;0,U561+BO560,0)</f>
        <v>32</v>
      </c>
      <c r="BP561" s="74">
        <f t="shared" si="4975"/>
        <v>32</v>
      </c>
      <c r="BQ561" s="74">
        <f t="shared" si="4975"/>
        <v>0</v>
      </c>
      <c r="BR561" s="74">
        <f t="shared" si="4975"/>
        <v>0</v>
      </c>
      <c r="BT561" s="28">
        <f t="shared" ref="BT561:BW561" si="4976">if(U561&lt;0,U561+BT560,0)</f>
        <v>0</v>
      </c>
      <c r="BU561" s="28">
        <f t="shared" si="4976"/>
        <v>0</v>
      </c>
      <c r="BV561" s="28">
        <f t="shared" si="4976"/>
        <v>-60</v>
      </c>
      <c r="BW561" s="28">
        <f t="shared" si="4976"/>
        <v>-32</v>
      </c>
    </row>
    <row r="562">
      <c r="A562" s="53">
        <v>25.0</v>
      </c>
      <c r="B562" s="28">
        <f>'25_29-11-2024'!A17</f>
        <v>15</v>
      </c>
      <c r="C562" s="28">
        <f>'25_29-11-2024'!B17</f>
        <v>284</v>
      </c>
      <c r="D562" s="28">
        <f>'25_29-11-2024'!C17</f>
        <v>-52</v>
      </c>
      <c r="E562" s="28">
        <f>'25_29-11-2024'!D17</f>
        <v>84</v>
      </c>
      <c r="F562" s="28">
        <f>'25_29-11-2024'!E17</f>
        <v>-316</v>
      </c>
      <c r="G562" s="28">
        <f>'25_29-11-2024'!F17</f>
        <v>0</v>
      </c>
      <c r="H562" s="25" t="str">
        <f>'25_29-11-2024'!I17</f>
        <v>Thomas</v>
      </c>
      <c r="I562" s="28" t="str">
        <f>'25_29-11-2024'!J17</f>
        <v/>
      </c>
      <c r="J562" s="28" t="str">
        <f>'25_29-11-2024'!H17</f>
        <v/>
      </c>
      <c r="K562" s="28" t="str">
        <f>'25_29-11-2024'!G17</f>
        <v>Ren sol</v>
      </c>
      <c r="L562" s="56"/>
      <c r="N562" s="25" t="s">
        <v>97</v>
      </c>
      <c r="T562" s="56"/>
      <c r="U562" s="77">
        <f t="shared" ref="U562:X562" si="4977">C562-C561</f>
        <v>24</v>
      </c>
      <c r="V562" s="28">
        <f t="shared" si="4977"/>
        <v>-8</v>
      </c>
      <c r="W562" s="28">
        <f t="shared" si="4977"/>
        <v>-8</v>
      </c>
      <c r="X562" s="28">
        <f t="shared" si="4977"/>
        <v>-8</v>
      </c>
      <c r="AB562" s="28">
        <f t="shared" ref="AB562:AE562" si="4978">IF(AB$3=$H562,U562,"")</f>
        <v>24</v>
      </c>
      <c r="AC562" s="28" t="str">
        <f t="shared" si="4978"/>
        <v/>
      </c>
      <c r="AD562" s="28" t="str">
        <f t="shared" si="4978"/>
        <v/>
      </c>
      <c r="AE562" s="28" t="str">
        <f t="shared" si="4978"/>
        <v/>
      </c>
      <c r="AH562" s="28">
        <f t="shared" si="22"/>
        <v>24</v>
      </c>
      <c r="AI562" s="28">
        <f t="shared" si="23"/>
        <v>0</v>
      </c>
      <c r="AK562" s="78" t="str">
        <f t="shared" ref="AK562:AN562" si="4979">IF(U562&gt;0,AK$3,"")</f>
        <v>Thomas</v>
      </c>
      <c r="AL562" s="78" t="str">
        <f t="shared" si="4979"/>
        <v/>
      </c>
      <c r="AM562" s="78" t="str">
        <f t="shared" si="4979"/>
        <v/>
      </c>
      <c r="AN562" s="78" t="str">
        <f t="shared" si="4979"/>
        <v/>
      </c>
      <c r="AO562" s="56">
        <f t="shared" si="25"/>
        <v>1</v>
      </c>
      <c r="AP562" s="8" t="str">
        <f t="shared" si="26"/>
        <v>Thomas</v>
      </c>
      <c r="AQ562" s="73" t="str">
        <f>IFERROR(__xludf.DUMMYFUNCTION("IFNA(QUERY(transpose(AY562:BB562),""Select Col1 where Col1 is not null limit 1"",0))"),"")</f>
        <v/>
      </c>
      <c r="AR562" s="56"/>
      <c r="AS562" s="28" t="str">
        <f t="shared" ref="AS562:AV562" si="4980">IF(AK562=AS$3,"",AS$3)</f>
        <v/>
      </c>
      <c r="AT562" s="28" t="str">
        <f t="shared" si="4980"/>
        <v>Peter</v>
      </c>
      <c r="AU562" s="28" t="str">
        <f t="shared" si="4980"/>
        <v>Janus</v>
      </c>
      <c r="AV562" s="28" t="str">
        <f t="shared" si="4980"/>
        <v>Christian</v>
      </c>
      <c r="AW562" s="56">
        <f t="shared" si="28"/>
        <v>3</v>
      </c>
      <c r="AX562" s="28">
        <f t="shared" si="29"/>
        <v>24</v>
      </c>
      <c r="AY562" s="28" t="str">
        <f t="shared" ref="AY562:BB562" si="4981">IFNA(IFS(AY$3=$AP562,"",$AX562=U562,AY$3),"")</f>
        <v/>
      </c>
      <c r="AZ562" s="28" t="str">
        <f t="shared" si="4981"/>
        <v/>
      </c>
      <c r="BA562" s="28" t="str">
        <f t="shared" si="4981"/>
        <v/>
      </c>
      <c r="BB562" s="28" t="str">
        <f t="shared" si="4981"/>
        <v/>
      </c>
      <c r="BC562" s="58">
        <f>OFFSET('00_Regnskab_01'!$A$1,MATCH(A562,'00_Regnskab_01'!$A$1:$A$25)-1,2)</f>
        <v>45199</v>
      </c>
      <c r="BE562" s="80">
        <f t="shared" ref="BE562:BH562" si="4982">if(U562&gt;0,1+BE561,0)</f>
        <v>2</v>
      </c>
      <c r="BF562" s="28">
        <f t="shared" si="4982"/>
        <v>0</v>
      </c>
      <c r="BG562" s="28">
        <f t="shared" si="4982"/>
        <v>0</v>
      </c>
      <c r="BH562" s="28">
        <f t="shared" si="4982"/>
        <v>0</v>
      </c>
      <c r="BJ562" s="28">
        <f t="shared" ref="BJ562:BM562" si="4983">if(U562&lt;0,1+BJ561,0)</f>
        <v>0</v>
      </c>
      <c r="BK562" s="28">
        <f t="shared" si="4983"/>
        <v>1</v>
      </c>
      <c r="BL562" s="28">
        <f t="shared" si="4983"/>
        <v>4</v>
      </c>
      <c r="BM562" s="28">
        <f t="shared" si="4983"/>
        <v>2</v>
      </c>
      <c r="BO562" s="74">
        <f t="shared" ref="BO562:BR562" si="4984">if(U562&gt;0,U562+BO561,0)</f>
        <v>56</v>
      </c>
      <c r="BP562" s="74">
        <f t="shared" si="4984"/>
        <v>0</v>
      </c>
      <c r="BQ562" s="74">
        <f t="shared" si="4984"/>
        <v>0</v>
      </c>
      <c r="BR562" s="74">
        <f t="shared" si="4984"/>
        <v>0</v>
      </c>
      <c r="BT562" s="28">
        <f t="shared" ref="BT562:BW562" si="4985">if(U562&lt;0,U562+BT561,0)</f>
        <v>0</v>
      </c>
      <c r="BU562" s="28">
        <f t="shared" si="4985"/>
        <v>-8</v>
      </c>
      <c r="BV562" s="28">
        <f t="shared" si="4985"/>
        <v>-68</v>
      </c>
      <c r="BW562" s="28">
        <f t="shared" si="4985"/>
        <v>-40</v>
      </c>
    </row>
    <row r="563">
      <c r="A563" s="53">
        <v>25.0</v>
      </c>
      <c r="B563" s="28">
        <f>'25_29-11-2024'!A18</f>
        <v>16</v>
      </c>
      <c r="C563" s="28">
        <f>'25_29-11-2024'!B18</f>
        <v>292</v>
      </c>
      <c r="D563" s="28">
        <f>'25_29-11-2024'!C18</f>
        <v>-44</v>
      </c>
      <c r="E563" s="28">
        <f>'25_29-11-2024'!D18</f>
        <v>92</v>
      </c>
      <c r="F563" s="28">
        <f>'25_29-11-2024'!E18</f>
        <v>-340</v>
      </c>
      <c r="G563" s="28">
        <f>'25_29-11-2024'!F18</f>
        <v>0</v>
      </c>
      <c r="H563" s="25" t="str">
        <f>'25_29-11-2024'!I18</f>
        <v/>
      </c>
      <c r="I563" s="28" t="str">
        <f>'25_29-11-2024'!J18</f>
        <v/>
      </c>
      <c r="J563" s="28" t="str">
        <f>'25_29-11-2024'!H18</f>
        <v/>
      </c>
      <c r="K563" s="28" t="str">
        <f>'25_29-11-2024'!G18</f>
        <v>Ren sol</v>
      </c>
      <c r="L563" s="56"/>
      <c r="N563" s="25" t="s">
        <v>97</v>
      </c>
      <c r="T563" s="56"/>
      <c r="U563" s="77">
        <f t="shared" ref="U563:X563" si="4986">C563-C562</f>
        <v>8</v>
      </c>
      <c r="V563" s="28">
        <f t="shared" si="4986"/>
        <v>8</v>
      </c>
      <c r="W563" s="28">
        <f t="shared" si="4986"/>
        <v>8</v>
      </c>
      <c r="X563" s="28">
        <f t="shared" si="4986"/>
        <v>-24</v>
      </c>
      <c r="AB563" s="28" t="str">
        <f t="shared" ref="AB563:AE563" si="4987">IF(AB$3=$H563,U563,"")</f>
        <v/>
      </c>
      <c r="AC563" s="28" t="str">
        <f t="shared" si="4987"/>
        <v/>
      </c>
      <c r="AD563" s="28" t="str">
        <f t="shared" si="4987"/>
        <v/>
      </c>
      <c r="AE563" s="28" t="str">
        <f t="shared" si="4987"/>
        <v/>
      </c>
      <c r="AH563" s="28">
        <f t="shared" si="22"/>
        <v>0</v>
      </c>
      <c r="AI563" s="28">
        <f t="shared" si="23"/>
        <v>0</v>
      </c>
      <c r="AK563" s="78" t="str">
        <f t="shared" ref="AK563:AN563" si="4988">IF(U563&gt;0,AK$3,"")</f>
        <v>Thomas</v>
      </c>
      <c r="AL563" s="78" t="str">
        <f t="shared" si="4988"/>
        <v>Peter</v>
      </c>
      <c r="AM563" s="78" t="str">
        <f t="shared" si="4988"/>
        <v>Janus</v>
      </c>
      <c r="AN563" s="78" t="str">
        <f t="shared" si="4988"/>
        <v/>
      </c>
      <c r="AO563" s="56">
        <f t="shared" si="25"/>
        <v>3</v>
      </c>
      <c r="AP563" s="8" t="str">
        <f t="shared" si="26"/>
        <v/>
      </c>
      <c r="AQ563" s="73" t="str">
        <f>IFERROR(__xludf.DUMMYFUNCTION("IFNA(QUERY(transpose(AY563:BB563),""Select Col1 where Col1 is not null limit 1"",0))"),"")</f>
        <v/>
      </c>
      <c r="AR563" s="56"/>
      <c r="AS563" s="28" t="str">
        <f t="shared" ref="AS563:AV563" si="4989">IF(AK563=AS$3,"",AS$3)</f>
        <v/>
      </c>
      <c r="AT563" s="28" t="str">
        <f t="shared" si="4989"/>
        <v/>
      </c>
      <c r="AU563" s="28" t="str">
        <f t="shared" si="4989"/>
        <v/>
      </c>
      <c r="AV563" s="28" t="str">
        <f t="shared" si="4989"/>
        <v>Christian</v>
      </c>
      <c r="AW563" s="56">
        <f t="shared" si="28"/>
        <v>1</v>
      </c>
      <c r="AX563" s="28">
        <f t="shared" si="29"/>
        <v>0</v>
      </c>
      <c r="AY563" s="28" t="str">
        <f t="shared" ref="AY563:BB563" si="4990">IFNA(IFS(AY$3=$AP563,"",$AX563=U563,AY$3),"")</f>
        <v/>
      </c>
      <c r="AZ563" s="28" t="str">
        <f t="shared" si="4990"/>
        <v/>
      </c>
      <c r="BA563" s="28" t="str">
        <f t="shared" si="4990"/>
        <v/>
      </c>
      <c r="BB563" s="28" t="str">
        <f t="shared" si="4990"/>
        <v/>
      </c>
      <c r="BC563" s="58">
        <f>OFFSET('00_Regnskab_01'!$A$1,MATCH(A563,'00_Regnskab_01'!$A$1:$A$25)-1,2)</f>
        <v>45199</v>
      </c>
      <c r="BE563" s="80">
        <f t="shared" ref="BE563:BH563" si="4991">if(U563&gt;0,1+BE562,0)</f>
        <v>3</v>
      </c>
      <c r="BF563" s="28">
        <f t="shared" si="4991"/>
        <v>1</v>
      </c>
      <c r="BG563" s="28">
        <f t="shared" si="4991"/>
        <v>1</v>
      </c>
      <c r="BH563" s="28">
        <f t="shared" si="4991"/>
        <v>0</v>
      </c>
      <c r="BJ563" s="28">
        <f t="shared" ref="BJ563:BM563" si="4992">if(U563&lt;0,1+BJ562,0)</f>
        <v>0</v>
      </c>
      <c r="BK563" s="28">
        <f t="shared" si="4992"/>
        <v>0</v>
      </c>
      <c r="BL563" s="28">
        <f t="shared" si="4992"/>
        <v>0</v>
      </c>
      <c r="BM563" s="28">
        <f t="shared" si="4992"/>
        <v>3</v>
      </c>
      <c r="BO563" s="74">
        <f t="shared" ref="BO563:BR563" si="4993">if(U563&gt;0,U563+BO562,0)</f>
        <v>64</v>
      </c>
      <c r="BP563" s="74">
        <f t="shared" si="4993"/>
        <v>8</v>
      </c>
      <c r="BQ563" s="74">
        <f t="shared" si="4993"/>
        <v>8</v>
      </c>
      <c r="BR563" s="74">
        <f t="shared" si="4993"/>
        <v>0</v>
      </c>
      <c r="BT563" s="28">
        <f t="shared" ref="BT563:BW563" si="4994">if(U563&lt;0,U563+BT562,0)</f>
        <v>0</v>
      </c>
      <c r="BU563" s="28">
        <f t="shared" si="4994"/>
        <v>0</v>
      </c>
      <c r="BV563" s="28">
        <f t="shared" si="4994"/>
        <v>0</v>
      </c>
      <c r="BW563" s="28">
        <f t="shared" si="4994"/>
        <v>-64</v>
      </c>
    </row>
    <row r="564">
      <c r="A564" s="53">
        <v>25.0</v>
      </c>
      <c r="B564" s="28">
        <f>'25_29-11-2024'!A19</f>
        <v>17</v>
      </c>
      <c r="C564" s="28">
        <f>'25_29-11-2024'!B19</f>
        <v>172</v>
      </c>
      <c r="D564" s="28">
        <f>'25_29-11-2024'!C19</f>
        <v>-4</v>
      </c>
      <c r="E564" s="28">
        <f>'25_29-11-2024'!D19</f>
        <v>132</v>
      </c>
      <c r="F564" s="28">
        <f>'25_29-11-2024'!E19</f>
        <v>-300</v>
      </c>
      <c r="G564" s="28">
        <f>'25_29-11-2024'!F19</f>
        <v>0</v>
      </c>
      <c r="H564" s="25" t="str">
        <f>'25_29-11-2024'!I19</f>
        <v>Thomas</v>
      </c>
      <c r="I564" s="28" t="str">
        <f>'25_29-11-2024'!J19</f>
        <v>Thomas</v>
      </c>
      <c r="J564" s="28" t="str">
        <f>'25_29-11-2024'!H19</f>
        <v/>
      </c>
      <c r="K564" s="28" t="str">
        <f>'25_29-11-2024'!G19</f>
        <v>9 vip2</v>
      </c>
      <c r="L564" s="56"/>
      <c r="M564" s="25">
        <v>9.0</v>
      </c>
      <c r="N564" s="25" t="s">
        <v>86</v>
      </c>
      <c r="O564" s="25">
        <v>2.0</v>
      </c>
      <c r="R564" s="25" t="s">
        <v>15</v>
      </c>
      <c r="T564" s="56"/>
      <c r="U564" s="77">
        <f t="shared" ref="U564:X564" si="4995">C564-C563</f>
        <v>-120</v>
      </c>
      <c r="V564" s="28">
        <f t="shared" si="4995"/>
        <v>40</v>
      </c>
      <c r="W564" s="28">
        <f t="shared" si="4995"/>
        <v>40</v>
      </c>
      <c r="X564" s="28">
        <f t="shared" si="4995"/>
        <v>40</v>
      </c>
      <c r="AB564" s="28">
        <f t="shared" ref="AB564:AE564" si="4996">IF(AB$3=$H564,U564,"")</f>
        <v>-120</v>
      </c>
      <c r="AC564" s="28" t="str">
        <f t="shared" si="4996"/>
        <v/>
      </c>
      <c r="AD564" s="28" t="str">
        <f t="shared" si="4996"/>
        <v/>
      </c>
      <c r="AE564" s="28" t="str">
        <f t="shared" si="4996"/>
        <v/>
      </c>
      <c r="AH564" s="28">
        <f t="shared" si="22"/>
        <v>0</v>
      </c>
      <c r="AI564" s="28">
        <f t="shared" si="23"/>
        <v>-120</v>
      </c>
      <c r="AK564" s="78" t="str">
        <f t="shared" ref="AK564:AN564" si="4997">IF(U564&gt;0,AK$3,"")</f>
        <v/>
      </c>
      <c r="AL564" s="78" t="str">
        <f t="shared" si="4997"/>
        <v>Peter</v>
      </c>
      <c r="AM564" s="78" t="str">
        <f t="shared" si="4997"/>
        <v>Janus</v>
      </c>
      <c r="AN564" s="78" t="str">
        <f t="shared" si="4997"/>
        <v>Christian</v>
      </c>
      <c r="AO564" s="56">
        <f t="shared" si="25"/>
        <v>3</v>
      </c>
      <c r="AP564" s="8" t="str">
        <f t="shared" si="26"/>
        <v>Thomas</v>
      </c>
      <c r="AQ564" s="73" t="str">
        <f>IFERROR(__xludf.DUMMYFUNCTION("IFNA(QUERY(transpose(AY564:BB564),""Select Col1 where Col1 is not null limit 1"",0))"),"")</f>
        <v/>
      </c>
      <c r="AR564" s="56"/>
      <c r="AS564" s="28" t="str">
        <f t="shared" ref="AS564:AV564" si="4998">IF(AK564=AS$3,"",AS$3)</f>
        <v>Thomas</v>
      </c>
      <c r="AT564" s="28" t="str">
        <f t="shared" si="4998"/>
        <v/>
      </c>
      <c r="AU564" s="28" t="str">
        <f t="shared" si="4998"/>
        <v/>
      </c>
      <c r="AV564" s="28" t="str">
        <f t="shared" si="4998"/>
        <v/>
      </c>
      <c r="AW564" s="56">
        <f t="shared" si="28"/>
        <v>1</v>
      </c>
      <c r="AX564" s="28">
        <f t="shared" si="29"/>
        <v>-120</v>
      </c>
      <c r="AY564" s="28" t="str">
        <f t="shared" ref="AY564:BB564" si="4999">IFNA(IFS(AY$3=$AP564,"",$AX564=U564,AY$3),"")</f>
        <v/>
      </c>
      <c r="AZ564" s="28" t="str">
        <f t="shared" si="4999"/>
        <v/>
      </c>
      <c r="BA564" s="28" t="str">
        <f t="shared" si="4999"/>
        <v/>
      </c>
      <c r="BB564" s="28" t="str">
        <f t="shared" si="4999"/>
        <v/>
      </c>
      <c r="BC564" s="58">
        <f>OFFSET('00_Regnskab_01'!$A$1,MATCH(A564,'00_Regnskab_01'!$A$1:$A$25)-1,2)</f>
        <v>45199</v>
      </c>
      <c r="BE564" s="80">
        <f t="shared" ref="BE564:BH564" si="5000">if(U564&gt;0,1+BE563,0)</f>
        <v>0</v>
      </c>
      <c r="BF564" s="28">
        <f t="shared" si="5000"/>
        <v>2</v>
      </c>
      <c r="BG564" s="28">
        <f t="shared" si="5000"/>
        <v>2</v>
      </c>
      <c r="BH564" s="28">
        <f t="shared" si="5000"/>
        <v>1</v>
      </c>
      <c r="BJ564" s="28">
        <f t="shared" ref="BJ564:BM564" si="5001">if(U564&lt;0,1+BJ563,0)</f>
        <v>1</v>
      </c>
      <c r="BK564" s="28">
        <f t="shared" si="5001"/>
        <v>0</v>
      </c>
      <c r="BL564" s="28">
        <f t="shared" si="5001"/>
        <v>0</v>
      </c>
      <c r="BM564" s="28">
        <f t="shared" si="5001"/>
        <v>0</v>
      </c>
      <c r="BO564" s="74">
        <f t="shared" ref="BO564:BR564" si="5002">if(U564&gt;0,U564+BO563,0)</f>
        <v>0</v>
      </c>
      <c r="BP564" s="74">
        <f t="shared" si="5002"/>
        <v>48</v>
      </c>
      <c r="BQ564" s="74">
        <f t="shared" si="5002"/>
        <v>48</v>
      </c>
      <c r="BR564" s="74">
        <f t="shared" si="5002"/>
        <v>40</v>
      </c>
      <c r="BT564" s="28">
        <f t="shared" ref="BT564:BW564" si="5003">if(U564&lt;0,U564+BT563,0)</f>
        <v>-120</v>
      </c>
      <c r="BU564" s="28">
        <f t="shared" si="5003"/>
        <v>0</v>
      </c>
      <c r="BV564" s="28">
        <f t="shared" si="5003"/>
        <v>0</v>
      </c>
      <c r="BW564" s="28">
        <f t="shared" si="5003"/>
        <v>0</v>
      </c>
    </row>
    <row r="565">
      <c r="A565" s="53">
        <v>25.0</v>
      </c>
      <c r="B565" s="28">
        <f>'25_29-11-2024'!A20</f>
        <v>18</v>
      </c>
      <c r="C565" s="28">
        <f>'25_29-11-2024'!B20</f>
        <v>192</v>
      </c>
      <c r="D565" s="28">
        <f>'25_29-11-2024'!C20</f>
        <v>-24</v>
      </c>
      <c r="E565" s="28">
        <f>'25_29-11-2024'!D20</f>
        <v>152</v>
      </c>
      <c r="F565" s="28">
        <f>'25_29-11-2024'!E20</f>
        <v>-320</v>
      </c>
      <c r="G565" s="28">
        <f>'25_29-11-2024'!F20</f>
        <v>0</v>
      </c>
      <c r="H565" s="25" t="str">
        <f>'25_29-11-2024'!I20</f>
        <v/>
      </c>
      <c r="I565" s="28" t="str">
        <f>'25_29-11-2024'!J20</f>
        <v/>
      </c>
      <c r="J565" s="28" t="str">
        <f>'25_29-11-2024'!H20</f>
        <v/>
      </c>
      <c r="K565" s="28" t="str">
        <f>'25_29-11-2024'!G20</f>
        <v>J+T</v>
      </c>
      <c r="L565" s="56"/>
      <c r="T565" s="56"/>
      <c r="U565" s="77">
        <f t="shared" ref="U565:X565" si="5004">C565-C564</f>
        <v>20</v>
      </c>
      <c r="V565" s="28">
        <f t="shared" si="5004"/>
        <v>-20</v>
      </c>
      <c r="W565" s="28">
        <f t="shared" si="5004"/>
        <v>20</v>
      </c>
      <c r="X565" s="28">
        <f t="shared" si="5004"/>
        <v>-20</v>
      </c>
      <c r="AB565" s="28" t="str">
        <f t="shared" ref="AB565:AE565" si="5005">IF(AB$3=$H565,U565,"")</f>
        <v/>
      </c>
      <c r="AC565" s="28" t="str">
        <f t="shared" si="5005"/>
        <v/>
      </c>
      <c r="AD565" s="28" t="str">
        <f t="shared" si="5005"/>
        <v/>
      </c>
      <c r="AE565" s="28" t="str">
        <f t="shared" si="5005"/>
        <v/>
      </c>
      <c r="AH565" s="28">
        <f t="shared" si="22"/>
        <v>0</v>
      </c>
      <c r="AI565" s="28">
        <f t="shared" si="23"/>
        <v>0</v>
      </c>
      <c r="AK565" s="78" t="str">
        <f t="shared" ref="AK565:AN565" si="5006">IF(U565&gt;0,AK$3,"")</f>
        <v>Thomas</v>
      </c>
      <c r="AL565" s="78" t="str">
        <f t="shared" si="5006"/>
        <v/>
      </c>
      <c r="AM565" s="78" t="str">
        <f t="shared" si="5006"/>
        <v>Janus</v>
      </c>
      <c r="AN565" s="78" t="str">
        <f t="shared" si="5006"/>
        <v/>
      </c>
      <c r="AO565" s="56">
        <f t="shared" si="25"/>
        <v>2</v>
      </c>
      <c r="AP565" s="8" t="str">
        <f t="shared" si="26"/>
        <v/>
      </c>
      <c r="AQ565" s="73" t="str">
        <f>IFERROR(__xludf.DUMMYFUNCTION("IFNA(QUERY(transpose(AY565:BB565),""Select Col1 where Col1 is not null limit 1"",0))"),"")</f>
        <v/>
      </c>
      <c r="AR565" s="56"/>
      <c r="AS565" s="28" t="str">
        <f t="shared" ref="AS565:AV565" si="5007">IF(AK565=AS$3,"",AS$3)</f>
        <v/>
      </c>
      <c r="AT565" s="28" t="str">
        <f t="shared" si="5007"/>
        <v>Peter</v>
      </c>
      <c r="AU565" s="28" t="str">
        <f t="shared" si="5007"/>
        <v/>
      </c>
      <c r="AV565" s="28" t="str">
        <f t="shared" si="5007"/>
        <v>Christian</v>
      </c>
      <c r="AW565" s="56">
        <f t="shared" si="28"/>
        <v>2</v>
      </c>
      <c r="AX565" s="28">
        <f t="shared" si="29"/>
        <v>0</v>
      </c>
      <c r="AY565" s="28" t="str">
        <f t="shared" ref="AY565:BB565" si="5008">IFNA(IFS(AY$3=$AP565,"",$AX565=U565,AY$3),"")</f>
        <v/>
      </c>
      <c r="AZ565" s="28" t="str">
        <f t="shared" si="5008"/>
        <v/>
      </c>
      <c r="BA565" s="28" t="str">
        <f t="shared" si="5008"/>
        <v/>
      </c>
      <c r="BB565" s="28" t="str">
        <f t="shared" si="5008"/>
        <v/>
      </c>
      <c r="BC565" s="58">
        <f>OFFSET('00_Regnskab_01'!$A$1,MATCH(A565,'00_Regnskab_01'!$A$1:$A$25)-1,2)</f>
        <v>45199</v>
      </c>
      <c r="BE565" s="80">
        <f t="shared" ref="BE565:BH565" si="5009">if(U565&gt;0,1+BE564,0)</f>
        <v>1</v>
      </c>
      <c r="BF565" s="28">
        <f t="shared" si="5009"/>
        <v>0</v>
      </c>
      <c r="BG565" s="28">
        <f t="shared" si="5009"/>
        <v>3</v>
      </c>
      <c r="BH565" s="28">
        <f t="shared" si="5009"/>
        <v>0</v>
      </c>
      <c r="BJ565" s="28">
        <f t="shared" ref="BJ565:BM565" si="5010">if(U565&lt;0,1+BJ564,0)</f>
        <v>0</v>
      </c>
      <c r="BK565" s="28">
        <f t="shared" si="5010"/>
        <v>1</v>
      </c>
      <c r="BL565" s="28">
        <f t="shared" si="5010"/>
        <v>0</v>
      </c>
      <c r="BM565" s="28">
        <f t="shared" si="5010"/>
        <v>1</v>
      </c>
      <c r="BO565" s="74">
        <f t="shared" ref="BO565:BR565" si="5011">if(U565&gt;0,U565+BO564,0)</f>
        <v>20</v>
      </c>
      <c r="BP565" s="74">
        <f t="shared" si="5011"/>
        <v>0</v>
      </c>
      <c r="BQ565" s="74">
        <f t="shared" si="5011"/>
        <v>68</v>
      </c>
      <c r="BR565" s="74">
        <f t="shared" si="5011"/>
        <v>0</v>
      </c>
      <c r="BT565" s="28">
        <f t="shared" ref="BT565:BW565" si="5012">if(U565&lt;0,U565+BT564,0)</f>
        <v>0</v>
      </c>
      <c r="BU565" s="28">
        <f t="shared" si="5012"/>
        <v>-20</v>
      </c>
      <c r="BV565" s="28">
        <f t="shared" si="5012"/>
        <v>0</v>
      </c>
      <c r="BW565" s="28">
        <f t="shared" si="5012"/>
        <v>-20</v>
      </c>
    </row>
    <row r="566">
      <c r="A566" s="53">
        <v>25.0</v>
      </c>
      <c r="B566" s="28">
        <f>'25_29-11-2024'!A21</f>
        <v>19</v>
      </c>
      <c r="C566" s="28">
        <f>'25_29-11-2024'!B21</f>
        <v>200</v>
      </c>
      <c r="D566" s="28">
        <f>'25_29-11-2024'!C21</f>
        <v>-32</v>
      </c>
      <c r="E566" s="28">
        <f>'25_29-11-2024'!D21</f>
        <v>144</v>
      </c>
      <c r="F566" s="28">
        <f>'25_29-11-2024'!E21</f>
        <v>-312</v>
      </c>
      <c r="G566" s="28">
        <f>'25_29-11-2024'!F21</f>
        <v>0</v>
      </c>
      <c r="H566" s="25" t="str">
        <f>'25_29-11-2024'!I21</f>
        <v>Thomas</v>
      </c>
      <c r="I566" s="28" t="str">
        <f>'25_29-11-2024'!J21</f>
        <v>Christian</v>
      </c>
      <c r="J566" s="28" t="str">
        <f>'25_29-11-2024'!H21</f>
        <v/>
      </c>
      <c r="K566" s="28" t="str">
        <f>'25_29-11-2024'!G21</f>
        <v>9 hjerter til hjerter es</v>
      </c>
      <c r="L566" s="56"/>
      <c r="M566" s="25">
        <v>9.0</v>
      </c>
      <c r="N566" s="25" t="s">
        <v>100</v>
      </c>
      <c r="T566" s="56"/>
      <c r="U566" s="77">
        <f t="shared" ref="U566:X566" si="5013">C566-C565</f>
        <v>8</v>
      </c>
      <c r="V566" s="28">
        <f t="shared" si="5013"/>
        <v>-8</v>
      </c>
      <c r="W566" s="28">
        <f t="shared" si="5013"/>
        <v>-8</v>
      </c>
      <c r="X566" s="28">
        <f t="shared" si="5013"/>
        <v>8</v>
      </c>
      <c r="AB566" s="28">
        <f t="shared" ref="AB566:AE566" si="5014">IF(AB$3=$H566,U566,"")</f>
        <v>8</v>
      </c>
      <c r="AC566" s="28" t="str">
        <f t="shared" si="5014"/>
        <v/>
      </c>
      <c r="AD566" s="28" t="str">
        <f t="shared" si="5014"/>
        <v/>
      </c>
      <c r="AE566" s="28" t="str">
        <f t="shared" si="5014"/>
        <v/>
      </c>
      <c r="AH566" s="28">
        <f t="shared" si="22"/>
        <v>8</v>
      </c>
      <c r="AI566" s="28">
        <f t="shared" si="23"/>
        <v>0</v>
      </c>
      <c r="AK566" s="78" t="str">
        <f t="shared" ref="AK566:AN566" si="5015">IF(U566&gt;0,AK$3,"")</f>
        <v>Thomas</v>
      </c>
      <c r="AL566" s="78" t="str">
        <f t="shared" si="5015"/>
        <v/>
      </c>
      <c r="AM566" s="78" t="str">
        <f t="shared" si="5015"/>
        <v/>
      </c>
      <c r="AN566" s="78" t="str">
        <f t="shared" si="5015"/>
        <v>Christian</v>
      </c>
      <c r="AO566" s="56">
        <f t="shared" si="25"/>
        <v>2</v>
      </c>
      <c r="AP566" s="8" t="str">
        <f t="shared" si="26"/>
        <v>Thomas</v>
      </c>
      <c r="AQ566" s="73" t="str">
        <f>IFERROR(__xludf.DUMMYFUNCTION("IFNA(QUERY(transpose(AY566:BB566),""Select Col1 where Col1 is not null limit 1"",0))"),"Christian")</f>
        <v>Christian</v>
      </c>
      <c r="AR566" s="56"/>
      <c r="AS566" s="28" t="str">
        <f t="shared" ref="AS566:AV566" si="5016">IF(AK566=AS$3,"",AS$3)</f>
        <v/>
      </c>
      <c r="AT566" s="28" t="str">
        <f t="shared" si="5016"/>
        <v>Peter</v>
      </c>
      <c r="AU566" s="28" t="str">
        <f t="shared" si="5016"/>
        <v>Janus</v>
      </c>
      <c r="AV566" s="28" t="str">
        <f t="shared" si="5016"/>
        <v/>
      </c>
      <c r="AW566" s="56">
        <f t="shared" si="28"/>
        <v>2</v>
      </c>
      <c r="AX566" s="28">
        <f t="shared" si="29"/>
        <v>8</v>
      </c>
      <c r="AY566" s="28" t="str">
        <f t="shared" ref="AY566:BB566" si="5017">IFNA(IFS(AY$3=$AP566,"",$AX566=U566,AY$3),"")</f>
        <v/>
      </c>
      <c r="AZ566" s="28" t="str">
        <f t="shared" si="5017"/>
        <v/>
      </c>
      <c r="BA566" s="28" t="str">
        <f t="shared" si="5017"/>
        <v/>
      </c>
      <c r="BB566" s="28" t="str">
        <f t="shared" si="5017"/>
        <v>Christian</v>
      </c>
      <c r="BC566" s="58">
        <f>OFFSET('00_Regnskab_01'!$A$1,MATCH(A566,'00_Regnskab_01'!$A$1:$A$25)-1,2)</f>
        <v>45199</v>
      </c>
      <c r="BE566" s="80">
        <f t="shared" ref="BE566:BH566" si="5018">if(U566&gt;0,1+BE565,0)</f>
        <v>2</v>
      </c>
      <c r="BF566" s="28">
        <f t="shared" si="5018"/>
        <v>0</v>
      </c>
      <c r="BG566" s="28">
        <f t="shared" si="5018"/>
        <v>0</v>
      </c>
      <c r="BH566" s="28">
        <f t="shared" si="5018"/>
        <v>1</v>
      </c>
      <c r="BJ566" s="28">
        <f t="shared" ref="BJ566:BM566" si="5019">if(U566&lt;0,1+BJ565,0)</f>
        <v>0</v>
      </c>
      <c r="BK566" s="28">
        <f t="shared" si="5019"/>
        <v>2</v>
      </c>
      <c r="BL566" s="28">
        <f t="shared" si="5019"/>
        <v>1</v>
      </c>
      <c r="BM566" s="28">
        <f t="shared" si="5019"/>
        <v>0</v>
      </c>
      <c r="BO566" s="74">
        <f t="shared" ref="BO566:BR566" si="5020">if(U566&gt;0,U566+BO565,0)</f>
        <v>28</v>
      </c>
      <c r="BP566" s="74">
        <f t="shared" si="5020"/>
        <v>0</v>
      </c>
      <c r="BQ566" s="74">
        <f t="shared" si="5020"/>
        <v>0</v>
      </c>
      <c r="BR566" s="74">
        <f t="shared" si="5020"/>
        <v>8</v>
      </c>
      <c r="BT566" s="28">
        <f t="shared" ref="BT566:BW566" si="5021">if(U566&lt;0,U566+BT565,0)</f>
        <v>0</v>
      </c>
      <c r="BU566" s="28">
        <f t="shared" si="5021"/>
        <v>-28</v>
      </c>
      <c r="BV566" s="28">
        <f t="shared" si="5021"/>
        <v>-8</v>
      </c>
      <c r="BW566" s="28">
        <f t="shared" si="5021"/>
        <v>0</v>
      </c>
    </row>
    <row r="567">
      <c r="A567" s="83">
        <v>25.0</v>
      </c>
      <c r="B567" s="84">
        <f>'25_29-11-2024'!A22</f>
        <v>20</v>
      </c>
      <c r="C567" s="84">
        <f>'25_29-11-2024'!B22</f>
        <v>224</v>
      </c>
      <c r="D567" s="84">
        <f>'25_29-11-2024'!C22</f>
        <v>-56</v>
      </c>
      <c r="E567" s="84">
        <f>'25_29-11-2024'!D22</f>
        <v>168</v>
      </c>
      <c r="F567" s="84">
        <f>'25_29-11-2024'!E22</f>
        <v>-336</v>
      </c>
      <c r="G567" s="84">
        <f>'25_29-11-2024'!F22</f>
        <v>0</v>
      </c>
      <c r="H567" s="87" t="str">
        <f>'25_29-11-2024'!I22</f>
        <v>Thomas</v>
      </c>
      <c r="I567" s="84" t="str">
        <f>'25_29-11-2024'!J22</f>
        <v>Christian</v>
      </c>
      <c r="J567" s="84" t="str">
        <f>'25_29-11-2024'!H22</f>
        <v/>
      </c>
      <c r="K567" s="84" t="str">
        <f>'25_29-11-2024'!G22</f>
        <v>10 vip1</v>
      </c>
      <c r="L567" s="84"/>
      <c r="M567" s="87">
        <v>10.0</v>
      </c>
      <c r="N567" s="87" t="s">
        <v>86</v>
      </c>
      <c r="O567" s="87">
        <v>1.0</v>
      </c>
      <c r="P567" s="84"/>
      <c r="Q567" s="84"/>
      <c r="R567" s="84"/>
      <c r="S567" s="84"/>
      <c r="T567" s="84"/>
      <c r="U567" s="88">
        <f t="shared" ref="U567:X567" si="5022">C567-C566</f>
        <v>24</v>
      </c>
      <c r="V567" s="84">
        <f t="shared" si="5022"/>
        <v>-24</v>
      </c>
      <c r="W567" s="84">
        <f t="shared" si="5022"/>
        <v>24</v>
      </c>
      <c r="X567" s="84">
        <f t="shared" si="5022"/>
        <v>-24</v>
      </c>
      <c r="Y567" s="84"/>
      <c r="Z567" s="84"/>
      <c r="AA567" s="84"/>
      <c r="AB567" s="84">
        <f t="shared" ref="AB567:AE567" si="5023">IF(AB$3=$H567,U567,"")</f>
        <v>24</v>
      </c>
      <c r="AC567" s="84" t="str">
        <f t="shared" si="5023"/>
        <v/>
      </c>
      <c r="AD567" s="84" t="str">
        <f t="shared" si="5023"/>
        <v/>
      </c>
      <c r="AE567" s="84" t="str">
        <f t="shared" si="5023"/>
        <v/>
      </c>
      <c r="AF567" s="84"/>
      <c r="AG567" s="84"/>
      <c r="AH567" s="84">
        <f t="shared" si="22"/>
        <v>24</v>
      </c>
      <c r="AI567" s="84">
        <f t="shared" si="23"/>
        <v>0</v>
      </c>
      <c r="AJ567" s="84"/>
      <c r="AK567" s="93" t="str">
        <f t="shared" ref="AK567:AN567" si="5024">IF(U567&gt;0,AK$3,"")</f>
        <v>Thomas</v>
      </c>
      <c r="AL567" s="93" t="str">
        <f t="shared" si="5024"/>
        <v/>
      </c>
      <c r="AM567" s="93" t="str">
        <f t="shared" si="5024"/>
        <v>Janus</v>
      </c>
      <c r="AN567" s="93" t="str">
        <f t="shared" si="5024"/>
        <v/>
      </c>
      <c r="AO567" s="84">
        <f t="shared" si="25"/>
        <v>2</v>
      </c>
      <c r="AP567" s="94" t="str">
        <f t="shared" si="26"/>
        <v>Thomas</v>
      </c>
      <c r="AQ567" s="95" t="str">
        <f>IFERROR(__xludf.DUMMYFUNCTION("IFNA(QUERY(transpose(AY567:BB567),""Select Col1 where Col1 is not null limit 1"",0))"),"Janus")</f>
        <v>Janus</v>
      </c>
      <c r="AR567" s="84"/>
      <c r="AS567" s="84" t="str">
        <f t="shared" ref="AS567:AV567" si="5025">IF(AK567=AS$3,"",AS$3)</f>
        <v/>
      </c>
      <c r="AT567" s="84" t="str">
        <f t="shared" si="5025"/>
        <v>Peter</v>
      </c>
      <c r="AU567" s="84" t="str">
        <f t="shared" si="5025"/>
        <v/>
      </c>
      <c r="AV567" s="84" t="str">
        <f t="shared" si="5025"/>
        <v>Christian</v>
      </c>
      <c r="AW567" s="84">
        <f t="shared" si="28"/>
        <v>2</v>
      </c>
      <c r="AX567" s="84">
        <f t="shared" si="29"/>
        <v>24</v>
      </c>
      <c r="AY567" s="84" t="str">
        <f t="shared" ref="AY567:BB567" si="5026">IFNA(IFS(AY$3=$AP567,"",$AX567=U567,AY$3),"")</f>
        <v/>
      </c>
      <c r="AZ567" s="84" t="str">
        <f t="shared" si="5026"/>
        <v/>
      </c>
      <c r="BA567" s="84" t="str">
        <f t="shared" si="5026"/>
        <v>Janus</v>
      </c>
      <c r="BB567" s="84" t="str">
        <f t="shared" si="5026"/>
        <v/>
      </c>
      <c r="BC567" s="96">
        <f>OFFSET('00_Regnskab_01'!$A$1,MATCH(A567,'00_Regnskab_01'!$A$1:$A$25)-1,2)</f>
        <v>45199</v>
      </c>
      <c r="BD567" s="84"/>
      <c r="BE567" s="97">
        <f t="shared" ref="BE567:BH567" si="5027">if(U567&gt;0,1+BE566,0)</f>
        <v>3</v>
      </c>
      <c r="BF567" s="84">
        <f t="shared" si="5027"/>
        <v>0</v>
      </c>
      <c r="BG567" s="84">
        <f t="shared" si="5027"/>
        <v>1</v>
      </c>
      <c r="BH567" s="84">
        <f t="shared" si="5027"/>
        <v>0</v>
      </c>
      <c r="BI567" s="84"/>
      <c r="BJ567" s="28">
        <f t="shared" ref="BJ567:BM567" si="5028">if(U567&lt;0,1+BJ566,0)</f>
        <v>0</v>
      </c>
      <c r="BK567" s="28">
        <f t="shared" si="5028"/>
        <v>3</v>
      </c>
      <c r="BL567" s="28">
        <f t="shared" si="5028"/>
        <v>0</v>
      </c>
      <c r="BM567" s="28">
        <f t="shared" si="5028"/>
        <v>1</v>
      </c>
      <c r="BN567" s="84"/>
      <c r="BO567" s="98">
        <f t="shared" ref="BO567:BR567" si="5029">if(U567&gt;0,U567+BO566,0)</f>
        <v>52</v>
      </c>
      <c r="BP567" s="98">
        <f t="shared" si="5029"/>
        <v>0</v>
      </c>
      <c r="BQ567" s="98">
        <f t="shared" si="5029"/>
        <v>24</v>
      </c>
      <c r="BR567" s="98">
        <f t="shared" si="5029"/>
        <v>0</v>
      </c>
      <c r="BS567" s="84"/>
      <c r="BT567" s="84">
        <f t="shared" ref="BT567:BW567" si="5030">if(U567&lt;0,U567+BT566,0)</f>
        <v>0</v>
      </c>
      <c r="BU567" s="84">
        <f t="shared" si="5030"/>
        <v>-52</v>
      </c>
      <c r="BV567" s="84">
        <f t="shared" si="5030"/>
        <v>0</v>
      </c>
      <c r="BW567" s="84">
        <f t="shared" si="5030"/>
        <v>-24</v>
      </c>
      <c r="BX567" s="84"/>
      <c r="BY567" s="84"/>
    </row>
    <row r="568">
      <c r="A568" s="51">
        <v>26.0</v>
      </c>
      <c r="B568" s="32">
        <f>'26_30-11-2024'!A3</f>
        <v>1</v>
      </c>
      <c r="C568" s="32">
        <f>'26_30-11-2024'!B3</f>
        <v>-8</v>
      </c>
      <c r="D568" s="32">
        <f>'26_30-11-2024'!C3</f>
        <v>-8</v>
      </c>
      <c r="E568" s="32">
        <f>'26_30-11-2024'!D3</f>
        <v>8</v>
      </c>
      <c r="F568" s="32">
        <f>'26_30-11-2024'!E3</f>
        <v>8</v>
      </c>
      <c r="G568" s="32">
        <f>'26_30-11-2024'!F3</f>
        <v>0</v>
      </c>
      <c r="H568" s="32" t="str">
        <f>'26_30-11-2024'!I3</f>
        <v>Janus</v>
      </c>
      <c r="I568" s="32" t="str">
        <f>'26_30-11-2024'!J3</f>
        <v>Christian</v>
      </c>
      <c r="J568" s="32" t="str">
        <f>'26_30-11-2024'!H3</f>
        <v/>
      </c>
      <c r="K568" s="32" t="str">
        <f>'26_30-11-2024'!G3</f>
        <v>9 halve</v>
      </c>
      <c r="L568" s="32"/>
      <c r="M568" s="48">
        <v>9.0</v>
      </c>
      <c r="N568" s="48" t="s">
        <v>94</v>
      </c>
      <c r="O568" s="32"/>
      <c r="P568" s="32"/>
      <c r="Q568" s="32"/>
      <c r="R568" s="32"/>
      <c r="S568" s="32"/>
      <c r="T568" s="32"/>
      <c r="U568" s="71">
        <f t="shared" ref="U568:X568" si="5031">C568</f>
        <v>-8</v>
      </c>
      <c r="V568" s="32">
        <f t="shared" si="5031"/>
        <v>-8</v>
      </c>
      <c r="W568" s="32">
        <f t="shared" si="5031"/>
        <v>8</v>
      </c>
      <c r="X568" s="32">
        <f t="shared" si="5031"/>
        <v>8</v>
      </c>
      <c r="Y568" s="32"/>
      <c r="Z568" s="32"/>
      <c r="AA568" s="32"/>
      <c r="AB568" s="32" t="str">
        <f t="shared" ref="AB568:AE568" si="5032">IF(AB$3=$H568,U568,"")</f>
        <v/>
      </c>
      <c r="AC568" s="32" t="str">
        <f t="shared" si="5032"/>
        <v/>
      </c>
      <c r="AD568" s="32">
        <f t="shared" si="5032"/>
        <v>8</v>
      </c>
      <c r="AE568" s="32" t="str">
        <f t="shared" si="5032"/>
        <v/>
      </c>
      <c r="AF568" s="32"/>
      <c r="AG568" s="32"/>
      <c r="AH568" s="32">
        <f t="shared" si="22"/>
        <v>8</v>
      </c>
      <c r="AI568" s="32">
        <f t="shared" si="23"/>
        <v>0</v>
      </c>
      <c r="AJ568" s="32"/>
      <c r="AK568" s="72" t="str">
        <f t="shared" ref="AK568:AN568" si="5033">IF(U568&gt;0,AK$3,"")</f>
        <v/>
      </c>
      <c r="AL568" s="72" t="str">
        <f t="shared" si="5033"/>
        <v/>
      </c>
      <c r="AM568" s="72" t="str">
        <f t="shared" si="5033"/>
        <v>Janus</v>
      </c>
      <c r="AN568" s="72" t="str">
        <f t="shared" si="5033"/>
        <v>Christian</v>
      </c>
      <c r="AO568" s="32">
        <f t="shared" si="25"/>
        <v>2</v>
      </c>
      <c r="AP568" s="114" t="str">
        <f t="shared" si="26"/>
        <v>Janus</v>
      </c>
      <c r="AQ568" s="109" t="str">
        <f>IFERROR(__xludf.DUMMYFUNCTION("IFNA(QUERY(transpose(AY568:BB568),""Select Col1 where Col1 is not null limit 1"",0))"),"Christian")</f>
        <v>Christian</v>
      </c>
      <c r="AR568" s="32"/>
      <c r="AS568" s="32" t="str">
        <f t="shared" ref="AS568:AV568" si="5034">IF(AK568=AS$3,"",AS$3)</f>
        <v>Thomas</v>
      </c>
      <c r="AT568" s="32" t="str">
        <f t="shared" si="5034"/>
        <v>Peter</v>
      </c>
      <c r="AU568" s="32" t="str">
        <f t="shared" si="5034"/>
        <v/>
      </c>
      <c r="AV568" s="32" t="str">
        <f t="shared" si="5034"/>
        <v/>
      </c>
      <c r="AW568" s="32">
        <f t="shared" si="28"/>
        <v>2</v>
      </c>
      <c r="AX568" s="32">
        <f t="shared" si="29"/>
        <v>8</v>
      </c>
      <c r="AY568" s="32" t="str">
        <f t="shared" ref="AY568:BB568" si="5035">IFNA(IFS(AY$3=$AP568,"",$AX568=U568,AY$3),"")</f>
        <v/>
      </c>
      <c r="AZ568" s="32" t="str">
        <f t="shared" si="5035"/>
        <v/>
      </c>
      <c r="BA568" s="32" t="str">
        <f t="shared" si="5035"/>
        <v/>
      </c>
      <c r="BB568" s="32" t="str">
        <f t="shared" si="5035"/>
        <v>Christian</v>
      </c>
      <c r="BC568" s="58">
        <f>OFFSET('00_Regnskab_01'!$A$1,MATCH(A568,'00_Regnskab_01'!$A$1:$A$25)-1,2)</f>
        <v>45199</v>
      </c>
      <c r="BD568" s="32"/>
      <c r="BE568" s="80">
        <f t="shared" ref="BE568:BH568" si="5036">if(U568&gt;0,1+BE567,0)</f>
        <v>0</v>
      </c>
      <c r="BF568" s="28">
        <f t="shared" si="5036"/>
        <v>0</v>
      </c>
      <c r="BG568" s="28">
        <f t="shared" si="5036"/>
        <v>2</v>
      </c>
      <c r="BH568" s="28">
        <f t="shared" si="5036"/>
        <v>1</v>
      </c>
      <c r="BI568" s="32"/>
      <c r="BJ568" s="28">
        <f t="shared" ref="BJ568:BM568" si="5037">if(U568&lt;0,1+BJ567,0)</f>
        <v>1</v>
      </c>
      <c r="BK568" s="28">
        <f t="shared" si="5037"/>
        <v>4</v>
      </c>
      <c r="BL568" s="28">
        <f t="shared" si="5037"/>
        <v>0</v>
      </c>
      <c r="BM568" s="28">
        <f t="shared" si="5037"/>
        <v>0</v>
      </c>
      <c r="BO568" s="74">
        <f t="shared" ref="BO568:BR568" si="5038">if(U568&gt;0,U568+BO567,0)</f>
        <v>0</v>
      </c>
      <c r="BP568" s="74">
        <f t="shared" si="5038"/>
        <v>0</v>
      </c>
      <c r="BQ568" s="74">
        <f t="shared" si="5038"/>
        <v>32</v>
      </c>
      <c r="BR568" s="74">
        <f t="shared" si="5038"/>
        <v>8</v>
      </c>
      <c r="BT568" s="28">
        <f t="shared" ref="BT568:BW568" si="5039">if(U568&lt;0,U568+BT567,0)</f>
        <v>-8</v>
      </c>
      <c r="BU568" s="28">
        <f t="shared" si="5039"/>
        <v>-60</v>
      </c>
      <c r="BV568" s="28">
        <f t="shared" si="5039"/>
        <v>0</v>
      </c>
      <c r="BW568" s="28">
        <f t="shared" si="5039"/>
        <v>0</v>
      </c>
      <c r="BX568" s="32"/>
      <c r="BY568" s="32"/>
    </row>
    <row r="569">
      <c r="A569" s="53">
        <v>26.0</v>
      </c>
      <c r="B569" s="28">
        <f>'26_30-11-2024'!A4</f>
        <v>2</v>
      </c>
      <c r="C569" s="28">
        <f>'26_30-11-2024'!B4</f>
        <v>12</v>
      </c>
      <c r="D569" s="28">
        <f>'26_30-11-2024'!C4</f>
        <v>-4</v>
      </c>
      <c r="E569" s="28">
        <f>'26_30-11-2024'!D4</f>
        <v>-4</v>
      </c>
      <c r="F569" s="28">
        <f>'26_30-11-2024'!E4</f>
        <v>-4</v>
      </c>
      <c r="G569" s="28">
        <f>'26_30-11-2024'!F4</f>
        <v>0</v>
      </c>
      <c r="H569" s="28" t="str">
        <f>'26_30-11-2024'!I4</f>
        <v>Thomas</v>
      </c>
      <c r="I569" s="28" t="str">
        <f>'26_30-11-2024'!J4</f>
        <v/>
      </c>
      <c r="J569" s="28" t="str">
        <f>'26_30-11-2024'!H4</f>
        <v/>
      </c>
      <c r="K569" s="28" t="str">
        <f>'26_30-11-2024'!G4</f>
        <v>Sol</v>
      </c>
      <c r="L569" s="56"/>
      <c r="N569" s="25" t="s">
        <v>99</v>
      </c>
      <c r="T569" s="56"/>
      <c r="U569" s="77">
        <f t="shared" ref="U569:X569" si="5040">C569-C568</f>
        <v>20</v>
      </c>
      <c r="V569" s="28">
        <f t="shared" si="5040"/>
        <v>4</v>
      </c>
      <c r="W569" s="28">
        <f t="shared" si="5040"/>
        <v>-12</v>
      </c>
      <c r="X569" s="28">
        <f t="shared" si="5040"/>
        <v>-12</v>
      </c>
      <c r="AB569" s="28">
        <f t="shared" ref="AB569:AE569" si="5041">IF(AB$3=$H569,U569,"")</f>
        <v>20</v>
      </c>
      <c r="AC569" s="28" t="str">
        <f t="shared" si="5041"/>
        <v/>
      </c>
      <c r="AD569" s="28" t="str">
        <f t="shared" si="5041"/>
        <v/>
      </c>
      <c r="AE569" s="28" t="str">
        <f t="shared" si="5041"/>
        <v/>
      </c>
      <c r="AH569" s="28">
        <f t="shared" si="22"/>
        <v>20</v>
      </c>
      <c r="AI569" s="28">
        <f t="shared" si="23"/>
        <v>0</v>
      </c>
      <c r="AK569" s="78" t="str">
        <f t="shared" ref="AK569:AN569" si="5042">IF(U569&gt;0,AK$3,"")</f>
        <v>Thomas</v>
      </c>
      <c r="AL569" s="78" t="str">
        <f t="shared" si="5042"/>
        <v>Peter</v>
      </c>
      <c r="AM569" s="78" t="str">
        <f t="shared" si="5042"/>
        <v/>
      </c>
      <c r="AN569" s="78" t="str">
        <f t="shared" si="5042"/>
        <v/>
      </c>
      <c r="AO569" s="56">
        <f t="shared" si="25"/>
        <v>2</v>
      </c>
      <c r="AP569" s="8" t="str">
        <f t="shared" si="26"/>
        <v>Thomas</v>
      </c>
      <c r="AQ569" s="73" t="str">
        <f>IFERROR(__xludf.DUMMYFUNCTION("IFNA(QUERY(transpose(AY569:BB569),""Select Col1 where Col1 is not null limit 1"",0))"),"")</f>
        <v/>
      </c>
      <c r="AR569" s="56"/>
      <c r="AS569" s="28" t="str">
        <f t="shared" ref="AS569:AV569" si="5043">IF(AK569=AS$3,"",AS$3)</f>
        <v/>
      </c>
      <c r="AT569" s="28" t="str">
        <f t="shared" si="5043"/>
        <v/>
      </c>
      <c r="AU569" s="28" t="str">
        <f t="shared" si="5043"/>
        <v>Janus</v>
      </c>
      <c r="AV569" s="28" t="str">
        <f t="shared" si="5043"/>
        <v>Christian</v>
      </c>
      <c r="AW569" s="56">
        <f t="shared" si="28"/>
        <v>2</v>
      </c>
      <c r="AX569" s="28">
        <f t="shared" si="29"/>
        <v>20</v>
      </c>
      <c r="AY569" s="28" t="str">
        <f t="shared" ref="AY569:BB569" si="5044">IFNA(IFS(AY$3=$AP569,"",$AX569=U569,AY$3),"")</f>
        <v/>
      </c>
      <c r="AZ569" s="28" t="str">
        <f t="shared" si="5044"/>
        <v/>
      </c>
      <c r="BA569" s="28" t="str">
        <f t="shared" si="5044"/>
        <v/>
      </c>
      <c r="BB569" s="28" t="str">
        <f t="shared" si="5044"/>
        <v/>
      </c>
      <c r="BC569" s="58">
        <f>OFFSET('00_Regnskab_01'!$A$1,MATCH(A569,'00_Regnskab_01'!$A$1:$A$25)-1,2)</f>
        <v>45199</v>
      </c>
      <c r="BE569" s="80">
        <f t="shared" ref="BE569:BH569" si="5045">if(U569&gt;0,1+BE568,0)</f>
        <v>1</v>
      </c>
      <c r="BF569" s="28">
        <f t="shared" si="5045"/>
        <v>1</v>
      </c>
      <c r="BG569" s="28">
        <f t="shared" si="5045"/>
        <v>0</v>
      </c>
      <c r="BH569" s="28">
        <f t="shared" si="5045"/>
        <v>0</v>
      </c>
      <c r="BJ569" s="28">
        <f t="shared" ref="BJ569:BM569" si="5046">if(U569&lt;0,1+BJ568,0)</f>
        <v>0</v>
      </c>
      <c r="BK569" s="28">
        <f t="shared" si="5046"/>
        <v>0</v>
      </c>
      <c r="BL569" s="28">
        <f t="shared" si="5046"/>
        <v>1</v>
      </c>
      <c r="BM569" s="28">
        <f t="shared" si="5046"/>
        <v>1</v>
      </c>
      <c r="BO569" s="74">
        <f t="shared" ref="BO569:BR569" si="5047">if(U569&gt;0,U569+BO568,0)</f>
        <v>20</v>
      </c>
      <c r="BP569" s="74">
        <f t="shared" si="5047"/>
        <v>4</v>
      </c>
      <c r="BQ569" s="74">
        <f t="shared" si="5047"/>
        <v>0</v>
      </c>
      <c r="BR569" s="74">
        <f t="shared" si="5047"/>
        <v>0</v>
      </c>
      <c r="BT569" s="28">
        <f t="shared" ref="BT569:BW569" si="5048">if(U569&lt;0,U569+BT568,0)</f>
        <v>0</v>
      </c>
      <c r="BU569" s="28">
        <f t="shared" si="5048"/>
        <v>0</v>
      </c>
      <c r="BV569" s="28">
        <f t="shared" si="5048"/>
        <v>-12</v>
      </c>
      <c r="BW569" s="28">
        <f t="shared" si="5048"/>
        <v>-12</v>
      </c>
    </row>
    <row r="570">
      <c r="A570" s="53">
        <v>26.0</v>
      </c>
      <c r="B570" s="28">
        <f>'26_30-11-2024'!A5</f>
        <v>3</v>
      </c>
      <c r="C570" s="28">
        <f>'26_30-11-2024'!B5</f>
        <v>-80</v>
      </c>
      <c r="D570" s="28">
        <f>'26_30-11-2024'!C5</f>
        <v>80</v>
      </c>
      <c r="E570" s="28">
        <f>'26_30-11-2024'!D5</f>
        <v>80</v>
      </c>
      <c r="F570" s="28">
        <f>'26_30-11-2024'!E5</f>
        <v>-80</v>
      </c>
      <c r="G570" s="28">
        <f>'26_30-11-2024'!F5</f>
        <v>0</v>
      </c>
      <c r="H570" s="28" t="str">
        <f>'26_30-11-2024'!I5</f>
        <v>Peter</v>
      </c>
      <c r="I570" s="28" t="str">
        <f>'26_30-11-2024'!J5</f>
        <v>Janus</v>
      </c>
      <c r="J570" s="28" t="str">
        <f>'26_30-11-2024'!H5</f>
        <v>Christian</v>
      </c>
      <c r="K570" s="28" t="str">
        <f>'26_30-11-2024'!G5</f>
        <v>Sang</v>
      </c>
      <c r="L570" s="56"/>
      <c r="N570" s="25" t="s">
        <v>98</v>
      </c>
      <c r="S570" s="25" t="s">
        <v>15</v>
      </c>
      <c r="T570" s="56"/>
      <c r="U570" s="77">
        <f t="shared" ref="U570:X570" si="5049">C570-C569</f>
        <v>-92</v>
      </c>
      <c r="V570" s="28">
        <f t="shared" si="5049"/>
        <v>84</v>
      </c>
      <c r="W570" s="28">
        <f t="shared" si="5049"/>
        <v>84</v>
      </c>
      <c r="X570" s="28">
        <f t="shared" si="5049"/>
        <v>-76</v>
      </c>
      <c r="AB570" s="28" t="str">
        <f t="shared" ref="AB570:AE570" si="5050">IF(AB$3=$H570,U570,"")</f>
        <v/>
      </c>
      <c r="AC570" s="28">
        <f t="shared" si="5050"/>
        <v>84</v>
      </c>
      <c r="AD570" s="28" t="str">
        <f t="shared" si="5050"/>
        <v/>
      </c>
      <c r="AE570" s="28" t="str">
        <f t="shared" si="5050"/>
        <v/>
      </c>
      <c r="AH570" s="28">
        <f t="shared" si="22"/>
        <v>84</v>
      </c>
      <c r="AI570" s="28">
        <f t="shared" si="23"/>
        <v>0</v>
      </c>
      <c r="AK570" s="78" t="str">
        <f t="shared" ref="AK570:AN570" si="5051">IF(U570&gt;0,AK$3,"")</f>
        <v/>
      </c>
      <c r="AL570" s="78" t="str">
        <f t="shared" si="5051"/>
        <v>Peter</v>
      </c>
      <c r="AM570" s="78" t="str">
        <f t="shared" si="5051"/>
        <v>Janus</v>
      </c>
      <c r="AN570" s="78" t="str">
        <f t="shared" si="5051"/>
        <v/>
      </c>
      <c r="AO570" s="56">
        <f t="shared" si="25"/>
        <v>2</v>
      </c>
      <c r="AP570" s="8" t="str">
        <f t="shared" si="26"/>
        <v>Peter</v>
      </c>
      <c r="AQ570" s="73" t="str">
        <f>IFERROR(__xludf.DUMMYFUNCTION("IFNA(QUERY(transpose(AY570:BB570),""Select Col1 where Col1 is not null limit 1"",0))"),"Janus")</f>
        <v>Janus</v>
      </c>
      <c r="AR570" s="56"/>
      <c r="AS570" s="28" t="str">
        <f t="shared" ref="AS570:AV570" si="5052">IF(AK570=AS$3,"",AS$3)</f>
        <v>Thomas</v>
      </c>
      <c r="AT570" s="28" t="str">
        <f t="shared" si="5052"/>
        <v/>
      </c>
      <c r="AU570" s="28" t="str">
        <f t="shared" si="5052"/>
        <v/>
      </c>
      <c r="AV570" s="28" t="str">
        <f t="shared" si="5052"/>
        <v>Christian</v>
      </c>
      <c r="AW570" s="56">
        <f t="shared" si="28"/>
        <v>2</v>
      </c>
      <c r="AX570" s="28">
        <f t="shared" si="29"/>
        <v>84</v>
      </c>
      <c r="AY570" s="28" t="str">
        <f t="shared" ref="AY570:BB570" si="5053">IFNA(IFS(AY$3=$AP570,"",$AX570=U570,AY$3),"")</f>
        <v/>
      </c>
      <c r="AZ570" s="28" t="str">
        <f t="shared" si="5053"/>
        <v/>
      </c>
      <c r="BA570" s="28" t="str">
        <f t="shared" si="5053"/>
        <v>Janus</v>
      </c>
      <c r="BB570" s="28" t="str">
        <f t="shared" si="5053"/>
        <v/>
      </c>
      <c r="BC570" s="58">
        <f>OFFSET('00_Regnskab_01'!$A$1,MATCH(A570,'00_Regnskab_01'!$A$1:$A$25)-1,2)</f>
        <v>45199</v>
      </c>
      <c r="BE570" s="80">
        <f t="shared" ref="BE570:BH570" si="5054">if(U570&gt;0,1+BE569,0)</f>
        <v>0</v>
      </c>
      <c r="BF570" s="28">
        <f t="shared" si="5054"/>
        <v>2</v>
      </c>
      <c r="BG570" s="28">
        <f t="shared" si="5054"/>
        <v>1</v>
      </c>
      <c r="BH570" s="28">
        <f t="shared" si="5054"/>
        <v>0</v>
      </c>
      <c r="BJ570" s="28">
        <f t="shared" ref="BJ570:BM570" si="5055">if(U570&lt;0,1+BJ569,0)</f>
        <v>1</v>
      </c>
      <c r="BK570" s="28">
        <f t="shared" si="5055"/>
        <v>0</v>
      </c>
      <c r="BL570" s="28">
        <f t="shared" si="5055"/>
        <v>0</v>
      </c>
      <c r="BM570" s="28">
        <f t="shared" si="5055"/>
        <v>2</v>
      </c>
      <c r="BO570" s="74">
        <f t="shared" ref="BO570:BR570" si="5056">if(U570&gt;0,U570+BO569,0)</f>
        <v>0</v>
      </c>
      <c r="BP570" s="74">
        <f t="shared" si="5056"/>
        <v>88</v>
      </c>
      <c r="BQ570" s="74">
        <f t="shared" si="5056"/>
        <v>84</v>
      </c>
      <c r="BR570" s="74">
        <f t="shared" si="5056"/>
        <v>0</v>
      </c>
      <c r="BT570" s="28">
        <f t="shared" ref="BT570:BW570" si="5057">if(U570&lt;0,U570+BT569,0)</f>
        <v>-92</v>
      </c>
      <c r="BU570" s="28">
        <f t="shared" si="5057"/>
        <v>0</v>
      </c>
      <c r="BV570" s="28">
        <f t="shared" si="5057"/>
        <v>0</v>
      </c>
      <c r="BW570" s="28">
        <f t="shared" si="5057"/>
        <v>-88</v>
      </c>
    </row>
    <row r="571">
      <c r="A571" s="53">
        <v>26.0</v>
      </c>
      <c r="B571" s="28">
        <f>'26_30-11-2024'!A6</f>
        <v>4</v>
      </c>
      <c r="C571" s="28">
        <f>'26_30-11-2024'!B6</f>
        <v>-68</v>
      </c>
      <c r="D571" s="28">
        <f>'26_30-11-2024'!C6</f>
        <v>76</v>
      </c>
      <c r="E571" s="28">
        <f>'26_30-11-2024'!D6</f>
        <v>76</v>
      </c>
      <c r="F571" s="28">
        <f>'26_30-11-2024'!E6</f>
        <v>-84</v>
      </c>
      <c r="G571" s="28">
        <f>'26_30-11-2024'!F6</f>
        <v>0</v>
      </c>
      <c r="H571" s="28" t="str">
        <f>'26_30-11-2024'!I6</f>
        <v>Thomas</v>
      </c>
      <c r="I571" s="28" t="str">
        <f>'26_30-11-2024'!J6</f>
        <v/>
      </c>
      <c r="J571" s="28" t="str">
        <f>'26_30-11-2024'!H6</f>
        <v>Peter</v>
      </c>
      <c r="K571" s="28" t="str">
        <f>'26_30-11-2024'!G6</f>
        <v>Sol</v>
      </c>
      <c r="L571" s="56"/>
      <c r="N571" s="25" t="s">
        <v>99</v>
      </c>
      <c r="T571" s="56"/>
      <c r="U571" s="77">
        <f t="shared" ref="U571:X571" si="5058">C571-C570</f>
        <v>12</v>
      </c>
      <c r="V571" s="28">
        <f t="shared" si="5058"/>
        <v>-4</v>
      </c>
      <c r="W571" s="28">
        <f t="shared" si="5058"/>
        <v>-4</v>
      </c>
      <c r="X571" s="28">
        <f t="shared" si="5058"/>
        <v>-4</v>
      </c>
      <c r="AB571" s="28">
        <f t="shared" ref="AB571:AE571" si="5059">IF(AB$3=$H571,U571,"")</f>
        <v>12</v>
      </c>
      <c r="AC571" s="28" t="str">
        <f t="shared" si="5059"/>
        <v/>
      </c>
      <c r="AD571" s="28" t="str">
        <f t="shared" si="5059"/>
        <v/>
      </c>
      <c r="AE571" s="28" t="str">
        <f t="shared" si="5059"/>
        <v/>
      </c>
      <c r="AH571" s="28">
        <f t="shared" si="22"/>
        <v>12</v>
      </c>
      <c r="AI571" s="28">
        <f t="shared" si="23"/>
        <v>0</v>
      </c>
      <c r="AK571" s="78" t="str">
        <f t="shared" ref="AK571:AN571" si="5060">IF(U571&gt;0,AK$3,"")</f>
        <v>Thomas</v>
      </c>
      <c r="AL571" s="78" t="str">
        <f t="shared" si="5060"/>
        <v/>
      </c>
      <c r="AM571" s="78" t="str">
        <f t="shared" si="5060"/>
        <v/>
      </c>
      <c r="AN571" s="78" t="str">
        <f t="shared" si="5060"/>
        <v/>
      </c>
      <c r="AO571" s="56">
        <f t="shared" si="25"/>
        <v>1</v>
      </c>
      <c r="AP571" s="8" t="str">
        <f t="shared" si="26"/>
        <v>Thomas</v>
      </c>
      <c r="AQ571" s="73" t="str">
        <f>IFERROR(__xludf.DUMMYFUNCTION("IFNA(QUERY(transpose(AY571:BB571),""Select Col1 where Col1 is not null limit 1"",0))"),"")</f>
        <v/>
      </c>
      <c r="AR571" s="56"/>
      <c r="AS571" s="28" t="str">
        <f t="shared" ref="AS571:AV571" si="5061">IF(AK571=AS$3,"",AS$3)</f>
        <v/>
      </c>
      <c r="AT571" s="28" t="str">
        <f t="shared" si="5061"/>
        <v>Peter</v>
      </c>
      <c r="AU571" s="28" t="str">
        <f t="shared" si="5061"/>
        <v>Janus</v>
      </c>
      <c r="AV571" s="28" t="str">
        <f t="shared" si="5061"/>
        <v>Christian</v>
      </c>
      <c r="AW571" s="56">
        <f t="shared" si="28"/>
        <v>3</v>
      </c>
      <c r="AX571" s="28">
        <f t="shared" si="29"/>
        <v>12</v>
      </c>
      <c r="AY571" s="28" t="str">
        <f t="shared" ref="AY571:BB571" si="5062">IFNA(IFS(AY$3=$AP571,"",$AX571=U571,AY$3),"")</f>
        <v/>
      </c>
      <c r="AZ571" s="28" t="str">
        <f t="shared" si="5062"/>
        <v/>
      </c>
      <c r="BA571" s="28" t="str">
        <f t="shared" si="5062"/>
        <v/>
      </c>
      <c r="BB571" s="28" t="str">
        <f t="shared" si="5062"/>
        <v/>
      </c>
      <c r="BC571" s="58">
        <f>OFFSET('00_Regnskab_01'!$A$1,MATCH(A571,'00_Regnskab_01'!$A$1:$A$25)-1,2)</f>
        <v>45199</v>
      </c>
      <c r="BE571" s="80">
        <f t="shared" ref="BE571:BH571" si="5063">if(U571&gt;0,1+BE570,0)</f>
        <v>1</v>
      </c>
      <c r="BF571" s="28">
        <f t="shared" si="5063"/>
        <v>0</v>
      </c>
      <c r="BG571" s="28">
        <f t="shared" si="5063"/>
        <v>0</v>
      </c>
      <c r="BH571" s="28">
        <f t="shared" si="5063"/>
        <v>0</v>
      </c>
      <c r="BJ571" s="28">
        <f t="shared" ref="BJ571:BM571" si="5064">if(U571&lt;0,1+BJ570,0)</f>
        <v>0</v>
      </c>
      <c r="BK571" s="28">
        <f t="shared" si="5064"/>
        <v>1</v>
      </c>
      <c r="BL571" s="28">
        <f t="shared" si="5064"/>
        <v>1</v>
      </c>
      <c r="BM571" s="28">
        <f t="shared" si="5064"/>
        <v>3</v>
      </c>
      <c r="BO571" s="74">
        <f t="shared" ref="BO571:BR571" si="5065">if(U571&gt;0,U571+BO570,0)</f>
        <v>12</v>
      </c>
      <c r="BP571" s="74">
        <f t="shared" si="5065"/>
        <v>0</v>
      </c>
      <c r="BQ571" s="74">
        <f t="shared" si="5065"/>
        <v>0</v>
      </c>
      <c r="BR571" s="74">
        <f t="shared" si="5065"/>
        <v>0</v>
      </c>
      <c r="BT571" s="28">
        <f t="shared" ref="BT571:BW571" si="5066">if(U571&lt;0,U571+BT570,0)</f>
        <v>0</v>
      </c>
      <c r="BU571" s="28">
        <f t="shared" si="5066"/>
        <v>-4</v>
      </c>
      <c r="BV571" s="28">
        <f t="shared" si="5066"/>
        <v>-4</v>
      </c>
      <c r="BW571" s="28">
        <f t="shared" si="5066"/>
        <v>-92</v>
      </c>
    </row>
    <row r="572">
      <c r="A572" s="53">
        <v>26.0</v>
      </c>
      <c r="B572" s="28">
        <f>'26_30-11-2024'!A7</f>
        <v>5</v>
      </c>
      <c r="C572" s="28">
        <f>'26_30-11-2024'!B7</f>
        <v>-60</v>
      </c>
      <c r="D572" s="28">
        <f>'26_30-11-2024'!C7</f>
        <v>68</v>
      </c>
      <c r="E572" s="28">
        <f>'26_30-11-2024'!D7</f>
        <v>68</v>
      </c>
      <c r="F572" s="28">
        <f>'26_30-11-2024'!E7</f>
        <v>-76</v>
      </c>
      <c r="G572" s="28">
        <f>'26_30-11-2024'!F7</f>
        <v>0</v>
      </c>
      <c r="H572" s="28" t="str">
        <f>'26_30-11-2024'!I7</f>
        <v>Peter</v>
      </c>
      <c r="I572" s="28" t="str">
        <f>'26_30-11-2024'!J7</f>
        <v>Janus</v>
      </c>
      <c r="J572" s="28" t="str">
        <f>'26_30-11-2024'!H7</f>
        <v>Thomas</v>
      </c>
      <c r="K572" s="28" t="str">
        <f>'26_30-11-2024'!G7</f>
        <v>10 Alm</v>
      </c>
      <c r="L572" s="56"/>
      <c r="M572" s="25">
        <v>10.0</v>
      </c>
      <c r="N572" s="25" t="s">
        <v>100</v>
      </c>
      <c r="T572" s="56"/>
      <c r="U572" s="77">
        <f t="shared" ref="U572:X572" si="5067">C572-C571</f>
        <v>8</v>
      </c>
      <c r="V572" s="28">
        <f t="shared" si="5067"/>
        <v>-8</v>
      </c>
      <c r="W572" s="28">
        <f t="shared" si="5067"/>
        <v>-8</v>
      </c>
      <c r="X572" s="28">
        <f t="shared" si="5067"/>
        <v>8</v>
      </c>
      <c r="AB572" s="28" t="str">
        <f t="shared" ref="AB572:AE572" si="5068">IF(AB$3=$H572,U572,"")</f>
        <v/>
      </c>
      <c r="AC572" s="28">
        <f t="shared" si="5068"/>
        <v>-8</v>
      </c>
      <c r="AD572" s="28" t="str">
        <f t="shared" si="5068"/>
        <v/>
      </c>
      <c r="AE572" s="28" t="str">
        <f t="shared" si="5068"/>
        <v/>
      </c>
      <c r="AH572" s="28">
        <f t="shared" si="22"/>
        <v>0</v>
      </c>
      <c r="AI572" s="28">
        <f t="shared" si="23"/>
        <v>-8</v>
      </c>
      <c r="AK572" s="78" t="str">
        <f t="shared" ref="AK572:AN572" si="5069">IF(U572&gt;0,AK$3,"")</f>
        <v>Thomas</v>
      </c>
      <c r="AL572" s="78" t="str">
        <f t="shared" si="5069"/>
        <v/>
      </c>
      <c r="AM572" s="78" t="str">
        <f t="shared" si="5069"/>
        <v/>
      </c>
      <c r="AN572" s="78" t="str">
        <f t="shared" si="5069"/>
        <v>Christian</v>
      </c>
      <c r="AO572" s="56">
        <f t="shared" si="25"/>
        <v>2</v>
      </c>
      <c r="AP572" s="8" t="str">
        <f t="shared" si="26"/>
        <v>Peter</v>
      </c>
      <c r="AQ572" s="73" t="str">
        <f>IFERROR(__xludf.DUMMYFUNCTION("IFNA(QUERY(transpose(AY572:BB572),""Select Col1 where Col1 is not null limit 1"",0))"),"Janus")</f>
        <v>Janus</v>
      </c>
      <c r="AR572" s="56"/>
      <c r="AS572" s="28" t="str">
        <f t="shared" ref="AS572:AV572" si="5070">IF(AK572=AS$3,"",AS$3)</f>
        <v/>
      </c>
      <c r="AT572" s="28" t="str">
        <f t="shared" si="5070"/>
        <v>Peter</v>
      </c>
      <c r="AU572" s="28" t="str">
        <f t="shared" si="5070"/>
        <v>Janus</v>
      </c>
      <c r="AV572" s="28" t="str">
        <f t="shared" si="5070"/>
        <v/>
      </c>
      <c r="AW572" s="56">
        <f t="shared" si="28"/>
        <v>2</v>
      </c>
      <c r="AX572" s="28">
        <f t="shared" si="29"/>
        <v>-8</v>
      </c>
      <c r="AY572" s="28" t="str">
        <f t="shared" ref="AY572:BB572" si="5071">IFNA(IFS(AY$3=$AP572,"",$AX572=U572,AY$3),"")</f>
        <v/>
      </c>
      <c r="AZ572" s="28" t="str">
        <f t="shared" si="5071"/>
        <v/>
      </c>
      <c r="BA572" s="28" t="str">
        <f t="shared" si="5071"/>
        <v>Janus</v>
      </c>
      <c r="BB572" s="28" t="str">
        <f t="shared" si="5071"/>
        <v/>
      </c>
      <c r="BC572" s="58">
        <f>OFFSET('00_Regnskab_01'!$A$1,MATCH(A572,'00_Regnskab_01'!$A$1:$A$25)-1,2)</f>
        <v>45199</v>
      </c>
      <c r="BE572" s="80">
        <f t="shared" ref="BE572:BH572" si="5072">if(U572&gt;0,1+BE571,0)</f>
        <v>2</v>
      </c>
      <c r="BF572" s="28">
        <f t="shared" si="5072"/>
        <v>0</v>
      </c>
      <c r="BG572" s="28">
        <f t="shared" si="5072"/>
        <v>0</v>
      </c>
      <c r="BH572" s="28">
        <f t="shared" si="5072"/>
        <v>1</v>
      </c>
      <c r="BJ572" s="28">
        <f t="shared" ref="BJ572:BM572" si="5073">if(U572&lt;0,1+BJ571,0)</f>
        <v>0</v>
      </c>
      <c r="BK572" s="28">
        <f t="shared" si="5073"/>
        <v>2</v>
      </c>
      <c r="BL572" s="28">
        <f t="shared" si="5073"/>
        <v>2</v>
      </c>
      <c r="BM572" s="28">
        <f t="shared" si="5073"/>
        <v>0</v>
      </c>
      <c r="BO572" s="74">
        <f t="shared" ref="BO572:BR572" si="5074">if(U572&gt;0,U572+BO571,0)</f>
        <v>20</v>
      </c>
      <c r="BP572" s="74">
        <f t="shared" si="5074"/>
        <v>0</v>
      </c>
      <c r="BQ572" s="74">
        <f t="shared" si="5074"/>
        <v>0</v>
      </c>
      <c r="BR572" s="74">
        <f t="shared" si="5074"/>
        <v>8</v>
      </c>
      <c r="BT572" s="28">
        <f t="shared" ref="BT572:BW572" si="5075">if(U572&lt;0,U572+BT571,0)</f>
        <v>0</v>
      </c>
      <c r="BU572" s="28">
        <f t="shared" si="5075"/>
        <v>-12</v>
      </c>
      <c r="BV572" s="28">
        <f t="shared" si="5075"/>
        <v>-12</v>
      </c>
      <c r="BW572" s="28">
        <f t="shared" si="5075"/>
        <v>0</v>
      </c>
    </row>
    <row r="573">
      <c r="A573" s="53">
        <v>26.0</v>
      </c>
      <c r="B573" s="28">
        <f>'26_30-11-2024'!A8</f>
        <v>6</v>
      </c>
      <c r="C573" s="28">
        <f>'26_30-11-2024'!B8</f>
        <v>-64</v>
      </c>
      <c r="D573" s="28">
        <f>'26_30-11-2024'!C8</f>
        <v>80</v>
      </c>
      <c r="E573" s="28">
        <f>'26_30-11-2024'!D8</f>
        <v>64</v>
      </c>
      <c r="F573" s="28">
        <f>'26_30-11-2024'!E8</f>
        <v>-80</v>
      </c>
      <c r="G573" s="28">
        <f>'26_30-11-2024'!F8</f>
        <v>0</v>
      </c>
      <c r="H573" s="28" t="str">
        <f>'26_30-11-2024'!I8</f>
        <v>Peter</v>
      </c>
      <c r="I573" s="28" t="str">
        <f>'26_30-11-2024'!J8</f>
        <v/>
      </c>
      <c r="J573" s="28" t="str">
        <f>'26_30-11-2024'!H8</f>
        <v>Janus</v>
      </c>
      <c r="K573" s="28" t="str">
        <f>'26_30-11-2024'!G8</f>
        <v>Sol</v>
      </c>
      <c r="L573" s="56"/>
      <c r="N573" s="25" t="s">
        <v>99</v>
      </c>
      <c r="T573" s="56"/>
      <c r="U573" s="77">
        <f t="shared" ref="U573:X573" si="5076">C573-C572</f>
        <v>-4</v>
      </c>
      <c r="V573" s="28">
        <f t="shared" si="5076"/>
        <v>12</v>
      </c>
      <c r="W573" s="28">
        <f t="shared" si="5076"/>
        <v>-4</v>
      </c>
      <c r="X573" s="28">
        <f t="shared" si="5076"/>
        <v>-4</v>
      </c>
      <c r="AB573" s="28" t="str">
        <f t="shared" ref="AB573:AE573" si="5077">IF(AB$3=$H573,U573,"")</f>
        <v/>
      </c>
      <c r="AC573" s="28">
        <f t="shared" si="5077"/>
        <v>12</v>
      </c>
      <c r="AD573" s="28" t="str">
        <f t="shared" si="5077"/>
        <v/>
      </c>
      <c r="AE573" s="28" t="str">
        <f t="shared" si="5077"/>
        <v/>
      </c>
      <c r="AH573" s="28">
        <f t="shared" si="22"/>
        <v>12</v>
      </c>
      <c r="AI573" s="28">
        <f t="shared" si="23"/>
        <v>0</v>
      </c>
      <c r="AK573" s="78" t="str">
        <f t="shared" ref="AK573:AN573" si="5078">IF(U573&gt;0,AK$3,"")</f>
        <v/>
      </c>
      <c r="AL573" s="78" t="str">
        <f t="shared" si="5078"/>
        <v>Peter</v>
      </c>
      <c r="AM573" s="78" t="str">
        <f t="shared" si="5078"/>
        <v/>
      </c>
      <c r="AN573" s="78" t="str">
        <f t="shared" si="5078"/>
        <v/>
      </c>
      <c r="AO573" s="56">
        <f t="shared" si="25"/>
        <v>1</v>
      </c>
      <c r="AP573" s="8" t="str">
        <f t="shared" si="26"/>
        <v>Peter</v>
      </c>
      <c r="AQ573" s="73" t="str">
        <f>IFERROR(__xludf.DUMMYFUNCTION("IFNA(QUERY(transpose(AY573:BB573),""Select Col1 where Col1 is not null limit 1"",0))"),"")</f>
        <v/>
      </c>
      <c r="AR573" s="56"/>
      <c r="AS573" s="28" t="str">
        <f t="shared" ref="AS573:AV573" si="5079">IF(AK573=AS$3,"",AS$3)</f>
        <v>Thomas</v>
      </c>
      <c r="AT573" s="28" t="str">
        <f t="shared" si="5079"/>
        <v/>
      </c>
      <c r="AU573" s="28" t="str">
        <f t="shared" si="5079"/>
        <v>Janus</v>
      </c>
      <c r="AV573" s="28" t="str">
        <f t="shared" si="5079"/>
        <v>Christian</v>
      </c>
      <c r="AW573" s="56">
        <f t="shared" si="28"/>
        <v>3</v>
      </c>
      <c r="AX573" s="28">
        <f t="shared" si="29"/>
        <v>12</v>
      </c>
      <c r="AY573" s="28" t="str">
        <f t="shared" ref="AY573:BB573" si="5080">IFNA(IFS(AY$3=$AP573,"",$AX573=U573,AY$3),"")</f>
        <v/>
      </c>
      <c r="AZ573" s="28" t="str">
        <f t="shared" si="5080"/>
        <v/>
      </c>
      <c r="BA573" s="28" t="str">
        <f t="shared" si="5080"/>
        <v/>
      </c>
      <c r="BB573" s="28" t="str">
        <f t="shared" si="5080"/>
        <v/>
      </c>
      <c r="BC573" s="58">
        <f>OFFSET('00_Regnskab_01'!$A$1,MATCH(A573,'00_Regnskab_01'!$A$1:$A$25)-1,2)</f>
        <v>45199</v>
      </c>
      <c r="BE573" s="80">
        <f t="shared" ref="BE573:BH573" si="5081">if(U573&gt;0,1+BE572,0)</f>
        <v>0</v>
      </c>
      <c r="BF573" s="28">
        <f t="shared" si="5081"/>
        <v>1</v>
      </c>
      <c r="BG573" s="28">
        <f t="shared" si="5081"/>
        <v>0</v>
      </c>
      <c r="BH573" s="28">
        <f t="shared" si="5081"/>
        <v>0</v>
      </c>
      <c r="BJ573" s="28">
        <f t="shared" ref="BJ573:BM573" si="5082">if(U573&lt;0,1+BJ572,0)</f>
        <v>1</v>
      </c>
      <c r="BK573" s="28">
        <f t="shared" si="5082"/>
        <v>0</v>
      </c>
      <c r="BL573" s="28">
        <f t="shared" si="5082"/>
        <v>3</v>
      </c>
      <c r="BM573" s="28">
        <f t="shared" si="5082"/>
        <v>1</v>
      </c>
      <c r="BO573" s="74">
        <f t="shared" ref="BO573:BR573" si="5083">if(U573&gt;0,U573+BO572,0)</f>
        <v>0</v>
      </c>
      <c r="BP573" s="74">
        <f t="shared" si="5083"/>
        <v>12</v>
      </c>
      <c r="BQ573" s="74">
        <f t="shared" si="5083"/>
        <v>0</v>
      </c>
      <c r="BR573" s="74">
        <f t="shared" si="5083"/>
        <v>0</v>
      </c>
      <c r="BT573" s="28">
        <f t="shared" ref="BT573:BW573" si="5084">if(U573&lt;0,U573+BT572,0)</f>
        <v>-4</v>
      </c>
      <c r="BU573" s="28">
        <f t="shared" si="5084"/>
        <v>0</v>
      </c>
      <c r="BV573" s="28">
        <f t="shared" si="5084"/>
        <v>-16</v>
      </c>
      <c r="BW573" s="28">
        <f t="shared" si="5084"/>
        <v>-4</v>
      </c>
    </row>
    <row r="574">
      <c r="A574" s="53">
        <v>26.0</v>
      </c>
      <c r="B574" s="28">
        <f>'26_30-11-2024'!A9</f>
        <v>7</v>
      </c>
      <c r="C574" s="28">
        <f>'26_30-11-2024'!B9</f>
        <v>-80</v>
      </c>
      <c r="D574" s="28">
        <f>'26_30-11-2024'!C9</f>
        <v>128</v>
      </c>
      <c r="E574" s="28">
        <f>'26_30-11-2024'!D9</f>
        <v>48</v>
      </c>
      <c r="F574" s="28">
        <f>'26_30-11-2024'!E9</f>
        <v>-96</v>
      </c>
      <c r="G574" s="28">
        <f>'26_30-11-2024'!F9</f>
        <v>0</v>
      </c>
      <c r="H574" s="28" t="str">
        <f>'26_30-11-2024'!I9</f>
        <v>Peter</v>
      </c>
      <c r="I574" s="28" t="str">
        <f>'26_30-11-2024'!J9</f>
        <v/>
      </c>
      <c r="J574" s="28" t="str">
        <f>'26_30-11-2024'!H9</f>
        <v/>
      </c>
      <c r="K574" s="28" t="str">
        <f>'26_30-11-2024'!G9</f>
        <v>Halv bordlæggrer</v>
      </c>
      <c r="L574" s="56"/>
      <c r="N574" s="25" t="s">
        <v>101</v>
      </c>
      <c r="T574" s="56"/>
      <c r="U574" s="77">
        <f t="shared" ref="U574:X574" si="5085">C574-C573</f>
        <v>-16</v>
      </c>
      <c r="V574" s="28">
        <f t="shared" si="5085"/>
        <v>48</v>
      </c>
      <c r="W574" s="28">
        <f t="shared" si="5085"/>
        <v>-16</v>
      </c>
      <c r="X574" s="28">
        <f t="shared" si="5085"/>
        <v>-16</v>
      </c>
      <c r="AB574" s="28" t="str">
        <f t="shared" ref="AB574:AE574" si="5086">IF(AB$3=$H574,U574,"")</f>
        <v/>
      </c>
      <c r="AC574" s="28">
        <f t="shared" si="5086"/>
        <v>48</v>
      </c>
      <c r="AD574" s="28" t="str">
        <f t="shared" si="5086"/>
        <v/>
      </c>
      <c r="AE574" s="28" t="str">
        <f t="shared" si="5086"/>
        <v/>
      </c>
      <c r="AH574" s="28">
        <f t="shared" si="22"/>
        <v>48</v>
      </c>
      <c r="AI574" s="28">
        <f t="shared" si="23"/>
        <v>0</v>
      </c>
      <c r="AK574" s="78" t="str">
        <f t="shared" ref="AK574:AN574" si="5087">IF(U574&gt;0,AK$3,"")</f>
        <v/>
      </c>
      <c r="AL574" s="78" t="str">
        <f t="shared" si="5087"/>
        <v>Peter</v>
      </c>
      <c r="AM574" s="78" t="str">
        <f t="shared" si="5087"/>
        <v/>
      </c>
      <c r="AN574" s="78" t="str">
        <f t="shared" si="5087"/>
        <v/>
      </c>
      <c r="AO574" s="56">
        <f t="shared" si="25"/>
        <v>1</v>
      </c>
      <c r="AP574" s="8" t="str">
        <f t="shared" si="26"/>
        <v>Peter</v>
      </c>
      <c r="AQ574" s="73" t="str">
        <f>IFERROR(__xludf.DUMMYFUNCTION("IFNA(QUERY(transpose(AY574:BB574),""Select Col1 where Col1 is not null limit 1"",0))"),"")</f>
        <v/>
      </c>
      <c r="AR574" s="56"/>
      <c r="AS574" s="28" t="str">
        <f t="shared" ref="AS574:AV574" si="5088">IF(AK574=AS$3,"",AS$3)</f>
        <v>Thomas</v>
      </c>
      <c r="AT574" s="28" t="str">
        <f t="shared" si="5088"/>
        <v/>
      </c>
      <c r="AU574" s="28" t="str">
        <f t="shared" si="5088"/>
        <v>Janus</v>
      </c>
      <c r="AV574" s="28" t="str">
        <f t="shared" si="5088"/>
        <v>Christian</v>
      </c>
      <c r="AW574" s="56">
        <f t="shared" si="28"/>
        <v>3</v>
      </c>
      <c r="AX574" s="28">
        <f t="shared" si="29"/>
        <v>48</v>
      </c>
      <c r="AY574" s="28" t="str">
        <f t="shared" ref="AY574:BB574" si="5089">IFNA(IFS(AY$3=$AP574,"",$AX574=U574,AY$3),"")</f>
        <v/>
      </c>
      <c r="AZ574" s="28" t="str">
        <f t="shared" si="5089"/>
        <v/>
      </c>
      <c r="BA574" s="28" t="str">
        <f t="shared" si="5089"/>
        <v/>
      </c>
      <c r="BB574" s="28" t="str">
        <f t="shared" si="5089"/>
        <v/>
      </c>
      <c r="BC574" s="58">
        <f>OFFSET('00_Regnskab_01'!$A$1,MATCH(A574,'00_Regnskab_01'!$A$1:$A$25)-1,2)</f>
        <v>45199</v>
      </c>
      <c r="BE574" s="80">
        <f t="shared" ref="BE574:BH574" si="5090">if(U574&gt;0,1+BE573,0)</f>
        <v>0</v>
      </c>
      <c r="BF574" s="28">
        <f t="shared" si="5090"/>
        <v>2</v>
      </c>
      <c r="BG574" s="28">
        <f t="shared" si="5090"/>
        <v>0</v>
      </c>
      <c r="BH574" s="28">
        <f t="shared" si="5090"/>
        <v>0</v>
      </c>
      <c r="BJ574" s="28">
        <f t="shared" ref="BJ574:BM574" si="5091">if(U574&lt;0,1+BJ573,0)</f>
        <v>2</v>
      </c>
      <c r="BK574" s="28">
        <f t="shared" si="5091"/>
        <v>0</v>
      </c>
      <c r="BL574" s="28">
        <f t="shared" si="5091"/>
        <v>4</v>
      </c>
      <c r="BM574" s="28">
        <f t="shared" si="5091"/>
        <v>2</v>
      </c>
      <c r="BO574" s="74">
        <f t="shared" ref="BO574:BR574" si="5092">if(U574&gt;0,U574+BO573,0)</f>
        <v>0</v>
      </c>
      <c r="BP574" s="74">
        <f t="shared" si="5092"/>
        <v>60</v>
      </c>
      <c r="BQ574" s="74">
        <f t="shared" si="5092"/>
        <v>0</v>
      </c>
      <c r="BR574" s="74">
        <f t="shared" si="5092"/>
        <v>0</v>
      </c>
      <c r="BT574" s="28">
        <f t="shared" ref="BT574:BW574" si="5093">if(U574&lt;0,U574+BT573,0)</f>
        <v>-20</v>
      </c>
      <c r="BU574" s="28">
        <f t="shared" si="5093"/>
        <v>0</v>
      </c>
      <c r="BV574" s="28">
        <f t="shared" si="5093"/>
        <v>-32</v>
      </c>
      <c r="BW574" s="28">
        <f t="shared" si="5093"/>
        <v>-20</v>
      </c>
    </row>
    <row r="575">
      <c r="A575" s="53">
        <v>26.0</v>
      </c>
      <c r="B575" s="28">
        <f>'26_30-11-2024'!A10</f>
        <v>8</v>
      </c>
      <c r="C575" s="28">
        <f>'26_30-11-2024'!B10</f>
        <v>-64</v>
      </c>
      <c r="D575" s="28">
        <f>'26_30-11-2024'!C10</f>
        <v>112</v>
      </c>
      <c r="E575" s="28">
        <f>'26_30-11-2024'!D10</f>
        <v>64</v>
      </c>
      <c r="F575" s="28">
        <f>'26_30-11-2024'!E10</f>
        <v>-112</v>
      </c>
      <c r="G575" s="28">
        <f>'26_30-11-2024'!F10</f>
        <v>0</v>
      </c>
      <c r="H575" s="28" t="str">
        <f>'26_30-11-2024'!I10</f>
        <v/>
      </c>
      <c r="I575" s="28" t="str">
        <f>'26_30-11-2024'!J10</f>
        <v>Thomas</v>
      </c>
      <c r="J575" s="28" t="str">
        <f>'26_30-11-2024'!H10</f>
        <v>Janus</v>
      </c>
      <c r="K575" s="28" t="str">
        <f>'26_30-11-2024'!G10</f>
        <v>9 vip 1. Ruder til hjerter</v>
      </c>
      <c r="L575" s="56"/>
      <c r="M575" s="25">
        <v>9.0</v>
      </c>
      <c r="N575" s="25" t="s">
        <v>86</v>
      </c>
      <c r="O575" s="25">
        <v>1.0</v>
      </c>
      <c r="T575" s="56"/>
      <c r="U575" s="77">
        <f t="shared" ref="U575:X575" si="5094">C575-C574</f>
        <v>16</v>
      </c>
      <c r="V575" s="28">
        <f t="shared" si="5094"/>
        <v>-16</v>
      </c>
      <c r="W575" s="28">
        <f t="shared" si="5094"/>
        <v>16</v>
      </c>
      <c r="X575" s="28">
        <f t="shared" si="5094"/>
        <v>-16</v>
      </c>
      <c r="AB575" s="28" t="str">
        <f t="shared" ref="AB575:AE575" si="5095">IF(AB$3=$H575,U575,"")</f>
        <v/>
      </c>
      <c r="AC575" s="28" t="str">
        <f t="shared" si="5095"/>
        <v/>
      </c>
      <c r="AD575" s="28" t="str">
        <f t="shared" si="5095"/>
        <v/>
      </c>
      <c r="AE575" s="28" t="str">
        <f t="shared" si="5095"/>
        <v/>
      </c>
      <c r="AH575" s="28">
        <f t="shared" si="22"/>
        <v>0</v>
      </c>
      <c r="AI575" s="28">
        <f t="shared" si="23"/>
        <v>0</v>
      </c>
      <c r="AK575" s="78" t="str">
        <f t="shared" ref="AK575:AN575" si="5096">IF(U575&gt;0,AK$3,"")</f>
        <v>Thomas</v>
      </c>
      <c r="AL575" s="78" t="str">
        <f t="shared" si="5096"/>
        <v/>
      </c>
      <c r="AM575" s="78" t="str">
        <f t="shared" si="5096"/>
        <v>Janus</v>
      </c>
      <c r="AN575" s="78" t="str">
        <f t="shared" si="5096"/>
        <v/>
      </c>
      <c r="AO575" s="56">
        <f t="shared" si="25"/>
        <v>2</v>
      </c>
      <c r="AP575" s="8" t="str">
        <f t="shared" si="26"/>
        <v/>
      </c>
      <c r="AQ575" s="73" t="str">
        <f>IFERROR(__xludf.DUMMYFUNCTION("IFNA(QUERY(transpose(AY575:BB575),""Select Col1 where Col1 is not null limit 1"",0))"),"")</f>
        <v/>
      </c>
      <c r="AR575" s="56"/>
      <c r="AS575" s="28" t="str">
        <f t="shared" ref="AS575:AV575" si="5097">IF(AK575=AS$3,"",AS$3)</f>
        <v/>
      </c>
      <c r="AT575" s="28" t="str">
        <f t="shared" si="5097"/>
        <v>Peter</v>
      </c>
      <c r="AU575" s="28" t="str">
        <f t="shared" si="5097"/>
        <v/>
      </c>
      <c r="AV575" s="28" t="str">
        <f t="shared" si="5097"/>
        <v>Christian</v>
      </c>
      <c r="AW575" s="56">
        <f t="shared" si="28"/>
        <v>2</v>
      </c>
      <c r="AX575" s="28">
        <f t="shared" si="29"/>
        <v>0</v>
      </c>
      <c r="AY575" s="28" t="str">
        <f t="shared" ref="AY575:BB575" si="5098">IFNA(IFS(AY$3=$AP575,"",$AX575=U575,AY$3),"")</f>
        <v/>
      </c>
      <c r="AZ575" s="28" t="str">
        <f t="shared" si="5098"/>
        <v/>
      </c>
      <c r="BA575" s="28" t="str">
        <f t="shared" si="5098"/>
        <v/>
      </c>
      <c r="BB575" s="28" t="str">
        <f t="shared" si="5098"/>
        <v/>
      </c>
      <c r="BC575" s="58">
        <f>OFFSET('00_Regnskab_01'!$A$1,MATCH(A575,'00_Regnskab_01'!$A$1:$A$25)-1,2)</f>
        <v>45199</v>
      </c>
      <c r="BE575" s="80">
        <f t="shared" ref="BE575:BH575" si="5099">if(U575&gt;0,1+BE574,0)</f>
        <v>1</v>
      </c>
      <c r="BF575" s="28">
        <f t="shared" si="5099"/>
        <v>0</v>
      </c>
      <c r="BG575" s="28">
        <f t="shared" si="5099"/>
        <v>1</v>
      </c>
      <c r="BH575" s="28">
        <f t="shared" si="5099"/>
        <v>0</v>
      </c>
      <c r="BJ575" s="28">
        <f t="shared" ref="BJ575:BM575" si="5100">if(U575&lt;0,1+BJ574,0)</f>
        <v>0</v>
      </c>
      <c r="BK575" s="28">
        <f t="shared" si="5100"/>
        <v>1</v>
      </c>
      <c r="BL575" s="28">
        <f t="shared" si="5100"/>
        <v>0</v>
      </c>
      <c r="BM575" s="28">
        <f t="shared" si="5100"/>
        <v>3</v>
      </c>
      <c r="BO575" s="74">
        <f t="shared" ref="BO575:BR575" si="5101">if(U575&gt;0,U575+BO574,0)</f>
        <v>16</v>
      </c>
      <c r="BP575" s="74">
        <f t="shared" si="5101"/>
        <v>0</v>
      </c>
      <c r="BQ575" s="74">
        <f t="shared" si="5101"/>
        <v>16</v>
      </c>
      <c r="BR575" s="74">
        <f t="shared" si="5101"/>
        <v>0</v>
      </c>
      <c r="BT575" s="28">
        <f t="shared" ref="BT575:BW575" si="5102">if(U575&lt;0,U575+BT574,0)</f>
        <v>0</v>
      </c>
      <c r="BU575" s="28">
        <f t="shared" si="5102"/>
        <v>-16</v>
      </c>
      <c r="BV575" s="28">
        <f t="shared" si="5102"/>
        <v>0</v>
      </c>
      <c r="BW575" s="28">
        <f t="shared" si="5102"/>
        <v>-36</v>
      </c>
    </row>
    <row r="576">
      <c r="A576" s="53">
        <v>26.0</v>
      </c>
      <c r="B576" s="28">
        <f>'26_30-11-2024'!A11</f>
        <v>9</v>
      </c>
      <c r="C576" s="28">
        <f>'26_30-11-2024'!B11</f>
        <v>-60</v>
      </c>
      <c r="D576" s="28">
        <f>'26_30-11-2024'!C11</f>
        <v>116</v>
      </c>
      <c r="E576" s="28">
        <f>'26_30-11-2024'!D11</f>
        <v>52</v>
      </c>
      <c r="F576" s="28">
        <f>'26_30-11-2024'!E11</f>
        <v>-108</v>
      </c>
      <c r="G576" s="28">
        <f>'26_30-11-2024'!F11</f>
        <v>0</v>
      </c>
      <c r="H576" s="28" t="str">
        <f>'26_30-11-2024'!I11</f>
        <v>Janus</v>
      </c>
      <c r="I576" s="28" t="str">
        <f>'26_30-11-2024'!J11</f>
        <v/>
      </c>
      <c r="J576" s="28" t="str">
        <f>'26_30-11-2024'!H11</f>
        <v/>
      </c>
      <c r="K576" s="28" t="str">
        <f>'26_30-11-2024'!G11</f>
        <v>Sol</v>
      </c>
      <c r="L576" s="56"/>
      <c r="N576" s="25" t="s">
        <v>99</v>
      </c>
      <c r="T576" s="56"/>
      <c r="U576" s="77">
        <f t="shared" ref="U576:X576" si="5103">C576-C575</f>
        <v>4</v>
      </c>
      <c r="V576" s="28">
        <f t="shared" si="5103"/>
        <v>4</v>
      </c>
      <c r="W576" s="28">
        <f t="shared" si="5103"/>
        <v>-12</v>
      </c>
      <c r="X576" s="28">
        <f t="shared" si="5103"/>
        <v>4</v>
      </c>
      <c r="AB576" s="28" t="str">
        <f t="shared" ref="AB576:AE576" si="5104">IF(AB$3=$H576,U576,"")</f>
        <v/>
      </c>
      <c r="AC576" s="28" t="str">
        <f t="shared" si="5104"/>
        <v/>
      </c>
      <c r="AD576" s="28">
        <f t="shared" si="5104"/>
        <v>-12</v>
      </c>
      <c r="AE576" s="28" t="str">
        <f t="shared" si="5104"/>
        <v/>
      </c>
      <c r="AH576" s="28">
        <f t="shared" si="22"/>
        <v>0</v>
      </c>
      <c r="AI576" s="28">
        <f t="shared" si="23"/>
        <v>-12</v>
      </c>
      <c r="AK576" s="78" t="str">
        <f t="shared" ref="AK576:AN576" si="5105">IF(U576&gt;0,AK$3,"")</f>
        <v>Thomas</v>
      </c>
      <c r="AL576" s="78" t="str">
        <f t="shared" si="5105"/>
        <v>Peter</v>
      </c>
      <c r="AM576" s="78" t="str">
        <f t="shared" si="5105"/>
        <v/>
      </c>
      <c r="AN576" s="78" t="str">
        <f t="shared" si="5105"/>
        <v>Christian</v>
      </c>
      <c r="AO576" s="56">
        <f t="shared" si="25"/>
        <v>3</v>
      </c>
      <c r="AP576" s="8" t="str">
        <f t="shared" si="26"/>
        <v>Janus</v>
      </c>
      <c r="AQ576" s="73" t="str">
        <f>IFERROR(__xludf.DUMMYFUNCTION("IFNA(QUERY(transpose(AY576:BB576),""Select Col1 where Col1 is not null limit 1"",0))"),"")</f>
        <v/>
      </c>
      <c r="AR576" s="56"/>
      <c r="AS576" s="28" t="str">
        <f t="shared" ref="AS576:AV576" si="5106">IF(AK576=AS$3,"",AS$3)</f>
        <v/>
      </c>
      <c r="AT576" s="28" t="str">
        <f t="shared" si="5106"/>
        <v/>
      </c>
      <c r="AU576" s="28" t="str">
        <f t="shared" si="5106"/>
        <v>Janus</v>
      </c>
      <c r="AV576" s="28" t="str">
        <f t="shared" si="5106"/>
        <v/>
      </c>
      <c r="AW576" s="56">
        <f t="shared" si="28"/>
        <v>1</v>
      </c>
      <c r="AX576" s="28">
        <f t="shared" si="29"/>
        <v>-12</v>
      </c>
      <c r="AY576" s="28" t="str">
        <f t="shared" ref="AY576:BB576" si="5107">IFNA(IFS(AY$3=$AP576,"",$AX576=U576,AY$3),"")</f>
        <v/>
      </c>
      <c r="AZ576" s="28" t="str">
        <f t="shared" si="5107"/>
        <v/>
      </c>
      <c r="BA576" s="28" t="str">
        <f t="shared" si="5107"/>
        <v/>
      </c>
      <c r="BB576" s="28" t="str">
        <f t="shared" si="5107"/>
        <v/>
      </c>
      <c r="BC576" s="58">
        <f>OFFSET('00_Regnskab_01'!$A$1,MATCH(A576,'00_Regnskab_01'!$A$1:$A$25)-1,2)</f>
        <v>45199</v>
      </c>
      <c r="BE576" s="80">
        <f t="shared" ref="BE576:BH576" si="5108">if(U576&gt;0,1+BE575,0)</f>
        <v>2</v>
      </c>
      <c r="BF576" s="28">
        <f t="shared" si="5108"/>
        <v>1</v>
      </c>
      <c r="BG576" s="28">
        <f t="shared" si="5108"/>
        <v>0</v>
      </c>
      <c r="BH576" s="28">
        <f t="shared" si="5108"/>
        <v>1</v>
      </c>
      <c r="BJ576" s="28">
        <f t="shared" ref="BJ576:BM576" si="5109">if(U576&lt;0,1+BJ575,0)</f>
        <v>0</v>
      </c>
      <c r="BK576" s="28">
        <f t="shared" si="5109"/>
        <v>0</v>
      </c>
      <c r="BL576" s="28">
        <f t="shared" si="5109"/>
        <v>1</v>
      </c>
      <c r="BM576" s="28">
        <f t="shared" si="5109"/>
        <v>0</v>
      </c>
      <c r="BO576" s="74">
        <f t="shared" ref="BO576:BR576" si="5110">if(U576&gt;0,U576+BO575,0)</f>
        <v>20</v>
      </c>
      <c r="BP576" s="74">
        <f t="shared" si="5110"/>
        <v>4</v>
      </c>
      <c r="BQ576" s="74">
        <f t="shared" si="5110"/>
        <v>0</v>
      </c>
      <c r="BR576" s="74">
        <f t="shared" si="5110"/>
        <v>4</v>
      </c>
      <c r="BT576" s="28">
        <f t="shared" ref="BT576:BW576" si="5111">if(U576&lt;0,U576+BT575,0)</f>
        <v>0</v>
      </c>
      <c r="BU576" s="28">
        <f t="shared" si="5111"/>
        <v>0</v>
      </c>
      <c r="BV576" s="28">
        <f t="shared" si="5111"/>
        <v>-12</v>
      </c>
      <c r="BW576" s="28">
        <f t="shared" si="5111"/>
        <v>0</v>
      </c>
    </row>
    <row r="577">
      <c r="A577" s="53">
        <v>26.0</v>
      </c>
      <c r="B577" s="28">
        <f>'26_30-11-2024'!A12</f>
        <v>10</v>
      </c>
      <c r="C577" s="28">
        <f>'26_30-11-2024'!B12</f>
        <v>-68</v>
      </c>
      <c r="D577" s="28">
        <f>'26_30-11-2024'!C12</f>
        <v>124</v>
      </c>
      <c r="E577" s="28">
        <f>'26_30-11-2024'!D12</f>
        <v>44</v>
      </c>
      <c r="F577" s="28">
        <f>'26_30-11-2024'!E12</f>
        <v>-100</v>
      </c>
      <c r="G577" s="28">
        <f>'26_30-11-2024'!F12</f>
        <v>0</v>
      </c>
      <c r="H577" s="28" t="str">
        <f>'26_30-11-2024'!I12</f>
        <v>Christian</v>
      </c>
      <c r="I577" s="28" t="str">
        <f>'26_30-11-2024'!J12</f>
        <v>Peter</v>
      </c>
      <c r="J577" s="28" t="str">
        <f>'26_30-11-2024'!H12</f>
        <v/>
      </c>
      <c r="K577" s="28" t="str">
        <f>'26_30-11-2024'!G12</f>
        <v>10 Alm</v>
      </c>
      <c r="L577" s="56"/>
      <c r="M577" s="25">
        <v>10.0</v>
      </c>
      <c r="N577" s="25" t="s">
        <v>100</v>
      </c>
      <c r="T577" s="56"/>
      <c r="U577" s="77">
        <f t="shared" ref="U577:X577" si="5112">C577-C576</f>
        <v>-8</v>
      </c>
      <c r="V577" s="28">
        <f t="shared" si="5112"/>
        <v>8</v>
      </c>
      <c r="W577" s="28">
        <f t="shared" si="5112"/>
        <v>-8</v>
      </c>
      <c r="X577" s="28">
        <f t="shared" si="5112"/>
        <v>8</v>
      </c>
      <c r="AB577" s="28" t="str">
        <f t="shared" ref="AB577:AE577" si="5113">IF(AB$3=$H577,U577,"")</f>
        <v/>
      </c>
      <c r="AC577" s="28" t="str">
        <f t="shared" si="5113"/>
        <v/>
      </c>
      <c r="AD577" s="28" t="str">
        <f t="shared" si="5113"/>
        <v/>
      </c>
      <c r="AE577" s="28">
        <f t="shared" si="5113"/>
        <v>8</v>
      </c>
      <c r="AH577" s="28">
        <f t="shared" si="22"/>
        <v>8</v>
      </c>
      <c r="AI577" s="28">
        <f t="shared" si="23"/>
        <v>0</v>
      </c>
      <c r="AK577" s="78" t="str">
        <f t="shared" ref="AK577:AN577" si="5114">IF(U577&gt;0,AK$3,"")</f>
        <v/>
      </c>
      <c r="AL577" s="78" t="str">
        <f t="shared" si="5114"/>
        <v>Peter</v>
      </c>
      <c r="AM577" s="78" t="str">
        <f t="shared" si="5114"/>
        <v/>
      </c>
      <c r="AN577" s="78" t="str">
        <f t="shared" si="5114"/>
        <v>Christian</v>
      </c>
      <c r="AO577" s="56">
        <f t="shared" si="25"/>
        <v>2</v>
      </c>
      <c r="AP577" s="8" t="str">
        <f t="shared" si="26"/>
        <v>Christian</v>
      </c>
      <c r="AQ577" s="73" t="str">
        <f>IFERROR(__xludf.DUMMYFUNCTION("IFNA(QUERY(transpose(AY577:BB577),""Select Col1 where Col1 is not null limit 1"",0))"),"Peter")</f>
        <v>Peter</v>
      </c>
      <c r="AR577" s="56"/>
      <c r="AS577" s="28" t="str">
        <f t="shared" ref="AS577:AV577" si="5115">IF(AK577=AS$3,"",AS$3)</f>
        <v>Thomas</v>
      </c>
      <c r="AT577" s="28" t="str">
        <f t="shared" si="5115"/>
        <v/>
      </c>
      <c r="AU577" s="28" t="str">
        <f t="shared" si="5115"/>
        <v>Janus</v>
      </c>
      <c r="AV577" s="28" t="str">
        <f t="shared" si="5115"/>
        <v/>
      </c>
      <c r="AW577" s="56">
        <f t="shared" si="28"/>
        <v>2</v>
      </c>
      <c r="AX577" s="28">
        <f t="shared" si="29"/>
        <v>8</v>
      </c>
      <c r="AY577" s="28" t="str">
        <f t="shared" ref="AY577:BB577" si="5116">IFNA(IFS(AY$3=$AP577,"",$AX577=U577,AY$3),"")</f>
        <v/>
      </c>
      <c r="AZ577" s="28" t="str">
        <f t="shared" si="5116"/>
        <v>Peter</v>
      </c>
      <c r="BA577" s="28" t="str">
        <f t="shared" si="5116"/>
        <v/>
      </c>
      <c r="BB577" s="28" t="str">
        <f t="shared" si="5116"/>
        <v/>
      </c>
      <c r="BC577" s="58">
        <f>OFFSET('00_Regnskab_01'!$A$1,MATCH(A577,'00_Regnskab_01'!$A$1:$A$25)-1,2)</f>
        <v>45199</v>
      </c>
      <c r="BE577" s="80">
        <f t="shared" ref="BE577:BH577" si="5117">if(U577&gt;0,1+BE576,0)</f>
        <v>0</v>
      </c>
      <c r="BF577" s="28">
        <f t="shared" si="5117"/>
        <v>2</v>
      </c>
      <c r="BG577" s="28">
        <f t="shared" si="5117"/>
        <v>0</v>
      </c>
      <c r="BH577" s="28">
        <f t="shared" si="5117"/>
        <v>2</v>
      </c>
      <c r="BJ577" s="28">
        <f t="shared" ref="BJ577:BM577" si="5118">if(U577&lt;0,1+BJ576,0)</f>
        <v>1</v>
      </c>
      <c r="BK577" s="28">
        <f t="shared" si="5118"/>
        <v>0</v>
      </c>
      <c r="BL577" s="28">
        <f t="shared" si="5118"/>
        <v>2</v>
      </c>
      <c r="BM577" s="28">
        <f t="shared" si="5118"/>
        <v>0</v>
      </c>
      <c r="BO577" s="74">
        <f t="shared" ref="BO577:BR577" si="5119">if(U577&gt;0,U577+BO576,0)</f>
        <v>0</v>
      </c>
      <c r="BP577" s="74">
        <f t="shared" si="5119"/>
        <v>12</v>
      </c>
      <c r="BQ577" s="74">
        <f t="shared" si="5119"/>
        <v>0</v>
      </c>
      <c r="BR577" s="74">
        <f t="shared" si="5119"/>
        <v>12</v>
      </c>
      <c r="BT577" s="28">
        <f t="shared" ref="BT577:BW577" si="5120">if(U577&lt;0,U577+BT576,0)</f>
        <v>-8</v>
      </c>
      <c r="BU577" s="28">
        <f t="shared" si="5120"/>
        <v>0</v>
      </c>
      <c r="BV577" s="28">
        <f t="shared" si="5120"/>
        <v>-20</v>
      </c>
      <c r="BW577" s="28">
        <f t="shared" si="5120"/>
        <v>0</v>
      </c>
    </row>
    <row r="578">
      <c r="A578" s="53">
        <v>26.0</v>
      </c>
      <c r="B578" s="28">
        <f>'26_30-11-2024'!A13</f>
        <v>11</v>
      </c>
      <c r="C578" s="28">
        <f>'26_30-11-2024'!B13</f>
        <v>-60</v>
      </c>
      <c r="D578" s="28">
        <f>'26_30-11-2024'!C13</f>
        <v>100</v>
      </c>
      <c r="E578" s="28">
        <f>'26_30-11-2024'!D13</f>
        <v>52</v>
      </c>
      <c r="F578" s="28">
        <f>'26_30-11-2024'!E13</f>
        <v>-92</v>
      </c>
      <c r="G578" s="28">
        <f>'26_30-11-2024'!F13</f>
        <v>0</v>
      </c>
      <c r="H578" s="28" t="str">
        <f>'26_30-11-2024'!I13</f>
        <v>Peter</v>
      </c>
      <c r="I578" s="28" t="str">
        <f>'26_30-11-2024'!J13</f>
        <v/>
      </c>
      <c r="J578" s="28" t="str">
        <f>'26_30-11-2024'!H13</f>
        <v/>
      </c>
      <c r="K578" s="28" t="str">
        <f>'26_30-11-2024'!G13</f>
        <v>Ren sol</v>
      </c>
      <c r="L578" s="56"/>
      <c r="N578" s="25" t="s">
        <v>97</v>
      </c>
      <c r="T578" s="56"/>
      <c r="U578" s="77">
        <f t="shared" ref="U578:X578" si="5121">C578-C577</f>
        <v>8</v>
      </c>
      <c r="V578" s="28">
        <f t="shared" si="5121"/>
        <v>-24</v>
      </c>
      <c r="W578" s="28">
        <f t="shared" si="5121"/>
        <v>8</v>
      </c>
      <c r="X578" s="28">
        <f t="shared" si="5121"/>
        <v>8</v>
      </c>
      <c r="AB578" s="28" t="str">
        <f t="shared" ref="AB578:AE578" si="5122">IF(AB$3=$H578,U578,"")</f>
        <v/>
      </c>
      <c r="AC578" s="28">
        <f t="shared" si="5122"/>
        <v>-24</v>
      </c>
      <c r="AD578" s="28" t="str">
        <f t="shared" si="5122"/>
        <v/>
      </c>
      <c r="AE578" s="28" t="str">
        <f t="shared" si="5122"/>
        <v/>
      </c>
      <c r="AH578" s="28">
        <f t="shared" si="22"/>
        <v>0</v>
      </c>
      <c r="AI578" s="28">
        <f t="shared" si="23"/>
        <v>-24</v>
      </c>
      <c r="AK578" s="78" t="str">
        <f t="shared" ref="AK578:AN578" si="5123">IF(U578&gt;0,AK$3,"")</f>
        <v>Thomas</v>
      </c>
      <c r="AL578" s="78" t="str">
        <f t="shared" si="5123"/>
        <v/>
      </c>
      <c r="AM578" s="78" t="str">
        <f t="shared" si="5123"/>
        <v>Janus</v>
      </c>
      <c r="AN578" s="78" t="str">
        <f t="shared" si="5123"/>
        <v>Christian</v>
      </c>
      <c r="AO578" s="56">
        <f t="shared" si="25"/>
        <v>3</v>
      </c>
      <c r="AP578" s="8" t="str">
        <f t="shared" si="26"/>
        <v>Peter</v>
      </c>
      <c r="AQ578" s="73" t="str">
        <f>IFERROR(__xludf.DUMMYFUNCTION("IFNA(QUERY(transpose(AY578:BB578),""Select Col1 where Col1 is not null limit 1"",0))"),"")</f>
        <v/>
      </c>
      <c r="AR578" s="56"/>
      <c r="AS578" s="28" t="str">
        <f t="shared" ref="AS578:AV578" si="5124">IF(AK578=AS$3,"",AS$3)</f>
        <v/>
      </c>
      <c r="AT578" s="28" t="str">
        <f t="shared" si="5124"/>
        <v>Peter</v>
      </c>
      <c r="AU578" s="28" t="str">
        <f t="shared" si="5124"/>
        <v/>
      </c>
      <c r="AV578" s="28" t="str">
        <f t="shared" si="5124"/>
        <v/>
      </c>
      <c r="AW578" s="56">
        <f t="shared" si="28"/>
        <v>1</v>
      </c>
      <c r="AX578" s="28">
        <f t="shared" si="29"/>
        <v>-24</v>
      </c>
      <c r="AY578" s="28" t="str">
        <f t="shared" ref="AY578:BB578" si="5125">IFNA(IFS(AY$3=$AP578,"",$AX578=U578,AY$3),"")</f>
        <v/>
      </c>
      <c r="AZ578" s="28" t="str">
        <f t="shared" si="5125"/>
        <v/>
      </c>
      <c r="BA578" s="28" t="str">
        <f t="shared" si="5125"/>
        <v/>
      </c>
      <c r="BB578" s="28" t="str">
        <f t="shared" si="5125"/>
        <v/>
      </c>
      <c r="BC578" s="58">
        <f>OFFSET('00_Regnskab_01'!$A$1,MATCH(A578,'00_Regnskab_01'!$A$1:$A$25)-1,2)</f>
        <v>45199</v>
      </c>
      <c r="BE578" s="80">
        <f t="shared" ref="BE578:BH578" si="5126">if(U578&gt;0,1+BE577,0)</f>
        <v>1</v>
      </c>
      <c r="BF578" s="28">
        <f t="shared" si="5126"/>
        <v>0</v>
      </c>
      <c r="BG578" s="28">
        <f t="shared" si="5126"/>
        <v>1</v>
      </c>
      <c r="BH578" s="28">
        <f t="shared" si="5126"/>
        <v>3</v>
      </c>
      <c r="BJ578" s="28">
        <f t="shared" ref="BJ578:BM578" si="5127">if(U578&lt;0,1+BJ577,0)</f>
        <v>0</v>
      </c>
      <c r="BK578" s="28">
        <f t="shared" si="5127"/>
        <v>1</v>
      </c>
      <c r="BL578" s="28">
        <f t="shared" si="5127"/>
        <v>0</v>
      </c>
      <c r="BM578" s="28">
        <f t="shared" si="5127"/>
        <v>0</v>
      </c>
      <c r="BO578" s="74">
        <f t="shared" ref="BO578:BR578" si="5128">if(U578&gt;0,U578+BO577,0)</f>
        <v>8</v>
      </c>
      <c r="BP578" s="74">
        <f t="shared" si="5128"/>
        <v>0</v>
      </c>
      <c r="BQ578" s="74">
        <f t="shared" si="5128"/>
        <v>8</v>
      </c>
      <c r="BR578" s="74">
        <f t="shared" si="5128"/>
        <v>20</v>
      </c>
      <c r="BT578" s="28">
        <f t="shared" ref="BT578:BW578" si="5129">if(U578&lt;0,U578+BT577,0)</f>
        <v>0</v>
      </c>
      <c r="BU578" s="28">
        <f t="shared" si="5129"/>
        <v>-24</v>
      </c>
      <c r="BV578" s="28">
        <f t="shared" si="5129"/>
        <v>0</v>
      </c>
      <c r="BW578" s="28">
        <f t="shared" si="5129"/>
        <v>0</v>
      </c>
    </row>
    <row r="579">
      <c r="A579" s="53">
        <v>26.0</v>
      </c>
      <c r="B579" s="28">
        <f>'26_30-11-2024'!A14</f>
        <v>12</v>
      </c>
      <c r="C579" s="28">
        <f>'26_30-11-2024'!B14</f>
        <v>-48</v>
      </c>
      <c r="D579" s="28">
        <f>'26_30-11-2024'!C14</f>
        <v>96</v>
      </c>
      <c r="E579" s="28">
        <f>'26_30-11-2024'!D14</f>
        <v>48</v>
      </c>
      <c r="F579" s="28">
        <f>'26_30-11-2024'!E14</f>
        <v>-96</v>
      </c>
      <c r="G579" s="28">
        <f>'26_30-11-2024'!F14</f>
        <v>0</v>
      </c>
      <c r="H579" s="28" t="str">
        <f>'26_30-11-2024'!I14</f>
        <v>Thomas</v>
      </c>
      <c r="I579" s="28" t="str">
        <f>'26_30-11-2024'!J14</f>
        <v/>
      </c>
      <c r="J579" s="28" t="str">
        <f>'26_30-11-2024'!H14</f>
        <v/>
      </c>
      <c r="K579" s="28" t="str">
        <f>'26_30-11-2024'!G14</f>
        <v>Sol</v>
      </c>
      <c r="L579" s="56"/>
      <c r="N579" s="25" t="s">
        <v>99</v>
      </c>
      <c r="T579" s="56"/>
      <c r="U579" s="77">
        <f t="shared" ref="U579:X579" si="5130">C579-C578</f>
        <v>12</v>
      </c>
      <c r="V579" s="28">
        <f t="shared" si="5130"/>
        <v>-4</v>
      </c>
      <c r="W579" s="28">
        <f t="shared" si="5130"/>
        <v>-4</v>
      </c>
      <c r="X579" s="28">
        <f t="shared" si="5130"/>
        <v>-4</v>
      </c>
      <c r="AB579" s="28">
        <f t="shared" ref="AB579:AE579" si="5131">IF(AB$3=$H579,U579,"")</f>
        <v>12</v>
      </c>
      <c r="AC579" s="28" t="str">
        <f t="shared" si="5131"/>
        <v/>
      </c>
      <c r="AD579" s="28" t="str">
        <f t="shared" si="5131"/>
        <v/>
      </c>
      <c r="AE579" s="28" t="str">
        <f t="shared" si="5131"/>
        <v/>
      </c>
      <c r="AH579" s="28">
        <f t="shared" si="22"/>
        <v>12</v>
      </c>
      <c r="AI579" s="28">
        <f t="shared" si="23"/>
        <v>0</v>
      </c>
      <c r="AK579" s="78" t="str">
        <f t="shared" ref="AK579:AN579" si="5132">IF(U579&gt;0,AK$3,"")</f>
        <v>Thomas</v>
      </c>
      <c r="AL579" s="78" t="str">
        <f t="shared" si="5132"/>
        <v/>
      </c>
      <c r="AM579" s="78" t="str">
        <f t="shared" si="5132"/>
        <v/>
      </c>
      <c r="AN579" s="78" t="str">
        <f t="shared" si="5132"/>
        <v/>
      </c>
      <c r="AO579" s="56">
        <f t="shared" si="25"/>
        <v>1</v>
      </c>
      <c r="AP579" s="8" t="str">
        <f t="shared" si="26"/>
        <v>Thomas</v>
      </c>
      <c r="AQ579" s="73" t="str">
        <f>IFERROR(__xludf.DUMMYFUNCTION("IFNA(QUERY(transpose(AY579:BB579),""Select Col1 where Col1 is not null limit 1"",0))"),"")</f>
        <v/>
      </c>
      <c r="AR579" s="56"/>
      <c r="AS579" s="28" t="str">
        <f t="shared" ref="AS579:AV579" si="5133">IF(AK579=AS$3,"",AS$3)</f>
        <v/>
      </c>
      <c r="AT579" s="28" t="str">
        <f t="shared" si="5133"/>
        <v>Peter</v>
      </c>
      <c r="AU579" s="28" t="str">
        <f t="shared" si="5133"/>
        <v>Janus</v>
      </c>
      <c r="AV579" s="28" t="str">
        <f t="shared" si="5133"/>
        <v>Christian</v>
      </c>
      <c r="AW579" s="56">
        <f t="shared" si="28"/>
        <v>3</v>
      </c>
      <c r="AX579" s="28">
        <f t="shared" si="29"/>
        <v>12</v>
      </c>
      <c r="AY579" s="28" t="str">
        <f t="shared" ref="AY579:BB579" si="5134">IFNA(IFS(AY$3=$AP579,"",$AX579=U579,AY$3),"")</f>
        <v/>
      </c>
      <c r="AZ579" s="28" t="str">
        <f t="shared" si="5134"/>
        <v/>
      </c>
      <c r="BA579" s="28" t="str">
        <f t="shared" si="5134"/>
        <v/>
      </c>
      <c r="BB579" s="28" t="str">
        <f t="shared" si="5134"/>
        <v/>
      </c>
      <c r="BC579" s="58">
        <f>OFFSET('00_Regnskab_01'!$A$1,MATCH(A579,'00_Regnskab_01'!$A$1:$A$25)-1,2)</f>
        <v>45199</v>
      </c>
      <c r="BE579" s="80">
        <f t="shared" ref="BE579:BH579" si="5135">if(U579&gt;0,1+BE578,0)</f>
        <v>2</v>
      </c>
      <c r="BF579" s="28">
        <f t="shared" si="5135"/>
        <v>0</v>
      </c>
      <c r="BG579" s="28">
        <f t="shared" si="5135"/>
        <v>0</v>
      </c>
      <c r="BH579" s="28">
        <f t="shared" si="5135"/>
        <v>0</v>
      </c>
      <c r="BJ579" s="28">
        <f t="shared" ref="BJ579:BM579" si="5136">if(U579&lt;0,1+BJ578,0)</f>
        <v>0</v>
      </c>
      <c r="BK579" s="28">
        <f t="shared" si="5136"/>
        <v>2</v>
      </c>
      <c r="BL579" s="28">
        <f t="shared" si="5136"/>
        <v>1</v>
      </c>
      <c r="BM579" s="28">
        <f t="shared" si="5136"/>
        <v>1</v>
      </c>
      <c r="BO579" s="74">
        <f t="shared" ref="BO579:BR579" si="5137">if(U579&gt;0,U579+BO578,0)</f>
        <v>20</v>
      </c>
      <c r="BP579" s="74">
        <f t="shared" si="5137"/>
        <v>0</v>
      </c>
      <c r="BQ579" s="74">
        <f t="shared" si="5137"/>
        <v>0</v>
      </c>
      <c r="BR579" s="74">
        <f t="shared" si="5137"/>
        <v>0</v>
      </c>
      <c r="BT579" s="28">
        <f t="shared" ref="BT579:BW579" si="5138">if(U579&lt;0,U579+BT578,0)</f>
        <v>0</v>
      </c>
      <c r="BU579" s="28">
        <f t="shared" si="5138"/>
        <v>-28</v>
      </c>
      <c r="BV579" s="28">
        <f t="shared" si="5138"/>
        <v>-4</v>
      </c>
      <c r="BW579" s="28">
        <f t="shared" si="5138"/>
        <v>-4</v>
      </c>
    </row>
    <row r="580">
      <c r="A580" s="53">
        <v>26.0</v>
      </c>
      <c r="B580" s="28">
        <f>'26_30-11-2024'!A15</f>
        <v>13</v>
      </c>
      <c r="C580" s="28">
        <f>'26_30-11-2024'!B15</f>
        <v>-16</v>
      </c>
      <c r="D580" s="28">
        <f>'26_30-11-2024'!C15</f>
        <v>64</v>
      </c>
      <c r="E580" s="28">
        <f>'26_30-11-2024'!D15</f>
        <v>80</v>
      </c>
      <c r="F580" s="28">
        <f>'26_30-11-2024'!E15</f>
        <v>-128</v>
      </c>
      <c r="G580" s="28">
        <f>'26_30-11-2024'!F15</f>
        <v>0</v>
      </c>
      <c r="H580" s="28" t="str">
        <f>'26_30-11-2024'!I15</f>
        <v>Thomas</v>
      </c>
      <c r="I580" s="28" t="str">
        <f>'26_30-11-2024'!J15</f>
        <v>Janus</v>
      </c>
      <c r="J580" s="28" t="str">
        <f>'26_30-11-2024'!H15</f>
        <v/>
      </c>
      <c r="K580" s="28" t="str">
        <f>'26_30-11-2024'!G15</f>
        <v>9 vip 2</v>
      </c>
      <c r="L580" s="56"/>
      <c r="M580" s="25">
        <v>9.0</v>
      </c>
      <c r="N580" s="25" t="s">
        <v>86</v>
      </c>
      <c r="O580" s="25">
        <v>2.0</v>
      </c>
      <c r="T580" s="56"/>
      <c r="U580" s="77">
        <f t="shared" ref="U580:X580" si="5139">C580-C579</f>
        <v>32</v>
      </c>
      <c r="V580" s="28">
        <f t="shared" si="5139"/>
        <v>-32</v>
      </c>
      <c r="W580" s="28">
        <f t="shared" si="5139"/>
        <v>32</v>
      </c>
      <c r="X580" s="28">
        <f t="shared" si="5139"/>
        <v>-32</v>
      </c>
      <c r="AB580" s="28">
        <f t="shared" ref="AB580:AE580" si="5140">IF(AB$3=$H580,U580,"")</f>
        <v>32</v>
      </c>
      <c r="AC580" s="28" t="str">
        <f t="shared" si="5140"/>
        <v/>
      </c>
      <c r="AD580" s="28" t="str">
        <f t="shared" si="5140"/>
        <v/>
      </c>
      <c r="AE580" s="28" t="str">
        <f t="shared" si="5140"/>
        <v/>
      </c>
      <c r="AH580" s="28">
        <f t="shared" si="22"/>
        <v>32</v>
      </c>
      <c r="AI580" s="28">
        <f t="shared" si="23"/>
        <v>0</v>
      </c>
      <c r="AK580" s="78" t="str">
        <f t="shared" ref="AK580:AN580" si="5141">IF(U580&gt;0,AK$3,"")</f>
        <v>Thomas</v>
      </c>
      <c r="AL580" s="78" t="str">
        <f t="shared" si="5141"/>
        <v/>
      </c>
      <c r="AM580" s="78" t="str">
        <f t="shared" si="5141"/>
        <v>Janus</v>
      </c>
      <c r="AN580" s="78" t="str">
        <f t="shared" si="5141"/>
        <v/>
      </c>
      <c r="AO580" s="56">
        <f t="shared" si="25"/>
        <v>2</v>
      </c>
      <c r="AP580" s="8" t="str">
        <f t="shared" si="26"/>
        <v>Thomas</v>
      </c>
      <c r="AQ580" s="73" t="str">
        <f>IFERROR(__xludf.DUMMYFUNCTION("IFNA(QUERY(transpose(AY580:BB580),""Select Col1 where Col1 is not null limit 1"",0))"),"Janus")</f>
        <v>Janus</v>
      </c>
      <c r="AR580" s="56"/>
      <c r="AS580" s="28" t="str">
        <f t="shared" ref="AS580:AV580" si="5142">IF(AK580=AS$3,"",AS$3)</f>
        <v/>
      </c>
      <c r="AT580" s="28" t="str">
        <f t="shared" si="5142"/>
        <v>Peter</v>
      </c>
      <c r="AU580" s="28" t="str">
        <f t="shared" si="5142"/>
        <v/>
      </c>
      <c r="AV580" s="28" t="str">
        <f t="shared" si="5142"/>
        <v>Christian</v>
      </c>
      <c r="AW580" s="56">
        <f t="shared" si="28"/>
        <v>2</v>
      </c>
      <c r="AX580" s="28">
        <f t="shared" si="29"/>
        <v>32</v>
      </c>
      <c r="AY580" s="28" t="str">
        <f t="shared" ref="AY580:BB580" si="5143">IFNA(IFS(AY$3=$AP580,"",$AX580=U580,AY$3),"")</f>
        <v/>
      </c>
      <c r="AZ580" s="28" t="str">
        <f t="shared" si="5143"/>
        <v/>
      </c>
      <c r="BA580" s="28" t="str">
        <f t="shared" si="5143"/>
        <v>Janus</v>
      </c>
      <c r="BB580" s="28" t="str">
        <f t="shared" si="5143"/>
        <v/>
      </c>
      <c r="BC580" s="58">
        <f>OFFSET('00_Regnskab_01'!$A$1,MATCH(A580,'00_Regnskab_01'!$A$1:$A$25)-1,2)</f>
        <v>45199</v>
      </c>
      <c r="BE580" s="80">
        <f t="shared" ref="BE580:BH580" si="5144">if(U580&gt;0,1+BE579,0)</f>
        <v>3</v>
      </c>
      <c r="BF580" s="28">
        <f t="shared" si="5144"/>
        <v>0</v>
      </c>
      <c r="BG580" s="28">
        <f t="shared" si="5144"/>
        <v>1</v>
      </c>
      <c r="BH580" s="28">
        <f t="shared" si="5144"/>
        <v>0</v>
      </c>
      <c r="BJ580" s="28">
        <f t="shared" ref="BJ580:BM580" si="5145">if(U580&lt;0,1+BJ579,0)</f>
        <v>0</v>
      </c>
      <c r="BK580" s="28">
        <f t="shared" si="5145"/>
        <v>3</v>
      </c>
      <c r="BL580" s="28">
        <f t="shared" si="5145"/>
        <v>0</v>
      </c>
      <c r="BM580" s="28">
        <f t="shared" si="5145"/>
        <v>2</v>
      </c>
      <c r="BO580" s="74">
        <f t="shared" ref="BO580:BR580" si="5146">if(U580&gt;0,U580+BO579,0)</f>
        <v>52</v>
      </c>
      <c r="BP580" s="74">
        <f t="shared" si="5146"/>
        <v>0</v>
      </c>
      <c r="BQ580" s="74">
        <f t="shared" si="5146"/>
        <v>32</v>
      </c>
      <c r="BR580" s="74">
        <f t="shared" si="5146"/>
        <v>0</v>
      </c>
      <c r="BT580" s="28">
        <f t="shared" ref="BT580:BW580" si="5147">if(U580&lt;0,U580+BT579,0)</f>
        <v>0</v>
      </c>
      <c r="BU580" s="28">
        <f t="shared" si="5147"/>
        <v>-60</v>
      </c>
      <c r="BV580" s="28">
        <f t="shared" si="5147"/>
        <v>0</v>
      </c>
      <c r="BW580" s="28">
        <f t="shared" si="5147"/>
        <v>-36</v>
      </c>
    </row>
    <row r="581">
      <c r="A581" s="53">
        <v>26.0</v>
      </c>
      <c r="B581" s="28">
        <f>'26_30-11-2024'!A16</f>
        <v>14</v>
      </c>
      <c r="C581" s="28">
        <f>'26_30-11-2024'!B16</f>
        <v>-64</v>
      </c>
      <c r="D581" s="28">
        <f>'26_30-11-2024'!C16</f>
        <v>80</v>
      </c>
      <c r="E581" s="28">
        <f>'26_30-11-2024'!D16</f>
        <v>96</v>
      </c>
      <c r="F581" s="28">
        <f>'26_30-11-2024'!E16</f>
        <v>-112</v>
      </c>
      <c r="G581" s="28">
        <f>'26_30-11-2024'!F16</f>
        <v>0</v>
      </c>
      <c r="H581" s="28" t="str">
        <f>'26_30-11-2024'!I16</f>
        <v>Thomas</v>
      </c>
      <c r="I581" s="28" t="str">
        <f>'26_30-11-2024'!J16</f>
        <v/>
      </c>
      <c r="J581" s="28" t="str">
        <f>'26_30-11-2024'!H16</f>
        <v/>
      </c>
      <c r="K581" s="28" t="str">
        <f>'26_30-11-2024'!G16</f>
        <v>Ren sol</v>
      </c>
      <c r="L581" s="56"/>
      <c r="N581" s="25" t="s">
        <v>97</v>
      </c>
      <c r="T581" s="56"/>
      <c r="U581" s="77">
        <f t="shared" ref="U581:X581" si="5148">C581-C580</f>
        <v>-48</v>
      </c>
      <c r="V581" s="28">
        <f t="shared" si="5148"/>
        <v>16</v>
      </c>
      <c r="W581" s="28">
        <f t="shared" si="5148"/>
        <v>16</v>
      </c>
      <c r="X581" s="28">
        <f t="shared" si="5148"/>
        <v>16</v>
      </c>
      <c r="AB581" s="28">
        <f t="shared" ref="AB581:AE581" si="5149">IF(AB$3=$H581,U581,"")</f>
        <v>-48</v>
      </c>
      <c r="AC581" s="28" t="str">
        <f t="shared" si="5149"/>
        <v/>
      </c>
      <c r="AD581" s="28" t="str">
        <f t="shared" si="5149"/>
        <v/>
      </c>
      <c r="AE581" s="28" t="str">
        <f t="shared" si="5149"/>
        <v/>
      </c>
      <c r="AH581" s="28">
        <f t="shared" si="22"/>
        <v>0</v>
      </c>
      <c r="AI581" s="28">
        <f t="shared" si="23"/>
        <v>-48</v>
      </c>
      <c r="AK581" s="78" t="str">
        <f t="shared" ref="AK581:AN581" si="5150">IF(U581&gt;0,AK$3,"")</f>
        <v/>
      </c>
      <c r="AL581" s="78" t="str">
        <f t="shared" si="5150"/>
        <v>Peter</v>
      </c>
      <c r="AM581" s="78" t="str">
        <f t="shared" si="5150"/>
        <v>Janus</v>
      </c>
      <c r="AN581" s="78" t="str">
        <f t="shared" si="5150"/>
        <v>Christian</v>
      </c>
      <c r="AO581" s="56">
        <f t="shared" si="25"/>
        <v>3</v>
      </c>
      <c r="AP581" s="8" t="str">
        <f t="shared" si="26"/>
        <v>Thomas</v>
      </c>
      <c r="AQ581" s="73" t="str">
        <f>IFERROR(__xludf.DUMMYFUNCTION("IFNA(QUERY(transpose(AY581:BB581),""Select Col1 where Col1 is not null limit 1"",0))"),"")</f>
        <v/>
      </c>
      <c r="AR581" s="56"/>
      <c r="AS581" s="28" t="str">
        <f t="shared" ref="AS581:AV581" si="5151">IF(AK581=AS$3,"",AS$3)</f>
        <v>Thomas</v>
      </c>
      <c r="AT581" s="28" t="str">
        <f t="shared" si="5151"/>
        <v/>
      </c>
      <c r="AU581" s="28" t="str">
        <f t="shared" si="5151"/>
        <v/>
      </c>
      <c r="AV581" s="28" t="str">
        <f t="shared" si="5151"/>
        <v/>
      </c>
      <c r="AW581" s="56">
        <f t="shared" si="28"/>
        <v>1</v>
      </c>
      <c r="AX581" s="28">
        <f t="shared" si="29"/>
        <v>-48</v>
      </c>
      <c r="AY581" s="28" t="str">
        <f t="shared" ref="AY581:BB581" si="5152">IFNA(IFS(AY$3=$AP581,"",$AX581=U581,AY$3),"")</f>
        <v/>
      </c>
      <c r="AZ581" s="28" t="str">
        <f t="shared" si="5152"/>
        <v/>
      </c>
      <c r="BA581" s="28" t="str">
        <f t="shared" si="5152"/>
        <v/>
      </c>
      <c r="BB581" s="28" t="str">
        <f t="shared" si="5152"/>
        <v/>
      </c>
      <c r="BC581" s="58">
        <f>OFFSET('00_Regnskab_01'!$A$1,MATCH(A581,'00_Regnskab_01'!$A$1:$A$25)-1,2)</f>
        <v>45199</v>
      </c>
      <c r="BE581" s="80">
        <f t="shared" ref="BE581:BH581" si="5153">if(U581&gt;0,1+BE580,0)</f>
        <v>0</v>
      </c>
      <c r="BF581" s="28">
        <f t="shared" si="5153"/>
        <v>1</v>
      </c>
      <c r="BG581" s="28">
        <f t="shared" si="5153"/>
        <v>2</v>
      </c>
      <c r="BH581" s="28">
        <f t="shared" si="5153"/>
        <v>1</v>
      </c>
      <c r="BJ581" s="28">
        <f t="shared" ref="BJ581:BM581" si="5154">if(U581&lt;0,1+BJ580,0)</f>
        <v>1</v>
      </c>
      <c r="BK581" s="28">
        <f t="shared" si="5154"/>
        <v>0</v>
      </c>
      <c r="BL581" s="28">
        <f t="shared" si="5154"/>
        <v>0</v>
      </c>
      <c r="BM581" s="28">
        <f t="shared" si="5154"/>
        <v>0</v>
      </c>
      <c r="BO581" s="74">
        <f t="shared" ref="BO581:BR581" si="5155">if(U581&gt;0,U581+BO580,0)</f>
        <v>0</v>
      </c>
      <c r="BP581" s="74">
        <f t="shared" si="5155"/>
        <v>16</v>
      </c>
      <c r="BQ581" s="74">
        <f t="shared" si="5155"/>
        <v>48</v>
      </c>
      <c r="BR581" s="74">
        <f t="shared" si="5155"/>
        <v>16</v>
      </c>
      <c r="BT581" s="28">
        <f t="shared" ref="BT581:BW581" si="5156">if(U581&lt;0,U581+BT580,0)</f>
        <v>-48</v>
      </c>
      <c r="BU581" s="28">
        <f t="shared" si="5156"/>
        <v>0</v>
      </c>
      <c r="BV581" s="28">
        <f t="shared" si="5156"/>
        <v>0</v>
      </c>
      <c r="BW581" s="28">
        <f t="shared" si="5156"/>
        <v>0</v>
      </c>
    </row>
    <row r="582">
      <c r="A582" s="53">
        <v>26.0</v>
      </c>
      <c r="B582" s="28">
        <f>'26_30-11-2024'!A17</f>
        <v>15</v>
      </c>
      <c r="C582" s="28">
        <f>'26_30-11-2024'!B17</f>
        <v>-60</v>
      </c>
      <c r="D582" s="28">
        <f>'26_30-11-2024'!C17</f>
        <v>68</v>
      </c>
      <c r="E582" s="28">
        <f>'26_30-11-2024'!D17</f>
        <v>100</v>
      </c>
      <c r="F582" s="28">
        <f>'26_30-11-2024'!E17</f>
        <v>-108</v>
      </c>
      <c r="G582" s="28">
        <f>'26_30-11-2024'!F17</f>
        <v>0</v>
      </c>
      <c r="H582" s="28" t="str">
        <f>'26_30-11-2024'!I17</f>
        <v>Peter</v>
      </c>
      <c r="I582" s="28" t="str">
        <f>'26_30-11-2024'!J17</f>
        <v/>
      </c>
      <c r="J582" s="28" t="str">
        <f>'26_30-11-2024'!H17</f>
        <v/>
      </c>
      <c r="K582" s="28" t="str">
        <f>'26_30-11-2024'!G17</f>
        <v>Sol</v>
      </c>
      <c r="L582" s="56"/>
      <c r="N582" s="25" t="s">
        <v>99</v>
      </c>
      <c r="T582" s="56"/>
      <c r="U582" s="77">
        <f t="shared" ref="U582:X582" si="5157">C582-C581</f>
        <v>4</v>
      </c>
      <c r="V582" s="28">
        <f t="shared" si="5157"/>
        <v>-12</v>
      </c>
      <c r="W582" s="28">
        <f t="shared" si="5157"/>
        <v>4</v>
      </c>
      <c r="X582" s="28">
        <f t="shared" si="5157"/>
        <v>4</v>
      </c>
      <c r="AB582" s="28" t="str">
        <f t="shared" ref="AB582:AE582" si="5158">IF(AB$3=$H582,U582,"")</f>
        <v/>
      </c>
      <c r="AC582" s="28">
        <f t="shared" si="5158"/>
        <v>-12</v>
      </c>
      <c r="AD582" s="28" t="str">
        <f t="shared" si="5158"/>
        <v/>
      </c>
      <c r="AE582" s="28" t="str">
        <f t="shared" si="5158"/>
        <v/>
      </c>
      <c r="AH582" s="28">
        <f t="shared" si="22"/>
        <v>0</v>
      </c>
      <c r="AI582" s="28">
        <f t="shared" si="23"/>
        <v>-12</v>
      </c>
      <c r="AK582" s="78" t="str">
        <f t="shared" ref="AK582:AN582" si="5159">IF(U582&gt;0,AK$3,"")</f>
        <v>Thomas</v>
      </c>
      <c r="AL582" s="78" t="str">
        <f t="shared" si="5159"/>
        <v/>
      </c>
      <c r="AM582" s="78" t="str">
        <f t="shared" si="5159"/>
        <v>Janus</v>
      </c>
      <c r="AN582" s="78" t="str">
        <f t="shared" si="5159"/>
        <v>Christian</v>
      </c>
      <c r="AO582" s="56">
        <f t="shared" si="25"/>
        <v>3</v>
      </c>
      <c r="AP582" s="8" t="str">
        <f t="shared" si="26"/>
        <v>Peter</v>
      </c>
      <c r="AQ582" s="73" t="str">
        <f>IFERROR(__xludf.DUMMYFUNCTION("IFNA(QUERY(transpose(AY582:BB582),""Select Col1 where Col1 is not null limit 1"",0))"),"")</f>
        <v/>
      </c>
      <c r="AR582" s="56"/>
      <c r="AS582" s="28" t="str">
        <f t="shared" ref="AS582:AV582" si="5160">IF(AK582=AS$3,"",AS$3)</f>
        <v/>
      </c>
      <c r="AT582" s="28" t="str">
        <f t="shared" si="5160"/>
        <v>Peter</v>
      </c>
      <c r="AU582" s="28" t="str">
        <f t="shared" si="5160"/>
        <v/>
      </c>
      <c r="AV582" s="28" t="str">
        <f t="shared" si="5160"/>
        <v/>
      </c>
      <c r="AW582" s="56">
        <f t="shared" si="28"/>
        <v>1</v>
      </c>
      <c r="AX582" s="28">
        <f t="shared" si="29"/>
        <v>-12</v>
      </c>
      <c r="AY582" s="28" t="str">
        <f t="shared" ref="AY582:BB582" si="5161">IFNA(IFS(AY$3=$AP582,"",$AX582=U582,AY$3),"")</f>
        <v/>
      </c>
      <c r="AZ582" s="28" t="str">
        <f t="shared" si="5161"/>
        <v/>
      </c>
      <c r="BA582" s="28" t="str">
        <f t="shared" si="5161"/>
        <v/>
      </c>
      <c r="BB582" s="28" t="str">
        <f t="shared" si="5161"/>
        <v/>
      </c>
      <c r="BC582" s="58">
        <f>OFFSET('00_Regnskab_01'!$A$1,MATCH(A582,'00_Regnskab_01'!$A$1:$A$25)-1,2)</f>
        <v>45199</v>
      </c>
      <c r="BE582" s="80">
        <f t="shared" ref="BE582:BH582" si="5162">if(U582&gt;0,1+BE581,0)</f>
        <v>1</v>
      </c>
      <c r="BF582" s="28">
        <f t="shared" si="5162"/>
        <v>0</v>
      </c>
      <c r="BG582" s="28">
        <f t="shared" si="5162"/>
        <v>3</v>
      </c>
      <c r="BH582" s="28">
        <f t="shared" si="5162"/>
        <v>2</v>
      </c>
      <c r="BJ582" s="28">
        <f t="shared" ref="BJ582:BM582" si="5163">if(U582&lt;0,1+BJ581,0)</f>
        <v>0</v>
      </c>
      <c r="BK582" s="28">
        <f t="shared" si="5163"/>
        <v>1</v>
      </c>
      <c r="BL582" s="28">
        <f t="shared" si="5163"/>
        <v>0</v>
      </c>
      <c r="BM582" s="28">
        <f t="shared" si="5163"/>
        <v>0</v>
      </c>
      <c r="BO582" s="74">
        <f t="shared" ref="BO582:BR582" si="5164">if(U582&gt;0,U582+BO581,0)</f>
        <v>4</v>
      </c>
      <c r="BP582" s="74">
        <f t="shared" si="5164"/>
        <v>0</v>
      </c>
      <c r="BQ582" s="74">
        <f t="shared" si="5164"/>
        <v>52</v>
      </c>
      <c r="BR582" s="74">
        <f t="shared" si="5164"/>
        <v>20</v>
      </c>
      <c r="BT582" s="28">
        <f t="shared" ref="BT582:BW582" si="5165">if(U582&lt;0,U582+BT581,0)</f>
        <v>0</v>
      </c>
      <c r="BU582" s="28">
        <f t="shared" si="5165"/>
        <v>-12</v>
      </c>
      <c r="BV582" s="28">
        <f t="shared" si="5165"/>
        <v>0</v>
      </c>
      <c r="BW582" s="28">
        <f t="shared" si="5165"/>
        <v>0</v>
      </c>
    </row>
    <row r="583">
      <c r="A583" s="53">
        <v>26.0</v>
      </c>
      <c r="B583" s="28">
        <f>'26_30-11-2024'!A18</f>
        <v>16</v>
      </c>
      <c r="C583" s="28">
        <f>'26_30-11-2024'!B18</f>
        <v>-56</v>
      </c>
      <c r="D583" s="28">
        <f>'26_30-11-2024'!C18</f>
        <v>72</v>
      </c>
      <c r="E583" s="28">
        <f>'26_30-11-2024'!D18</f>
        <v>104</v>
      </c>
      <c r="F583" s="28">
        <f>'26_30-11-2024'!E18</f>
        <v>-120</v>
      </c>
      <c r="G583" s="28">
        <f>'26_30-11-2024'!F18</f>
        <v>0</v>
      </c>
      <c r="H583" s="28" t="str">
        <f>'26_30-11-2024'!I18</f>
        <v>Christian</v>
      </c>
      <c r="I583" s="28" t="str">
        <f>'26_30-11-2024'!J18</f>
        <v/>
      </c>
      <c r="J583" s="28" t="str">
        <f>'26_30-11-2024'!H18</f>
        <v/>
      </c>
      <c r="K583" s="28" t="str">
        <f>'26_30-11-2024'!G18</f>
        <v>Sol</v>
      </c>
      <c r="L583" s="56"/>
      <c r="N583" s="25" t="s">
        <v>99</v>
      </c>
      <c r="T583" s="56"/>
      <c r="U583" s="77">
        <f t="shared" ref="U583:X583" si="5166">C583-C582</f>
        <v>4</v>
      </c>
      <c r="V583" s="28">
        <f t="shared" si="5166"/>
        <v>4</v>
      </c>
      <c r="W583" s="28">
        <f t="shared" si="5166"/>
        <v>4</v>
      </c>
      <c r="X583" s="28">
        <f t="shared" si="5166"/>
        <v>-12</v>
      </c>
      <c r="AB583" s="28" t="str">
        <f t="shared" ref="AB583:AE583" si="5167">IF(AB$3=$H583,U583,"")</f>
        <v/>
      </c>
      <c r="AC583" s="28" t="str">
        <f t="shared" si="5167"/>
        <v/>
      </c>
      <c r="AD583" s="28" t="str">
        <f t="shared" si="5167"/>
        <v/>
      </c>
      <c r="AE583" s="28">
        <f t="shared" si="5167"/>
        <v>-12</v>
      </c>
      <c r="AH583" s="28">
        <f t="shared" si="22"/>
        <v>0</v>
      </c>
      <c r="AI583" s="28">
        <f t="shared" si="23"/>
        <v>-12</v>
      </c>
      <c r="AK583" s="78" t="str">
        <f t="shared" ref="AK583:AN583" si="5168">IF(U583&gt;0,AK$3,"")</f>
        <v>Thomas</v>
      </c>
      <c r="AL583" s="78" t="str">
        <f t="shared" si="5168"/>
        <v>Peter</v>
      </c>
      <c r="AM583" s="78" t="str">
        <f t="shared" si="5168"/>
        <v>Janus</v>
      </c>
      <c r="AN583" s="78" t="str">
        <f t="shared" si="5168"/>
        <v/>
      </c>
      <c r="AO583" s="56">
        <f t="shared" si="25"/>
        <v>3</v>
      </c>
      <c r="AP583" s="8" t="str">
        <f t="shared" si="26"/>
        <v>Christian</v>
      </c>
      <c r="AQ583" s="73" t="str">
        <f>IFERROR(__xludf.DUMMYFUNCTION("IFNA(QUERY(transpose(AY583:BB583),""Select Col1 where Col1 is not null limit 1"",0))"),"")</f>
        <v/>
      </c>
      <c r="AR583" s="56"/>
      <c r="AS583" s="28" t="str">
        <f t="shared" ref="AS583:AV583" si="5169">IF(AK583=AS$3,"",AS$3)</f>
        <v/>
      </c>
      <c r="AT583" s="28" t="str">
        <f t="shared" si="5169"/>
        <v/>
      </c>
      <c r="AU583" s="28" t="str">
        <f t="shared" si="5169"/>
        <v/>
      </c>
      <c r="AV583" s="28" t="str">
        <f t="shared" si="5169"/>
        <v>Christian</v>
      </c>
      <c r="AW583" s="56">
        <f t="shared" si="28"/>
        <v>1</v>
      </c>
      <c r="AX583" s="28">
        <f t="shared" si="29"/>
        <v>-12</v>
      </c>
      <c r="AY583" s="28" t="str">
        <f t="shared" ref="AY583:BB583" si="5170">IFNA(IFS(AY$3=$AP583,"",$AX583=U583,AY$3),"")</f>
        <v/>
      </c>
      <c r="AZ583" s="28" t="str">
        <f t="shared" si="5170"/>
        <v/>
      </c>
      <c r="BA583" s="28" t="str">
        <f t="shared" si="5170"/>
        <v/>
      </c>
      <c r="BB583" s="28" t="str">
        <f t="shared" si="5170"/>
        <v/>
      </c>
      <c r="BC583" s="58">
        <f>OFFSET('00_Regnskab_01'!$A$1,MATCH(A583,'00_Regnskab_01'!$A$1:$A$25)-1,2)</f>
        <v>45199</v>
      </c>
      <c r="BE583" s="80">
        <f t="shared" ref="BE583:BH583" si="5171">if(U583&gt;0,1+BE582,0)</f>
        <v>2</v>
      </c>
      <c r="BF583" s="28">
        <f t="shared" si="5171"/>
        <v>1</v>
      </c>
      <c r="BG583" s="28">
        <f t="shared" si="5171"/>
        <v>4</v>
      </c>
      <c r="BH583" s="28">
        <f t="shared" si="5171"/>
        <v>0</v>
      </c>
      <c r="BJ583" s="28">
        <f t="shared" ref="BJ583:BM583" si="5172">if(U583&lt;0,1+BJ582,0)</f>
        <v>0</v>
      </c>
      <c r="BK583" s="28">
        <f t="shared" si="5172"/>
        <v>0</v>
      </c>
      <c r="BL583" s="28">
        <f t="shared" si="5172"/>
        <v>0</v>
      </c>
      <c r="BM583" s="28">
        <f t="shared" si="5172"/>
        <v>1</v>
      </c>
      <c r="BO583" s="74">
        <f t="shared" ref="BO583:BR583" si="5173">if(U583&gt;0,U583+BO582,0)</f>
        <v>8</v>
      </c>
      <c r="BP583" s="74">
        <f t="shared" si="5173"/>
        <v>4</v>
      </c>
      <c r="BQ583" s="74">
        <f t="shared" si="5173"/>
        <v>56</v>
      </c>
      <c r="BR583" s="74">
        <f t="shared" si="5173"/>
        <v>0</v>
      </c>
      <c r="BT583" s="28">
        <f t="shared" ref="BT583:BW583" si="5174">if(U583&lt;0,U583+BT582,0)</f>
        <v>0</v>
      </c>
      <c r="BU583" s="28">
        <f t="shared" si="5174"/>
        <v>0</v>
      </c>
      <c r="BV583" s="28">
        <f t="shared" si="5174"/>
        <v>0</v>
      </c>
      <c r="BW583" s="28">
        <f t="shared" si="5174"/>
        <v>-12</v>
      </c>
    </row>
    <row r="584">
      <c r="A584" s="53">
        <v>26.0</v>
      </c>
      <c r="B584" s="28">
        <f>'26_30-11-2024'!A19</f>
        <v>17</v>
      </c>
      <c r="C584" s="28">
        <f>'26_30-11-2024'!B19</f>
        <v>8</v>
      </c>
      <c r="D584" s="28">
        <f>'26_30-11-2024'!C19</f>
        <v>136</v>
      </c>
      <c r="E584" s="28">
        <f>'26_30-11-2024'!D19</f>
        <v>40</v>
      </c>
      <c r="F584" s="28">
        <f>'26_30-11-2024'!E19</f>
        <v>-184</v>
      </c>
      <c r="G584" s="28">
        <f>'26_30-11-2024'!F19</f>
        <v>0</v>
      </c>
      <c r="H584" s="28" t="str">
        <f>'26_30-11-2024'!I19</f>
        <v>Thomas</v>
      </c>
      <c r="I584" s="28" t="str">
        <f>'26_30-11-2024'!J19</f>
        <v>Peter</v>
      </c>
      <c r="J584" s="28" t="str">
        <f>'26_30-11-2024'!H19</f>
        <v/>
      </c>
      <c r="K584" s="28" t="str">
        <f>'26_30-11-2024'!G19</f>
        <v>9 vip i 3</v>
      </c>
      <c r="L584" s="56"/>
      <c r="M584" s="25">
        <v>9.0</v>
      </c>
      <c r="N584" s="25" t="s">
        <v>86</v>
      </c>
      <c r="O584" s="25">
        <v>3.0</v>
      </c>
      <c r="T584" s="56"/>
      <c r="U584" s="77">
        <f t="shared" ref="U584:X584" si="5175">C584-C583</f>
        <v>64</v>
      </c>
      <c r="V584" s="28">
        <f t="shared" si="5175"/>
        <v>64</v>
      </c>
      <c r="W584" s="28">
        <f t="shared" si="5175"/>
        <v>-64</v>
      </c>
      <c r="X584" s="28">
        <f t="shared" si="5175"/>
        <v>-64</v>
      </c>
      <c r="AB584" s="28">
        <f t="shared" ref="AB584:AE584" si="5176">IF(AB$3=$H584,U584,"")</f>
        <v>64</v>
      </c>
      <c r="AC584" s="28" t="str">
        <f t="shared" si="5176"/>
        <v/>
      </c>
      <c r="AD584" s="28" t="str">
        <f t="shared" si="5176"/>
        <v/>
      </c>
      <c r="AE584" s="28" t="str">
        <f t="shared" si="5176"/>
        <v/>
      </c>
      <c r="AH584" s="28">
        <f t="shared" si="22"/>
        <v>64</v>
      </c>
      <c r="AI584" s="28">
        <f t="shared" si="23"/>
        <v>0</v>
      </c>
      <c r="AK584" s="78" t="str">
        <f t="shared" ref="AK584:AN584" si="5177">IF(U584&gt;0,AK$3,"")</f>
        <v>Thomas</v>
      </c>
      <c r="AL584" s="78" t="str">
        <f t="shared" si="5177"/>
        <v>Peter</v>
      </c>
      <c r="AM584" s="78" t="str">
        <f t="shared" si="5177"/>
        <v/>
      </c>
      <c r="AN584" s="78" t="str">
        <f t="shared" si="5177"/>
        <v/>
      </c>
      <c r="AO584" s="56">
        <f t="shared" si="25"/>
        <v>2</v>
      </c>
      <c r="AP584" s="8" t="str">
        <f t="shared" si="26"/>
        <v>Thomas</v>
      </c>
      <c r="AQ584" s="73" t="str">
        <f>IFERROR(__xludf.DUMMYFUNCTION("IFNA(QUERY(transpose(AY584:BB584),""Select Col1 where Col1 is not null limit 1"",0))"),"Peter")</f>
        <v>Peter</v>
      </c>
      <c r="AR584" s="56"/>
      <c r="AS584" s="28" t="str">
        <f t="shared" ref="AS584:AV584" si="5178">IF(AK584=AS$3,"",AS$3)</f>
        <v/>
      </c>
      <c r="AT584" s="28" t="str">
        <f t="shared" si="5178"/>
        <v/>
      </c>
      <c r="AU584" s="28" t="str">
        <f t="shared" si="5178"/>
        <v>Janus</v>
      </c>
      <c r="AV584" s="28" t="str">
        <f t="shared" si="5178"/>
        <v>Christian</v>
      </c>
      <c r="AW584" s="56">
        <f t="shared" si="28"/>
        <v>2</v>
      </c>
      <c r="AX584" s="28">
        <f t="shared" si="29"/>
        <v>64</v>
      </c>
      <c r="AY584" s="28" t="str">
        <f t="shared" ref="AY584:BB584" si="5179">IFNA(IFS(AY$3=$AP584,"",$AX584=U584,AY$3),"")</f>
        <v/>
      </c>
      <c r="AZ584" s="28" t="str">
        <f t="shared" si="5179"/>
        <v>Peter</v>
      </c>
      <c r="BA584" s="28" t="str">
        <f t="shared" si="5179"/>
        <v/>
      </c>
      <c r="BB584" s="28" t="str">
        <f t="shared" si="5179"/>
        <v/>
      </c>
      <c r="BC584" s="58">
        <f>OFFSET('00_Regnskab_01'!$A$1,MATCH(A584,'00_Regnskab_01'!$A$1:$A$25)-1,2)</f>
        <v>45199</v>
      </c>
      <c r="BE584" s="80">
        <f t="shared" ref="BE584:BH584" si="5180">if(U584&gt;0,1+BE583,0)</f>
        <v>3</v>
      </c>
      <c r="BF584" s="28">
        <f t="shared" si="5180"/>
        <v>2</v>
      </c>
      <c r="BG584" s="28">
        <f t="shared" si="5180"/>
        <v>0</v>
      </c>
      <c r="BH584" s="28">
        <f t="shared" si="5180"/>
        <v>0</v>
      </c>
      <c r="BJ584" s="28">
        <f t="shared" ref="BJ584:BM584" si="5181">if(U584&lt;0,1+BJ583,0)</f>
        <v>0</v>
      </c>
      <c r="BK584" s="28">
        <f t="shared" si="5181"/>
        <v>0</v>
      </c>
      <c r="BL584" s="28">
        <f t="shared" si="5181"/>
        <v>1</v>
      </c>
      <c r="BM584" s="28">
        <f t="shared" si="5181"/>
        <v>2</v>
      </c>
      <c r="BO584" s="74">
        <f t="shared" ref="BO584:BR584" si="5182">if(U584&gt;0,U584+BO583,0)</f>
        <v>72</v>
      </c>
      <c r="BP584" s="74">
        <f t="shared" si="5182"/>
        <v>68</v>
      </c>
      <c r="BQ584" s="74">
        <f t="shared" si="5182"/>
        <v>0</v>
      </c>
      <c r="BR584" s="74">
        <f t="shared" si="5182"/>
        <v>0</v>
      </c>
      <c r="BT584" s="28">
        <f t="shared" ref="BT584:BW584" si="5183">if(U584&lt;0,U584+BT583,0)</f>
        <v>0</v>
      </c>
      <c r="BU584" s="28">
        <f t="shared" si="5183"/>
        <v>0</v>
      </c>
      <c r="BV584" s="28">
        <f t="shared" si="5183"/>
        <v>-64</v>
      </c>
      <c r="BW584" s="28">
        <f t="shared" si="5183"/>
        <v>-76</v>
      </c>
    </row>
    <row r="585">
      <c r="A585" s="53">
        <v>26.0</v>
      </c>
      <c r="B585" s="28">
        <f>'26_30-11-2024'!A20</f>
        <v>18</v>
      </c>
      <c r="C585" s="28">
        <f>'26_30-11-2024'!B20</f>
        <v>4</v>
      </c>
      <c r="D585" s="28">
        <f>'26_30-11-2024'!C20</f>
        <v>140</v>
      </c>
      <c r="E585" s="28">
        <f>'26_30-11-2024'!D20</f>
        <v>44</v>
      </c>
      <c r="F585" s="28">
        <f>'26_30-11-2024'!E20</f>
        <v>-188</v>
      </c>
      <c r="G585" s="28">
        <f>'26_30-11-2024'!F20</f>
        <v>0</v>
      </c>
      <c r="H585" s="28" t="str">
        <f>'26_30-11-2024'!I20</f>
        <v>Peter</v>
      </c>
      <c r="I585" s="28" t="str">
        <f>'26_30-11-2024'!J20</f>
        <v>Christian</v>
      </c>
      <c r="J585" s="28" t="str">
        <f>'26_30-11-2024'!H20</f>
        <v/>
      </c>
      <c r="K585" s="28" t="str">
        <f>'26_30-11-2024'!G20</f>
        <v>9 Alm</v>
      </c>
      <c r="L585" s="56"/>
      <c r="M585" s="25">
        <v>9.0</v>
      </c>
      <c r="N585" s="25" t="s">
        <v>100</v>
      </c>
      <c r="T585" s="56"/>
      <c r="U585" s="77">
        <f t="shared" ref="U585:X585" si="5184">C585-C584</f>
        <v>-4</v>
      </c>
      <c r="V585" s="28">
        <f t="shared" si="5184"/>
        <v>4</v>
      </c>
      <c r="W585" s="28">
        <f t="shared" si="5184"/>
        <v>4</v>
      </c>
      <c r="X585" s="28">
        <f t="shared" si="5184"/>
        <v>-4</v>
      </c>
      <c r="AB585" s="28" t="str">
        <f t="shared" ref="AB585:AE585" si="5185">IF(AB$3=$H585,U585,"")</f>
        <v/>
      </c>
      <c r="AC585" s="28">
        <f t="shared" si="5185"/>
        <v>4</v>
      </c>
      <c r="AD585" s="28" t="str">
        <f t="shared" si="5185"/>
        <v/>
      </c>
      <c r="AE585" s="28" t="str">
        <f t="shared" si="5185"/>
        <v/>
      </c>
      <c r="AH585" s="28">
        <f t="shared" si="22"/>
        <v>4</v>
      </c>
      <c r="AI585" s="28">
        <f t="shared" si="23"/>
        <v>0</v>
      </c>
      <c r="AK585" s="78" t="str">
        <f t="shared" ref="AK585:AN585" si="5186">IF(U585&gt;0,AK$3,"")</f>
        <v/>
      </c>
      <c r="AL585" s="78" t="str">
        <f t="shared" si="5186"/>
        <v>Peter</v>
      </c>
      <c r="AM585" s="78" t="str">
        <f t="shared" si="5186"/>
        <v>Janus</v>
      </c>
      <c r="AN585" s="78" t="str">
        <f t="shared" si="5186"/>
        <v/>
      </c>
      <c r="AO585" s="56">
        <f t="shared" si="25"/>
        <v>2</v>
      </c>
      <c r="AP585" s="8" t="str">
        <f t="shared" si="26"/>
        <v>Peter</v>
      </c>
      <c r="AQ585" s="73" t="str">
        <f>IFERROR(__xludf.DUMMYFUNCTION("IFNA(QUERY(transpose(AY585:BB585),""Select Col1 where Col1 is not null limit 1"",0))"),"Janus")</f>
        <v>Janus</v>
      </c>
      <c r="AR585" s="56"/>
      <c r="AS585" s="28" t="str">
        <f t="shared" ref="AS585:AV585" si="5187">IF(AK585=AS$3,"",AS$3)</f>
        <v>Thomas</v>
      </c>
      <c r="AT585" s="28" t="str">
        <f t="shared" si="5187"/>
        <v/>
      </c>
      <c r="AU585" s="28" t="str">
        <f t="shared" si="5187"/>
        <v/>
      </c>
      <c r="AV585" s="28" t="str">
        <f t="shared" si="5187"/>
        <v>Christian</v>
      </c>
      <c r="AW585" s="56">
        <f t="shared" si="28"/>
        <v>2</v>
      </c>
      <c r="AX585" s="28">
        <f t="shared" si="29"/>
        <v>4</v>
      </c>
      <c r="AY585" s="28" t="str">
        <f t="shared" ref="AY585:BB585" si="5188">IFNA(IFS(AY$3=$AP585,"",$AX585=U585,AY$3),"")</f>
        <v/>
      </c>
      <c r="AZ585" s="28" t="str">
        <f t="shared" si="5188"/>
        <v/>
      </c>
      <c r="BA585" s="28" t="str">
        <f t="shared" si="5188"/>
        <v>Janus</v>
      </c>
      <c r="BB585" s="28" t="str">
        <f t="shared" si="5188"/>
        <v/>
      </c>
      <c r="BC585" s="58">
        <f>OFFSET('00_Regnskab_01'!$A$1,MATCH(A585,'00_Regnskab_01'!$A$1:$A$25)-1,2)</f>
        <v>45199</v>
      </c>
      <c r="BE585" s="80">
        <f t="shared" ref="BE585:BH585" si="5189">if(U585&gt;0,1+BE584,0)</f>
        <v>0</v>
      </c>
      <c r="BF585" s="28">
        <f t="shared" si="5189"/>
        <v>3</v>
      </c>
      <c r="BG585" s="28">
        <f t="shared" si="5189"/>
        <v>1</v>
      </c>
      <c r="BH585" s="28">
        <f t="shared" si="5189"/>
        <v>0</v>
      </c>
      <c r="BJ585" s="28">
        <f t="shared" ref="BJ585:BM585" si="5190">if(U585&lt;0,1+BJ584,0)</f>
        <v>1</v>
      </c>
      <c r="BK585" s="28">
        <f t="shared" si="5190"/>
        <v>0</v>
      </c>
      <c r="BL585" s="28">
        <f t="shared" si="5190"/>
        <v>0</v>
      </c>
      <c r="BM585" s="28">
        <f t="shared" si="5190"/>
        <v>3</v>
      </c>
      <c r="BO585" s="74">
        <f t="shared" ref="BO585:BR585" si="5191">if(U585&gt;0,U585+BO584,0)</f>
        <v>0</v>
      </c>
      <c r="BP585" s="74">
        <f t="shared" si="5191"/>
        <v>72</v>
      </c>
      <c r="BQ585" s="74">
        <f t="shared" si="5191"/>
        <v>4</v>
      </c>
      <c r="BR585" s="74">
        <f t="shared" si="5191"/>
        <v>0</v>
      </c>
      <c r="BT585" s="28">
        <f t="shared" ref="BT585:BW585" si="5192">if(U585&lt;0,U585+BT584,0)</f>
        <v>-4</v>
      </c>
      <c r="BU585" s="28">
        <f t="shared" si="5192"/>
        <v>0</v>
      </c>
      <c r="BV585" s="28">
        <f t="shared" si="5192"/>
        <v>0</v>
      </c>
      <c r="BW585" s="28">
        <f t="shared" si="5192"/>
        <v>-80</v>
      </c>
    </row>
    <row r="586">
      <c r="A586" s="53">
        <v>26.0</v>
      </c>
      <c r="B586" s="28">
        <f>'26_30-11-2024'!A21</f>
        <v>19</v>
      </c>
      <c r="C586" s="28">
        <f>'26_30-11-2024'!B21</f>
        <v>8</v>
      </c>
      <c r="D586" s="28">
        <f>'26_30-11-2024'!C21</f>
        <v>144</v>
      </c>
      <c r="E586" s="28">
        <f>'26_30-11-2024'!D21</f>
        <v>32</v>
      </c>
      <c r="F586" s="28">
        <f>'26_30-11-2024'!E21</f>
        <v>-184</v>
      </c>
      <c r="G586" s="28">
        <f>'26_30-11-2024'!F21</f>
        <v>0</v>
      </c>
      <c r="H586" s="28" t="str">
        <f>'26_30-11-2024'!I21</f>
        <v>Janus</v>
      </c>
      <c r="I586" s="28" t="str">
        <f>'26_30-11-2024'!J21</f>
        <v/>
      </c>
      <c r="J586" s="28" t="str">
        <f>'26_30-11-2024'!H21</f>
        <v/>
      </c>
      <c r="K586" s="28" t="str">
        <f>'26_30-11-2024'!G21</f>
        <v>Sol</v>
      </c>
      <c r="L586" s="56"/>
      <c r="N586" s="25" t="s">
        <v>99</v>
      </c>
      <c r="T586" s="56"/>
      <c r="U586" s="77">
        <f t="shared" ref="U586:X586" si="5193">C586-C585</f>
        <v>4</v>
      </c>
      <c r="V586" s="28">
        <f t="shared" si="5193"/>
        <v>4</v>
      </c>
      <c r="W586" s="28">
        <f t="shared" si="5193"/>
        <v>-12</v>
      </c>
      <c r="X586" s="28">
        <f t="shared" si="5193"/>
        <v>4</v>
      </c>
      <c r="AB586" s="28" t="str">
        <f t="shared" ref="AB586:AE586" si="5194">IF(AB$3=$H586,U586,"")</f>
        <v/>
      </c>
      <c r="AC586" s="28" t="str">
        <f t="shared" si="5194"/>
        <v/>
      </c>
      <c r="AD586" s="28">
        <f t="shared" si="5194"/>
        <v>-12</v>
      </c>
      <c r="AE586" s="28" t="str">
        <f t="shared" si="5194"/>
        <v/>
      </c>
      <c r="AH586" s="28">
        <f t="shared" si="22"/>
        <v>0</v>
      </c>
      <c r="AI586" s="28">
        <f t="shared" si="23"/>
        <v>-12</v>
      </c>
      <c r="AK586" s="78" t="str">
        <f t="shared" ref="AK586:AN586" si="5195">IF(U586&gt;0,AK$3,"")</f>
        <v>Thomas</v>
      </c>
      <c r="AL586" s="78" t="str">
        <f t="shared" si="5195"/>
        <v>Peter</v>
      </c>
      <c r="AM586" s="78" t="str">
        <f t="shared" si="5195"/>
        <v/>
      </c>
      <c r="AN586" s="78" t="str">
        <f t="shared" si="5195"/>
        <v>Christian</v>
      </c>
      <c r="AO586" s="56">
        <f t="shared" si="25"/>
        <v>3</v>
      </c>
      <c r="AP586" s="8" t="str">
        <f t="shared" si="26"/>
        <v>Janus</v>
      </c>
      <c r="AQ586" s="73" t="str">
        <f>IFERROR(__xludf.DUMMYFUNCTION("IFNA(QUERY(transpose(AY586:BB586),""Select Col1 where Col1 is not null limit 1"",0))"),"")</f>
        <v/>
      </c>
      <c r="AR586" s="56"/>
      <c r="AS586" s="28" t="str">
        <f t="shared" ref="AS586:AV586" si="5196">IF(AK586=AS$3,"",AS$3)</f>
        <v/>
      </c>
      <c r="AT586" s="28" t="str">
        <f t="shared" si="5196"/>
        <v/>
      </c>
      <c r="AU586" s="28" t="str">
        <f t="shared" si="5196"/>
        <v>Janus</v>
      </c>
      <c r="AV586" s="28" t="str">
        <f t="shared" si="5196"/>
        <v/>
      </c>
      <c r="AW586" s="56">
        <f t="shared" si="28"/>
        <v>1</v>
      </c>
      <c r="AX586" s="28">
        <f t="shared" si="29"/>
        <v>-12</v>
      </c>
      <c r="AY586" s="28" t="str">
        <f t="shared" ref="AY586:BB586" si="5197">IFNA(IFS(AY$3=$AP586,"",$AX586=U586,AY$3),"")</f>
        <v/>
      </c>
      <c r="AZ586" s="28" t="str">
        <f t="shared" si="5197"/>
        <v/>
      </c>
      <c r="BA586" s="28" t="str">
        <f t="shared" si="5197"/>
        <v/>
      </c>
      <c r="BB586" s="28" t="str">
        <f t="shared" si="5197"/>
        <v/>
      </c>
      <c r="BC586" s="58">
        <f>OFFSET('00_Regnskab_01'!$A$1,MATCH(A586,'00_Regnskab_01'!$A$1:$A$25)-1,2)</f>
        <v>45199</v>
      </c>
      <c r="BE586" s="80">
        <f t="shared" ref="BE586:BH586" si="5198">if(U586&gt;0,1+BE585,0)</f>
        <v>1</v>
      </c>
      <c r="BF586" s="28">
        <f t="shared" si="5198"/>
        <v>4</v>
      </c>
      <c r="BG586" s="28">
        <f t="shared" si="5198"/>
        <v>0</v>
      </c>
      <c r="BH586" s="28">
        <f t="shared" si="5198"/>
        <v>1</v>
      </c>
      <c r="BJ586" s="28">
        <f t="shared" ref="BJ586:BM586" si="5199">if(U586&lt;0,1+BJ585,0)</f>
        <v>0</v>
      </c>
      <c r="BK586" s="28">
        <f t="shared" si="5199"/>
        <v>0</v>
      </c>
      <c r="BL586" s="28">
        <f t="shared" si="5199"/>
        <v>1</v>
      </c>
      <c r="BM586" s="28">
        <f t="shared" si="5199"/>
        <v>0</v>
      </c>
      <c r="BO586" s="74">
        <f t="shared" ref="BO586:BR586" si="5200">if(U586&gt;0,U586+BO585,0)</f>
        <v>4</v>
      </c>
      <c r="BP586" s="74">
        <f t="shared" si="5200"/>
        <v>76</v>
      </c>
      <c r="BQ586" s="74">
        <f t="shared" si="5200"/>
        <v>0</v>
      </c>
      <c r="BR586" s="74">
        <f t="shared" si="5200"/>
        <v>4</v>
      </c>
      <c r="BT586" s="28">
        <f t="shared" ref="BT586:BW586" si="5201">if(U586&lt;0,U586+BT585,0)</f>
        <v>0</v>
      </c>
      <c r="BU586" s="28">
        <f t="shared" si="5201"/>
        <v>0</v>
      </c>
      <c r="BV586" s="28">
        <f t="shared" si="5201"/>
        <v>-12</v>
      </c>
      <c r="BW586" s="28">
        <f t="shared" si="5201"/>
        <v>0</v>
      </c>
    </row>
    <row r="587">
      <c r="A587" s="53">
        <v>26.0</v>
      </c>
      <c r="B587" s="28">
        <f>'26_30-11-2024'!A22</f>
        <v>20</v>
      </c>
      <c r="C587" s="28">
        <f>'26_30-11-2024'!B22</f>
        <v>32</v>
      </c>
      <c r="D587" s="28">
        <f>'26_30-11-2024'!C22</f>
        <v>120</v>
      </c>
      <c r="E587" s="28">
        <f>'26_30-11-2024'!D22</f>
        <v>8</v>
      </c>
      <c r="F587" s="28">
        <f>'26_30-11-2024'!E22</f>
        <v>-160</v>
      </c>
      <c r="G587" s="28">
        <f>'26_30-11-2024'!F22</f>
        <v>0</v>
      </c>
      <c r="H587" s="28" t="str">
        <f>'26_30-11-2024'!I22</f>
        <v>Thomas</v>
      </c>
      <c r="I587" s="28" t="str">
        <f>'26_30-11-2024'!J22</f>
        <v/>
      </c>
      <c r="J587" s="28" t="str">
        <f>'26_30-11-2024'!H22</f>
        <v/>
      </c>
      <c r="K587" s="28" t="str">
        <f>'26_30-11-2024'!G22</f>
        <v>9 vip i 2</v>
      </c>
      <c r="L587" s="56"/>
      <c r="M587" s="25">
        <v>9.0</v>
      </c>
      <c r="N587" s="25" t="s">
        <v>86</v>
      </c>
      <c r="O587" s="25">
        <v>2.0</v>
      </c>
      <c r="T587" s="56"/>
      <c r="U587" s="77">
        <f t="shared" ref="U587:X587" si="5202">C587-C586</f>
        <v>24</v>
      </c>
      <c r="V587" s="28">
        <f t="shared" si="5202"/>
        <v>-24</v>
      </c>
      <c r="W587" s="28">
        <f t="shared" si="5202"/>
        <v>-24</v>
      </c>
      <c r="X587" s="28">
        <f t="shared" si="5202"/>
        <v>24</v>
      </c>
      <c r="AB587" s="28">
        <f t="shared" ref="AB587:AE587" si="5203">IF(AB$3=$H587,U587,"")</f>
        <v>24</v>
      </c>
      <c r="AC587" s="28" t="str">
        <f t="shared" si="5203"/>
        <v/>
      </c>
      <c r="AD587" s="28" t="str">
        <f t="shared" si="5203"/>
        <v/>
      </c>
      <c r="AE587" s="28" t="str">
        <f t="shared" si="5203"/>
        <v/>
      </c>
      <c r="AH587" s="28">
        <f t="shared" si="22"/>
        <v>24</v>
      </c>
      <c r="AI587" s="28">
        <f t="shared" si="23"/>
        <v>0</v>
      </c>
      <c r="AK587" s="78" t="str">
        <f t="shared" ref="AK587:AN587" si="5204">IF(U587&gt;0,AK$3,"")</f>
        <v>Thomas</v>
      </c>
      <c r="AL587" s="78" t="str">
        <f t="shared" si="5204"/>
        <v/>
      </c>
      <c r="AM587" s="78" t="str">
        <f t="shared" si="5204"/>
        <v/>
      </c>
      <c r="AN587" s="78" t="str">
        <f t="shared" si="5204"/>
        <v>Christian</v>
      </c>
      <c r="AO587" s="56">
        <f t="shared" si="25"/>
        <v>2</v>
      </c>
      <c r="AP587" s="8" t="str">
        <f t="shared" si="26"/>
        <v>Thomas</v>
      </c>
      <c r="AQ587" s="73" t="str">
        <f>IFERROR(__xludf.DUMMYFUNCTION("IFNA(QUERY(transpose(AY587:BB587),""Select Col1 where Col1 is not null limit 1"",0))"),"Christian")</f>
        <v>Christian</v>
      </c>
      <c r="AR587" s="56"/>
      <c r="AS587" s="28" t="str">
        <f t="shared" ref="AS587:AV587" si="5205">IF(AK587=AS$3,"",AS$3)</f>
        <v/>
      </c>
      <c r="AT587" s="28" t="str">
        <f t="shared" si="5205"/>
        <v>Peter</v>
      </c>
      <c r="AU587" s="28" t="str">
        <f t="shared" si="5205"/>
        <v>Janus</v>
      </c>
      <c r="AV587" s="28" t="str">
        <f t="shared" si="5205"/>
        <v/>
      </c>
      <c r="AW587" s="56">
        <f t="shared" si="28"/>
        <v>2</v>
      </c>
      <c r="AX587" s="28">
        <f t="shared" si="29"/>
        <v>24</v>
      </c>
      <c r="AY587" s="28" t="str">
        <f t="shared" ref="AY587:BB587" si="5206">IFNA(IFS(AY$3=$AP587,"",$AX587=U587,AY$3),"")</f>
        <v/>
      </c>
      <c r="AZ587" s="28" t="str">
        <f t="shared" si="5206"/>
        <v/>
      </c>
      <c r="BA587" s="28" t="str">
        <f t="shared" si="5206"/>
        <v/>
      </c>
      <c r="BB587" s="28" t="str">
        <f t="shared" si="5206"/>
        <v>Christian</v>
      </c>
      <c r="BC587" s="58">
        <f>OFFSET('00_Regnskab_01'!$A$1,MATCH(A587,'00_Regnskab_01'!$A$1:$A$25)-1,2)</f>
        <v>45199</v>
      </c>
      <c r="BE587" s="80">
        <f t="shared" ref="BE587:BH587" si="5207">if(U587&gt;0,1+BE586,0)</f>
        <v>2</v>
      </c>
      <c r="BF587" s="28">
        <f t="shared" si="5207"/>
        <v>0</v>
      </c>
      <c r="BG587" s="28">
        <f t="shared" si="5207"/>
        <v>0</v>
      </c>
      <c r="BH587" s="28">
        <f t="shared" si="5207"/>
        <v>2</v>
      </c>
      <c r="BJ587" s="28">
        <f t="shared" ref="BJ587:BM587" si="5208">if(U587&lt;0,1+BJ586,0)</f>
        <v>0</v>
      </c>
      <c r="BK587" s="28">
        <f t="shared" si="5208"/>
        <v>1</v>
      </c>
      <c r="BL587" s="28">
        <f t="shared" si="5208"/>
        <v>2</v>
      </c>
      <c r="BM587" s="28">
        <f t="shared" si="5208"/>
        <v>0</v>
      </c>
      <c r="BO587" s="74">
        <f t="shared" ref="BO587:BR587" si="5209">if(U587&gt;0,U587+BO586,0)</f>
        <v>28</v>
      </c>
      <c r="BP587" s="74">
        <f t="shared" si="5209"/>
        <v>0</v>
      </c>
      <c r="BQ587" s="74">
        <f t="shared" si="5209"/>
        <v>0</v>
      </c>
      <c r="BR587" s="74">
        <f t="shared" si="5209"/>
        <v>28</v>
      </c>
      <c r="BT587" s="28">
        <f t="shared" ref="BT587:BW587" si="5210">if(U587&lt;0,U587+BT586,0)</f>
        <v>0</v>
      </c>
      <c r="BU587" s="28">
        <f t="shared" si="5210"/>
        <v>-24</v>
      </c>
      <c r="BV587" s="28">
        <f t="shared" si="5210"/>
        <v>-36</v>
      </c>
      <c r="BW587" s="28">
        <f t="shared" si="5210"/>
        <v>0</v>
      </c>
    </row>
    <row r="588">
      <c r="A588" s="53">
        <v>26.0</v>
      </c>
      <c r="B588" s="28">
        <f>'26_30-11-2024'!A23</f>
        <v>21</v>
      </c>
      <c r="C588" s="28">
        <f>'26_30-11-2024'!B23</f>
        <v>80</v>
      </c>
      <c r="D588" s="28">
        <f>'26_30-11-2024'!C23</f>
        <v>72</v>
      </c>
      <c r="E588" s="28">
        <f>'26_30-11-2024'!D23</f>
        <v>-40</v>
      </c>
      <c r="F588" s="28">
        <f>'26_30-11-2024'!E23</f>
        <v>-112</v>
      </c>
      <c r="G588" s="28">
        <f>'26_30-11-2024'!F23</f>
        <v>0</v>
      </c>
      <c r="H588" s="28" t="str">
        <f>'26_30-11-2024'!I23</f>
        <v>Thomas</v>
      </c>
      <c r="I588" s="28" t="str">
        <f>'26_30-11-2024'!J23</f>
        <v>Christian</v>
      </c>
      <c r="J588" s="28" t="str">
        <f>'26_30-11-2024'!H23</f>
        <v/>
      </c>
      <c r="K588" s="28" t="str">
        <f>'26_30-11-2024'!G23</f>
        <v>9 vip i 1</v>
      </c>
      <c r="L588" s="56"/>
      <c r="M588" s="25">
        <v>9.0</v>
      </c>
      <c r="N588" s="25" t="s">
        <v>86</v>
      </c>
      <c r="O588" s="25">
        <v>1.0</v>
      </c>
      <c r="T588" s="56"/>
      <c r="U588" s="77">
        <f t="shared" ref="U588:X588" si="5211">C588-C587</f>
        <v>48</v>
      </c>
      <c r="V588" s="28">
        <f t="shared" si="5211"/>
        <v>-48</v>
      </c>
      <c r="W588" s="28">
        <f t="shared" si="5211"/>
        <v>-48</v>
      </c>
      <c r="X588" s="28">
        <f t="shared" si="5211"/>
        <v>48</v>
      </c>
      <c r="AB588" s="28">
        <f t="shared" ref="AB588:AE588" si="5212">IF(AB$3=$H588,U588,"")</f>
        <v>48</v>
      </c>
      <c r="AC588" s="28" t="str">
        <f t="shared" si="5212"/>
        <v/>
      </c>
      <c r="AD588" s="28" t="str">
        <f t="shared" si="5212"/>
        <v/>
      </c>
      <c r="AE588" s="28" t="str">
        <f t="shared" si="5212"/>
        <v/>
      </c>
      <c r="AH588" s="28">
        <f t="shared" si="22"/>
        <v>48</v>
      </c>
      <c r="AI588" s="28">
        <f t="shared" si="23"/>
        <v>0</v>
      </c>
      <c r="AK588" s="78" t="str">
        <f t="shared" ref="AK588:AN588" si="5213">IF(U588&gt;0,AK$3,"")</f>
        <v>Thomas</v>
      </c>
      <c r="AL588" s="78" t="str">
        <f t="shared" si="5213"/>
        <v/>
      </c>
      <c r="AM588" s="78" t="str">
        <f t="shared" si="5213"/>
        <v/>
      </c>
      <c r="AN588" s="78" t="str">
        <f t="shared" si="5213"/>
        <v>Christian</v>
      </c>
      <c r="AO588" s="56">
        <f t="shared" si="25"/>
        <v>2</v>
      </c>
      <c r="AP588" s="8" t="str">
        <f t="shared" si="26"/>
        <v>Thomas</v>
      </c>
      <c r="AQ588" s="73" t="str">
        <f>IFERROR(__xludf.DUMMYFUNCTION("IFNA(QUERY(transpose(AY588:BB588),""Select Col1 where Col1 is not null limit 1"",0))"),"Christian")</f>
        <v>Christian</v>
      </c>
      <c r="AR588" s="56"/>
      <c r="AS588" s="28" t="str">
        <f t="shared" ref="AS588:AV588" si="5214">IF(AK588=AS$3,"",AS$3)</f>
        <v/>
      </c>
      <c r="AT588" s="28" t="str">
        <f t="shared" si="5214"/>
        <v>Peter</v>
      </c>
      <c r="AU588" s="28" t="str">
        <f t="shared" si="5214"/>
        <v>Janus</v>
      </c>
      <c r="AV588" s="28" t="str">
        <f t="shared" si="5214"/>
        <v/>
      </c>
      <c r="AW588" s="56">
        <f t="shared" si="28"/>
        <v>2</v>
      </c>
      <c r="AX588" s="28">
        <f t="shared" si="29"/>
        <v>48</v>
      </c>
      <c r="AY588" s="28" t="str">
        <f t="shared" ref="AY588:BB588" si="5215">IFNA(IFS(AY$3=$AP588,"",$AX588=U588,AY$3),"")</f>
        <v/>
      </c>
      <c r="AZ588" s="28" t="str">
        <f t="shared" si="5215"/>
        <v/>
      </c>
      <c r="BA588" s="28" t="str">
        <f t="shared" si="5215"/>
        <v/>
      </c>
      <c r="BB588" s="28" t="str">
        <f t="shared" si="5215"/>
        <v>Christian</v>
      </c>
      <c r="BC588" s="58">
        <f>OFFSET('00_Regnskab_01'!$A$1,MATCH(A588,'00_Regnskab_01'!$A$1:$A$25)-1,2)</f>
        <v>45199</v>
      </c>
      <c r="BE588" s="80">
        <f t="shared" ref="BE588:BH588" si="5216">if(U588&gt;0,1+BE587,0)</f>
        <v>3</v>
      </c>
      <c r="BF588" s="28">
        <f t="shared" si="5216"/>
        <v>0</v>
      </c>
      <c r="BG588" s="28">
        <f t="shared" si="5216"/>
        <v>0</v>
      </c>
      <c r="BH588" s="28">
        <f t="shared" si="5216"/>
        <v>3</v>
      </c>
      <c r="BJ588" s="28">
        <f t="shared" ref="BJ588:BM588" si="5217">if(U588&lt;0,1+BJ587,0)</f>
        <v>0</v>
      </c>
      <c r="BK588" s="28">
        <f t="shared" si="5217"/>
        <v>2</v>
      </c>
      <c r="BL588" s="28">
        <f t="shared" si="5217"/>
        <v>3</v>
      </c>
      <c r="BM588" s="28">
        <f t="shared" si="5217"/>
        <v>0</v>
      </c>
      <c r="BO588" s="74">
        <f t="shared" ref="BO588:BR588" si="5218">if(U588&gt;0,U588+BO587,0)</f>
        <v>76</v>
      </c>
      <c r="BP588" s="74">
        <f t="shared" si="5218"/>
        <v>0</v>
      </c>
      <c r="BQ588" s="74">
        <f t="shared" si="5218"/>
        <v>0</v>
      </c>
      <c r="BR588" s="74">
        <f t="shared" si="5218"/>
        <v>76</v>
      </c>
      <c r="BT588" s="28">
        <f t="shared" ref="BT588:BW588" si="5219">if(U588&lt;0,U588+BT587,0)</f>
        <v>0</v>
      </c>
      <c r="BU588" s="28">
        <f t="shared" si="5219"/>
        <v>-72</v>
      </c>
      <c r="BV588" s="28">
        <f t="shared" si="5219"/>
        <v>-84</v>
      </c>
      <c r="BW588" s="28">
        <f t="shared" si="5219"/>
        <v>0</v>
      </c>
    </row>
    <row r="589">
      <c r="A589" s="53">
        <v>26.0</v>
      </c>
      <c r="B589" s="28">
        <f>'26_30-11-2024'!A24</f>
        <v>22</v>
      </c>
      <c r="C589" s="28">
        <f>'26_30-11-2024'!B24</f>
        <v>104</v>
      </c>
      <c r="D589" s="28">
        <f>'26_30-11-2024'!C24</f>
        <v>64</v>
      </c>
      <c r="E589" s="28">
        <f>'26_30-11-2024'!D24</f>
        <v>-48</v>
      </c>
      <c r="F589" s="28">
        <f>'26_30-11-2024'!E24</f>
        <v>-120</v>
      </c>
      <c r="G589" s="28">
        <f>'26_30-11-2024'!F24</f>
        <v>0</v>
      </c>
      <c r="H589" s="28" t="str">
        <f>'26_30-11-2024'!I24</f>
        <v>Thomas</v>
      </c>
      <c r="I589" s="28" t="str">
        <f>'26_30-11-2024'!J24</f>
        <v/>
      </c>
      <c r="J589" s="28" t="str">
        <f>'26_30-11-2024'!H24</f>
        <v/>
      </c>
      <c r="K589" s="28" t="str">
        <f>'26_30-11-2024'!G24</f>
        <v>Ren sol</v>
      </c>
      <c r="L589" s="56"/>
      <c r="N589" s="25" t="s">
        <v>97</v>
      </c>
      <c r="T589" s="56"/>
      <c r="U589" s="77">
        <f t="shared" ref="U589:X589" si="5220">C589-C588</f>
        <v>24</v>
      </c>
      <c r="V589" s="28">
        <f t="shared" si="5220"/>
        <v>-8</v>
      </c>
      <c r="W589" s="28">
        <f t="shared" si="5220"/>
        <v>-8</v>
      </c>
      <c r="X589" s="28">
        <f t="shared" si="5220"/>
        <v>-8</v>
      </c>
      <c r="AB589" s="28">
        <f t="shared" ref="AB589:AE589" si="5221">IF(AB$3=$H589,U589,"")</f>
        <v>24</v>
      </c>
      <c r="AC589" s="28" t="str">
        <f t="shared" si="5221"/>
        <v/>
      </c>
      <c r="AD589" s="28" t="str">
        <f t="shared" si="5221"/>
        <v/>
      </c>
      <c r="AE589" s="28" t="str">
        <f t="shared" si="5221"/>
        <v/>
      </c>
      <c r="AH589" s="28">
        <f t="shared" si="22"/>
        <v>24</v>
      </c>
      <c r="AI589" s="28">
        <f t="shared" si="23"/>
        <v>0</v>
      </c>
      <c r="AK589" s="78" t="str">
        <f t="shared" ref="AK589:AN589" si="5222">IF(U589&gt;0,AK$3,"")</f>
        <v>Thomas</v>
      </c>
      <c r="AL589" s="78" t="str">
        <f t="shared" si="5222"/>
        <v/>
      </c>
      <c r="AM589" s="78" t="str">
        <f t="shared" si="5222"/>
        <v/>
      </c>
      <c r="AN589" s="78" t="str">
        <f t="shared" si="5222"/>
        <v/>
      </c>
      <c r="AO589" s="56">
        <f t="shared" si="25"/>
        <v>1</v>
      </c>
      <c r="AP589" s="8" t="str">
        <f t="shared" si="26"/>
        <v>Thomas</v>
      </c>
      <c r="AQ589" s="73" t="str">
        <f>IFERROR(__xludf.DUMMYFUNCTION("IFNA(QUERY(transpose(AY589:BB589),""Select Col1 where Col1 is not null limit 1"",0))"),"")</f>
        <v/>
      </c>
      <c r="AR589" s="56"/>
      <c r="AS589" s="28" t="str">
        <f t="shared" ref="AS589:AV589" si="5223">IF(AK589=AS$3,"",AS$3)</f>
        <v/>
      </c>
      <c r="AT589" s="28" t="str">
        <f t="shared" si="5223"/>
        <v>Peter</v>
      </c>
      <c r="AU589" s="28" t="str">
        <f t="shared" si="5223"/>
        <v>Janus</v>
      </c>
      <c r="AV589" s="28" t="str">
        <f t="shared" si="5223"/>
        <v>Christian</v>
      </c>
      <c r="AW589" s="56">
        <f t="shared" si="28"/>
        <v>3</v>
      </c>
      <c r="AX589" s="28">
        <f t="shared" si="29"/>
        <v>24</v>
      </c>
      <c r="AY589" s="28" t="str">
        <f t="shared" ref="AY589:BB589" si="5224">IFNA(IFS(AY$3=$AP589,"",$AX589=U589,AY$3),"")</f>
        <v/>
      </c>
      <c r="AZ589" s="28" t="str">
        <f t="shared" si="5224"/>
        <v/>
      </c>
      <c r="BA589" s="28" t="str">
        <f t="shared" si="5224"/>
        <v/>
      </c>
      <c r="BB589" s="28" t="str">
        <f t="shared" si="5224"/>
        <v/>
      </c>
      <c r="BC589" s="58">
        <f>OFFSET('00_Regnskab_01'!$A$1,MATCH(A589,'00_Regnskab_01'!$A$1:$A$25)-1,2)</f>
        <v>45199</v>
      </c>
      <c r="BE589" s="80">
        <f t="shared" ref="BE589:BH589" si="5225">if(U589&gt;0,1+BE588,0)</f>
        <v>4</v>
      </c>
      <c r="BF589" s="28">
        <f t="shared" si="5225"/>
        <v>0</v>
      </c>
      <c r="BG589" s="28">
        <f t="shared" si="5225"/>
        <v>0</v>
      </c>
      <c r="BH589" s="28">
        <f t="shared" si="5225"/>
        <v>0</v>
      </c>
      <c r="BJ589" s="28">
        <f t="shared" ref="BJ589:BM589" si="5226">if(U589&lt;0,1+BJ588,0)</f>
        <v>0</v>
      </c>
      <c r="BK589" s="28">
        <f t="shared" si="5226"/>
        <v>3</v>
      </c>
      <c r="BL589" s="28">
        <f t="shared" si="5226"/>
        <v>4</v>
      </c>
      <c r="BM589" s="28">
        <f t="shared" si="5226"/>
        <v>1</v>
      </c>
      <c r="BO589" s="74">
        <f t="shared" ref="BO589:BR589" si="5227">if(U589&gt;0,U589+BO588,0)</f>
        <v>100</v>
      </c>
      <c r="BP589" s="74">
        <f t="shared" si="5227"/>
        <v>0</v>
      </c>
      <c r="BQ589" s="74">
        <f t="shared" si="5227"/>
        <v>0</v>
      </c>
      <c r="BR589" s="74">
        <f t="shared" si="5227"/>
        <v>0</v>
      </c>
      <c r="BT589" s="28">
        <f t="shared" ref="BT589:BW589" si="5228">if(U589&lt;0,U589+BT588,0)</f>
        <v>0</v>
      </c>
      <c r="BU589" s="28">
        <f t="shared" si="5228"/>
        <v>-80</v>
      </c>
      <c r="BV589" s="28">
        <f t="shared" si="5228"/>
        <v>-92</v>
      </c>
      <c r="BW589" s="28">
        <f t="shared" si="5228"/>
        <v>-8</v>
      </c>
    </row>
    <row r="590">
      <c r="A590" s="53">
        <v>26.0</v>
      </c>
      <c r="B590" s="28">
        <f>'26_30-11-2024'!A25</f>
        <v>23</v>
      </c>
      <c r="C590" s="28">
        <f>'26_30-11-2024'!B25</f>
        <v>56</v>
      </c>
      <c r="D590" s="28">
        <f>'26_30-11-2024'!C25</f>
        <v>80</v>
      </c>
      <c r="E590" s="28">
        <f>'26_30-11-2024'!D25</f>
        <v>-32</v>
      </c>
      <c r="F590" s="28">
        <f>'26_30-11-2024'!E25</f>
        <v>-104</v>
      </c>
      <c r="G590" s="28">
        <f>'26_30-11-2024'!F25</f>
        <v>0</v>
      </c>
      <c r="H590" s="28" t="str">
        <f>'26_30-11-2024'!I25</f>
        <v>Thomas</v>
      </c>
      <c r="I590" s="28" t="str">
        <f>'26_30-11-2024'!J25</f>
        <v>Selv makker</v>
      </c>
      <c r="J590" s="28" t="str">
        <f>'26_30-11-2024'!H25</f>
        <v/>
      </c>
      <c r="K590" s="28" t="str">
        <f>'26_30-11-2024'!G25</f>
        <v>9 vip i 2</v>
      </c>
      <c r="L590" s="56"/>
      <c r="M590" s="25">
        <v>9.0</v>
      </c>
      <c r="N590" s="25" t="s">
        <v>86</v>
      </c>
      <c r="O590" s="25">
        <v>2.0</v>
      </c>
      <c r="R590" s="25" t="s">
        <v>15</v>
      </c>
      <c r="T590" s="56"/>
      <c r="U590" s="77">
        <f t="shared" ref="U590:X590" si="5229">C590-C589</f>
        <v>-48</v>
      </c>
      <c r="V590" s="28">
        <f t="shared" si="5229"/>
        <v>16</v>
      </c>
      <c r="W590" s="28">
        <f t="shared" si="5229"/>
        <v>16</v>
      </c>
      <c r="X590" s="28">
        <f t="shared" si="5229"/>
        <v>16</v>
      </c>
      <c r="AB590" s="28">
        <f t="shared" ref="AB590:AE590" si="5230">IF(AB$3=$H590,U590,"")</f>
        <v>-48</v>
      </c>
      <c r="AC590" s="28" t="str">
        <f t="shared" si="5230"/>
        <v/>
      </c>
      <c r="AD590" s="28" t="str">
        <f t="shared" si="5230"/>
        <v/>
      </c>
      <c r="AE590" s="28" t="str">
        <f t="shared" si="5230"/>
        <v/>
      </c>
      <c r="AH590" s="28">
        <f t="shared" si="22"/>
        <v>0</v>
      </c>
      <c r="AI590" s="28">
        <f t="shared" si="23"/>
        <v>-48</v>
      </c>
      <c r="AK590" s="78" t="str">
        <f t="shared" ref="AK590:AN590" si="5231">IF(U590&gt;0,AK$3,"")</f>
        <v/>
      </c>
      <c r="AL590" s="78" t="str">
        <f t="shared" si="5231"/>
        <v>Peter</v>
      </c>
      <c r="AM590" s="78" t="str">
        <f t="shared" si="5231"/>
        <v>Janus</v>
      </c>
      <c r="AN590" s="78" t="str">
        <f t="shared" si="5231"/>
        <v>Christian</v>
      </c>
      <c r="AO590" s="56">
        <f t="shared" si="25"/>
        <v>3</v>
      </c>
      <c r="AP590" s="8" t="str">
        <f t="shared" si="26"/>
        <v>Thomas</v>
      </c>
      <c r="AQ590" s="73" t="str">
        <f>IFERROR(__xludf.DUMMYFUNCTION("IFNA(QUERY(transpose(AY590:BB590),""Select Col1 where Col1 is not null limit 1"",0))"),"")</f>
        <v/>
      </c>
      <c r="AR590" s="56"/>
      <c r="AS590" s="28" t="str">
        <f t="shared" ref="AS590:AV590" si="5232">IF(AK590=AS$3,"",AS$3)</f>
        <v>Thomas</v>
      </c>
      <c r="AT590" s="28" t="str">
        <f t="shared" si="5232"/>
        <v/>
      </c>
      <c r="AU590" s="28" t="str">
        <f t="shared" si="5232"/>
        <v/>
      </c>
      <c r="AV590" s="28" t="str">
        <f t="shared" si="5232"/>
        <v/>
      </c>
      <c r="AW590" s="56">
        <f t="shared" si="28"/>
        <v>1</v>
      </c>
      <c r="AX590" s="28">
        <f t="shared" si="29"/>
        <v>-48</v>
      </c>
      <c r="AY590" s="28" t="str">
        <f t="shared" ref="AY590:BB590" si="5233">IFNA(IFS(AY$3=$AP590,"",$AX590=U590,AY$3),"")</f>
        <v/>
      </c>
      <c r="AZ590" s="28" t="str">
        <f t="shared" si="5233"/>
        <v/>
      </c>
      <c r="BA590" s="28" t="str">
        <f t="shared" si="5233"/>
        <v/>
      </c>
      <c r="BB590" s="28" t="str">
        <f t="shared" si="5233"/>
        <v/>
      </c>
      <c r="BC590" s="58">
        <f>OFFSET('00_Regnskab_01'!$A$1,MATCH(A590,'00_Regnskab_01'!$A$1:$A$25)-1,2)</f>
        <v>45199</v>
      </c>
      <c r="BE590" s="80">
        <f t="shared" ref="BE590:BH590" si="5234">if(U590&gt;0,1+BE589,0)</f>
        <v>0</v>
      </c>
      <c r="BF590" s="28">
        <f t="shared" si="5234"/>
        <v>1</v>
      </c>
      <c r="BG590" s="28">
        <f t="shared" si="5234"/>
        <v>1</v>
      </c>
      <c r="BH590" s="28">
        <f t="shared" si="5234"/>
        <v>1</v>
      </c>
      <c r="BJ590" s="28">
        <f t="shared" ref="BJ590:BM590" si="5235">if(U590&lt;0,1+BJ589,0)</f>
        <v>1</v>
      </c>
      <c r="BK590" s="28">
        <f t="shared" si="5235"/>
        <v>0</v>
      </c>
      <c r="BL590" s="28">
        <f t="shared" si="5235"/>
        <v>0</v>
      </c>
      <c r="BM590" s="28">
        <f t="shared" si="5235"/>
        <v>0</v>
      </c>
      <c r="BO590" s="74">
        <f t="shared" ref="BO590:BR590" si="5236">if(U590&gt;0,U590+BO589,0)</f>
        <v>0</v>
      </c>
      <c r="BP590" s="74">
        <f t="shared" si="5236"/>
        <v>16</v>
      </c>
      <c r="BQ590" s="74">
        <f t="shared" si="5236"/>
        <v>16</v>
      </c>
      <c r="BR590" s="74">
        <f t="shared" si="5236"/>
        <v>16</v>
      </c>
      <c r="BT590" s="28">
        <f t="shared" ref="BT590:BW590" si="5237">if(U590&lt;0,U590+BT589,0)</f>
        <v>-48</v>
      </c>
      <c r="BU590" s="28">
        <f t="shared" si="5237"/>
        <v>0</v>
      </c>
      <c r="BV590" s="28">
        <f t="shared" si="5237"/>
        <v>0</v>
      </c>
      <c r="BW590" s="28">
        <f t="shared" si="5237"/>
        <v>0</v>
      </c>
    </row>
    <row r="591">
      <c r="A591" s="53">
        <v>26.0</v>
      </c>
      <c r="B591" s="28">
        <f>'26_30-11-2024'!A26</f>
        <v>24</v>
      </c>
      <c r="C591" s="28">
        <f>'26_30-11-2024'!B26</f>
        <v>64</v>
      </c>
      <c r="D591" s="28">
        <f>'26_30-11-2024'!C26</f>
        <v>72</v>
      </c>
      <c r="E591" s="28">
        <f>'26_30-11-2024'!D26</f>
        <v>-24</v>
      </c>
      <c r="F591" s="28">
        <f>'26_30-11-2024'!E26</f>
        <v>-112</v>
      </c>
      <c r="G591" s="28">
        <f>'26_30-11-2024'!F26</f>
        <v>0</v>
      </c>
      <c r="H591" s="28" t="str">
        <f>'26_30-11-2024'!I26</f>
        <v>Thomas</v>
      </c>
      <c r="I591" s="28" t="str">
        <f>'26_30-11-2024'!J26</f>
        <v>Janus</v>
      </c>
      <c r="J591" s="28" t="str">
        <f>'26_30-11-2024'!H26</f>
        <v/>
      </c>
      <c r="K591" s="28" t="str">
        <f>'26_30-11-2024'!G26</f>
        <v>9 gode</v>
      </c>
      <c r="L591" s="56"/>
      <c r="M591" s="25">
        <v>9.0</v>
      </c>
      <c r="N591" s="25" t="s">
        <v>95</v>
      </c>
      <c r="T591" s="56"/>
      <c r="U591" s="77">
        <f t="shared" ref="U591:X591" si="5238">C591-C590</f>
        <v>8</v>
      </c>
      <c r="V591" s="28">
        <f t="shared" si="5238"/>
        <v>-8</v>
      </c>
      <c r="W591" s="28">
        <f t="shared" si="5238"/>
        <v>8</v>
      </c>
      <c r="X591" s="28">
        <f t="shared" si="5238"/>
        <v>-8</v>
      </c>
      <c r="AB591" s="28">
        <f t="shared" ref="AB591:AE591" si="5239">IF(AB$3=$H591,U591,"")</f>
        <v>8</v>
      </c>
      <c r="AC591" s="28" t="str">
        <f t="shared" si="5239"/>
        <v/>
      </c>
      <c r="AD591" s="28" t="str">
        <f t="shared" si="5239"/>
        <v/>
      </c>
      <c r="AE591" s="28" t="str">
        <f t="shared" si="5239"/>
        <v/>
      </c>
      <c r="AH591" s="28">
        <f t="shared" si="22"/>
        <v>8</v>
      </c>
      <c r="AI591" s="28">
        <f t="shared" si="23"/>
        <v>0</v>
      </c>
      <c r="AK591" s="78" t="str">
        <f t="shared" ref="AK591:AN591" si="5240">IF(U591&gt;0,AK$3,"")</f>
        <v>Thomas</v>
      </c>
      <c r="AL591" s="78" t="str">
        <f t="shared" si="5240"/>
        <v/>
      </c>
      <c r="AM591" s="78" t="str">
        <f t="shared" si="5240"/>
        <v>Janus</v>
      </c>
      <c r="AN591" s="78" t="str">
        <f t="shared" si="5240"/>
        <v/>
      </c>
      <c r="AO591" s="56">
        <f t="shared" si="25"/>
        <v>2</v>
      </c>
      <c r="AP591" s="8" t="str">
        <f t="shared" si="26"/>
        <v>Thomas</v>
      </c>
      <c r="AQ591" s="73" t="str">
        <f>IFERROR(__xludf.DUMMYFUNCTION("IFNA(QUERY(transpose(AY591:BB591),""Select Col1 where Col1 is not null limit 1"",0))"),"Janus")</f>
        <v>Janus</v>
      </c>
      <c r="AR591" s="56"/>
      <c r="AS591" s="28" t="str">
        <f t="shared" ref="AS591:AV591" si="5241">IF(AK591=AS$3,"",AS$3)</f>
        <v/>
      </c>
      <c r="AT591" s="28" t="str">
        <f t="shared" si="5241"/>
        <v>Peter</v>
      </c>
      <c r="AU591" s="28" t="str">
        <f t="shared" si="5241"/>
        <v/>
      </c>
      <c r="AV591" s="28" t="str">
        <f t="shared" si="5241"/>
        <v>Christian</v>
      </c>
      <c r="AW591" s="56">
        <f t="shared" si="28"/>
        <v>2</v>
      </c>
      <c r="AX591" s="28">
        <f t="shared" si="29"/>
        <v>8</v>
      </c>
      <c r="AY591" s="28" t="str">
        <f t="shared" ref="AY591:BB591" si="5242">IFNA(IFS(AY$3=$AP591,"",$AX591=U591,AY$3),"")</f>
        <v/>
      </c>
      <c r="AZ591" s="28" t="str">
        <f t="shared" si="5242"/>
        <v/>
      </c>
      <c r="BA591" s="28" t="str">
        <f t="shared" si="5242"/>
        <v>Janus</v>
      </c>
      <c r="BB591" s="28" t="str">
        <f t="shared" si="5242"/>
        <v/>
      </c>
      <c r="BC591" s="58">
        <f>OFFSET('00_Regnskab_01'!$A$1,MATCH(A591,'00_Regnskab_01'!$A$1:$A$25)-1,2)</f>
        <v>45199</v>
      </c>
      <c r="BE591" s="80">
        <f t="shared" ref="BE591:BH591" si="5243">if(U591&gt;0,1+BE590,0)</f>
        <v>1</v>
      </c>
      <c r="BF591" s="28">
        <f t="shared" si="5243"/>
        <v>0</v>
      </c>
      <c r="BG591" s="28">
        <f t="shared" si="5243"/>
        <v>2</v>
      </c>
      <c r="BH591" s="28">
        <f t="shared" si="5243"/>
        <v>0</v>
      </c>
      <c r="BJ591" s="28">
        <f t="shared" ref="BJ591:BM591" si="5244">if(U591&lt;0,1+BJ590,0)</f>
        <v>0</v>
      </c>
      <c r="BK591" s="28">
        <f t="shared" si="5244"/>
        <v>1</v>
      </c>
      <c r="BL591" s="28">
        <f t="shared" si="5244"/>
        <v>0</v>
      </c>
      <c r="BM591" s="28">
        <f t="shared" si="5244"/>
        <v>1</v>
      </c>
      <c r="BO591" s="74">
        <f t="shared" ref="BO591:BR591" si="5245">if(U591&gt;0,U591+BO590,0)</f>
        <v>8</v>
      </c>
      <c r="BP591" s="74">
        <f t="shared" si="5245"/>
        <v>0</v>
      </c>
      <c r="BQ591" s="74">
        <f t="shared" si="5245"/>
        <v>24</v>
      </c>
      <c r="BR591" s="74">
        <f t="shared" si="5245"/>
        <v>0</v>
      </c>
      <c r="BT591" s="28">
        <f t="shared" ref="BT591:BW591" si="5246">if(U591&lt;0,U591+BT590,0)</f>
        <v>0</v>
      </c>
      <c r="BU591" s="28">
        <f t="shared" si="5246"/>
        <v>-8</v>
      </c>
      <c r="BV591" s="28">
        <f t="shared" si="5246"/>
        <v>0</v>
      </c>
      <c r="BW591" s="28">
        <f t="shared" si="5246"/>
        <v>-8</v>
      </c>
    </row>
    <row r="592">
      <c r="A592" s="53">
        <v>26.0</v>
      </c>
      <c r="B592" s="28">
        <f>'26_30-11-2024'!A27</f>
        <v>25</v>
      </c>
      <c r="C592" s="28">
        <f>'26_30-11-2024'!B27</f>
        <v>96</v>
      </c>
      <c r="D592" s="28">
        <f>'26_30-11-2024'!C27</f>
        <v>40</v>
      </c>
      <c r="E592" s="28">
        <f>'26_30-11-2024'!D27</f>
        <v>-56</v>
      </c>
      <c r="F592" s="28">
        <f>'26_30-11-2024'!E27</f>
        <v>-80</v>
      </c>
      <c r="G592" s="28">
        <f>'26_30-11-2024'!F27</f>
        <v>0</v>
      </c>
      <c r="H592" s="28" t="str">
        <f>'26_30-11-2024'!I27</f>
        <v>Thomas</v>
      </c>
      <c r="I592" s="28" t="str">
        <f>'26_30-11-2024'!J27</f>
        <v>Christian</v>
      </c>
      <c r="J592" s="28" t="str">
        <f>'26_30-11-2024'!H27</f>
        <v/>
      </c>
      <c r="K592" s="28" t="str">
        <f>'26_30-11-2024'!G27</f>
        <v>9 vip i 2</v>
      </c>
      <c r="L592" s="56"/>
      <c r="M592" s="25">
        <v>9.0</v>
      </c>
      <c r="N592" s="25" t="s">
        <v>86</v>
      </c>
      <c r="O592" s="25">
        <v>2.0</v>
      </c>
      <c r="T592" s="56"/>
      <c r="U592" s="77">
        <f t="shared" ref="U592:X592" si="5247">C592-C591</f>
        <v>32</v>
      </c>
      <c r="V592" s="28">
        <f t="shared" si="5247"/>
        <v>-32</v>
      </c>
      <c r="W592" s="28">
        <f t="shared" si="5247"/>
        <v>-32</v>
      </c>
      <c r="X592" s="28">
        <f t="shared" si="5247"/>
        <v>32</v>
      </c>
      <c r="AB592" s="28">
        <f t="shared" ref="AB592:AE592" si="5248">IF(AB$3=$H592,U592,"")</f>
        <v>32</v>
      </c>
      <c r="AC592" s="28" t="str">
        <f t="shared" si="5248"/>
        <v/>
      </c>
      <c r="AD592" s="28" t="str">
        <f t="shared" si="5248"/>
        <v/>
      </c>
      <c r="AE592" s="28" t="str">
        <f t="shared" si="5248"/>
        <v/>
      </c>
      <c r="AH592" s="28">
        <f t="shared" si="22"/>
        <v>32</v>
      </c>
      <c r="AI592" s="28">
        <f t="shared" si="23"/>
        <v>0</v>
      </c>
      <c r="AK592" s="78" t="str">
        <f t="shared" ref="AK592:AN592" si="5249">IF(U592&gt;0,AK$3,"")</f>
        <v>Thomas</v>
      </c>
      <c r="AL592" s="78" t="str">
        <f t="shared" si="5249"/>
        <v/>
      </c>
      <c r="AM592" s="78" t="str">
        <f t="shared" si="5249"/>
        <v/>
      </c>
      <c r="AN592" s="78" t="str">
        <f t="shared" si="5249"/>
        <v>Christian</v>
      </c>
      <c r="AO592" s="56">
        <f t="shared" si="25"/>
        <v>2</v>
      </c>
      <c r="AP592" s="8" t="str">
        <f t="shared" si="26"/>
        <v>Thomas</v>
      </c>
      <c r="AQ592" s="73" t="str">
        <f>IFERROR(__xludf.DUMMYFUNCTION("IFNA(QUERY(transpose(AY592:BB592),""Select Col1 where Col1 is not null limit 1"",0))"),"Christian")</f>
        <v>Christian</v>
      </c>
      <c r="AR592" s="56"/>
      <c r="AS592" s="28" t="str">
        <f t="shared" ref="AS592:AV592" si="5250">IF(AK592=AS$3,"",AS$3)</f>
        <v/>
      </c>
      <c r="AT592" s="28" t="str">
        <f t="shared" si="5250"/>
        <v>Peter</v>
      </c>
      <c r="AU592" s="28" t="str">
        <f t="shared" si="5250"/>
        <v>Janus</v>
      </c>
      <c r="AV592" s="28" t="str">
        <f t="shared" si="5250"/>
        <v/>
      </c>
      <c r="AW592" s="56">
        <f t="shared" si="28"/>
        <v>2</v>
      </c>
      <c r="AX592" s="28">
        <f t="shared" si="29"/>
        <v>32</v>
      </c>
      <c r="AY592" s="28" t="str">
        <f t="shared" ref="AY592:BB592" si="5251">IFNA(IFS(AY$3=$AP592,"",$AX592=U592,AY$3),"")</f>
        <v/>
      </c>
      <c r="AZ592" s="28" t="str">
        <f t="shared" si="5251"/>
        <v/>
      </c>
      <c r="BA592" s="28" t="str">
        <f t="shared" si="5251"/>
        <v/>
      </c>
      <c r="BB592" s="28" t="str">
        <f t="shared" si="5251"/>
        <v>Christian</v>
      </c>
      <c r="BC592" s="58">
        <f>OFFSET('00_Regnskab_01'!$A$1,MATCH(A592,'00_Regnskab_01'!$A$1:$A$25)-1,2)</f>
        <v>45199</v>
      </c>
      <c r="BE592" s="80">
        <f t="shared" ref="BE592:BH592" si="5252">if(U592&gt;0,1+BE591,0)</f>
        <v>2</v>
      </c>
      <c r="BF592" s="28">
        <f t="shared" si="5252"/>
        <v>0</v>
      </c>
      <c r="BG592" s="28">
        <f t="shared" si="5252"/>
        <v>0</v>
      </c>
      <c r="BH592" s="28">
        <f t="shared" si="5252"/>
        <v>1</v>
      </c>
      <c r="BJ592" s="28">
        <f t="shared" ref="BJ592:BM592" si="5253">if(U592&lt;0,1+BJ591,0)</f>
        <v>0</v>
      </c>
      <c r="BK592" s="28">
        <f t="shared" si="5253"/>
        <v>2</v>
      </c>
      <c r="BL592" s="28">
        <f t="shared" si="5253"/>
        <v>1</v>
      </c>
      <c r="BM592" s="28">
        <f t="shared" si="5253"/>
        <v>0</v>
      </c>
      <c r="BO592" s="74">
        <f t="shared" ref="BO592:BR592" si="5254">if(U592&gt;0,U592+BO591,0)</f>
        <v>40</v>
      </c>
      <c r="BP592" s="74">
        <f t="shared" si="5254"/>
        <v>0</v>
      </c>
      <c r="BQ592" s="74">
        <f t="shared" si="5254"/>
        <v>0</v>
      </c>
      <c r="BR592" s="74">
        <f t="shared" si="5254"/>
        <v>32</v>
      </c>
      <c r="BT592" s="28">
        <f t="shared" ref="BT592:BW592" si="5255">if(U592&lt;0,U592+BT591,0)</f>
        <v>0</v>
      </c>
      <c r="BU592" s="28">
        <f t="shared" si="5255"/>
        <v>-40</v>
      </c>
      <c r="BV592" s="28">
        <f t="shared" si="5255"/>
        <v>-32</v>
      </c>
      <c r="BW592" s="28">
        <f t="shared" si="5255"/>
        <v>0</v>
      </c>
    </row>
    <row r="593">
      <c r="A593" s="53">
        <v>26.0</v>
      </c>
      <c r="B593" s="28">
        <f>'26_30-11-2024'!A28</f>
        <v>26</v>
      </c>
      <c r="C593" s="28">
        <f>'26_30-11-2024'!B28</f>
        <v>128</v>
      </c>
      <c r="D593" s="28">
        <f>'26_30-11-2024'!C28</f>
        <v>8</v>
      </c>
      <c r="E593" s="28">
        <f>'26_30-11-2024'!D28</f>
        <v>-24</v>
      </c>
      <c r="F593" s="28">
        <f>'26_30-11-2024'!E28</f>
        <v>-112</v>
      </c>
      <c r="G593" s="28">
        <f>'26_30-11-2024'!F28</f>
        <v>0</v>
      </c>
      <c r="H593" s="28" t="str">
        <f>'26_30-11-2024'!I28</f>
        <v>Thomas</v>
      </c>
      <c r="I593" s="28" t="str">
        <f>'26_30-11-2024'!J28</f>
        <v>Janus</v>
      </c>
      <c r="J593" s="28" t="str">
        <f>'26_30-11-2024'!H28</f>
        <v/>
      </c>
      <c r="K593" s="28" t="str">
        <f>'26_30-11-2024'!G28</f>
        <v>9 vip i 2</v>
      </c>
      <c r="L593" s="56"/>
      <c r="M593" s="25">
        <v>9.0</v>
      </c>
      <c r="N593" s="25" t="s">
        <v>86</v>
      </c>
      <c r="O593" s="25">
        <v>2.0</v>
      </c>
      <c r="T593" s="56"/>
      <c r="U593" s="77">
        <f t="shared" ref="U593:X593" si="5256">C593-C592</f>
        <v>32</v>
      </c>
      <c r="V593" s="28">
        <f t="shared" si="5256"/>
        <v>-32</v>
      </c>
      <c r="W593" s="28">
        <f t="shared" si="5256"/>
        <v>32</v>
      </c>
      <c r="X593" s="28">
        <f t="shared" si="5256"/>
        <v>-32</v>
      </c>
      <c r="AB593" s="28">
        <f t="shared" ref="AB593:AE593" si="5257">IF(AB$3=$H593,U593,"")</f>
        <v>32</v>
      </c>
      <c r="AC593" s="28" t="str">
        <f t="shared" si="5257"/>
        <v/>
      </c>
      <c r="AD593" s="28" t="str">
        <f t="shared" si="5257"/>
        <v/>
      </c>
      <c r="AE593" s="28" t="str">
        <f t="shared" si="5257"/>
        <v/>
      </c>
      <c r="AH593" s="28">
        <f t="shared" si="22"/>
        <v>32</v>
      </c>
      <c r="AI593" s="28">
        <f t="shared" si="23"/>
        <v>0</v>
      </c>
      <c r="AK593" s="78" t="str">
        <f t="shared" ref="AK593:AN593" si="5258">IF(U593&gt;0,AK$3,"")</f>
        <v>Thomas</v>
      </c>
      <c r="AL593" s="78" t="str">
        <f t="shared" si="5258"/>
        <v/>
      </c>
      <c r="AM593" s="78" t="str">
        <f t="shared" si="5258"/>
        <v>Janus</v>
      </c>
      <c r="AN593" s="78" t="str">
        <f t="shared" si="5258"/>
        <v/>
      </c>
      <c r="AO593" s="56">
        <f t="shared" si="25"/>
        <v>2</v>
      </c>
      <c r="AP593" s="8" t="str">
        <f t="shared" si="26"/>
        <v>Thomas</v>
      </c>
      <c r="AQ593" s="73" t="str">
        <f>IFERROR(__xludf.DUMMYFUNCTION("IFNA(QUERY(transpose(AY593:BB593),""Select Col1 where Col1 is not null limit 1"",0))"),"Janus")</f>
        <v>Janus</v>
      </c>
      <c r="AR593" s="56"/>
      <c r="AS593" s="28" t="str">
        <f t="shared" ref="AS593:AV593" si="5259">IF(AK593=AS$3,"",AS$3)</f>
        <v/>
      </c>
      <c r="AT593" s="28" t="str">
        <f t="shared" si="5259"/>
        <v>Peter</v>
      </c>
      <c r="AU593" s="28" t="str">
        <f t="shared" si="5259"/>
        <v/>
      </c>
      <c r="AV593" s="28" t="str">
        <f t="shared" si="5259"/>
        <v>Christian</v>
      </c>
      <c r="AW593" s="56">
        <f t="shared" si="28"/>
        <v>2</v>
      </c>
      <c r="AX593" s="28">
        <f t="shared" si="29"/>
        <v>32</v>
      </c>
      <c r="AY593" s="28" t="str">
        <f t="shared" ref="AY593:BB593" si="5260">IFNA(IFS(AY$3=$AP593,"",$AX593=U593,AY$3),"")</f>
        <v/>
      </c>
      <c r="AZ593" s="28" t="str">
        <f t="shared" si="5260"/>
        <v/>
      </c>
      <c r="BA593" s="28" t="str">
        <f t="shared" si="5260"/>
        <v>Janus</v>
      </c>
      <c r="BB593" s="28" t="str">
        <f t="shared" si="5260"/>
        <v/>
      </c>
      <c r="BC593" s="58">
        <f>OFFSET('00_Regnskab_01'!$A$1,MATCH(A593,'00_Regnskab_01'!$A$1:$A$25)-1,2)</f>
        <v>45199</v>
      </c>
      <c r="BE593" s="80">
        <f t="shared" ref="BE593:BH593" si="5261">if(U593&gt;0,1+BE592,0)</f>
        <v>3</v>
      </c>
      <c r="BF593" s="28">
        <f t="shared" si="5261"/>
        <v>0</v>
      </c>
      <c r="BG593" s="28">
        <f t="shared" si="5261"/>
        <v>1</v>
      </c>
      <c r="BH593" s="28">
        <f t="shared" si="5261"/>
        <v>0</v>
      </c>
      <c r="BJ593" s="28">
        <f t="shared" ref="BJ593:BM593" si="5262">if(U593&lt;0,1+BJ592,0)</f>
        <v>0</v>
      </c>
      <c r="BK593" s="28">
        <f t="shared" si="5262"/>
        <v>3</v>
      </c>
      <c r="BL593" s="28">
        <f t="shared" si="5262"/>
        <v>0</v>
      </c>
      <c r="BM593" s="28">
        <f t="shared" si="5262"/>
        <v>1</v>
      </c>
      <c r="BO593" s="74">
        <f t="shared" ref="BO593:BR593" si="5263">if(U593&gt;0,U593+BO592,0)</f>
        <v>72</v>
      </c>
      <c r="BP593" s="74">
        <f t="shared" si="5263"/>
        <v>0</v>
      </c>
      <c r="BQ593" s="74">
        <f t="shared" si="5263"/>
        <v>32</v>
      </c>
      <c r="BR593" s="74">
        <f t="shared" si="5263"/>
        <v>0</v>
      </c>
      <c r="BT593" s="28">
        <f t="shared" ref="BT593:BW593" si="5264">if(U593&lt;0,U593+BT592,0)</f>
        <v>0</v>
      </c>
      <c r="BU593" s="28">
        <f t="shared" si="5264"/>
        <v>-72</v>
      </c>
      <c r="BV593" s="28">
        <f t="shared" si="5264"/>
        <v>0</v>
      </c>
      <c r="BW593" s="28">
        <f t="shared" si="5264"/>
        <v>-32</v>
      </c>
    </row>
    <row r="594">
      <c r="A594" s="53">
        <v>26.0</v>
      </c>
      <c r="B594" s="28">
        <f>'26_30-11-2024'!A29</f>
        <v>27</v>
      </c>
      <c r="C594" s="28">
        <f>'26_30-11-2024'!B29</f>
        <v>136</v>
      </c>
      <c r="D594" s="28">
        <f>'26_30-11-2024'!C29</f>
        <v>16</v>
      </c>
      <c r="E594" s="28">
        <f>'26_30-11-2024'!D29</f>
        <v>-32</v>
      </c>
      <c r="F594" s="28">
        <f>'26_30-11-2024'!E29</f>
        <v>-120</v>
      </c>
      <c r="G594" s="28">
        <f>'26_30-11-2024'!F29</f>
        <v>0</v>
      </c>
      <c r="H594" s="28" t="str">
        <f>'26_30-11-2024'!I29</f>
        <v>Janus</v>
      </c>
      <c r="I594" s="28" t="str">
        <f>'26_30-11-2024'!J29</f>
        <v>Christian</v>
      </c>
      <c r="J594" s="28" t="str">
        <f>'26_30-11-2024'!H29</f>
        <v/>
      </c>
      <c r="K594" s="28" t="str">
        <f>'26_30-11-2024'!G29</f>
        <v>10. Halve</v>
      </c>
      <c r="L594" s="56"/>
      <c r="M594" s="25">
        <v>10.0</v>
      </c>
      <c r="N594" s="25" t="s">
        <v>94</v>
      </c>
      <c r="T594" s="56"/>
      <c r="U594" s="77">
        <f t="shared" ref="U594:X594" si="5265">C594-C593</f>
        <v>8</v>
      </c>
      <c r="V594" s="28">
        <f t="shared" si="5265"/>
        <v>8</v>
      </c>
      <c r="W594" s="28">
        <f t="shared" si="5265"/>
        <v>-8</v>
      </c>
      <c r="X594" s="28">
        <f t="shared" si="5265"/>
        <v>-8</v>
      </c>
      <c r="AB594" s="28" t="str">
        <f t="shared" ref="AB594:AE594" si="5266">IF(AB$3=$H594,U594,"")</f>
        <v/>
      </c>
      <c r="AC594" s="28" t="str">
        <f t="shared" si="5266"/>
        <v/>
      </c>
      <c r="AD594" s="28">
        <f t="shared" si="5266"/>
        <v>-8</v>
      </c>
      <c r="AE594" s="28" t="str">
        <f t="shared" si="5266"/>
        <v/>
      </c>
      <c r="AH594" s="28">
        <f t="shared" si="22"/>
        <v>0</v>
      </c>
      <c r="AI594" s="28">
        <f t="shared" si="23"/>
        <v>-8</v>
      </c>
      <c r="AK594" s="78" t="str">
        <f t="shared" ref="AK594:AN594" si="5267">IF(U594&gt;0,AK$3,"")</f>
        <v>Thomas</v>
      </c>
      <c r="AL594" s="78" t="str">
        <f t="shared" si="5267"/>
        <v>Peter</v>
      </c>
      <c r="AM594" s="78" t="str">
        <f t="shared" si="5267"/>
        <v/>
      </c>
      <c r="AN594" s="78" t="str">
        <f t="shared" si="5267"/>
        <v/>
      </c>
      <c r="AO594" s="56">
        <f t="shared" si="25"/>
        <v>2</v>
      </c>
      <c r="AP594" s="8" t="str">
        <f t="shared" si="26"/>
        <v>Janus</v>
      </c>
      <c r="AQ594" s="73" t="str">
        <f>IFERROR(__xludf.DUMMYFUNCTION("IFNA(QUERY(transpose(AY594:BB594),""Select Col1 where Col1 is not null limit 1"",0))"),"Christian")</f>
        <v>Christian</v>
      </c>
      <c r="AR594" s="56"/>
      <c r="AS594" s="28" t="str">
        <f t="shared" ref="AS594:AV594" si="5268">IF(AK594=AS$3,"",AS$3)</f>
        <v/>
      </c>
      <c r="AT594" s="28" t="str">
        <f t="shared" si="5268"/>
        <v/>
      </c>
      <c r="AU594" s="28" t="str">
        <f t="shared" si="5268"/>
        <v>Janus</v>
      </c>
      <c r="AV594" s="28" t="str">
        <f t="shared" si="5268"/>
        <v>Christian</v>
      </c>
      <c r="AW594" s="56">
        <f t="shared" si="28"/>
        <v>2</v>
      </c>
      <c r="AX594" s="28">
        <f t="shared" si="29"/>
        <v>-8</v>
      </c>
      <c r="AY594" s="28" t="str">
        <f t="shared" ref="AY594:BB594" si="5269">IFNA(IFS(AY$3=$AP594,"",$AX594=U594,AY$3),"")</f>
        <v/>
      </c>
      <c r="AZ594" s="28" t="str">
        <f t="shared" si="5269"/>
        <v/>
      </c>
      <c r="BA594" s="28" t="str">
        <f t="shared" si="5269"/>
        <v/>
      </c>
      <c r="BB594" s="28" t="str">
        <f t="shared" si="5269"/>
        <v>Christian</v>
      </c>
      <c r="BC594" s="58">
        <f>OFFSET('00_Regnskab_01'!$A$1,MATCH(A594,'00_Regnskab_01'!$A$1:$A$25)-1,2)</f>
        <v>45199</v>
      </c>
      <c r="BE594" s="80">
        <f t="shared" ref="BE594:BH594" si="5270">if(U594&gt;0,1+BE593,0)</f>
        <v>4</v>
      </c>
      <c r="BF594" s="28">
        <f t="shared" si="5270"/>
        <v>1</v>
      </c>
      <c r="BG594" s="28">
        <f t="shared" si="5270"/>
        <v>0</v>
      </c>
      <c r="BH594" s="28">
        <f t="shared" si="5270"/>
        <v>0</v>
      </c>
      <c r="BJ594" s="28">
        <f t="shared" ref="BJ594:BM594" si="5271">if(U594&lt;0,1+BJ593,0)</f>
        <v>0</v>
      </c>
      <c r="BK594" s="28">
        <f t="shared" si="5271"/>
        <v>0</v>
      </c>
      <c r="BL594" s="28">
        <f t="shared" si="5271"/>
        <v>1</v>
      </c>
      <c r="BM594" s="28">
        <f t="shared" si="5271"/>
        <v>2</v>
      </c>
      <c r="BO594" s="74">
        <f t="shared" ref="BO594:BR594" si="5272">if(U594&gt;0,U594+BO593,0)</f>
        <v>80</v>
      </c>
      <c r="BP594" s="74">
        <f t="shared" si="5272"/>
        <v>8</v>
      </c>
      <c r="BQ594" s="74">
        <f t="shared" si="5272"/>
        <v>0</v>
      </c>
      <c r="BR594" s="74">
        <f t="shared" si="5272"/>
        <v>0</v>
      </c>
      <c r="BT594" s="28">
        <f t="shared" ref="BT594:BW594" si="5273">if(U594&lt;0,U594+BT593,0)</f>
        <v>0</v>
      </c>
      <c r="BU594" s="28">
        <f t="shared" si="5273"/>
        <v>0</v>
      </c>
      <c r="BV594" s="28">
        <f t="shared" si="5273"/>
        <v>-8</v>
      </c>
      <c r="BW594" s="28">
        <f t="shared" si="5273"/>
        <v>-40</v>
      </c>
    </row>
    <row r="595">
      <c r="A595" s="53">
        <v>26.0</v>
      </c>
      <c r="B595" s="28">
        <f>'26_30-11-2024'!A30</f>
        <v>28</v>
      </c>
      <c r="C595" s="28">
        <f>'26_30-11-2024'!B30</f>
        <v>128</v>
      </c>
      <c r="D595" s="28">
        <f>'26_30-11-2024'!C30</f>
        <v>24</v>
      </c>
      <c r="E595" s="28">
        <f>'26_30-11-2024'!D30</f>
        <v>-40</v>
      </c>
      <c r="F595" s="28">
        <f>'26_30-11-2024'!E30</f>
        <v>-112</v>
      </c>
      <c r="G595" s="28">
        <f>'26_30-11-2024'!F30</f>
        <v>0</v>
      </c>
      <c r="H595" s="28" t="str">
        <f>'26_30-11-2024'!I30</f>
        <v>Peter</v>
      </c>
      <c r="I595" s="28" t="str">
        <f>'26_30-11-2024'!J30</f>
        <v>Christian</v>
      </c>
      <c r="J595" s="28" t="str">
        <f>'26_30-11-2024'!H30</f>
        <v/>
      </c>
      <c r="K595" s="28" t="str">
        <f>'26_30-11-2024'!G30</f>
        <v>9 halve</v>
      </c>
      <c r="L595" s="56"/>
      <c r="M595" s="25">
        <v>9.0</v>
      </c>
      <c r="N595" s="25" t="s">
        <v>94</v>
      </c>
      <c r="T595" s="56"/>
      <c r="U595" s="77">
        <f t="shared" ref="U595:X595" si="5274">C595-C594</f>
        <v>-8</v>
      </c>
      <c r="V595" s="28">
        <f t="shared" si="5274"/>
        <v>8</v>
      </c>
      <c r="W595" s="28">
        <f t="shared" si="5274"/>
        <v>-8</v>
      </c>
      <c r="X595" s="28">
        <f t="shared" si="5274"/>
        <v>8</v>
      </c>
      <c r="AB595" s="28" t="str">
        <f t="shared" ref="AB595:AE595" si="5275">IF(AB$3=$H595,U595,"")</f>
        <v/>
      </c>
      <c r="AC595" s="28">
        <f t="shared" si="5275"/>
        <v>8</v>
      </c>
      <c r="AD595" s="28" t="str">
        <f t="shared" si="5275"/>
        <v/>
      </c>
      <c r="AE595" s="28" t="str">
        <f t="shared" si="5275"/>
        <v/>
      </c>
      <c r="AH595" s="28">
        <f t="shared" si="22"/>
        <v>8</v>
      </c>
      <c r="AI595" s="28">
        <f t="shared" si="23"/>
        <v>0</v>
      </c>
      <c r="AK595" s="78" t="str">
        <f t="shared" ref="AK595:AN595" si="5276">IF(U595&gt;0,AK$3,"")</f>
        <v/>
      </c>
      <c r="AL595" s="78" t="str">
        <f t="shared" si="5276"/>
        <v>Peter</v>
      </c>
      <c r="AM595" s="78" t="str">
        <f t="shared" si="5276"/>
        <v/>
      </c>
      <c r="AN595" s="78" t="str">
        <f t="shared" si="5276"/>
        <v>Christian</v>
      </c>
      <c r="AO595" s="56">
        <f t="shared" si="25"/>
        <v>2</v>
      </c>
      <c r="AP595" s="8" t="str">
        <f t="shared" si="26"/>
        <v>Peter</v>
      </c>
      <c r="AQ595" s="73" t="str">
        <f>IFERROR(__xludf.DUMMYFUNCTION("IFNA(QUERY(transpose(AY595:BB595),""Select Col1 where Col1 is not null limit 1"",0))"),"Christian")</f>
        <v>Christian</v>
      </c>
      <c r="AR595" s="56"/>
      <c r="AS595" s="28" t="str">
        <f t="shared" ref="AS595:AV595" si="5277">IF(AK595=AS$3,"",AS$3)</f>
        <v>Thomas</v>
      </c>
      <c r="AT595" s="28" t="str">
        <f t="shared" si="5277"/>
        <v/>
      </c>
      <c r="AU595" s="28" t="str">
        <f t="shared" si="5277"/>
        <v>Janus</v>
      </c>
      <c r="AV595" s="28" t="str">
        <f t="shared" si="5277"/>
        <v/>
      </c>
      <c r="AW595" s="56">
        <f t="shared" si="28"/>
        <v>2</v>
      </c>
      <c r="AX595" s="28">
        <f t="shared" si="29"/>
        <v>8</v>
      </c>
      <c r="AY595" s="28" t="str">
        <f t="shared" ref="AY595:BB595" si="5278">IFNA(IFS(AY$3=$AP595,"",$AX595=U595,AY$3),"")</f>
        <v/>
      </c>
      <c r="AZ595" s="28" t="str">
        <f t="shared" si="5278"/>
        <v/>
      </c>
      <c r="BA595" s="28" t="str">
        <f t="shared" si="5278"/>
        <v/>
      </c>
      <c r="BB595" s="28" t="str">
        <f t="shared" si="5278"/>
        <v>Christian</v>
      </c>
      <c r="BC595" s="58">
        <f>OFFSET('00_Regnskab_01'!$A$1,MATCH(A595,'00_Regnskab_01'!$A$1:$A$25)-1,2)</f>
        <v>45199</v>
      </c>
      <c r="BE595" s="80">
        <f t="shared" ref="BE595:BH595" si="5279">if(U595&gt;0,1+BE594,0)</f>
        <v>0</v>
      </c>
      <c r="BF595" s="28">
        <f t="shared" si="5279"/>
        <v>2</v>
      </c>
      <c r="BG595" s="28">
        <f t="shared" si="5279"/>
        <v>0</v>
      </c>
      <c r="BH595" s="28">
        <f t="shared" si="5279"/>
        <v>1</v>
      </c>
      <c r="BJ595" s="28">
        <f t="shared" ref="BJ595:BM595" si="5280">if(U595&lt;0,1+BJ594,0)</f>
        <v>1</v>
      </c>
      <c r="BK595" s="28">
        <f t="shared" si="5280"/>
        <v>0</v>
      </c>
      <c r="BL595" s="28">
        <f t="shared" si="5280"/>
        <v>2</v>
      </c>
      <c r="BM595" s="28">
        <f t="shared" si="5280"/>
        <v>0</v>
      </c>
      <c r="BO595" s="74">
        <f t="shared" ref="BO595:BR595" si="5281">if(U595&gt;0,U595+BO594,0)</f>
        <v>0</v>
      </c>
      <c r="BP595" s="74">
        <f t="shared" si="5281"/>
        <v>16</v>
      </c>
      <c r="BQ595" s="74">
        <f t="shared" si="5281"/>
        <v>0</v>
      </c>
      <c r="BR595" s="74">
        <f t="shared" si="5281"/>
        <v>8</v>
      </c>
      <c r="BT595" s="28">
        <f t="shared" ref="BT595:BW595" si="5282">if(U595&lt;0,U595+BT594,0)</f>
        <v>-8</v>
      </c>
      <c r="BU595" s="28">
        <f t="shared" si="5282"/>
        <v>0</v>
      </c>
      <c r="BV595" s="28">
        <f t="shared" si="5282"/>
        <v>-16</v>
      </c>
      <c r="BW595" s="28">
        <f t="shared" si="5282"/>
        <v>0</v>
      </c>
    </row>
    <row r="596">
      <c r="A596" s="83">
        <v>26.0</v>
      </c>
      <c r="B596" s="84">
        <f>'26_30-11-2024'!A31</f>
        <v>29</v>
      </c>
      <c r="C596" s="84">
        <f>'26_30-11-2024'!B31</f>
        <v>184</v>
      </c>
      <c r="D596" s="84">
        <f>'26_30-11-2024'!C31</f>
        <v>-32</v>
      </c>
      <c r="E596" s="84">
        <f>'26_30-11-2024'!D31</f>
        <v>-96</v>
      </c>
      <c r="F596" s="84">
        <f>'26_30-11-2024'!E31</f>
        <v>-56</v>
      </c>
      <c r="G596" s="84">
        <f>'26_30-11-2024'!F31</f>
        <v>0</v>
      </c>
      <c r="H596" s="84" t="str">
        <f>'26_30-11-2024'!I31</f>
        <v>Peter</v>
      </c>
      <c r="I596" s="84" t="str">
        <f>'26_30-11-2024'!J31</f>
        <v>Janus</v>
      </c>
      <c r="J596" s="84" t="str">
        <f>'26_30-11-2024'!H31</f>
        <v/>
      </c>
      <c r="K596" s="84" t="str">
        <f>'26_30-11-2024'!G31</f>
        <v>10 sans</v>
      </c>
      <c r="L596" s="84"/>
      <c r="M596" s="87">
        <v>10.0</v>
      </c>
      <c r="N596" s="87" t="s">
        <v>98</v>
      </c>
      <c r="O596" s="84"/>
      <c r="P596" s="84"/>
      <c r="Q596" s="84"/>
      <c r="R596" s="84"/>
      <c r="S596" s="84"/>
      <c r="T596" s="84"/>
      <c r="U596" s="88">
        <f t="shared" ref="U596:X596" si="5283">C596-C595</f>
        <v>56</v>
      </c>
      <c r="V596" s="84">
        <f t="shared" si="5283"/>
        <v>-56</v>
      </c>
      <c r="W596" s="84">
        <f t="shared" si="5283"/>
        <v>-56</v>
      </c>
      <c r="X596" s="84">
        <f t="shared" si="5283"/>
        <v>56</v>
      </c>
      <c r="Y596" s="84"/>
      <c r="Z596" s="84"/>
      <c r="AA596" s="84"/>
      <c r="AB596" s="84" t="str">
        <f t="shared" ref="AB596:AE596" si="5284">IF(AB$3=$H596,U596,"")</f>
        <v/>
      </c>
      <c r="AC596" s="84">
        <f t="shared" si="5284"/>
        <v>-56</v>
      </c>
      <c r="AD596" s="84" t="str">
        <f t="shared" si="5284"/>
        <v/>
      </c>
      <c r="AE596" s="84" t="str">
        <f t="shared" si="5284"/>
        <v/>
      </c>
      <c r="AF596" s="84"/>
      <c r="AG596" s="84"/>
      <c r="AH596" s="84">
        <f t="shared" si="22"/>
        <v>0</v>
      </c>
      <c r="AI596" s="84">
        <f t="shared" si="23"/>
        <v>-56</v>
      </c>
      <c r="AJ596" s="84"/>
      <c r="AK596" s="93" t="str">
        <f t="shared" ref="AK596:AN596" si="5285">IF(U596&gt;0,AK$3,"")</f>
        <v>Thomas</v>
      </c>
      <c r="AL596" s="93" t="str">
        <f t="shared" si="5285"/>
        <v/>
      </c>
      <c r="AM596" s="93" t="str">
        <f t="shared" si="5285"/>
        <v/>
      </c>
      <c r="AN596" s="93" t="str">
        <f t="shared" si="5285"/>
        <v>Christian</v>
      </c>
      <c r="AO596" s="84">
        <f t="shared" si="25"/>
        <v>2</v>
      </c>
      <c r="AP596" s="94" t="str">
        <f t="shared" si="26"/>
        <v>Peter</v>
      </c>
      <c r="AQ596" s="95" t="str">
        <f>IFERROR(__xludf.DUMMYFUNCTION("IFNA(QUERY(transpose(AY596:BB596),""Select Col1 where Col1 is not null limit 1"",0))"),"Janus")</f>
        <v>Janus</v>
      </c>
      <c r="AR596" s="84"/>
      <c r="AS596" s="84" t="str">
        <f t="shared" ref="AS596:AV596" si="5286">IF(AK596=AS$3,"",AS$3)</f>
        <v/>
      </c>
      <c r="AT596" s="84" t="str">
        <f t="shared" si="5286"/>
        <v>Peter</v>
      </c>
      <c r="AU596" s="84" t="str">
        <f t="shared" si="5286"/>
        <v>Janus</v>
      </c>
      <c r="AV596" s="84" t="str">
        <f t="shared" si="5286"/>
        <v/>
      </c>
      <c r="AW596" s="84">
        <f t="shared" si="28"/>
        <v>2</v>
      </c>
      <c r="AX596" s="84">
        <f t="shared" si="29"/>
        <v>-56</v>
      </c>
      <c r="AY596" s="84" t="str">
        <f t="shared" ref="AY596:BB596" si="5287">IFNA(IFS(AY$3=$AP596,"",$AX596=U596,AY$3),"")</f>
        <v/>
      </c>
      <c r="AZ596" s="84" t="str">
        <f t="shared" si="5287"/>
        <v/>
      </c>
      <c r="BA596" s="84" t="str">
        <f t="shared" si="5287"/>
        <v>Janus</v>
      </c>
      <c r="BB596" s="84" t="str">
        <f t="shared" si="5287"/>
        <v/>
      </c>
      <c r="BC596" s="96">
        <f>OFFSET('00_Regnskab_01'!$A$1,MATCH(A596,'00_Regnskab_01'!$A$1:$A$25)-1,2)</f>
        <v>45199</v>
      </c>
      <c r="BD596" s="84"/>
      <c r="BE596" s="97">
        <f t="shared" ref="BE596:BH596" si="5288">if(U596&gt;0,1+BE595,0)</f>
        <v>1</v>
      </c>
      <c r="BF596" s="84">
        <f t="shared" si="5288"/>
        <v>0</v>
      </c>
      <c r="BG596" s="84">
        <f t="shared" si="5288"/>
        <v>0</v>
      </c>
      <c r="BH596" s="84">
        <f t="shared" si="5288"/>
        <v>2</v>
      </c>
      <c r="BI596" s="84"/>
      <c r="BJ596" s="28">
        <f t="shared" ref="BJ596:BM596" si="5289">if(U596&lt;0,1+BJ595,0)</f>
        <v>0</v>
      </c>
      <c r="BK596" s="28">
        <f t="shared" si="5289"/>
        <v>1</v>
      </c>
      <c r="BL596" s="28">
        <f t="shared" si="5289"/>
        <v>3</v>
      </c>
      <c r="BM596" s="28">
        <f t="shared" si="5289"/>
        <v>0</v>
      </c>
      <c r="BN596" s="84"/>
      <c r="BO596" s="98">
        <f t="shared" ref="BO596:BR596" si="5290">if(U596&gt;0,U596+BO595,0)</f>
        <v>56</v>
      </c>
      <c r="BP596" s="98">
        <f t="shared" si="5290"/>
        <v>0</v>
      </c>
      <c r="BQ596" s="98">
        <f t="shared" si="5290"/>
        <v>0</v>
      </c>
      <c r="BR596" s="98">
        <f t="shared" si="5290"/>
        <v>64</v>
      </c>
      <c r="BS596" s="84"/>
      <c r="BT596" s="84">
        <f t="shared" ref="BT596:BW596" si="5291">if(U596&lt;0,U596+BT595,0)</f>
        <v>0</v>
      </c>
      <c r="BU596" s="84">
        <f t="shared" si="5291"/>
        <v>-56</v>
      </c>
      <c r="BV596" s="84">
        <f t="shared" si="5291"/>
        <v>-72</v>
      </c>
      <c r="BW596" s="84">
        <f t="shared" si="5291"/>
        <v>0</v>
      </c>
      <c r="BX596" s="84"/>
      <c r="BY596" s="84"/>
    </row>
  </sheetData>
  <customSheetViews>
    <customSheetView guid="{BE4228F8-26F7-447E-80ED-0A25DB1CB3CB}" filter="1" showAutoFilter="1">
      <autoFilter ref="$N$1:$O$531">
        <filterColumn colId="0">
          <filters>
            <filter val="Vip"/>
          </filters>
        </filterColumn>
        <filterColumn colId="1">
          <filters>
            <filter val="2"/>
            <filter val="Vip"/>
          </filters>
        </filterColumn>
      </autoFilter>
    </customSheetView>
    <customSheetView guid="{E6C22158-C2B8-4A37-818B-20C1D62FFCEC}" filter="1" showAutoFilter="1">
      <autoFilter ref="$N$1:$N$531">
        <filterColumn colId="0">
          <filters>
            <filter val="Sans"/>
          </filters>
        </filterColumn>
      </autoFilter>
    </customSheetView>
    <customSheetView guid="{2E5949FF-CA39-4505-9B6D-D9CF5B6B69C6}" filter="1" showAutoFilter="1">
      <autoFilter ref="$N$1:$N$531">
        <filterColumn colId="0">
          <filters>
            <filter val="Gode"/>
          </filters>
        </filterColumn>
      </autoFilter>
    </customSheetView>
    <customSheetView guid="{85DB16D7-50B0-4747-BD66-12FD8E998136}" filter="1" showAutoFilter="1">
      <autoFilter ref="$AQ$1:$AQ$530">
        <filterColumn colId="0">
          <filters>
            <filter val="Peter"/>
          </filters>
        </filterColumn>
      </autoFilter>
    </customSheetView>
    <customSheetView guid="{EC738B98-73A5-4C38-80F3-33458A5EC54C}" filter="1" showAutoFilter="1">
      <autoFilter ref="$N$1:$N$531">
        <filterColumn colId="0">
          <filters blank="1"/>
        </filterColumn>
      </autoFilter>
    </customSheetView>
    <customSheetView guid="{3DE8FA01-E342-4796-B0DD-004A273947C8}" filter="1" showAutoFilter="1">
      <autoFilter ref="$M$1:$X$526">
        <filterColumn colId="1">
          <filters>
            <filter val="Vip"/>
          </filters>
        </filterColumn>
        <filterColumn colId="2">
          <filters>
            <filter val="3"/>
            <filter val="Vip"/>
          </filters>
        </filterColumn>
      </autoFilter>
    </customSheetView>
    <customSheetView guid="{21798E50-6015-40D0-A152-9274667AE87C}" filter="1" showAutoFilter="1">
      <autoFilter ref="$BH$1:$BH$530">
        <filterColumn colId="0">
          <filters>
            <filter val="12"/>
          </filters>
        </filterColumn>
      </autoFilter>
    </customSheetView>
    <customSheetView guid="{64FE9A92-8348-43F1-8ACA-8B9F999FC2AA}" filter="1" showAutoFilter="1">
      <autoFilter ref="$N$1:$N$531">
        <filterColumn colId="0">
          <filters>
            <filter val="Halve"/>
          </filters>
        </filterColumn>
      </autoFilter>
    </customSheetView>
    <customSheetView guid="{CFF4A138-327E-4939-AA00-E1F41879CE53}" filter="1" showAutoFilter="1">
      <autoFilter ref="$N$1:$N$531">
        <filterColumn colId="0">
          <filters>
            <filter val="Sol"/>
            <filter val="Halv bordlægger"/>
            <filter val="Alm"/>
            <filter val="Sans"/>
            <filter val="Halve"/>
            <filter val="Gode"/>
            <filter val="Vip"/>
            <filter val="Ren sol"/>
          </filters>
        </filterColumn>
      </autoFilter>
    </customSheetView>
    <customSheetView guid="{330811C9-D2B5-4E82-B8CD-1DC6DEBC5CE1}" filter="1" showAutoFilter="1">
      <autoFilter ref="$N$1:$O$531">
        <filterColumn colId="0">
          <filters>
            <filter val="Vip"/>
          </filters>
        </filterColumn>
        <filterColumn colId="1">
          <filters>
            <filter val="1"/>
            <filter val="Vip"/>
          </filters>
        </filterColumn>
      </autoFilter>
    </customSheetView>
    <customSheetView guid="{5F72CD3B-7DB2-4B27-882E-A6DC1561BCB0}" filter="1" showAutoFilter="1">
      <autoFilter ref="$BC$1:$BC$530">
        <filterColumn colId="0">
          <filters>
            <filter val="03/11/2018"/>
            <filter val="13/01/2023"/>
          </filters>
        </filterColumn>
      </autoFilter>
    </customSheetView>
    <customSheetView guid="{ACAC4120-3AD4-42A7-A84C-AEE0F5D21F53}" filter="1" showAutoFilter="1">
      <autoFilter ref="$N$1:$N$531">
        <filterColumn colId="0">
          <filters>
            <filter val="Alm"/>
            <filter val="Sans"/>
            <filter val="Halve"/>
            <filter val="Gode"/>
            <filter val="Vip"/>
          </filters>
        </filterColumn>
      </autoFilter>
    </customSheetView>
    <customSheetView guid="{5C027D68-0790-42FD-B236-8F46E790F4B0}" filter="1" showAutoFilter="1">
      <autoFilter ref="$N$1:$N$531">
        <filterColumn colId="0">
          <filters>
            <filter val="Sol"/>
            <filter val="Halv bordlægger"/>
            <filter val="Ren sol"/>
          </filters>
        </filterColumn>
      </autoFilter>
    </customSheetView>
    <customSheetView guid="{36202715-20AB-4CBA-931D-07628C0C354F}" filter="1" showAutoFilter="1">
      <autoFilter ref="$N$1:$N$531">
        <filterColumn colId="0">
          <filters>
            <filter val="Alm"/>
          </filters>
        </filterColumn>
      </autoFilter>
    </customSheetView>
    <customSheetView guid="{2B4004BD-AF2D-4137-A093-69D31E045B58}" filter="1" showAutoFilter="1">
      <autoFilter ref="$N$1:$N$531">
        <filterColumn colId="0">
          <filters>
            <filter val="Sans"/>
            <filter val="Vip"/>
          </filters>
        </filterColumn>
      </autoFilter>
    </customSheetView>
    <customSheetView guid="{417EE87B-F98F-4A26-8A75-395583A589FC}" filter="1" showAutoFilter="1">
      <autoFilter ref="$U$1:$U$530">
        <filterColumn colId="0">
          <filters>
            <filter val="-256"/>
            <filter val="Vundet / tabt pr. hånd"/>
            <filter val="-40"/>
          </filters>
        </filterColumn>
      </autoFilter>
    </customSheetView>
  </customSheetViews>
  <conditionalFormatting sqref="AK4:AK596">
    <cfRule type="expression" dxfId="0" priority="1">
      <formula>H4=AK4</formula>
    </cfRule>
  </conditionalFormatting>
  <conditionalFormatting sqref="AL4:AL596">
    <cfRule type="expression" dxfId="0" priority="2">
      <formula>H4=AL4</formula>
    </cfRule>
  </conditionalFormatting>
  <conditionalFormatting sqref="AM4:AM596">
    <cfRule type="expression" dxfId="0" priority="3">
      <formula>H4=AM4</formula>
    </cfRule>
  </conditionalFormatting>
  <conditionalFormatting sqref="AN4:AN596">
    <cfRule type="expression" dxfId="0" priority="4">
      <formula>H4=AN4</formula>
    </cfRule>
  </conditionalFormatting>
  <conditionalFormatting sqref="AO11:AO596">
    <cfRule type="cellIs" dxfId="1" priority="5" operator="equal">
      <formula>4</formula>
    </cfRule>
  </conditionalFormatting>
  <conditionalFormatting sqref="AO111:AO596">
    <cfRule type="cellIs" dxfId="2" priority="6" operator="equal">
      <formula>3</formula>
    </cfRule>
  </conditionalFormatting>
  <conditionalFormatting sqref="AW11:AW596">
    <cfRule type="cellIs" dxfId="2" priority="7" operator="equal">
      <formula>3</formula>
    </cfRule>
  </conditionalFormatting>
  <conditionalFormatting sqref="AW11:AW596">
    <cfRule type="cellIs" dxfId="1" priority="8" operator="equal">
      <formula>4</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117" t="s">
        <v>103</v>
      </c>
      <c r="B1" s="117" t="s">
        <v>7</v>
      </c>
      <c r="C1" s="117" t="s">
        <v>8</v>
      </c>
      <c r="D1" s="117" t="s">
        <v>9</v>
      </c>
      <c r="E1" s="117" t="s">
        <v>10</v>
      </c>
      <c r="F1" s="118"/>
      <c r="G1" s="118"/>
      <c r="H1" s="118"/>
      <c r="I1" s="118"/>
      <c r="J1" s="118"/>
    </row>
    <row r="2">
      <c r="A2" s="117">
        <v>1.0</v>
      </c>
      <c r="B2" s="28">
        <f>ROUND(100 * COUNTIFS('SAMLET_alle regnskab'!B:B, A2, 'SAMLET_alle regnskab'!C:C, "&gt;0") / COUNTIF('SAMLET_alle regnskab'!B:B, A2), 1)</f>
        <v>36.8</v>
      </c>
      <c r="C2" s="28">
        <f>ROUND(100 * COUNTIFS('SAMLET_alle regnskab'!B:B, A2, 'SAMLET_alle regnskab'!D:D, "&gt;0") / COUNTIF('SAMLET_alle regnskab'!B:B, A2), 1)</f>
        <v>52.6</v>
      </c>
      <c r="D2" s="28">
        <f>ROUND(100 * COUNTIFS('SAMLET_alle regnskab'!B:B, A2, 'SAMLET_alle regnskab'!E:E, "&gt;0") / COUNTIF('SAMLET_alle regnskab'!B:B, A2), 1)</f>
        <v>47.4</v>
      </c>
      <c r="E2" s="28">
        <f>ROUND(100 * COUNTIFS('SAMLET_alle regnskab'!B:B, A2, 'SAMLET_alle regnskab'!F:F, "&gt;0") / COUNTIF('SAMLET_alle regnskab'!B:B, A2), 1)</f>
        <v>52.6</v>
      </c>
    </row>
    <row r="3">
      <c r="A3" s="118">
        <f t="shared" ref="A3:A55" si="1">A2+1</f>
        <v>2</v>
      </c>
      <c r="B3" s="28">
        <f>ROUND(100 * COUNTIFS('SAMLET_alle regnskab'!B:B, A3, 'SAMLET_alle regnskab'!C:C, "&gt;0") / COUNTIF('SAMLET_alle regnskab'!B:B, A3), 1)</f>
        <v>57.9</v>
      </c>
      <c r="C3" s="28">
        <f>ROUND(100 * COUNTIFS('SAMLET_alle regnskab'!B:B, A3, 'SAMLET_alle regnskab'!D:D, "&gt;0") / COUNTIF('SAMLET_alle regnskab'!B:B, A3), 1)</f>
        <v>52.6</v>
      </c>
      <c r="D3" s="28">
        <f>ROUND(100 * COUNTIFS('SAMLET_alle regnskab'!B:B, A3, 'SAMLET_alle regnskab'!E:E, "&gt;0") / COUNTIF('SAMLET_alle regnskab'!B:B, A3), 1)</f>
        <v>47.4</v>
      </c>
      <c r="E3" s="28">
        <f>ROUND(100 * COUNTIFS('SAMLET_alle regnskab'!B:B, A3, 'SAMLET_alle regnskab'!F:F, "&gt;0") / COUNTIF('SAMLET_alle regnskab'!B:B, A3), 1)</f>
        <v>36.8</v>
      </c>
    </row>
    <row r="4">
      <c r="A4" s="118">
        <f t="shared" si="1"/>
        <v>3</v>
      </c>
      <c r="B4" s="28">
        <f>ROUND(100 * COUNTIFS('SAMLET_alle regnskab'!B:B, A4, 'SAMLET_alle regnskab'!C:C, "&gt;0") / COUNTIF('SAMLET_alle regnskab'!B:B, A4), 1)</f>
        <v>52.6</v>
      </c>
      <c r="C4" s="28">
        <f>ROUND(100 * COUNTIFS('SAMLET_alle regnskab'!B:B, A4, 'SAMLET_alle regnskab'!D:D, "&gt;0") / COUNTIF('SAMLET_alle regnskab'!B:B, A4), 1)</f>
        <v>52.6</v>
      </c>
      <c r="D4" s="28">
        <f>ROUND(100 * COUNTIFS('SAMLET_alle regnskab'!B:B, A4, 'SAMLET_alle regnskab'!E:E, "&gt;0") / COUNTIF('SAMLET_alle regnskab'!B:B, A4), 1)</f>
        <v>63.2</v>
      </c>
      <c r="E4" s="28">
        <f>ROUND(100 * COUNTIFS('SAMLET_alle regnskab'!B:B, A4, 'SAMLET_alle regnskab'!F:F, "&gt;0") / COUNTIF('SAMLET_alle regnskab'!B:B, A4), 1)</f>
        <v>36.8</v>
      </c>
    </row>
    <row r="5">
      <c r="A5" s="118">
        <f t="shared" si="1"/>
        <v>4</v>
      </c>
      <c r="B5" s="28">
        <f>ROUND(100 * COUNTIFS('SAMLET_alle regnskab'!B:B, A5, 'SAMLET_alle regnskab'!C:C, "&gt;0") / COUNTIF('SAMLET_alle regnskab'!B:B, A5), 1)</f>
        <v>63.2</v>
      </c>
      <c r="C5" s="28">
        <f>ROUND(100 * COUNTIFS('SAMLET_alle regnskab'!B:B, A5, 'SAMLET_alle regnskab'!D:D, "&gt;0") / COUNTIF('SAMLET_alle regnskab'!B:B, A5), 1)</f>
        <v>47.4</v>
      </c>
      <c r="D5" s="28">
        <f>ROUND(100 * COUNTIFS('SAMLET_alle regnskab'!B:B, A5, 'SAMLET_alle regnskab'!E:E, "&gt;0") / COUNTIF('SAMLET_alle regnskab'!B:B, A5), 1)</f>
        <v>57.9</v>
      </c>
      <c r="E5" s="28">
        <f>ROUND(100 * COUNTIFS('SAMLET_alle regnskab'!B:B, A5, 'SAMLET_alle regnskab'!F:F, "&gt;0") / COUNTIF('SAMLET_alle regnskab'!B:B, A5), 1)</f>
        <v>31.6</v>
      </c>
    </row>
    <row r="6">
      <c r="A6" s="118">
        <f t="shared" si="1"/>
        <v>5</v>
      </c>
      <c r="B6" s="28">
        <f>ROUND(100 * COUNTIFS('SAMLET_alle regnskab'!B:B, A6, 'SAMLET_alle regnskab'!C:C, "&gt;0") / COUNTIF('SAMLET_alle regnskab'!B:B, A6), 1)</f>
        <v>63.2</v>
      </c>
      <c r="C6" s="28">
        <f>ROUND(100 * COUNTIFS('SAMLET_alle regnskab'!B:B, A6, 'SAMLET_alle regnskab'!D:D, "&gt;0") / COUNTIF('SAMLET_alle regnskab'!B:B, A6), 1)</f>
        <v>52.6</v>
      </c>
      <c r="D6" s="28">
        <f>ROUND(100 * COUNTIFS('SAMLET_alle regnskab'!B:B, A6, 'SAMLET_alle regnskab'!E:E, "&gt;0") / COUNTIF('SAMLET_alle regnskab'!B:B, A6), 1)</f>
        <v>63.2</v>
      </c>
      <c r="E6" s="28">
        <f>ROUND(100 * COUNTIFS('SAMLET_alle regnskab'!B:B, A6, 'SAMLET_alle regnskab'!F:F, "&gt;0") / COUNTIF('SAMLET_alle regnskab'!B:B, A6), 1)</f>
        <v>26.3</v>
      </c>
    </row>
    <row r="7">
      <c r="A7" s="118">
        <f t="shared" si="1"/>
        <v>6</v>
      </c>
      <c r="B7" s="28">
        <f>ROUND(100 * COUNTIFS('SAMLET_alle regnskab'!B:B, A7, 'SAMLET_alle regnskab'!C:C, "&gt;0") / COUNTIF('SAMLET_alle regnskab'!B:B, A7), 1)</f>
        <v>57.9</v>
      </c>
      <c r="C7" s="28">
        <f>ROUND(100 * COUNTIFS('SAMLET_alle regnskab'!B:B, A7, 'SAMLET_alle regnskab'!D:D, "&gt;0") / COUNTIF('SAMLET_alle regnskab'!B:B, A7), 1)</f>
        <v>47.4</v>
      </c>
      <c r="D7" s="28">
        <f>ROUND(100 * COUNTIFS('SAMLET_alle regnskab'!B:B, A7, 'SAMLET_alle regnskab'!E:E, "&gt;0") / COUNTIF('SAMLET_alle regnskab'!B:B, A7), 1)</f>
        <v>68.4</v>
      </c>
      <c r="E7" s="28">
        <f>ROUND(100 * COUNTIFS('SAMLET_alle regnskab'!B:B, A7, 'SAMLET_alle regnskab'!F:F, "&gt;0") / COUNTIF('SAMLET_alle regnskab'!B:B, A7), 1)</f>
        <v>21.1</v>
      </c>
    </row>
    <row r="8">
      <c r="A8" s="118">
        <f t="shared" si="1"/>
        <v>7</v>
      </c>
      <c r="B8" s="28">
        <f>ROUND(100 * COUNTIFS('SAMLET_alle regnskab'!B:B, A8, 'SAMLET_alle regnskab'!C:C, "&gt;0") / COUNTIF('SAMLET_alle regnskab'!B:B, A8), 1)</f>
        <v>52.6</v>
      </c>
      <c r="C8" s="28">
        <f>ROUND(100 * COUNTIFS('SAMLET_alle regnskab'!B:B, A8, 'SAMLET_alle regnskab'!D:D, "&gt;0") / COUNTIF('SAMLET_alle regnskab'!B:B, A8), 1)</f>
        <v>47.4</v>
      </c>
      <c r="D8" s="28">
        <f>ROUND(100 * COUNTIFS('SAMLET_alle regnskab'!B:B, A8, 'SAMLET_alle regnskab'!E:E, "&gt;0") / COUNTIF('SAMLET_alle regnskab'!B:B, A8), 1)</f>
        <v>73.7</v>
      </c>
      <c r="E8" s="28">
        <f>ROUND(100 * COUNTIFS('SAMLET_alle regnskab'!B:B, A8, 'SAMLET_alle regnskab'!F:F, "&gt;0") / COUNTIF('SAMLET_alle regnskab'!B:B, A8), 1)</f>
        <v>31.6</v>
      </c>
    </row>
    <row r="9">
      <c r="A9" s="118">
        <f t="shared" si="1"/>
        <v>8</v>
      </c>
      <c r="B9" s="28">
        <f>ROUND(100 * COUNTIFS('SAMLET_alle regnskab'!B:B, A9, 'SAMLET_alle regnskab'!C:C, "&gt;0") / COUNTIF('SAMLET_alle regnskab'!B:B, A9), 1)</f>
        <v>52.6</v>
      </c>
      <c r="C9" s="28">
        <f>ROUND(100 * COUNTIFS('SAMLET_alle regnskab'!B:B, A9, 'SAMLET_alle regnskab'!D:D, "&gt;0") / COUNTIF('SAMLET_alle regnskab'!B:B, A9), 1)</f>
        <v>36.8</v>
      </c>
      <c r="D9" s="28">
        <f>ROUND(100 * COUNTIFS('SAMLET_alle regnskab'!B:B, A9, 'SAMLET_alle regnskab'!E:E, "&gt;0") / COUNTIF('SAMLET_alle regnskab'!B:B, A9), 1)</f>
        <v>57.9</v>
      </c>
      <c r="E9" s="28">
        <f>ROUND(100 * COUNTIFS('SAMLET_alle regnskab'!B:B, A9, 'SAMLET_alle regnskab'!F:F, "&gt;0") / COUNTIF('SAMLET_alle regnskab'!B:B, A9), 1)</f>
        <v>36.8</v>
      </c>
    </row>
    <row r="10">
      <c r="A10" s="118">
        <f t="shared" si="1"/>
        <v>9</v>
      </c>
      <c r="B10" s="28">
        <f>ROUND(100 * COUNTIFS('SAMLET_alle regnskab'!B:B, A10, 'SAMLET_alle regnskab'!C:C, "&gt;0") / COUNTIF('SAMLET_alle regnskab'!B:B, A10), 1)</f>
        <v>45</v>
      </c>
      <c r="C10" s="28">
        <f>ROUND(100 * COUNTIFS('SAMLET_alle regnskab'!B:B, A10, 'SAMLET_alle regnskab'!D:D, "&gt;0") / COUNTIF('SAMLET_alle regnskab'!B:B, A10), 1)</f>
        <v>40</v>
      </c>
      <c r="D10" s="28">
        <f>ROUND(100 * COUNTIFS('SAMLET_alle regnskab'!B:B, A10, 'SAMLET_alle regnskab'!E:E, "&gt;0") / COUNTIF('SAMLET_alle regnskab'!B:B, A10), 1)</f>
        <v>60</v>
      </c>
      <c r="E10" s="28">
        <f>ROUND(100 * COUNTIFS('SAMLET_alle regnskab'!B:B, A10, 'SAMLET_alle regnskab'!F:F, "&gt;0") / COUNTIF('SAMLET_alle regnskab'!B:B, A10), 1)</f>
        <v>40</v>
      </c>
    </row>
    <row r="11">
      <c r="A11" s="118">
        <f t="shared" si="1"/>
        <v>10</v>
      </c>
      <c r="B11" s="28">
        <f>ROUND(100 * COUNTIFS('SAMLET_alle regnskab'!B:B, A11, 'SAMLET_alle regnskab'!C:C, "&gt;0") / COUNTIF('SAMLET_alle regnskab'!B:B, A11), 1)</f>
        <v>42.1</v>
      </c>
      <c r="C11" s="28">
        <f>ROUND(100 * COUNTIFS('SAMLET_alle regnskab'!B:B, A11, 'SAMLET_alle regnskab'!D:D, "&gt;0") / COUNTIF('SAMLET_alle regnskab'!B:B, A11), 1)</f>
        <v>42.1</v>
      </c>
      <c r="D11" s="28">
        <f>ROUND(100 * COUNTIFS('SAMLET_alle regnskab'!B:B, A11, 'SAMLET_alle regnskab'!E:E, "&gt;0") / COUNTIF('SAMLET_alle regnskab'!B:B, A11), 1)</f>
        <v>73.7</v>
      </c>
      <c r="E11" s="28">
        <f>ROUND(100 * COUNTIFS('SAMLET_alle regnskab'!B:B, A11, 'SAMLET_alle regnskab'!F:F, "&gt;0") / COUNTIF('SAMLET_alle regnskab'!B:B, A11), 1)</f>
        <v>36.8</v>
      </c>
    </row>
    <row r="12">
      <c r="A12" s="118">
        <f t="shared" si="1"/>
        <v>11</v>
      </c>
      <c r="B12" s="28">
        <f>ROUND(100 * COUNTIFS('SAMLET_alle regnskab'!B:B, A12, 'SAMLET_alle regnskab'!C:C, "&gt;0") / COUNTIF('SAMLET_alle regnskab'!B:B, A12), 1)</f>
        <v>42.1</v>
      </c>
      <c r="C12" s="28">
        <f>ROUND(100 * COUNTIFS('SAMLET_alle regnskab'!B:B, A12, 'SAMLET_alle regnskab'!D:D, "&gt;0") / COUNTIF('SAMLET_alle regnskab'!B:B, A12), 1)</f>
        <v>42.1</v>
      </c>
      <c r="D12" s="28">
        <f>ROUND(100 * COUNTIFS('SAMLET_alle regnskab'!B:B, A12, 'SAMLET_alle regnskab'!E:E, "&gt;0") / COUNTIF('SAMLET_alle regnskab'!B:B, A12), 1)</f>
        <v>78.9</v>
      </c>
      <c r="E12" s="28">
        <f>ROUND(100 * COUNTIFS('SAMLET_alle regnskab'!B:B, A12, 'SAMLET_alle regnskab'!F:F, "&gt;0") / COUNTIF('SAMLET_alle regnskab'!B:B, A12), 1)</f>
        <v>42.1</v>
      </c>
    </row>
    <row r="13">
      <c r="A13" s="118">
        <f t="shared" si="1"/>
        <v>12</v>
      </c>
      <c r="B13" s="28">
        <f>ROUND(100 * COUNTIFS('SAMLET_alle regnskab'!B:B, A13, 'SAMLET_alle regnskab'!C:C, "&gt;0") / COUNTIF('SAMLET_alle regnskab'!B:B, A13), 1)</f>
        <v>31.6</v>
      </c>
      <c r="C13" s="28">
        <f>ROUND(100 * COUNTIFS('SAMLET_alle regnskab'!B:B, A13, 'SAMLET_alle regnskab'!D:D, "&gt;0") / COUNTIF('SAMLET_alle regnskab'!B:B, A13), 1)</f>
        <v>42.1</v>
      </c>
      <c r="D13" s="28">
        <f>ROUND(100 * COUNTIFS('SAMLET_alle regnskab'!B:B, A13, 'SAMLET_alle regnskab'!E:E, "&gt;0") / COUNTIF('SAMLET_alle regnskab'!B:B, A13), 1)</f>
        <v>68.4</v>
      </c>
      <c r="E13" s="28">
        <f>ROUND(100 * COUNTIFS('SAMLET_alle regnskab'!B:B, A13, 'SAMLET_alle regnskab'!F:F, "&gt;0") / COUNTIF('SAMLET_alle regnskab'!B:B, A13), 1)</f>
        <v>42.1</v>
      </c>
    </row>
    <row r="14">
      <c r="A14" s="118">
        <f t="shared" si="1"/>
        <v>13</v>
      </c>
      <c r="B14" s="28">
        <f>ROUND(100 * COUNTIFS('SAMLET_alle regnskab'!B:B, A14, 'SAMLET_alle regnskab'!C:C, "&gt;0") / COUNTIF('SAMLET_alle regnskab'!B:B, A14), 1)</f>
        <v>47.4</v>
      </c>
      <c r="C14" s="28">
        <f>ROUND(100 * COUNTIFS('SAMLET_alle regnskab'!B:B, A14, 'SAMLET_alle regnskab'!D:D, "&gt;0") / COUNTIF('SAMLET_alle regnskab'!B:B, A14), 1)</f>
        <v>31.6</v>
      </c>
      <c r="D14" s="28">
        <f>ROUND(100 * COUNTIFS('SAMLET_alle regnskab'!B:B, A14, 'SAMLET_alle regnskab'!E:E, "&gt;0") / COUNTIF('SAMLET_alle regnskab'!B:B, A14), 1)</f>
        <v>73.7</v>
      </c>
      <c r="E14" s="28">
        <f>ROUND(100 * COUNTIFS('SAMLET_alle regnskab'!B:B, A14, 'SAMLET_alle regnskab'!F:F, "&gt;0") / COUNTIF('SAMLET_alle regnskab'!B:B, A14), 1)</f>
        <v>42.1</v>
      </c>
    </row>
    <row r="15">
      <c r="A15" s="118">
        <f t="shared" si="1"/>
        <v>14</v>
      </c>
      <c r="B15" s="28">
        <f>ROUND(100 * COUNTIFS('SAMLET_alle regnskab'!B:B, A15, 'SAMLET_alle regnskab'!C:C, "&gt;0") / COUNTIF('SAMLET_alle regnskab'!B:B, A15), 1)</f>
        <v>47.4</v>
      </c>
      <c r="C15" s="28">
        <f>ROUND(100 * COUNTIFS('SAMLET_alle regnskab'!B:B, A15, 'SAMLET_alle regnskab'!D:D, "&gt;0") / COUNTIF('SAMLET_alle regnskab'!B:B, A15), 1)</f>
        <v>31.6</v>
      </c>
      <c r="D15" s="28">
        <f>ROUND(100 * COUNTIFS('SAMLET_alle regnskab'!B:B, A15, 'SAMLET_alle regnskab'!E:E, "&gt;0") / COUNTIF('SAMLET_alle regnskab'!B:B, A15), 1)</f>
        <v>73.7</v>
      </c>
      <c r="E15" s="28">
        <f>ROUND(100 * COUNTIFS('SAMLET_alle regnskab'!B:B, A15, 'SAMLET_alle regnskab'!F:F, "&gt;0") / COUNTIF('SAMLET_alle regnskab'!B:B, A15), 1)</f>
        <v>42.1</v>
      </c>
    </row>
    <row r="16">
      <c r="A16" s="118">
        <f t="shared" si="1"/>
        <v>15</v>
      </c>
      <c r="B16" s="28">
        <f>ROUND(100 * COUNTIFS('SAMLET_alle regnskab'!B:B, A16, 'SAMLET_alle regnskab'!C:C, "&gt;0") / COUNTIF('SAMLET_alle regnskab'!B:B, A16), 1)</f>
        <v>52.6</v>
      </c>
      <c r="C16" s="28">
        <f>ROUND(100 * COUNTIFS('SAMLET_alle regnskab'!B:B, A16, 'SAMLET_alle regnskab'!D:D, "&gt;0") / COUNTIF('SAMLET_alle regnskab'!B:B, A16), 1)</f>
        <v>31.6</v>
      </c>
      <c r="D16" s="28">
        <f>ROUND(100 * COUNTIFS('SAMLET_alle regnskab'!B:B, A16, 'SAMLET_alle regnskab'!E:E, "&gt;0") / COUNTIF('SAMLET_alle regnskab'!B:B, A16), 1)</f>
        <v>68.4</v>
      </c>
      <c r="E16" s="28">
        <f>ROUND(100 * COUNTIFS('SAMLET_alle regnskab'!B:B, A16, 'SAMLET_alle regnskab'!F:F, "&gt;0") / COUNTIF('SAMLET_alle regnskab'!B:B, A16), 1)</f>
        <v>47.4</v>
      </c>
    </row>
    <row r="17">
      <c r="A17" s="118">
        <f t="shared" si="1"/>
        <v>16</v>
      </c>
      <c r="B17" s="28">
        <f>ROUND(100 * COUNTIFS('SAMLET_alle regnskab'!B:B, A17, 'SAMLET_alle regnskab'!C:C, "&gt;0") / COUNTIF('SAMLET_alle regnskab'!B:B, A17), 1)</f>
        <v>52.6</v>
      </c>
      <c r="C17" s="28">
        <f>ROUND(100 * COUNTIFS('SAMLET_alle regnskab'!B:B, A17, 'SAMLET_alle regnskab'!D:D, "&gt;0") / COUNTIF('SAMLET_alle regnskab'!B:B, A17), 1)</f>
        <v>26.3</v>
      </c>
      <c r="D17" s="28">
        <f>ROUND(100 * COUNTIFS('SAMLET_alle regnskab'!B:B, A17, 'SAMLET_alle regnskab'!E:E, "&gt;0") / COUNTIF('SAMLET_alle regnskab'!B:B, A17), 1)</f>
        <v>63.2</v>
      </c>
      <c r="E17" s="28">
        <f>ROUND(100 * COUNTIFS('SAMLET_alle regnskab'!B:B, A17, 'SAMLET_alle regnskab'!F:F, "&gt;0") / COUNTIF('SAMLET_alle regnskab'!B:B, A17), 1)</f>
        <v>47.4</v>
      </c>
    </row>
    <row r="18">
      <c r="A18" s="118">
        <f t="shared" si="1"/>
        <v>17</v>
      </c>
      <c r="B18" s="28">
        <f>ROUND(100 * COUNTIFS('SAMLET_alle regnskab'!B:B, A18, 'SAMLET_alle regnskab'!C:C, "&gt;0") / COUNTIF('SAMLET_alle regnskab'!B:B, A18), 1)</f>
        <v>52.6</v>
      </c>
      <c r="C18" s="28">
        <f>ROUND(100 * COUNTIFS('SAMLET_alle regnskab'!B:B, A18, 'SAMLET_alle regnskab'!D:D, "&gt;0") / COUNTIF('SAMLET_alle regnskab'!B:B, A18), 1)</f>
        <v>31.6</v>
      </c>
      <c r="D18" s="28">
        <f>ROUND(100 * COUNTIFS('SAMLET_alle regnskab'!B:B, A18, 'SAMLET_alle regnskab'!E:E, "&gt;0") / COUNTIF('SAMLET_alle regnskab'!B:B, A18), 1)</f>
        <v>63.2</v>
      </c>
      <c r="E18" s="28">
        <f>ROUND(100 * COUNTIFS('SAMLET_alle regnskab'!B:B, A18, 'SAMLET_alle regnskab'!F:F, "&gt;0") / COUNTIF('SAMLET_alle regnskab'!B:B, A18), 1)</f>
        <v>47.4</v>
      </c>
    </row>
    <row r="19">
      <c r="A19" s="118">
        <f t="shared" si="1"/>
        <v>18</v>
      </c>
      <c r="B19" s="28">
        <f>ROUND(100 * COUNTIFS('SAMLET_alle regnskab'!B:B, A19, 'SAMLET_alle regnskab'!C:C, "&gt;0") / COUNTIF('SAMLET_alle regnskab'!B:B, A19), 1)</f>
        <v>50</v>
      </c>
      <c r="C19" s="28">
        <f>ROUND(100 * COUNTIFS('SAMLET_alle regnskab'!B:B, A19, 'SAMLET_alle regnskab'!D:D, "&gt;0") / COUNTIF('SAMLET_alle regnskab'!B:B, A19), 1)</f>
        <v>33.3</v>
      </c>
      <c r="D19" s="28">
        <f>ROUND(100 * COUNTIFS('SAMLET_alle regnskab'!B:B, A19, 'SAMLET_alle regnskab'!E:E, "&gt;0") / COUNTIF('SAMLET_alle regnskab'!B:B, A19), 1)</f>
        <v>66.7</v>
      </c>
      <c r="E19" s="28">
        <f>ROUND(100 * COUNTIFS('SAMLET_alle regnskab'!B:B, A19, 'SAMLET_alle regnskab'!F:F, "&gt;0") / COUNTIF('SAMLET_alle regnskab'!B:B, A19), 1)</f>
        <v>44.4</v>
      </c>
    </row>
    <row r="20">
      <c r="A20" s="118">
        <f t="shared" si="1"/>
        <v>19</v>
      </c>
      <c r="B20" s="28">
        <f>ROUND(100 * COUNTIFS('SAMLET_alle regnskab'!B:B, A20, 'SAMLET_alle regnskab'!C:C, "&gt;0") / COUNTIF('SAMLET_alle regnskab'!B:B, A20), 1)</f>
        <v>47.1</v>
      </c>
      <c r="C20" s="28">
        <f>ROUND(100 * COUNTIFS('SAMLET_alle regnskab'!B:B, A20, 'SAMLET_alle regnskab'!D:D, "&gt;0") / COUNTIF('SAMLET_alle regnskab'!B:B, A20), 1)</f>
        <v>29.4</v>
      </c>
      <c r="D20" s="28">
        <f>ROUND(100 * COUNTIFS('SAMLET_alle regnskab'!B:B, A20, 'SAMLET_alle regnskab'!E:E, "&gt;0") / COUNTIF('SAMLET_alle regnskab'!B:B, A20), 1)</f>
        <v>64.7</v>
      </c>
      <c r="E20" s="28">
        <f>ROUND(100 * COUNTIFS('SAMLET_alle regnskab'!B:B, A20, 'SAMLET_alle regnskab'!F:F, "&gt;0") / COUNTIF('SAMLET_alle regnskab'!B:B, A20), 1)</f>
        <v>41.2</v>
      </c>
    </row>
    <row r="21">
      <c r="A21" s="118">
        <f t="shared" si="1"/>
        <v>20</v>
      </c>
      <c r="B21" s="28">
        <f>ROUND(100 * COUNTIFS('SAMLET_alle regnskab'!B:B, A21, 'SAMLET_alle regnskab'!C:C, "&gt;0") / COUNTIF('SAMLET_alle regnskab'!B:B, A21), 1)</f>
        <v>56.3</v>
      </c>
      <c r="C21" s="28">
        <f>ROUND(100 * COUNTIFS('SAMLET_alle regnskab'!B:B, A21, 'SAMLET_alle regnskab'!D:D, "&gt;0") / COUNTIF('SAMLET_alle regnskab'!B:B, A21), 1)</f>
        <v>31.3</v>
      </c>
      <c r="D21" s="28">
        <f>ROUND(100 * COUNTIFS('SAMLET_alle regnskab'!B:B, A21, 'SAMLET_alle regnskab'!E:E, "&gt;0") / COUNTIF('SAMLET_alle regnskab'!B:B, A21), 1)</f>
        <v>68.8</v>
      </c>
      <c r="E21" s="28">
        <f>ROUND(100 * COUNTIFS('SAMLET_alle regnskab'!B:B, A21, 'SAMLET_alle regnskab'!F:F, "&gt;0") / COUNTIF('SAMLET_alle regnskab'!B:B, A21), 1)</f>
        <v>31.3</v>
      </c>
    </row>
    <row r="22">
      <c r="A22" s="118">
        <f t="shared" si="1"/>
        <v>21</v>
      </c>
      <c r="B22" s="28">
        <f>ROUND(100 * COUNTIFS('SAMLET_alle regnskab'!B:B, A22, 'SAMLET_alle regnskab'!C:C, "&gt;0") / COUNTIF('SAMLET_alle regnskab'!B:B, A22), 1)</f>
        <v>53.3</v>
      </c>
      <c r="C22" s="28">
        <f>ROUND(100 * COUNTIFS('SAMLET_alle regnskab'!B:B, A22, 'SAMLET_alle regnskab'!D:D, "&gt;0") / COUNTIF('SAMLET_alle regnskab'!B:B, A22), 1)</f>
        <v>33.3</v>
      </c>
      <c r="D22" s="28">
        <f>ROUND(100 * COUNTIFS('SAMLET_alle regnskab'!B:B, A22, 'SAMLET_alle regnskab'!E:E, "&gt;0") / COUNTIF('SAMLET_alle regnskab'!B:B, A22), 1)</f>
        <v>53.3</v>
      </c>
      <c r="E22" s="28">
        <f>ROUND(100 * COUNTIFS('SAMLET_alle regnskab'!B:B, A22, 'SAMLET_alle regnskab'!F:F, "&gt;0") / COUNTIF('SAMLET_alle regnskab'!B:B, A22), 1)</f>
        <v>26.7</v>
      </c>
    </row>
    <row r="23">
      <c r="A23" s="118">
        <f t="shared" si="1"/>
        <v>22</v>
      </c>
      <c r="B23" s="28">
        <f>ROUND(100 * COUNTIFS('SAMLET_alle regnskab'!B:B, A23, 'SAMLET_alle regnskab'!C:C, "&gt;0") / COUNTIF('SAMLET_alle regnskab'!B:B, A23), 1)</f>
        <v>53.3</v>
      </c>
      <c r="C23" s="28">
        <f>ROUND(100 * COUNTIFS('SAMLET_alle regnskab'!B:B, A23, 'SAMLET_alle regnskab'!D:D, "&gt;0") / COUNTIF('SAMLET_alle regnskab'!B:B, A23), 1)</f>
        <v>33.3</v>
      </c>
      <c r="D23" s="28">
        <f>ROUND(100 * COUNTIFS('SAMLET_alle regnskab'!B:B, A23, 'SAMLET_alle regnskab'!E:E, "&gt;0") / COUNTIF('SAMLET_alle regnskab'!B:B, A23), 1)</f>
        <v>46.7</v>
      </c>
      <c r="E23" s="28">
        <f>ROUND(100 * COUNTIFS('SAMLET_alle regnskab'!B:B, A23, 'SAMLET_alle regnskab'!F:F, "&gt;0") / COUNTIF('SAMLET_alle regnskab'!B:B, A23), 1)</f>
        <v>40</v>
      </c>
    </row>
    <row r="24">
      <c r="A24" s="118">
        <f t="shared" si="1"/>
        <v>23</v>
      </c>
      <c r="B24" s="28">
        <f>ROUND(100 * COUNTIFS('SAMLET_alle regnskab'!B:B, A24, 'SAMLET_alle regnskab'!C:C, "&gt;0") / COUNTIF('SAMLET_alle regnskab'!B:B, A24), 1)</f>
        <v>64.3</v>
      </c>
      <c r="C24" s="28">
        <f>ROUND(100 * COUNTIFS('SAMLET_alle regnskab'!B:B, A24, 'SAMLET_alle regnskab'!D:D, "&gt;0") / COUNTIF('SAMLET_alle regnskab'!B:B, A24), 1)</f>
        <v>28.6</v>
      </c>
      <c r="D24" s="28">
        <f>ROUND(100 * COUNTIFS('SAMLET_alle regnskab'!B:B, A24, 'SAMLET_alle regnskab'!E:E, "&gt;0") / COUNTIF('SAMLET_alle regnskab'!B:B, A24), 1)</f>
        <v>50</v>
      </c>
      <c r="E24" s="28">
        <f>ROUND(100 * COUNTIFS('SAMLET_alle regnskab'!B:B, A24, 'SAMLET_alle regnskab'!F:F, "&gt;0") / COUNTIF('SAMLET_alle regnskab'!B:B, A24), 1)</f>
        <v>35.7</v>
      </c>
    </row>
    <row r="25">
      <c r="A25" s="118">
        <f t="shared" si="1"/>
        <v>24</v>
      </c>
      <c r="B25" s="28">
        <f>ROUND(100 * COUNTIFS('SAMLET_alle regnskab'!B:B, A25, 'SAMLET_alle regnskab'!C:C, "&gt;0") / COUNTIF('SAMLET_alle regnskab'!B:B, A25), 1)</f>
        <v>64.3</v>
      </c>
      <c r="C25" s="28">
        <f>ROUND(100 * COUNTIFS('SAMLET_alle regnskab'!B:B, A25, 'SAMLET_alle regnskab'!D:D, "&gt;0") / COUNTIF('SAMLET_alle regnskab'!B:B, A25), 1)</f>
        <v>35.7</v>
      </c>
      <c r="D25" s="28">
        <f>ROUND(100 * COUNTIFS('SAMLET_alle regnskab'!B:B, A25, 'SAMLET_alle regnskab'!E:E, "&gt;0") / COUNTIF('SAMLET_alle regnskab'!B:B, A25), 1)</f>
        <v>50</v>
      </c>
      <c r="E25" s="28">
        <f>ROUND(100 * COUNTIFS('SAMLET_alle regnskab'!B:B, A25, 'SAMLET_alle regnskab'!F:F, "&gt;0") / COUNTIF('SAMLET_alle regnskab'!B:B, A25), 1)</f>
        <v>35.7</v>
      </c>
    </row>
    <row r="26">
      <c r="A26" s="118">
        <f t="shared" si="1"/>
        <v>25</v>
      </c>
      <c r="B26" s="28">
        <f>ROUND(100 * COUNTIFS('SAMLET_alle regnskab'!B:B, A26, 'SAMLET_alle regnskab'!C:C, "&gt;0") / COUNTIF('SAMLET_alle regnskab'!B:B, A26), 1)</f>
        <v>64.3</v>
      </c>
      <c r="C26" s="28">
        <f>ROUND(100 * COUNTIFS('SAMLET_alle regnskab'!B:B, A26, 'SAMLET_alle regnskab'!D:D, "&gt;0") / COUNTIF('SAMLET_alle regnskab'!B:B, A26), 1)</f>
        <v>28.6</v>
      </c>
      <c r="D26" s="28">
        <f>ROUND(100 * COUNTIFS('SAMLET_alle regnskab'!B:B, A26, 'SAMLET_alle regnskab'!E:E, "&gt;0") / COUNTIF('SAMLET_alle regnskab'!B:B, A26), 1)</f>
        <v>50</v>
      </c>
      <c r="E26" s="28">
        <f>ROUND(100 * COUNTIFS('SAMLET_alle regnskab'!B:B, A26, 'SAMLET_alle regnskab'!F:F, "&gt;0") / COUNTIF('SAMLET_alle regnskab'!B:B, A26), 1)</f>
        <v>28.6</v>
      </c>
    </row>
    <row r="27">
      <c r="A27" s="118">
        <f t="shared" si="1"/>
        <v>26</v>
      </c>
      <c r="B27" s="28">
        <f>ROUND(100 * COUNTIFS('SAMLET_alle regnskab'!B:B, A27, 'SAMLET_alle regnskab'!C:C, "&gt;0") / COUNTIF('SAMLET_alle regnskab'!B:B, A27), 1)</f>
        <v>61.5</v>
      </c>
      <c r="C27" s="28">
        <f>ROUND(100 * COUNTIFS('SAMLET_alle regnskab'!B:B, A27, 'SAMLET_alle regnskab'!D:D, "&gt;0") / COUNTIF('SAMLET_alle regnskab'!B:B, A27), 1)</f>
        <v>38.5</v>
      </c>
      <c r="D27" s="28">
        <f>ROUND(100 * COUNTIFS('SAMLET_alle regnskab'!B:B, A27, 'SAMLET_alle regnskab'!E:E, "&gt;0") / COUNTIF('SAMLET_alle regnskab'!B:B, A27), 1)</f>
        <v>46.2</v>
      </c>
      <c r="E27" s="28">
        <f>ROUND(100 * COUNTIFS('SAMLET_alle regnskab'!B:B, A27, 'SAMLET_alle regnskab'!F:F, "&gt;0") / COUNTIF('SAMLET_alle regnskab'!B:B, A27), 1)</f>
        <v>30.8</v>
      </c>
    </row>
    <row r="28">
      <c r="A28" s="118">
        <f t="shared" si="1"/>
        <v>27</v>
      </c>
      <c r="B28" s="28">
        <f>ROUND(100 * COUNTIFS('SAMLET_alle regnskab'!B:B, A28, 'SAMLET_alle regnskab'!C:C, "&gt;0") / COUNTIF('SAMLET_alle regnskab'!B:B, A28), 1)</f>
        <v>58.3</v>
      </c>
      <c r="C28" s="28">
        <f>ROUND(100 * COUNTIFS('SAMLET_alle regnskab'!B:B, A28, 'SAMLET_alle regnskab'!D:D, "&gt;0") / COUNTIF('SAMLET_alle regnskab'!B:B, A28), 1)</f>
        <v>33.3</v>
      </c>
      <c r="D28" s="28">
        <f>ROUND(100 * COUNTIFS('SAMLET_alle regnskab'!B:B, A28, 'SAMLET_alle regnskab'!E:E, "&gt;0") / COUNTIF('SAMLET_alle regnskab'!B:B, A28), 1)</f>
        <v>50</v>
      </c>
      <c r="E28" s="28">
        <f>ROUND(100 * COUNTIFS('SAMLET_alle regnskab'!B:B, A28, 'SAMLET_alle regnskab'!F:F, "&gt;0") / COUNTIF('SAMLET_alle regnskab'!B:B, A28), 1)</f>
        <v>33.3</v>
      </c>
    </row>
    <row r="29">
      <c r="A29" s="118">
        <f t="shared" si="1"/>
        <v>28</v>
      </c>
      <c r="B29" s="28">
        <f>ROUND(100 * COUNTIFS('SAMLET_alle regnskab'!B:B, A29, 'SAMLET_alle regnskab'!C:C, "&gt;0") / COUNTIF('SAMLET_alle regnskab'!B:B, A29), 1)</f>
        <v>80</v>
      </c>
      <c r="C29" s="28">
        <f>ROUND(100 * COUNTIFS('SAMLET_alle regnskab'!B:B, A29, 'SAMLET_alle regnskab'!D:D, "&gt;0") / COUNTIF('SAMLET_alle regnskab'!B:B, A29), 1)</f>
        <v>20</v>
      </c>
      <c r="D29" s="28">
        <f>ROUND(100 * COUNTIFS('SAMLET_alle regnskab'!B:B, A29, 'SAMLET_alle regnskab'!E:E, "&gt;0") / COUNTIF('SAMLET_alle regnskab'!B:B, A29), 1)</f>
        <v>40</v>
      </c>
      <c r="E29" s="28">
        <f>ROUND(100 * COUNTIFS('SAMLET_alle regnskab'!B:B, A29, 'SAMLET_alle regnskab'!F:F, "&gt;0") / COUNTIF('SAMLET_alle regnskab'!B:B, A29), 1)</f>
        <v>30</v>
      </c>
    </row>
    <row r="30">
      <c r="A30" s="118">
        <f t="shared" si="1"/>
        <v>29</v>
      </c>
      <c r="B30" s="28">
        <f>ROUND(100 * COUNTIFS('SAMLET_alle regnskab'!B:B, A30, 'SAMLET_alle regnskab'!C:C, "&gt;0") / COUNTIF('SAMLET_alle regnskab'!B:B, A30), 1)</f>
        <v>80</v>
      </c>
      <c r="C30" s="28">
        <f>ROUND(100 * COUNTIFS('SAMLET_alle regnskab'!B:B, A30, 'SAMLET_alle regnskab'!D:D, "&gt;0") / COUNTIF('SAMLET_alle regnskab'!B:B, A30), 1)</f>
        <v>10</v>
      </c>
      <c r="D30" s="28">
        <f>ROUND(100 * COUNTIFS('SAMLET_alle regnskab'!B:B, A30, 'SAMLET_alle regnskab'!E:E, "&gt;0") / COUNTIF('SAMLET_alle regnskab'!B:B, A30), 1)</f>
        <v>40</v>
      </c>
      <c r="E30" s="28">
        <f>ROUND(100 * COUNTIFS('SAMLET_alle regnskab'!B:B, A30, 'SAMLET_alle regnskab'!F:F, "&gt;0") / COUNTIF('SAMLET_alle regnskab'!B:B, A30), 1)</f>
        <v>30</v>
      </c>
    </row>
    <row r="31">
      <c r="A31" s="118">
        <f t="shared" si="1"/>
        <v>30</v>
      </c>
      <c r="B31" s="28">
        <f>ROUND(100 * COUNTIFS('SAMLET_alle regnskab'!B:B, A31, 'SAMLET_alle regnskab'!C:C, "&gt;0") / COUNTIF('SAMLET_alle regnskab'!B:B, A31), 1)</f>
        <v>77.8</v>
      </c>
      <c r="C31" s="28">
        <f>ROUND(100 * COUNTIFS('SAMLET_alle regnskab'!B:B, A31, 'SAMLET_alle regnskab'!D:D, "&gt;0") / COUNTIF('SAMLET_alle regnskab'!B:B, A31), 1)</f>
        <v>11.1</v>
      </c>
      <c r="D31" s="28">
        <f>ROUND(100 * COUNTIFS('SAMLET_alle regnskab'!B:B, A31, 'SAMLET_alle regnskab'!E:E, "&gt;0") / COUNTIF('SAMLET_alle regnskab'!B:B, A31), 1)</f>
        <v>44.4</v>
      </c>
      <c r="E31" s="28">
        <f>ROUND(100 * COUNTIFS('SAMLET_alle regnskab'!B:B, A31, 'SAMLET_alle regnskab'!F:F, "&gt;0") / COUNTIF('SAMLET_alle regnskab'!B:B, A31), 1)</f>
        <v>33.3</v>
      </c>
    </row>
    <row r="32">
      <c r="A32" s="118">
        <f t="shared" si="1"/>
        <v>31</v>
      </c>
      <c r="B32" s="28">
        <f>ROUND(100 * COUNTIFS('SAMLET_alle regnskab'!B:B, A32, 'SAMLET_alle regnskab'!C:C, "&gt;0") / COUNTIF('SAMLET_alle regnskab'!B:B, A32), 1)</f>
        <v>87.5</v>
      </c>
      <c r="C32" s="28">
        <f>ROUND(100 * COUNTIFS('SAMLET_alle regnskab'!B:B, A32, 'SAMLET_alle regnskab'!D:D, "&gt;0") / COUNTIF('SAMLET_alle regnskab'!B:B, A32), 1)</f>
        <v>12.5</v>
      </c>
      <c r="D32" s="28">
        <f>ROUND(100 * COUNTIFS('SAMLET_alle regnskab'!B:B, A32, 'SAMLET_alle regnskab'!E:E, "&gt;0") / COUNTIF('SAMLET_alle regnskab'!B:B, A32), 1)</f>
        <v>50</v>
      </c>
      <c r="E32" s="28">
        <f>ROUND(100 * COUNTIFS('SAMLET_alle regnskab'!B:B, A32, 'SAMLET_alle regnskab'!F:F, "&gt;0") / COUNTIF('SAMLET_alle regnskab'!B:B, A32), 1)</f>
        <v>37.5</v>
      </c>
    </row>
    <row r="33">
      <c r="A33" s="118">
        <f t="shared" si="1"/>
        <v>32</v>
      </c>
      <c r="B33" s="28">
        <f>ROUND(100 * COUNTIFS('SAMLET_alle regnskab'!B:B, A33, 'SAMLET_alle regnskab'!C:C, "&gt;0") / COUNTIF('SAMLET_alle regnskab'!B:B, A33), 1)</f>
        <v>85.7</v>
      </c>
      <c r="C33" s="28">
        <f>ROUND(100 * COUNTIFS('SAMLET_alle regnskab'!B:B, A33, 'SAMLET_alle regnskab'!D:D, "&gt;0") / COUNTIF('SAMLET_alle regnskab'!B:B, A33), 1)</f>
        <v>14.3</v>
      </c>
      <c r="D33" s="28">
        <f>ROUND(100 * COUNTIFS('SAMLET_alle regnskab'!B:B, A33, 'SAMLET_alle regnskab'!E:E, "&gt;0") / COUNTIF('SAMLET_alle regnskab'!B:B, A33), 1)</f>
        <v>42.9</v>
      </c>
      <c r="E33" s="28">
        <f>ROUND(100 * COUNTIFS('SAMLET_alle regnskab'!B:B, A33, 'SAMLET_alle regnskab'!F:F, "&gt;0") / COUNTIF('SAMLET_alle regnskab'!B:B, A33), 1)</f>
        <v>42.9</v>
      </c>
    </row>
    <row r="34">
      <c r="A34" s="118">
        <f t="shared" si="1"/>
        <v>33</v>
      </c>
      <c r="B34" s="28">
        <f>ROUND(100 * COUNTIFS('SAMLET_alle regnskab'!B:B, A34, 'SAMLET_alle regnskab'!C:C, "&gt;0") / COUNTIF('SAMLET_alle regnskab'!B:B, A34), 1)</f>
        <v>66.7</v>
      </c>
      <c r="C34" s="28">
        <f>ROUND(100 * COUNTIFS('SAMLET_alle regnskab'!B:B, A34, 'SAMLET_alle regnskab'!D:D, "&gt;0") / COUNTIF('SAMLET_alle regnskab'!B:B, A34), 1)</f>
        <v>16.7</v>
      </c>
      <c r="D34" s="28">
        <f>ROUND(100 * COUNTIFS('SAMLET_alle regnskab'!B:B, A34, 'SAMLET_alle regnskab'!E:E, "&gt;0") / COUNTIF('SAMLET_alle regnskab'!B:B, A34), 1)</f>
        <v>33.3</v>
      </c>
      <c r="E34" s="28">
        <f>ROUND(100 * COUNTIFS('SAMLET_alle regnskab'!B:B, A34, 'SAMLET_alle regnskab'!F:F, "&gt;0") / COUNTIF('SAMLET_alle regnskab'!B:B, A34), 1)</f>
        <v>33.3</v>
      </c>
    </row>
    <row r="35">
      <c r="A35" s="118">
        <f t="shared" si="1"/>
        <v>34</v>
      </c>
      <c r="B35" s="28">
        <f>ROUND(100 * COUNTIFS('SAMLET_alle regnskab'!B:B, A35, 'SAMLET_alle regnskab'!C:C, "&gt;0") / COUNTIF('SAMLET_alle regnskab'!B:B, A35), 1)</f>
        <v>66.7</v>
      </c>
      <c r="C35" s="28">
        <f>ROUND(100 * COUNTIFS('SAMLET_alle regnskab'!B:B, A35, 'SAMLET_alle regnskab'!D:D, "&gt;0") / COUNTIF('SAMLET_alle regnskab'!B:B, A35), 1)</f>
        <v>16.7</v>
      </c>
      <c r="D35" s="28">
        <f>ROUND(100 * COUNTIFS('SAMLET_alle regnskab'!B:B, A35, 'SAMLET_alle regnskab'!E:E, "&gt;0") / COUNTIF('SAMLET_alle regnskab'!B:B, A35), 1)</f>
        <v>50</v>
      </c>
      <c r="E35" s="28">
        <f>ROUND(100 * COUNTIFS('SAMLET_alle regnskab'!B:B, A35, 'SAMLET_alle regnskab'!F:F, "&gt;0") / COUNTIF('SAMLET_alle regnskab'!B:B, A35), 1)</f>
        <v>50</v>
      </c>
    </row>
    <row r="36">
      <c r="A36" s="118">
        <f t="shared" si="1"/>
        <v>35</v>
      </c>
      <c r="B36" s="28">
        <f>ROUND(100 * COUNTIFS('SAMLET_alle regnskab'!B:B, A36, 'SAMLET_alle regnskab'!C:C, "&gt;0") / COUNTIF('SAMLET_alle regnskab'!B:B, A36), 1)</f>
        <v>50</v>
      </c>
      <c r="C36" s="28">
        <f>ROUND(100 * COUNTIFS('SAMLET_alle regnskab'!B:B, A36, 'SAMLET_alle regnskab'!D:D, "&gt;0") / COUNTIF('SAMLET_alle regnskab'!B:B, A36), 1)</f>
        <v>16.7</v>
      </c>
      <c r="D36" s="28">
        <f>ROUND(100 * COUNTIFS('SAMLET_alle regnskab'!B:B, A36, 'SAMLET_alle regnskab'!E:E, "&gt;0") / COUNTIF('SAMLET_alle regnskab'!B:B, A36), 1)</f>
        <v>33.3</v>
      </c>
      <c r="E36" s="28">
        <f>ROUND(100 * COUNTIFS('SAMLET_alle regnskab'!B:B, A36, 'SAMLET_alle regnskab'!F:F, "&gt;0") / COUNTIF('SAMLET_alle regnskab'!B:B, A36), 1)</f>
        <v>50</v>
      </c>
    </row>
    <row r="37">
      <c r="A37" s="118">
        <f t="shared" si="1"/>
        <v>36</v>
      </c>
      <c r="B37" s="28">
        <f>ROUND(100 * COUNTIFS('SAMLET_alle regnskab'!B:B, A37, 'SAMLET_alle regnskab'!C:C, "&gt;0") / COUNTIF('SAMLET_alle regnskab'!B:B, A37), 1)</f>
        <v>60</v>
      </c>
      <c r="C37" s="28">
        <f>ROUND(100 * COUNTIFS('SAMLET_alle regnskab'!B:B, A37, 'SAMLET_alle regnskab'!D:D, "&gt;0") / COUNTIF('SAMLET_alle regnskab'!B:B, A37), 1)</f>
        <v>20</v>
      </c>
      <c r="D37" s="28">
        <f>ROUND(100 * COUNTIFS('SAMLET_alle regnskab'!B:B, A37, 'SAMLET_alle regnskab'!E:E, "&gt;0") / COUNTIF('SAMLET_alle regnskab'!B:B, A37), 1)</f>
        <v>60</v>
      </c>
      <c r="E37" s="28">
        <f>ROUND(100 * COUNTIFS('SAMLET_alle regnskab'!B:B, A37, 'SAMLET_alle regnskab'!F:F, "&gt;0") / COUNTIF('SAMLET_alle regnskab'!B:B, A37), 1)</f>
        <v>40</v>
      </c>
    </row>
    <row r="38">
      <c r="A38" s="118">
        <f t="shared" si="1"/>
        <v>37</v>
      </c>
      <c r="B38" s="28">
        <f>ROUND(100 * COUNTIFS('SAMLET_alle regnskab'!B:B, A38, 'SAMLET_alle regnskab'!C:C, "&gt;0") / COUNTIF('SAMLET_alle regnskab'!B:B, A38), 1)</f>
        <v>60</v>
      </c>
      <c r="C38" s="28">
        <f>ROUND(100 * COUNTIFS('SAMLET_alle regnskab'!B:B, A38, 'SAMLET_alle regnskab'!D:D, "&gt;0") / COUNTIF('SAMLET_alle regnskab'!B:B, A38), 1)</f>
        <v>20</v>
      </c>
      <c r="D38" s="28">
        <f>ROUND(100 * COUNTIFS('SAMLET_alle regnskab'!B:B, A38, 'SAMLET_alle regnskab'!E:E, "&gt;0") / COUNTIF('SAMLET_alle regnskab'!B:B, A38), 1)</f>
        <v>60</v>
      </c>
      <c r="E38" s="28">
        <f>ROUND(100 * COUNTIFS('SAMLET_alle regnskab'!B:B, A38, 'SAMLET_alle regnskab'!F:F, "&gt;0") / COUNTIF('SAMLET_alle regnskab'!B:B, A38), 1)</f>
        <v>40</v>
      </c>
    </row>
    <row r="39">
      <c r="A39" s="118">
        <f t="shared" si="1"/>
        <v>38</v>
      </c>
      <c r="B39" s="28">
        <f>ROUND(100 * COUNTIFS('SAMLET_alle regnskab'!B:B, A39, 'SAMLET_alle regnskab'!C:C, "&gt;0") / COUNTIF('SAMLET_alle regnskab'!B:B, A39), 1)</f>
        <v>60</v>
      </c>
      <c r="C39" s="28">
        <f>ROUND(100 * COUNTIFS('SAMLET_alle regnskab'!B:B, A39, 'SAMLET_alle regnskab'!D:D, "&gt;0") / COUNTIF('SAMLET_alle regnskab'!B:B, A39), 1)</f>
        <v>20</v>
      </c>
      <c r="D39" s="28">
        <f>ROUND(100 * COUNTIFS('SAMLET_alle regnskab'!B:B, A39, 'SAMLET_alle regnskab'!E:E, "&gt;0") / COUNTIF('SAMLET_alle regnskab'!B:B, A39), 1)</f>
        <v>40</v>
      </c>
      <c r="E39" s="28">
        <f>ROUND(100 * COUNTIFS('SAMLET_alle regnskab'!B:B, A39, 'SAMLET_alle regnskab'!F:F, "&gt;0") / COUNTIF('SAMLET_alle regnskab'!B:B, A39), 1)</f>
        <v>40</v>
      </c>
    </row>
    <row r="40">
      <c r="A40" s="118">
        <f t="shared" si="1"/>
        <v>39</v>
      </c>
      <c r="B40" s="28">
        <f>ROUND(100 * COUNTIFS('SAMLET_alle regnskab'!B:B, A40, 'SAMLET_alle regnskab'!C:C, "&gt;0") / COUNTIF('SAMLET_alle regnskab'!B:B, A40), 1)</f>
        <v>40</v>
      </c>
      <c r="C40" s="28">
        <f>ROUND(100 * COUNTIFS('SAMLET_alle regnskab'!B:B, A40, 'SAMLET_alle regnskab'!D:D, "&gt;0") / COUNTIF('SAMLET_alle regnskab'!B:B, A40), 1)</f>
        <v>0</v>
      </c>
      <c r="D40" s="28">
        <f>ROUND(100 * COUNTIFS('SAMLET_alle regnskab'!B:B, A40, 'SAMLET_alle regnskab'!E:E, "&gt;0") / COUNTIF('SAMLET_alle regnskab'!B:B, A40), 1)</f>
        <v>60</v>
      </c>
      <c r="E40" s="28">
        <f>ROUND(100 * COUNTIFS('SAMLET_alle regnskab'!B:B, A40, 'SAMLET_alle regnskab'!F:F, "&gt;0") / COUNTIF('SAMLET_alle regnskab'!B:B, A40), 1)</f>
        <v>40</v>
      </c>
    </row>
    <row r="41">
      <c r="A41" s="118">
        <f t="shared" si="1"/>
        <v>40</v>
      </c>
      <c r="B41" s="28">
        <f>ROUND(100 * COUNTIFS('SAMLET_alle regnskab'!B:B, A41, 'SAMLET_alle regnskab'!C:C, "&gt;0") / COUNTIF('SAMLET_alle regnskab'!B:B, A41), 1)</f>
        <v>50</v>
      </c>
      <c r="C41" s="28">
        <f>ROUND(100 * COUNTIFS('SAMLET_alle regnskab'!B:B, A41, 'SAMLET_alle regnskab'!D:D, "&gt;0") / COUNTIF('SAMLET_alle regnskab'!B:B, A41), 1)</f>
        <v>25</v>
      </c>
      <c r="D41" s="28">
        <f>ROUND(100 * COUNTIFS('SAMLET_alle regnskab'!B:B, A41, 'SAMLET_alle regnskab'!E:E, "&gt;0") / COUNTIF('SAMLET_alle regnskab'!B:B, A41), 1)</f>
        <v>50</v>
      </c>
      <c r="E41" s="28">
        <f>ROUND(100 * COUNTIFS('SAMLET_alle regnskab'!B:B, A41, 'SAMLET_alle regnskab'!F:F, "&gt;0") / COUNTIF('SAMLET_alle regnskab'!B:B, A41), 1)</f>
        <v>25</v>
      </c>
    </row>
    <row r="42">
      <c r="A42" s="118">
        <f t="shared" si="1"/>
        <v>41</v>
      </c>
      <c r="B42" s="28">
        <f>ROUND(100 * COUNTIFS('SAMLET_alle regnskab'!B:B, A42, 'SAMLET_alle regnskab'!C:C, "&gt;0") / COUNTIF('SAMLET_alle regnskab'!B:B, A42), 1)</f>
        <v>0</v>
      </c>
      <c r="C42" s="28">
        <f>ROUND(100 * COUNTIFS('SAMLET_alle regnskab'!B:B, A42, 'SAMLET_alle regnskab'!D:D, "&gt;0") / COUNTIF('SAMLET_alle regnskab'!B:B, A42), 1)</f>
        <v>0</v>
      </c>
      <c r="D42" s="28">
        <f>ROUND(100 * COUNTIFS('SAMLET_alle regnskab'!B:B, A42, 'SAMLET_alle regnskab'!E:E, "&gt;0") / COUNTIF('SAMLET_alle regnskab'!B:B, A42), 1)</f>
        <v>66.7</v>
      </c>
      <c r="E42" s="28">
        <f>ROUND(100 * COUNTIFS('SAMLET_alle regnskab'!B:B, A42, 'SAMLET_alle regnskab'!F:F, "&gt;0") / COUNTIF('SAMLET_alle regnskab'!B:B, A42), 1)</f>
        <v>100</v>
      </c>
    </row>
    <row r="43">
      <c r="A43" s="118">
        <f t="shared" si="1"/>
        <v>42</v>
      </c>
      <c r="B43" s="28">
        <f>ROUND(100 * COUNTIFS('SAMLET_alle regnskab'!B:B, A43, 'SAMLET_alle regnskab'!C:C, "&gt;0") / COUNTIF('SAMLET_alle regnskab'!B:B, A43), 1)</f>
        <v>50</v>
      </c>
      <c r="C43" s="28">
        <f>ROUND(100 * COUNTIFS('SAMLET_alle regnskab'!B:B, A43, 'SAMLET_alle regnskab'!D:D, "&gt;0") / COUNTIF('SAMLET_alle regnskab'!B:B, A43), 1)</f>
        <v>0</v>
      </c>
      <c r="D43" s="28">
        <f>ROUND(100 * COUNTIFS('SAMLET_alle regnskab'!B:B, A43, 'SAMLET_alle regnskab'!E:E, "&gt;0") / COUNTIF('SAMLET_alle regnskab'!B:B, A43), 1)</f>
        <v>50</v>
      </c>
      <c r="E43" s="28">
        <f>ROUND(100 * COUNTIFS('SAMLET_alle regnskab'!B:B, A43, 'SAMLET_alle regnskab'!F:F, "&gt;0") / COUNTIF('SAMLET_alle regnskab'!B:B, A43), 1)</f>
        <v>100</v>
      </c>
    </row>
    <row r="44">
      <c r="A44" s="118">
        <f t="shared" si="1"/>
        <v>43</v>
      </c>
      <c r="B44" s="28">
        <f>ROUND(100 * COUNTIFS('SAMLET_alle regnskab'!B:B, A44, 'SAMLET_alle regnskab'!C:C, "&gt;0") / COUNTIF('SAMLET_alle regnskab'!B:B, A44), 1)</f>
        <v>50</v>
      </c>
      <c r="C44" s="28">
        <f>ROUND(100 * COUNTIFS('SAMLET_alle regnskab'!B:B, A44, 'SAMLET_alle regnskab'!D:D, "&gt;0") / COUNTIF('SAMLET_alle regnskab'!B:B, A44), 1)</f>
        <v>0</v>
      </c>
      <c r="D44" s="28">
        <f>ROUND(100 * COUNTIFS('SAMLET_alle regnskab'!B:B, A44, 'SAMLET_alle regnskab'!E:E, "&gt;0") / COUNTIF('SAMLET_alle regnskab'!B:B, A44), 1)</f>
        <v>50</v>
      </c>
      <c r="E44" s="28">
        <f>ROUND(100 * COUNTIFS('SAMLET_alle regnskab'!B:B, A44, 'SAMLET_alle regnskab'!F:F, "&gt;0") / COUNTIF('SAMLET_alle regnskab'!B:B, A44), 1)</f>
        <v>100</v>
      </c>
    </row>
    <row r="45">
      <c r="A45" s="118">
        <f t="shared" si="1"/>
        <v>44</v>
      </c>
      <c r="B45" s="28">
        <f>ROUND(100 * COUNTIFS('SAMLET_alle regnskab'!B:B, A45, 'SAMLET_alle regnskab'!C:C, "&gt;0") / COUNTIF('SAMLET_alle regnskab'!B:B, A45), 1)</f>
        <v>50</v>
      </c>
      <c r="C45" s="28">
        <f>ROUND(100 * COUNTIFS('SAMLET_alle regnskab'!B:B, A45, 'SAMLET_alle regnskab'!D:D, "&gt;0") / COUNTIF('SAMLET_alle regnskab'!B:B, A45), 1)</f>
        <v>0</v>
      </c>
      <c r="D45" s="28">
        <f>ROUND(100 * COUNTIFS('SAMLET_alle regnskab'!B:B, A45, 'SAMLET_alle regnskab'!E:E, "&gt;0") / COUNTIF('SAMLET_alle regnskab'!B:B, A45), 1)</f>
        <v>50</v>
      </c>
      <c r="E45" s="28">
        <f>ROUND(100 * COUNTIFS('SAMLET_alle regnskab'!B:B, A45, 'SAMLET_alle regnskab'!F:F, "&gt;0") / COUNTIF('SAMLET_alle regnskab'!B:B, A45), 1)</f>
        <v>100</v>
      </c>
    </row>
    <row r="46">
      <c r="A46" s="118">
        <f t="shared" si="1"/>
        <v>45</v>
      </c>
      <c r="B46" s="28">
        <f>ROUND(100 * COUNTIFS('SAMLET_alle regnskab'!B:B, A46, 'SAMLET_alle regnskab'!C:C, "&gt;0") / COUNTIF('SAMLET_alle regnskab'!B:B, A46), 1)</f>
        <v>50</v>
      </c>
      <c r="C46" s="28">
        <f>ROUND(100 * COUNTIFS('SAMLET_alle regnskab'!B:B, A46, 'SAMLET_alle regnskab'!D:D, "&gt;0") / COUNTIF('SAMLET_alle regnskab'!B:B, A46), 1)</f>
        <v>0</v>
      </c>
      <c r="D46" s="28">
        <f>ROUND(100 * COUNTIFS('SAMLET_alle regnskab'!B:B, A46, 'SAMLET_alle regnskab'!E:E, "&gt;0") / COUNTIF('SAMLET_alle regnskab'!B:B, A46), 1)</f>
        <v>50</v>
      </c>
      <c r="E46" s="28">
        <f>ROUND(100 * COUNTIFS('SAMLET_alle regnskab'!B:B, A46, 'SAMLET_alle regnskab'!F:F, "&gt;0") / COUNTIF('SAMLET_alle regnskab'!B:B, A46), 1)</f>
        <v>100</v>
      </c>
    </row>
    <row r="47">
      <c r="A47" s="118">
        <f t="shared" si="1"/>
        <v>46</v>
      </c>
      <c r="B47" s="28">
        <f>ROUND(100 * COUNTIFS('SAMLET_alle regnskab'!B:B, A47, 'SAMLET_alle regnskab'!C:C, "&gt;0") / COUNTIF('SAMLET_alle regnskab'!B:B, A47), 1)</f>
        <v>50</v>
      </c>
      <c r="C47" s="28">
        <f>ROUND(100 * COUNTIFS('SAMLET_alle regnskab'!B:B, A47, 'SAMLET_alle regnskab'!D:D, "&gt;0") / COUNTIF('SAMLET_alle regnskab'!B:B, A47), 1)</f>
        <v>0</v>
      </c>
      <c r="D47" s="28">
        <f>ROUND(100 * COUNTIFS('SAMLET_alle regnskab'!B:B, A47, 'SAMLET_alle regnskab'!E:E, "&gt;0") / COUNTIF('SAMLET_alle regnskab'!B:B, A47), 1)</f>
        <v>50</v>
      </c>
      <c r="E47" s="28">
        <f>ROUND(100 * COUNTIFS('SAMLET_alle regnskab'!B:B, A47, 'SAMLET_alle regnskab'!F:F, "&gt;0") / COUNTIF('SAMLET_alle regnskab'!B:B, A47), 1)</f>
        <v>100</v>
      </c>
    </row>
    <row r="48">
      <c r="A48" s="118">
        <f t="shared" si="1"/>
        <v>47</v>
      </c>
      <c r="B48" s="28">
        <f>ROUND(100 * COUNTIFS('SAMLET_alle regnskab'!B:B, A48, 'SAMLET_alle regnskab'!C:C, "&gt;0") / COUNTIF('SAMLET_alle regnskab'!B:B, A48), 1)</f>
        <v>50</v>
      </c>
      <c r="C48" s="28">
        <f>ROUND(100 * COUNTIFS('SAMLET_alle regnskab'!B:B, A48, 'SAMLET_alle regnskab'!D:D, "&gt;0") / COUNTIF('SAMLET_alle regnskab'!B:B, A48), 1)</f>
        <v>0</v>
      </c>
      <c r="D48" s="28">
        <f>ROUND(100 * COUNTIFS('SAMLET_alle regnskab'!B:B, A48, 'SAMLET_alle regnskab'!E:E, "&gt;0") / COUNTIF('SAMLET_alle regnskab'!B:B, A48), 1)</f>
        <v>50</v>
      </c>
      <c r="E48" s="28">
        <f>ROUND(100 * COUNTIFS('SAMLET_alle regnskab'!B:B, A48, 'SAMLET_alle regnskab'!F:F, "&gt;0") / COUNTIF('SAMLET_alle regnskab'!B:B, A48), 1)</f>
        <v>100</v>
      </c>
    </row>
    <row r="49">
      <c r="A49" s="118">
        <f t="shared" si="1"/>
        <v>48</v>
      </c>
      <c r="B49" s="28">
        <f>ROUND(100 * COUNTIFS('SAMLET_alle regnskab'!B:B, A49, 'SAMLET_alle regnskab'!C:C, "&gt;0") / COUNTIF('SAMLET_alle regnskab'!B:B, A49), 1)</f>
        <v>50</v>
      </c>
      <c r="C49" s="28">
        <f>ROUND(100 * COUNTIFS('SAMLET_alle regnskab'!B:B, A49, 'SAMLET_alle regnskab'!D:D, "&gt;0") / COUNTIF('SAMLET_alle regnskab'!B:B, A49), 1)</f>
        <v>0</v>
      </c>
      <c r="D49" s="28">
        <f>ROUND(100 * COUNTIFS('SAMLET_alle regnskab'!B:B, A49, 'SAMLET_alle regnskab'!E:E, "&gt;0") / COUNTIF('SAMLET_alle regnskab'!B:B, A49), 1)</f>
        <v>50</v>
      </c>
      <c r="E49" s="28">
        <f>ROUND(100 * COUNTIFS('SAMLET_alle regnskab'!B:B, A49, 'SAMLET_alle regnskab'!F:F, "&gt;0") / COUNTIF('SAMLET_alle regnskab'!B:B, A49), 1)</f>
        <v>100</v>
      </c>
    </row>
    <row r="50">
      <c r="A50" s="118">
        <f t="shared" si="1"/>
        <v>49</v>
      </c>
      <c r="B50" s="28">
        <f>ROUND(100 * COUNTIFS('SAMLET_alle regnskab'!B:B, A50, 'SAMLET_alle regnskab'!C:C, "&gt;0") / COUNTIF('SAMLET_alle regnskab'!B:B, A50), 1)</f>
        <v>50</v>
      </c>
      <c r="C50" s="28">
        <f>ROUND(100 * COUNTIFS('SAMLET_alle regnskab'!B:B, A50, 'SAMLET_alle regnskab'!D:D, "&gt;0") / COUNTIF('SAMLET_alle regnskab'!B:B, A50), 1)</f>
        <v>0</v>
      </c>
      <c r="D50" s="28">
        <f>ROUND(100 * COUNTIFS('SAMLET_alle regnskab'!B:B, A50, 'SAMLET_alle regnskab'!E:E, "&gt;0") / COUNTIF('SAMLET_alle regnskab'!B:B, A50), 1)</f>
        <v>50</v>
      </c>
      <c r="E50" s="28">
        <f>ROUND(100 * COUNTIFS('SAMLET_alle regnskab'!B:B, A50, 'SAMLET_alle regnskab'!F:F, "&gt;0") / COUNTIF('SAMLET_alle regnskab'!B:B, A50), 1)</f>
        <v>100</v>
      </c>
    </row>
    <row r="51">
      <c r="A51" s="118">
        <f t="shared" si="1"/>
        <v>50</v>
      </c>
      <c r="B51" s="28">
        <f>ROUND(100 * COUNTIFS('SAMLET_alle regnskab'!B:B, A51, 'SAMLET_alle regnskab'!C:C, "&gt;0") / COUNTIF('SAMLET_alle regnskab'!B:B, A51), 1)</f>
        <v>66.7</v>
      </c>
      <c r="C51" s="28">
        <f>ROUND(100 * COUNTIFS('SAMLET_alle regnskab'!B:B, A51, 'SAMLET_alle regnskab'!D:D, "&gt;0") / COUNTIF('SAMLET_alle regnskab'!B:B, A51), 1)</f>
        <v>0</v>
      </c>
      <c r="D51" s="28">
        <f>ROUND(100 * COUNTIFS('SAMLET_alle regnskab'!B:B, A51, 'SAMLET_alle regnskab'!E:E, "&gt;0") / COUNTIF('SAMLET_alle regnskab'!B:B, A51), 1)</f>
        <v>66.7</v>
      </c>
      <c r="E51" s="28">
        <f>ROUND(100 * COUNTIFS('SAMLET_alle regnskab'!B:B, A51, 'SAMLET_alle regnskab'!F:F, "&gt;0") / COUNTIF('SAMLET_alle regnskab'!B:B, A51), 1)</f>
        <v>100</v>
      </c>
    </row>
    <row r="52">
      <c r="A52" s="118">
        <f t="shared" si="1"/>
        <v>51</v>
      </c>
      <c r="B52" s="28">
        <f>ROUND(100 * COUNTIFS('SAMLET_alle regnskab'!B:B, A52, 'SAMLET_alle regnskab'!C:C, "&gt;0") / COUNTIF('SAMLET_alle regnskab'!B:B, A52), 1)</f>
        <v>100</v>
      </c>
      <c r="C52" s="28">
        <f>ROUND(100 * COUNTIFS('SAMLET_alle regnskab'!B:B, A52, 'SAMLET_alle regnskab'!D:D, "&gt;0") / COUNTIF('SAMLET_alle regnskab'!B:B, A52), 1)</f>
        <v>0</v>
      </c>
      <c r="D52" s="28">
        <f>ROUND(100 * COUNTIFS('SAMLET_alle regnskab'!B:B, A52, 'SAMLET_alle regnskab'!E:E, "&gt;0") / COUNTIF('SAMLET_alle regnskab'!B:B, A52), 1)</f>
        <v>100</v>
      </c>
      <c r="E52" s="28">
        <f>ROUND(100 * COUNTIFS('SAMLET_alle regnskab'!B:B, A52, 'SAMLET_alle regnskab'!F:F, "&gt;0") / COUNTIF('SAMLET_alle regnskab'!B:B, A52), 1)</f>
        <v>100</v>
      </c>
    </row>
    <row r="53">
      <c r="A53" s="118">
        <f t="shared" si="1"/>
        <v>52</v>
      </c>
      <c r="B53" s="28">
        <f>ROUND(100 * COUNTIFS('SAMLET_alle regnskab'!B:B, A53, 'SAMLET_alle regnskab'!C:C, "&gt;0") / COUNTIF('SAMLET_alle regnskab'!B:B, A53), 1)</f>
        <v>100</v>
      </c>
      <c r="C53" s="28">
        <f>ROUND(100 * COUNTIFS('SAMLET_alle regnskab'!B:B, A53, 'SAMLET_alle regnskab'!D:D, "&gt;0") / COUNTIF('SAMLET_alle regnskab'!B:B, A53), 1)</f>
        <v>0</v>
      </c>
      <c r="D53" s="28">
        <f>ROUND(100 * COUNTIFS('SAMLET_alle regnskab'!B:B, A53, 'SAMLET_alle regnskab'!E:E, "&gt;0") / COUNTIF('SAMLET_alle regnskab'!B:B, A53), 1)</f>
        <v>100</v>
      </c>
      <c r="E53" s="28">
        <f>ROUND(100 * COUNTIFS('SAMLET_alle regnskab'!B:B, A53, 'SAMLET_alle regnskab'!F:F, "&gt;0") / COUNTIF('SAMLET_alle regnskab'!B:B, A53), 1)</f>
        <v>100</v>
      </c>
    </row>
    <row r="54">
      <c r="A54" s="118">
        <f t="shared" si="1"/>
        <v>53</v>
      </c>
      <c r="B54" s="28">
        <f>ROUND(100 * COUNTIFS('SAMLET_alle regnskab'!B:B, A54, 'SAMLET_alle regnskab'!C:C, "&gt;0") / COUNTIF('SAMLET_alle regnskab'!B:B, A54), 1)</f>
        <v>100</v>
      </c>
      <c r="C54" s="28">
        <f>ROUND(100 * COUNTIFS('SAMLET_alle regnskab'!B:B, A54, 'SAMLET_alle regnskab'!D:D, "&gt;0") / COUNTIF('SAMLET_alle regnskab'!B:B, A54), 1)</f>
        <v>0</v>
      </c>
      <c r="D54" s="28">
        <f>ROUND(100 * COUNTIFS('SAMLET_alle regnskab'!B:B, A54, 'SAMLET_alle regnskab'!E:E, "&gt;0") / COUNTIF('SAMLET_alle regnskab'!B:B, A54), 1)</f>
        <v>100</v>
      </c>
      <c r="E54" s="28">
        <f>ROUND(100 * COUNTIFS('SAMLET_alle regnskab'!B:B, A54, 'SAMLET_alle regnskab'!F:F, "&gt;0") / COUNTIF('SAMLET_alle regnskab'!B:B, A54), 1)</f>
        <v>100</v>
      </c>
    </row>
    <row r="55">
      <c r="A55" s="118">
        <f t="shared" si="1"/>
        <v>54</v>
      </c>
      <c r="B55" s="28">
        <f>ROUND(100 * COUNTIFS('SAMLET_alle regnskab'!B:B, A55, 'SAMLET_alle regnskab'!C:C, "&gt;0") / COUNTIF('SAMLET_alle regnskab'!B:B, A55), 1)</f>
        <v>100</v>
      </c>
      <c r="C55" s="28">
        <f>ROUND(100 * COUNTIFS('SAMLET_alle regnskab'!B:B, A55, 'SAMLET_alle regnskab'!D:D, "&gt;0") / COUNTIF('SAMLET_alle regnskab'!B:B, A55), 1)</f>
        <v>0</v>
      </c>
      <c r="D55" s="28">
        <f>ROUND(100 * COUNTIFS('SAMLET_alle regnskab'!B:B, A55, 'SAMLET_alle regnskab'!E:E, "&gt;0") / COUNTIF('SAMLET_alle regnskab'!B:B, A55), 1)</f>
        <v>100</v>
      </c>
      <c r="E55" s="28">
        <f>ROUND(100 * COUNTIFS('SAMLET_alle regnskab'!B:B, A55, 'SAMLET_alle regnskab'!F:F, "&gt;0") / COUNTIF('SAMLET_alle regnskab'!B:B, A55), 1)</f>
        <v>100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8" t="str">
        <f>'SAMLET_alle regnskab'!B3</f>
        <v>spil</v>
      </c>
      <c r="B1" s="80" t="str">
        <f>'SAMLET_alle regnskab'!A3</f>
        <v>#</v>
      </c>
      <c r="C1" s="28" t="str">
        <f>'SAMLET_alle regnskab'!C3</f>
        <v>Thomas</v>
      </c>
      <c r="D1" s="28" t="str">
        <f>'SAMLET_alle regnskab'!D3</f>
        <v>Peter</v>
      </c>
      <c r="E1" s="28" t="str">
        <f>'SAMLET_alle regnskab'!E3</f>
        <v>Janus</v>
      </c>
      <c r="F1" s="28" t="str">
        <f>'SAMLET_alle regnskab'!F3</f>
        <v>Christian</v>
      </c>
      <c r="H1" s="80" t="str">
        <f t="shared" ref="H1:L1" si="1">B1</f>
        <v>#</v>
      </c>
      <c r="I1" s="28" t="str">
        <f t="shared" si="1"/>
        <v>Thomas</v>
      </c>
      <c r="J1" s="28" t="str">
        <f t="shared" si="1"/>
        <v>Peter</v>
      </c>
      <c r="K1" s="28" t="str">
        <f t="shared" si="1"/>
        <v>Janus</v>
      </c>
      <c r="L1" s="28" t="str">
        <f t="shared" si="1"/>
        <v>Christian</v>
      </c>
      <c r="N1" s="80" t="str">
        <f t="shared" ref="N1:R1" si="2">H1</f>
        <v>#</v>
      </c>
      <c r="O1" s="28" t="str">
        <f t="shared" si="2"/>
        <v>Thomas</v>
      </c>
      <c r="P1" s="28" t="str">
        <f t="shared" si="2"/>
        <v>Peter</v>
      </c>
      <c r="Q1" s="28" t="str">
        <f t="shared" si="2"/>
        <v>Janus</v>
      </c>
      <c r="R1" s="28" t="str">
        <f t="shared" si="2"/>
        <v>Christian</v>
      </c>
      <c r="T1" s="80" t="s">
        <v>59</v>
      </c>
      <c r="U1" s="28" t="s">
        <v>7</v>
      </c>
      <c r="V1" s="28" t="s">
        <v>8</v>
      </c>
      <c r="W1" s="28" t="s">
        <v>9</v>
      </c>
      <c r="X1" s="28" t="s">
        <v>10</v>
      </c>
      <c r="Z1" s="80" t="s">
        <v>59</v>
      </c>
      <c r="AA1" s="119"/>
      <c r="AB1" s="28" t="s">
        <v>7</v>
      </c>
      <c r="AC1" s="28" t="s">
        <v>8</v>
      </c>
      <c r="AD1" s="28" t="s">
        <v>9</v>
      </c>
      <c r="AE1" s="28" t="s">
        <v>10</v>
      </c>
    </row>
    <row r="2">
      <c r="A2" s="28">
        <f>'SAMLET_alle regnskab'!B11</f>
        <v>1</v>
      </c>
      <c r="B2" s="80">
        <f>'SAMLET_alle regnskab'!A11</f>
        <v>8</v>
      </c>
      <c r="C2" s="28">
        <f>'SAMLET_alle regnskab'!U11</f>
        <v>48</v>
      </c>
      <c r="D2" s="28">
        <f>'SAMLET_alle regnskab'!V11</f>
        <v>-48</v>
      </c>
      <c r="E2" s="28">
        <f>'SAMLET_alle regnskab'!W11</f>
        <v>48</v>
      </c>
      <c r="F2" s="28">
        <f>'SAMLET_alle regnskab'!X11</f>
        <v>-48</v>
      </c>
      <c r="H2" s="80">
        <f t="shared" ref="H2:L2" si="3">B2</f>
        <v>8</v>
      </c>
      <c r="I2" s="28">
        <f t="shared" si="3"/>
        <v>48</v>
      </c>
      <c r="J2" s="28">
        <f t="shared" si="3"/>
        <v>-48</v>
      </c>
      <c r="K2" s="28">
        <f t="shared" si="3"/>
        <v>48</v>
      </c>
      <c r="L2" s="28">
        <f t="shared" si="3"/>
        <v>-48</v>
      </c>
      <c r="N2" s="25">
        <v>1.0</v>
      </c>
      <c r="O2" s="80">
        <f>'00_Regnskab_01'!D3</f>
        <v>-230</v>
      </c>
      <c r="P2" s="80">
        <f>'00_Regnskab_01'!E3</f>
        <v>-166</v>
      </c>
      <c r="Q2" s="80">
        <f>'00_Regnskab_01'!F3</f>
        <v>370</v>
      </c>
      <c r="R2" s="80">
        <f>'00_Regnskab_01'!G3</f>
        <v>8</v>
      </c>
      <c r="T2" s="25">
        <v>1.0</v>
      </c>
      <c r="U2" s="80">
        <f t="shared" ref="U2:X2" si="4">O2</f>
        <v>-230</v>
      </c>
      <c r="V2" s="80">
        <f t="shared" si="4"/>
        <v>-166</v>
      </c>
      <c r="W2" s="80">
        <f t="shared" si="4"/>
        <v>370</v>
      </c>
      <c r="X2" s="80">
        <f t="shared" si="4"/>
        <v>8</v>
      </c>
      <c r="Z2" s="25">
        <v>1.0</v>
      </c>
      <c r="AA2" s="119">
        <f>'00_Regnskab_01'!C3</f>
        <v>42542</v>
      </c>
      <c r="AB2" s="80">
        <v>-230.0</v>
      </c>
      <c r="AC2" s="80">
        <v>-166.0</v>
      </c>
      <c r="AD2" s="80">
        <v>370.0</v>
      </c>
      <c r="AE2" s="80">
        <v>8.0</v>
      </c>
    </row>
    <row r="3">
      <c r="A3" s="28">
        <f>'SAMLET_alle regnskab'!B12</f>
        <v>2</v>
      </c>
      <c r="B3" s="80">
        <f>'SAMLET_alle regnskab'!A12</f>
        <v>8</v>
      </c>
      <c r="C3" s="28">
        <f>'SAMLET_alle regnskab'!U12</f>
        <v>12</v>
      </c>
      <c r="D3" s="28">
        <f>'SAMLET_alle regnskab'!V12</f>
        <v>-12</v>
      </c>
      <c r="E3" s="28">
        <f>'SAMLET_alle regnskab'!W12</f>
        <v>-12</v>
      </c>
      <c r="F3" s="28">
        <f>'SAMLET_alle regnskab'!X12</f>
        <v>12</v>
      </c>
      <c r="H3" s="80">
        <f t="shared" ref="H3:H587" si="7">B3</f>
        <v>8</v>
      </c>
      <c r="I3" s="28">
        <f t="shared" ref="I3:L3" si="5">I2+C3</f>
        <v>60</v>
      </c>
      <c r="J3" s="28">
        <f t="shared" si="5"/>
        <v>-60</v>
      </c>
      <c r="K3" s="28">
        <f t="shared" si="5"/>
        <v>36</v>
      </c>
      <c r="L3" s="28">
        <f t="shared" si="5"/>
        <v>-36</v>
      </c>
      <c r="N3" s="25">
        <v>2.0</v>
      </c>
      <c r="O3" s="80">
        <f>'00_Regnskab_01'!D4</f>
        <v>544</v>
      </c>
      <c r="P3" s="80">
        <f>'00_Regnskab_01'!E4</f>
        <v>-872</v>
      </c>
      <c r="Q3" s="80">
        <f>'00_Regnskab_01'!F4</f>
        <v>472</v>
      </c>
      <c r="R3" s="80">
        <f>'00_Regnskab_01'!G4</f>
        <v>-258</v>
      </c>
      <c r="T3" s="25">
        <v>2.0</v>
      </c>
      <c r="U3" s="80">
        <f t="shared" ref="U3:X3" si="6">U2+O3</f>
        <v>314</v>
      </c>
      <c r="V3" s="80">
        <f t="shared" si="6"/>
        <v>-1038</v>
      </c>
      <c r="W3" s="80">
        <f t="shared" si="6"/>
        <v>842</v>
      </c>
      <c r="X3" s="80">
        <f t="shared" si="6"/>
        <v>-250</v>
      </c>
      <c r="Z3" s="25">
        <v>2.0</v>
      </c>
      <c r="AA3" s="119">
        <f>'00_Regnskab_01'!C4</f>
        <v>42637</v>
      </c>
      <c r="AB3" s="80">
        <v>314.0</v>
      </c>
      <c r="AC3" s="80">
        <v>-1038.0</v>
      </c>
      <c r="AD3" s="80">
        <v>842.0</v>
      </c>
      <c r="AE3" s="80">
        <v>-250.0</v>
      </c>
    </row>
    <row r="4">
      <c r="A4" s="28">
        <f>'SAMLET_alle regnskab'!B13</f>
        <v>3</v>
      </c>
      <c r="B4" s="80">
        <f>'SAMLET_alle regnskab'!A13</f>
        <v>8</v>
      </c>
      <c r="C4" s="28">
        <f>'SAMLET_alle regnskab'!U13</f>
        <v>16</v>
      </c>
      <c r="D4" s="28">
        <f>'SAMLET_alle regnskab'!V13</f>
        <v>-48</v>
      </c>
      <c r="E4" s="28">
        <f>'SAMLET_alle regnskab'!W13</f>
        <v>16</v>
      </c>
      <c r="F4" s="28">
        <f>'SAMLET_alle regnskab'!X13</f>
        <v>16</v>
      </c>
      <c r="H4" s="80">
        <f t="shared" si="7"/>
        <v>8</v>
      </c>
      <c r="I4" s="28">
        <f t="shared" ref="I4:L4" si="8">I3+C4</f>
        <v>76</v>
      </c>
      <c r="J4" s="28">
        <f t="shared" si="8"/>
        <v>-108</v>
      </c>
      <c r="K4" s="28">
        <f t="shared" si="8"/>
        <v>52</v>
      </c>
      <c r="L4" s="28">
        <f t="shared" si="8"/>
        <v>-20</v>
      </c>
      <c r="N4" s="25">
        <v>3.0</v>
      </c>
      <c r="O4" s="80">
        <f>'00_Regnskab_01'!D5</f>
        <v>54</v>
      </c>
      <c r="P4" s="80">
        <f>'00_Regnskab_01'!E5</f>
        <v>234</v>
      </c>
      <c r="Q4" s="80">
        <f>'00_Regnskab_01'!F5</f>
        <v>148</v>
      </c>
      <c r="R4" s="80">
        <f>'00_Regnskab_01'!G5</f>
        <v>-404</v>
      </c>
      <c r="T4" s="25">
        <v>3.0</v>
      </c>
      <c r="U4" s="80">
        <f t="shared" ref="U4:X4" si="9">U3+O4</f>
        <v>368</v>
      </c>
      <c r="V4" s="80">
        <f t="shared" si="9"/>
        <v>-804</v>
      </c>
      <c r="W4" s="80">
        <f t="shared" si="9"/>
        <v>990</v>
      </c>
      <c r="X4" s="80">
        <f t="shared" si="9"/>
        <v>-654</v>
      </c>
      <c r="Z4" s="25">
        <v>3.0</v>
      </c>
      <c r="AA4" s="119">
        <f>'00_Regnskab_01'!C5</f>
        <v>42791</v>
      </c>
      <c r="AB4" s="80">
        <v>368.0</v>
      </c>
      <c r="AC4" s="80">
        <v>-804.0</v>
      </c>
      <c r="AD4" s="80">
        <v>990.0</v>
      </c>
      <c r="AE4" s="80">
        <v>-654.0</v>
      </c>
    </row>
    <row r="5">
      <c r="A5" s="28">
        <f>'SAMLET_alle regnskab'!B14</f>
        <v>4</v>
      </c>
      <c r="B5" s="80">
        <f>'SAMLET_alle regnskab'!A14</f>
        <v>8</v>
      </c>
      <c r="C5" s="28">
        <f>'SAMLET_alle regnskab'!U14</f>
        <v>-12</v>
      </c>
      <c r="D5" s="28">
        <f>'SAMLET_alle regnskab'!V14</f>
        <v>12</v>
      </c>
      <c r="E5" s="28">
        <f>'SAMLET_alle regnskab'!W14</f>
        <v>12</v>
      </c>
      <c r="F5" s="28">
        <f>'SAMLET_alle regnskab'!X14</f>
        <v>-12</v>
      </c>
      <c r="H5" s="80">
        <f t="shared" si="7"/>
        <v>8</v>
      </c>
      <c r="I5" s="28">
        <f t="shared" ref="I5:L5" si="10">I4+C5</f>
        <v>64</v>
      </c>
      <c r="J5" s="28">
        <f t="shared" si="10"/>
        <v>-96</v>
      </c>
      <c r="K5" s="28">
        <f t="shared" si="10"/>
        <v>64</v>
      </c>
      <c r="L5" s="28">
        <f t="shared" si="10"/>
        <v>-32</v>
      </c>
      <c r="N5" s="25">
        <v>4.0</v>
      </c>
      <c r="O5" s="80">
        <f>'00_Regnskab_01'!D6</f>
        <v>-72</v>
      </c>
      <c r="P5" s="80">
        <f>'00_Regnskab_01'!E6</f>
        <v>-256</v>
      </c>
      <c r="Q5" s="80">
        <f>'00_Regnskab_01'!F6</f>
        <v>138</v>
      </c>
      <c r="R5" s="80">
        <f>'00_Regnskab_01'!G6</f>
        <v>186</v>
      </c>
      <c r="T5" s="25">
        <v>4.0</v>
      </c>
      <c r="U5" s="80">
        <f t="shared" ref="U5:X5" si="11">U4+O5</f>
        <v>296</v>
      </c>
      <c r="V5" s="80">
        <f t="shared" si="11"/>
        <v>-1060</v>
      </c>
      <c r="W5" s="80">
        <f t="shared" si="11"/>
        <v>1128</v>
      </c>
      <c r="X5" s="80">
        <f t="shared" si="11"/>
        <v>-468</v>
      </c>
      <c r="Z5" s="25">
        <v>4.0</v>
      </c>
      <c r="AA5" s="119">
        <f>'00_Regnskab_01'!C5</f>
        <v>42791</v>
      </c>
      <c r="AB5" s="80">
        <v>296.0</v>
      </c>
      <c r="AC5" s="80">
        <v>-1060.0</v>
      </c>
      <c r="AD5" s="80">
        <v>1128.0</v>
      </c>
      <c r="AE5" s="80">
        <v>-468.0</v>
      </c>
    </row>
    <row r="6">
      <c r="A6" s="28">
        <f>'SAMLET_alle regnskab'!B15</f>
        <v>5</v>
      </c>
      <c r="B6" s="80">
        <f>'SAMLET_alle regnskab'!A15</f>
        <v>8</v>
      </c>
      <c r="C6" s="28">
        <f>'SAMLET_alle regnskab'!U15</f>
        <v>-16</v>
      </c>
      <c r="D6" s="28">
        <f>'SAMLET_alle regnskab'!V15</f>
        <v>48</v>
      </c>
      <c r="E6" s="28">
        <f>'SAMLET_alle regnskab'!W15</f>
        <v>-16</v>
      </c>
      <c r="F6" s="28">
        <f>'SAMLET_alle regnskab'!X15</f>
        <v>-16</v>
      </c>
      <c r="H6" s="80">
        <f t="shared" si="7"/>
        <v>8</v>
      </c>
      <c r="I6" s="28">
        <f t="shared" ref="I6:L6" si="12">I5+C6</f>
        <v>48</v>
      </c>
      <c r="J6" s="28">
        <f t="shared" si="12"/>
        <v>-48</v>
      </c>
      <c r="K6" s="28">
        <f t="shared" si="12"/>
        <v>48</v>
      </c>
      <c r="L6" s="28">
        <f t="shared" si="12"/>
        <v>-48</v>
      </c>
      <c r="N6" s="25">
        <v>5.0</v>
      </c>
      <c r="O6" s="80">
        <f>'00_Regnskab_01'!D6</f>
        <v>-72</v>
      </c>
      <c r="P6" s="80">
        <f>'00_Regnskab_01'!E6</f>
        <v>-256</v>
      </c>
      <c r="Q6" s="80">
        <f>'00_Regnskab_01'!F6</f>
        <v>138</v>
      </c>
      <c r="R6" s="80">
        <f>'00_Regnskab_01'!G6</f>
        <v>186</v>
      </c>
      <c r="T6" s="25">
        <v>5.0</v>
      </c>
      <c r="U6" s="80">
        <f t="shared" ref="U6:X6" si="13">U5</f>
        <v>296</v>
      </c>
      <c r="V6" s="80">
        <f t="shared" si="13"/>
        <v>-1060</v>
      </c>
      <c r="W6" s="80">
        <f t="shared" si="13"/>
        <v>1128</v>
      </c>
      <c r="X6" s="80">
        <f t="shared" si="13"/>
        <v>-468</v>
      </c>
      <c r="Z6" s="25">
        <v>5.0</v>
      </c>
      <c r="AA6" s="119">
        <f>'00_Regnskab_01'!C7</f>
        <v>43000</v>
      </c>
      <c r="AB6" s="80">
        <v>296.0</v>
      </c>
      <c r="AC6" s="80">
        <v>-1060.0</v>
      </c>
      <c r="AD6" s="80">
        <v>1128.0</v>
      </c>
      <c r="AE6" s="80">
        <v>-468.0</v>
      </c>
    </row>
    <row r="7">
      <c r="A7" s="28">
        <f>'SAMLET_alle regnskab'!B16</f>
        <v>6</v>
      </c>
      <c r="B7" s="80">
        <f>'SAMLET_alle regnskab'!A16</f>
        <v>8</v>
      </c>
      <c r="C7" s="28">
        <f>'SAMLET_alle regnskab'!U16</f>
        <v>16</v>
      </c>
      <c r="D7" s="28">
        <f>'SAMLET_alle regnskab'!V16</f>
        <v>-48</v>
      </c>
      <c r="E7" s="28">
        <f>'SAMLET_alle regnskab'!W16</f>
        <v>16</v>
      </c>
      <c r="F7" s="28">
        <f>'SAMLET_alle regnskab'!X16</f>
        <v>16</v>
      </c>
      <c r="H7" s="80">
        <f t="shared" si="7"/>
        <v>8</v>
      </c>
      <c r="I7" s="28">
        <f t="shared" ref="I7:L7" si="14">I6+C7</f>
        <v>64</v>
      </c>
      <c r="J7" s="28">
        <f t="shared" si="14"/>
        <v>-96</v>
      </c>
      <c r="K7" s="28">
        <f t="shared" si="14"/>
        <v>64</v>
      </c>
      <c r="L7" s="28">
        <f t="shared" si="14"/>
        <v>-32</v>
      </c>
      <c r="N7" s="25">
        <v>6.0</v>
      </c>
      <c r="O7" s="80">
        <f>'00_Regnskab_01'!D8</f>
        <v>-398</v>
      </c>
      <c r="P7" s="80">
        <f>'00_Regnskab_01'!E8</f>
        <v>106</v>
      </c>
      <c r="Q7" s="80">
        <f>'00_Regnskab_01'!F8</f>
        <v>554</v>
      </c>
      <c r="R7" s="80">
        <f>'00_Regnskab_01'!G8</f>
        <v>-262</v>
      </c>
      <c r="T7" s="25">
        <v>6.0</v>
      </c>
      <c r="U7" s="80">
        <f t="shared" ref="U7:X7" si="15">U6+O7</f>
        <v>-102</v>
      </c>
      <c r="V7" s="80">
        <f t="shared" si="15"/>
        <v>-954</v>
      </c>
      <c r="W7" s="80">
        <f t="shared" si="15"/>
        <v>1682</v>
      </c>
      <c r="X7" s="80">
        <f t="shared" si="15"/>
        <v>-730</v>
      </c>
      <c r="Z7" s="25">
        <v>6.0</v>
      </c>
      <c r="AA7" s="119">
        <f>'00_Regnskab_01'!C8</f>
        <v>43001</v>
      </c>
      <c r="AB7" s="80">
        <v>-102.0</v>
      </c>
      <c r="AC7" s="80">
        <v>-954.0</v>
      </c>
      <c r="AD7" s="80">
        <v>1682.0</v>
      </c>
      <c r="AE7" s="80">
        <v>-730.0</v>
      </c>
    </row>
    <row r="8">
      <c r="A8" s="28">
        <f>'SAMLET_alle regnskab'!B17</f>
        <v>7</v>
      </c>
      <c r="B8" s="80">
        <f>'SAMLET_alle regnskab'!A17</f>
        <v>8</v>
      </c>
      <c r="C8" s="28">
        <f>'SAMLET_alle regnskab'!U17</f>
        <v>-160</v>
      </c>
      <c r="D8" s="28">
        <f>'SAMLET_alle regnskab'!V17</f>
        <v>160</v>
      </c>
      <c r="E8" s="28">
        <f>'SAMLET_alle regnskab'!W17</f>
        <v>-160</v>
      </c>
      <c r="F8" s="28">
        <f>'SAMLET_alle regnskab'!X17</f>
        <v>160</v>
      </c>
      <c r="H8" s="80">
        <f t="shared" si="7"/>
        <v>8</v>
      </c>
      <c r="I8" s="28">
        <f t="shared" ref="I8:L8" si="16">I7+C8</f>
        <v>-96</v>
      </c>
      <c r="J8" s="28">
        <f t="shared" si="16"/>
        <v>64</v>
      </c>
      <c r="K8" s="28">
        <f t="shared" si="16"/>
        <v>-96</v>
      </c>
      <c r="L8" s="28">
        <f t="shared" si="16"/>
        <v>128</v>
      </c>
      <c r="N8" s="25">
        <v>7.0</v>
      </c>
      <c r="O8" s="80">
        <f>'00_Regnskab_01'!D9</f>
        <v>-56</v>
      </c>
      <c r="P8" s="80">
        <f>'00_Regnskab_01'!E9</f>
        <v>-8</v>
      </c>
      <c r="Q8" s="80">
        <f>'00_Regnskab_01'!F9</f>
        <v>32</v>
      </c>
      <c r="R8" s="80">
        <f>'00_Regnskab_01'!G9</f>
        <v>32</v>
      </c>
      <c r="T8" s="25">
        <v>7.0</v>
      </c>
      <c r="U8" s="80">
        <f t="shared" ref="U8:X8" si="17">U7+O8</f>
        <v>-158</v>
      </c>
      <c r="V8" s="80">
        <f t="shared" si="17"/>
        <v>-962</v>
      </c>
      <c r="W8" s="80">
        <f t="shared" si="17"/>
        <v>1714</v>
      </c>
      <c r="X8" s="80">
        <f t="shared" si="17"/>
        <v>-698</v>
      </c>
      <c r="Z8" s="25">
        <v>7.0</v>
      </c>
      <c r="AA8" s="119">
        <f>'00_Regnskab_01'!C9</f>
        <v>43002</v>
      </c>
      <c r="AB8" s="80">
        <v>-158.0</v>
      </c>
      <c r="AC8" s="80">
        <v>-962.0</v>
      </c>
      <c r="AD8" s="80">
        <v>1714.0</v>
      </c>
      <c r="AE8" s="80">
        <v>-698.0</v>
      </c>
    </row>
    <row r="9">
      <c r="A9" s="28">
        <f>'SAMLET_alle regnskab'!B18</f>
        <v>8</v>
      </c>
      <c r="B9" s="80">
        <f>'SAMLET_alle regnskab'!A18</f>
        <v>8</v>
      </c>
      <c r="C9" s="28">
        <f>'SAMLET_alle regnskab'!U18</f>
        <v>12</v>
      </c>
      <c r="D9" s="28">
        <f>'SAMLET_alle regnskab'!V18</f>
        <v>12</v>
      </c>
      <c r="E9" s="28">
        <f>'SAMLET_alle regnskab'!W18</f>
        <v>-12</v>
      </c>
      <c r="F9" s="28">
        <f>'SAMLET_alle regnskab'!X18</f>
        <v>-12</v>
      </c>
      <c r="H9" s="80">
        <f t="shared" si="7"/>
        <v>8</v>
      </c>
      <c r="I9" s="28">
        <f t="shared" ref="I9:L9" si="18">I8+C9</f>
        <v>-84</v>
      </c>
      <c r="J9" s="28">
        <f t="shared" si="18"/>
        <v>76</v>
      </c>
      <c r="K9" s="28">
        <f t="shared" si="18"/>
        <v>-108</v>
      </c>
      <c r="L9" s="28">
        <f t="shared" si="18"/>
        <v>116</v>
      </c>
      <c r="N9" s="80">
        <f t="shared" ref="N9:R9" si="19">H2</f>
        <v>8</v>
      </c>
      <c r="O9" s="28">
        <f t="shared" si="19"/>
        <v>48</v>
      </c>
      <c r="P9" s="28">
        <f t="shared" si="19"/>
        <v>-48</v>
      </c>
      <c r="Q9" s="28">
        <f t="shared" si="19"/>
        <v>48</v>
      </c>
      <c r="R9" s="28">
        <f t="shared" si="19"/>
        <v>-48</v>
      </c>
      <c r="T9" s="80">
        <v>8.0</v>
      </c>
      <c r="U9" s="80">
        <f t="shared" ref="U9:X9" si="20">U8+C2</f>
        <v>-110</v>
      </c>
      <c r="V9" s="80">
        <f t="shared" si="20"/>
        <v>-1010</v>
      </c>
      <c r="W9" s="80">
        <f t="shared" si="20"/>
        <v>1762</v>
      </c>
      <c r="X9" s="80">
        <f t="shared" si="20"/>
        <v>-746</v>
      </c>
      <c r="Y9" s="80"/>
      <c r="Z9" s="80">
        <v>8.0</v>
      </c>
      <c r="AA9" s="119">
        <f>'00_Regnskab_01'!C10</f>
        <v>43407</v>
      </c>
      <c r="AB9" s="80">
        <v>-110.0</v>
      </c>
      <c r="AC9" s="80">
        <v>-1010.0</v>
      </c>
      <c r="AD9" s="80">
        <v>1762.0</v>
      </c>
      <c r="AE9" s="80">
        <v>-746.0</v>
      </c>
    </row>
    <row r="10">
      <c r="A10" s="28">
        <f>'SAMLET_alle regnskab'!B19</f>
        <v>9</v>
      </c>
      <c r="B10" s="80">
        <f>'SAMLET_alle regnskab'!A19</f>
        <v>8</v>
      </c>
      <c r="C10" s="28">
        <f>'SAMLET_alle regnskab'!U19</f>
        <v>-64</v>
      </c>
      <c r="D10" s="28">
        <f>'SAMLET_alle regnskab'!V19</f>
        <v>-64</v>
      </c>
      <c r="E10" s="28">
        <f>'SAMLET_alle regnskab'!W19</f>
        <v>64</v>
      </c>
      <c r="F10" s="28">
        <f>'SAMLET_alle regnskab'!X19</f>
        <v>64</v>
      </c>
      <c r="H10" s="80">
        <f t="shared" si="7"/>
        <v>8</v>
      </c>
      <c r="I10" s="28">
        <f t="shared" ref="I10:L10" si="21">I9+C10</f>
        <v>-148</v>
      </c>
      <c r="J10" s="28">
        <f t="shared" si="21"/>
        <v>12</v>
      </c>
      <c r="K10" s="28">
        <f t="shared" si="21"/>
        <v>-44</v>
      </c>
      <c r="L10" s="28">
        <f t="shared" si="21"/>
        <v>180</v>
      </c>
      <c r="N10" s="80">
        <f t="shared" ref="N10:N587" si="25">H3</f>
        <v>8</v>
      </c>
      <c r="O10" s="28">
        <f t="shared" ref="O10:R10" si="22">O9+I3</f>
        <v>108</v>
      </c>
      <c r="P10" s="28">
        <f t="shared" si="22"/>
        <v>-108</v>
      </c>
      <c r="Q10" s="28">
        <f t="shared" si="22"/>
        <v>84</v>
      </c>
      <c r="R10" s="28">
        <f t="shared" si="22"/>
        <v>-84</v>
      </c>
      <c r="T10" s="80">
        <v>8.0</v>
      </c>
      <c r="U10" s="80">
        <f t="shared" ref="U10:X10" si="23">U9+C3</f>
        <v>-98</v>
      </c>
      <c r="V10" s="80">
        <f t="shared" si="23"/>
        <v>-1022</v>
      </c>
      <c r="W10" s="80">
        <f t="shared" si="23"/>
        <v>1750</v>
      </c>
      <c r="X10" s="80">
        <f t="shared" si="23"/>
        <v>-734</v>
      </c>
      <c r="Z10" s="80">
        <v>8.0</v>
      </c>
      <c r="AA10" s="119">
        <v>43001.0</v>
      </c>
      <c r="AB10" s="80">
        <v>-98.0</v>
      </c>
      <c r="AC10" s="80">
        <v>-1022.0</v>
      </c>
      <c r="AD10" s="80">
        <v>1750.0</v>
      </c>
      <c r="AE10" s="80">
        <v>-734.0</v>
      </c>
    </row>
    <row r="11">
      <c r="A11" s="28">
        <f>'SAMLET_alle regnskab'!B20</f>
        <v>10</v>
      </c>
      <c r="B11" s="80">
        <f>'SAMLET_alle regnskab'!A20</f>
        <v>8</v>
      </c>
      <c r="C11" s="28">
        <f>'SAMLET_alle regnskab'!U20</f>
        <v>64</v>
      </c>
      <c r="D11" s="28">
        <f>'SAMLET_alle regnskab'!V20</f>
        <v>-64</v>
      </c>
      <c r="E11" s="28">
        <f>'SAMLET_alle regnskab'!W20</f>
        <v>64</v>
      </c>
      <c r="F11" s="28">
        <f>'SAMLET_alle regnskab'!X20</f>
        <v>-64</v>
      </c>
      <c r="H11" s="80">
        <f t="shared" si="7"/>
        <v>8</v>
      </c>
      <c r="I11" s="28">
        <f t="shared" ref="I11:L11" si="24">I10+C11</f>
        <v>-84</v>
      </c>
      <c r="J11" s="28">
        <f t="shared" si="24"/>
        <v>-52</v>
      </c>
      <c r="K11" s="28">
        <f t="shared" si="24"/>
        <v>20</v>
      </c>
      <c r="L11" s="28">
        <f t="shared" si="24"/>
        <v>116</v>
      </c>
      <c r="N11" s="80">
        <f t="shared" si="25"/>
        <v>8</v>
      </c>
      <c r="O11" s="28">
        <f t="shared" ref="O11:R11" si="26">O10+I4</f>
        <v>184</v>
      </c>
      <c r="P11" s="28">
        <f t="shared" si="26"/>
        <v>-216</v>
      </c>
      <c r="Q11" s="28">
        <f t="shared" si="26"/>
        <v>136</v>
      </c>
      <c r="R11" s="28">
        <f t="shared" si="26"/>
        <v>-104</v>
      </c>
      <c r="T11" s="80">
        <v>8.0</v>
      </c>
      <c r="U11" s="80">
        <f t="shared" ref="U11:X11" si="27">U10+C4</f>
        <v>-82</v>
      </c>
      <c r="V11" s="80">
        <f t="shared" si="27"/>
        <v>-1070</v>
      </c>
      <c r="W11" s="80">
        <f t="shared" si="27"/>
        <v>1766</v>
      </c>
      <c r="X11" s="80">
        <f t="shared" si="27"/>
        <v>-718</v>
      </c>
      <c r="Z11" s="80">
        <v>8.0</v>
      </c>
      <c r="AA11" s="119">
        <v>43001.0</v>
      </c>
      <c r="AB11" s="80">
        <v>-82.0</v>
      </c>
      <c r="AC11" s="80">
        <v>-1070.0</v>
      </c>
      <c r="AD11" s="80">
        <v>1766.0</v>
      </c>
      <c r="AE11" s="80">
        <v>-718.0</v>
      </c>
    </row>
    <row r="12">
      <c r="A12" s="28">
        <f>'SAMLET_alle regnskab'!B21</f>
        <v>11</v>
      </c>
      <c r="B12" s="80">
        <f>'SAMLET_alle regnskab'!A21</f>
        <v>8</v>
      </c>
      <c r="C12" s="28">
        <f>'SAMLET_alle regnskab'!U21</f>
        <v>40</v>
      </c>
      <c r="D12" s="28">
        <f>'SAMLET_alle regnskab'!V21</f>
        <v>40</v>
      </c>
      <c r="E12" s="28">
        <f>'SAMLET_alle regnskab'!W21</f>
        <v>-40</v>
      </c>
      <c r="F12" s="28">
        <f>'SAMLET_alle regnskab'!X21</f>
        <v>-40</v>
      </c>
      <c r="H12" s="80">
        <f t="shared" si="7"/>
        <v>8</v>
      </c>
      <c r="I12" s="28">
        <f t="shared" ref="I12:L12" si="28">I11+C12</f>
        <v>-44</v>
      </c>
      <c r="J12" s="28">
        <f t="shared" si="28"/>
        <v>-12</v>
      </c>
      <c r="K12" s="28">
        <f t="shared" si="28"/>
        <v>-20</v>
      </c>
      <c r="L12" s="28">
        <f t="shared" si="28"/>
        <v>76</v>
      </c>
      <c r="N12" s="80">
        <f t="shared" si="25"/>
        <v>8</v>
      </c>
      <c r="O12" s="28">
        <f t="shared" ref="O12:R12" si="29">O11+I5</f>
        <v>248</v>
      </c>
      <c r="P12" s="28">
        <f t="shared" si="29"/>
        <v>-312</v>
      </c>
      <c r="Q12" s="28">
        <f t="shared" si="29"/>
        <v>200</v>
      </c>
      <c r="R12" s="28">
        <f t="shared" si="29"/>
        <v>-136</v>
      </c>
      <c r="T12" s="80">
        <v>8.0</v>
      </c>
      <c r="U12" s="80">
        <f t="shared" ref="U12:X12" si="30">U11+C5</f>
        <v>-94</v>
      </c>
      <c r="V12" s="80">
        <f t="shared" si="30"/>
        <v>-1058</v>
      </c>
      <c r="W12" s="80">
        <f t="shared" si="30"/>
        <v>1778</v>
      </c>
      <c r="X12" s="80">
        <f t="shared" si="30"/>
        <v>-730</v>
      </c>
      <c r="Z12" s="80">
        <v>8.0</v>
      </c>
      <c r="AA12" s="119">
        <v>43001.0</v>
      </c>
      <c r="AB12" s="80">
        <v>-94.0</v>
      </c>
      <c r="AC12" s="80">
        <v>-1058.0</v>
      </c>
      <c r="AD12" s="80">
        <v>1778.0</v>
      </c>
      <c r="AE12" s="80">
        <v>-730.0</v>
      </c>
    </row>
    <row r="13">
      <c r="A13" s="28">
        <f>'SAMLET_alle regnskab'!B22</f>
        <v>12</v>
      </c>
      <c r="B13" s="80">
        <f>'SAMLET_alle regnskab'!A22</f>
        <v>8</v>
      </c>
      <c r="C13" s="28">
        <f>'SAMLET_alle regnskab'!U22</f>
        <v>24</v>
      </c>
      <c r="D13" s="28">
        <f>'SAMLET_alle regnskab'!V22</f>
        <v>-8</v>
      </c>
      <c r="E13" s="28">
        <f>'SAMLET_alle regnskab'!W22</f>
        <v>-8</v>
      </c>
      <c r="F13" s="28">
        <f>'SAMLET_alle regnskab'!X22</f>
        <v>-8</v>
      </c>
      <c r="H13" s="80">
        <f t="shared" si="7"/>
        <v>8</v>
      </c>
      <c r="I13" s="28">
        <f t="shared" ref="I13:L13" si="31">I12+C13</f>
        <v>-20</v>
      </c>
      <c r="J13" s="28">
        <f t="shared" si="31"/>
        <v>-20</v>
      </c>
      <c r="K13" s="28">
        <f t="shared" si="31"/>
        <v>-28</v>
      </c>
      <c r="L13" s="28">
        <f t="shared" si="31"/>
        <v>68</v>
      </c>
      <c r="N13" s="80">
        <f t="shared" si="25"/>
        <v>8</v>
      </c>
      <c r="O13" s="28">
        <f t="shared" ref="O13:R13" si="32">O12+I6</f>
        <v>296</v>
      </c>
      <c r="P13" s="28">
        <f t="shared" si="32"/>
        <v>-360</v>
      </c>
      <c r="Q13" s="28">
        <f t="shared" si="32"/>
        <v>248</v>
      </c>
      <c r="R13" s="28">
        <f t="shared" si="32"/>
        <v>-184</v>
      </c>
      <c r="T13" s="80">
        <v>8.0</v>
      </c>
      <c r="U13" s="80">
        <f t="shared" ref="U13:X13" si="33">U12+C6</f>
        <v>-110</v>
      </c>
      <c r="V13" s="80">
        <f t="shared" si="33"/>
        <v>-1010</v>
      </c>
      <c r="W13" s="80">
        <f t="shared" si="33"/>
        <v>1762</v>
      </c>
      <c r="X13" s="80">
        <f t="shared" si="33"/>
        <v>-746</v>
      </c>
      <c r="Z13" s="80">
        <v>8.0</v>
      </c>
      <c r="AA13" s="119">
        <v>43001.0</v>
      </c>
      <c r="AB13" s="80">
        <v>-110.0</v>
      </c>
      <c r="AC13" s="80">
        <v>-1010.0</v>
      </c>
      <c r="AD13" s="80">
        <v>1762.0</v>
      </c>
      <c r="AE13" s="80">
        <v>-746.0</v>
      </c>
    </row>
    <row r="14">
      <c r="A14" s="28">
        <f>'SAMLET_alle regnskab'!B23</f>
        <v>13</v>
      </c>
      <c r="B14" s="80">
        <f>'SAMLET_alle regnskab'!A23</f>
        <v>8</v>
      </c>
      <c r="C14" s="28">
        <f>'SAMLET_alle regnskab'!U23</f>
        <v>24</v>
      </c>
      <c r="D14" s="28">
        <f>'SAMLET_alle regnskab'!V23</f>
        <v>-8</v>
      </c>
      <c r="E14" s="28">
        <f>'SAMLET_alle regnskab'!W23</f>
        <v>-8</v>
      </c>
      <c r="F14" s="28">
        <f>'SAMLET_alle regnskab'!X23</f>
        <v>-8</v>
      </c>
      <c r="H14" s="80">
        <f t="shared" si="7"/>
        <v>8</v>
      </c>
      <c r="I14" s="28">
        <f t="shared" ref="I14:L14" si="34">I13+C14</f>
        <v>4</v>
      </c>
      <c r="J14" s="28">
        <f t="shared" si="34"/>
        <v>-28</v>
      </c>
      <c r="K14" s="28">
        <f t="shared" si="34"/>
        <v>-36</v>
      </c>
      <c r="L14" s="28">
        <f t="shared" si="34"/>
        <v>60</v>
      </c>
      <c r="N14" s="80">
        <f t="shared" si="25"/>
        <v>8</v>
      </c>
      <c r="O14" s="28">
        <f t="shared" ref="O14:R14" si="35">O13+I7</f>
        <v>360</v>
      </c>
      <c r="P14" s="28">
        <f t="shared" si="35"/>
        <v>-456</v>
      </c>
      <c r="Q14" s="28">
        <f t="shared" si="35"/>
        <v>312</v>
      </c>
      <c r="R14" s="28">
        <f t="shared" si="35"/>
        <v>-216</v>
      </c>
      <c r="T14" s="80">
        <v>8.0</v>
      </c>
      <c r="U14" s="80">
        <f t="shared" ref="U14:X14" si="36">U13+C7</f>
        <v>-94</v>
      </c>
      <c r="V14" s="80">
        <f t="shared" si="36"/>
        <v>-1058</v>
      </c>
      <c r="W14" s="80">
        <f t="shared" si="36"/>
        <v>1778</v>
      </c>
      <c r="X14" s="80">
        <f t="shared" si="36"/>
        <v>-730</v>
      </c>
      <c r="Z14" s="80">
        <v>8.0</v>
      </c>
      <c r="AA14" s="119">
        <v>43001.0</v>
      </c>
      <c r="AB14" s="80">
        <v>-94.0</v>
      </c>
      <c r="AC14" s="80">
        <v>-1058.0</v>
      </c>
      <c r="AD14" s="80">
        <v>1778.0</v>
      </c>
      <c r="AE14" s="80">
        <v>-730.0</v>
      </c>
    </row>
    <row r="15">
      <c r="A15" s="28">
        <f>'SAMLET_alle regnskab'!B24</f>
        <v>14</v>
      </c>
      <c r="B15" s="80">
        <f>'SAMLET_alle regnskab'!A24</f>
        <v>8</v>
      </c>
      <c r="C15" s="28">
        <f>'SAMLET_alle regnskab'!U24</f>
        <v>-12</v>
      </c>
      <c r="D15" s="28">
        <f>'SAMLET_alle regnskab'!V24</f>
        <v>-12</v>
      </c>
      <c r="E15" s="28">
        <f>'SAMLET_alle regnskab'!W24</f>
        <v>12</v>
      </c>
      <c r="F15" s="28">
        <f>'SAMLET_alle regnskab'!X24</f>
        <v>12</v>
      </c>
      <c r="H15" s="80">
        <f t="shared" si="7"/>
        <v>8</v>
      </c>
      <c r="I15" s="28">
        <f t="shared" ref="I15:L15" si="37">I14+C15</f>
        <v>-8</v>
      </c>
      <c r="J15" s="28">
        <f t="shared" si="37"/>
        <v>-40</v>
      </c>
      <c r="K15" s="28">
        <f t="shared" si="37"/>
        <v>-24</v>
      </c>
      <c r="L15" s="28">
        <f t="shared" si="37"/>
        <v>72</v>
      </c>
      <c r="N15" s="80">
        <f t="shared" si="25"/>
        <v>8</v>
      </c>
      <c r="O15" s="28">
        <f t="shared" ref="O15:R15" si="38">O14+I8</f>
        <v>264</v>
      </c>
      <c r="P15" s="28">
        <f t="shared" si="38"/>
        <v>-392</v>
      </c>
      <c r="Q15" s="28">
        <f t="shared" si="38"/>
        <v>216</v>
      </c>
      <c r="R15" s="28">
        <f t="shared" si="38"/>
        <v>-88</v>
      </c>
      <c r="T15" s="80">
        <v>8.0</v>
      </c>
      <c r="U15" s="80">
        <f t="shared" ref="U15:X15" si="39">U14+C8</f>
        <v>-254</v>
      </c>
      <c r="V15" s="80">
        <f t="shared" si="39"/>
        <v>-898</v>
      </c>
      <c r="W15" s="80">
        <f t="shared" si="39"/>
        <v>1618</v>
      </c>
      <c r="X15" s="80">
        <f t="shared" si="39"/>
        <v>-570</v>
      </c>
      <c r="Z15" s="80">
        <v>8.0</v>
      </c>
      <c r="AA15" s="119">
        <v>43001.0</v>
      </c>
      <c r="AB15" s="80">
        <v>-254.0</v>
      </c>
      <c r="AC15" s="80">
        <v>-898.0</v>
      </c>
      <c r="AD15" s="80">
        <v>1618.0</v>
      </c>
      <c r="AE15" s="80">
        <v>-570.0</v>
      </c>
    </row>
    <row r="16">
      <c r="A16" s="28">
        <f>'SAMLET_alle regnskab'!B25</f>
        <v>15</v>
      </c>
      <c r="B16" s="80">
        <f>'SAMLET_alle regnskab'!A25</f>
        <v>8</v>
      </c>
      <c r="C16" s="28">
        <f>'SAMLET_alle regnskab'!U25</f>
        <v>20</v>
      </c>
      <c r="D16" s="28">
        <f>'SAMLET_alle regnskab'!V25</f>
        <v>20</v>
      </c>
      <c r="E16" s="28">
        <f>'SAMLET_alle regnskab'!W25</f>
        <v>20</v>
      </c>
      <c r="F16" s="28">
        <f>'SAMLET_alle regnskab'!X25</f>
        <v>-60</v>
      </c>
      <c r="H16" s="80">
        <f t="shared" si="7"/>
        <v>8</v>
      </c>
      <c r="I16" s="28">
        <f t="shared" ref="I16:L16" si="40">I15+C16</f>
        <v>12</v>
      </c>
      <c r="J16" s="28">
        <f t="shared" si="40"/>
        <v>-20</v>
      </c>
      <c r="K16" s="28">
        <f t="shared" si="40"/>
        <v>-4</v>
      </c>
      <c r="L16" s="28">
        <f t="shared" si="40"/>
        <v>12</v>
      </c>
      <c r="N16" s="80">
        <f t="shared" si="25"/>
        <v>8</v>
      </c>
      <c r="O16" s="28">
        <f t="shared" ref="O16:R16" si="41">O15+I9</f>
        <v>180</v>
      </c>
      <c r="P16" s="28">
        <f t="shared" si="41"/>
        <v>-316</v>
      </c>
      <c r="Q16" s="28">
        <f t="shared" si="41"/>
        <v>108</v>
      </c>
      <c r="R16" s="28">
        <f t="shared" si="41"/>
        <v>28</v>
      </c>
      <c r="T16" s="80">
        <v>8.0</v>
      </c>
      <c r="U16" s="80">
        <f t="shared" ref="U16:X16" si="42">U15+C9</f>
        <v>-242</v>
      </c>
      <c r="V16" s="80">
        <f t="shared" si="42"/>
        <v>-886</v>
      </c>
      <c r="W16" s="80">
        <f t="shared" si="42"/>
        <v>1606</v>
      </c>
      <c r="X16" s="80">
        <f t="shared" si="42"/>
        <v>-582</v>
      </c>
      <c r="Z16" s="80">
        <v>8.0</v>
      </c>
      <c r="AA16" s="119">
        <v>43001.0</v>
      </c>
      <c r="AB16" s="80">
        <v>-242.0</v>
      </c>
      <c r="AC16" s="80">
        <v>-886.0</v>
      </c>
      <c r="AD16" s="80">
        <v>1606.0</v>
      </c>
      <c r="AE16" s="80">
        <v>-582.0</v>
      </c>
    </row>
    <row r="17">
      <c r="A17" s="28">
        <f>'SAMLET_alle regnskab'!B26</f>
        <v>16</v>
      </c>
      <c r="B17" s="80">
        <f>'SAMLET_alle regnskab'!A26</f>
        <v>8</v>
      </c>
      <c r="C17" s="28">
        <f>'SAMLET_alle regnskab'!U26</f>
        <v>8</v>
      </c>
      <c r="D17" s="28">
        <f>'SAMLET_alle regnskab'!V26</f>
        <v>8</v>
      </c>
      <c r="E17" s="28">
        <f>'SAMLET_alle regnskab'!W26</f>
        <v>-8</v>
      </c>
      <c r="F17" s="28">
        <f>'SAMLET_alle regnskab'!X26</f>
        <v>-8</v>
      </c>
      <c r="H17" s="80">
        <f t="shared" si="7"/>
        <v>8</v>
      </c>
      <c r="I17" s="28">
        <f t="shared" ref="I17:L17" si="43">I16+C17</f>
        <v>20</v>
      </c>
      <c r="J17" s="28">
        <f t="shared" si="43"/>
        <v>-12</v>
      </c>
      <c r="K17" s="28">
        <f t="shared" si="43"/>
        <v>-12</v>
      </c>
      <c r="L17" s="28">
        <f t="shared" si="43"/>
        <v>4</v>
      </c>
      <c r="N17" s="80">
        <f t="shared" si="25"/>
        <v>8</v>
      </c>
      <c r="O17" s="28">
        <f t="shared" ref="O17:R17" si="44">O16+I10</f>
        <v>32</v>
      </c>
      <c r="P17" s="28">
        <f t="shared" si="44"/>
        <v>-304</v>
      </c>
      <c r="Q17" s="28">
        <f t="shared" si="44"/>
        <v>64</v>
      </c>
      <c r="R17" s="28">
        <f t="shared" si="44"/>
        <v>208</v>
      </c>
      <c r="T17" s="80">
        <v>8.0</v>
      </c>
      <c r="U17" s="80">
        <f t="shared" ref="U17:X17" si="45">U16+C10</f>
        <v>-306</v>
      </c>
      <c r="V17" s="80">
        <f t="shared" si="45"/>
        <v>-950</v>
      </c>
      <c r="W17" s="80">
        <f t="shared" si="45"/>
        <v>1670</v>
      </c>
      <c r="X17" s="80">
        <f t="shared" si="45"/>
        <v>-518</v>
      </c>
      <c r="Z17" s="80">
        <v>8.0</v>
      </c>
      <c r="AA17" s="119">
        <v>43001.0</v>
      </c>
      <c r="AB17" s="80">
        <v>-306.0</v>
      </c>
      <c r="AC17" s="80">
        <v>-950.0</v>
      </c>
      <c r="AD17" s="80">
        <v>1670.0</v>
      </c>
      <c r="AE17" s="80">
        <v>-518.0</v>
      </c>
    </row>
    <row r="18">
      <c r="A18" s="28">
        <f>'SAMLET_alle regnskab'!B27</f>
        <v>17</v>
      </c>
      <c r="B18" s="80">
        <f>'SAMLET_alle regnskab'!A27</f>
        <v>8</v>
      </c>
      <c r="C18" s="28">
        <f>'SAMLET_alle regnskab'!U27</f>
        <v>-48</v>
      </c>
      <c r="D18" s="28">
        <f>'SAMLET_alle regnskab'!V27</f>
        <v>48</v>
      </c>
      <c r="E18" s="28">
        <f>'SAMLET_alle regnskab'!W27</f>
        <v>-48</v>
      </c>
      <c r="F18" s="28">
        <f>'SAMLET_alle regnskab'!X27</f>
        <v>48</v>
      </c>
      <c r="H18" s="80">
        <f t="shared" si="7"/>
        <v>8</v>
      </c>
      <c r="I18" s="28">
        <f t="shared" ref="I18:L18" si="46">I17+C18</f>
        <v>-28</v>
      </c>
      <c r="J18" s="28">
        <f t="shared" si="46"/>
        <v>36</v>
      </c>
      <c r="K18" s="28">
        <f t="shared" si="46"/>
        <v>-60</v>
      </c>
      <c r="L18" s="28">
        <f t="shared" si="46"/>
        <v>52</v>
      </c>
      <c r="N18" s="80">
        <f t="shared" si="25"/>
        <v>8</v>
      </c>
      <c r="O18" s="28">
        <f t="shared" ref="O18:R18" si="47">O17+I11</f>
        <v>-52</v>
      </c>
      <c r="P18" s="28">
        <f t="shared" si="47"/>
        <v>-356</v>
      </c>
      <c r="Q18" s="28">
        <f t="shared" si="47"/>
        <v>84</v>
      </c>
      <c r="R18" s="28">
        <f t="shared" si="47"/>
        <v>324</v>
      </c>
      <c r="T18" s="80">
        <v>8.0</v>
      </c>
      <c r="U18" s="80">
        <f t="shared" ref="U18:X18" si="48">U17+C11</f>
        <v>-242</v>
      </c>
      <c r="V18" s="80">
        <f t="shared" si="48"/>
        <v>-1014</v>
      </c>
      <c r="W18" s="80">
        <f t="shared" si="48"/>
        <v>1734</v>
      </c>
      <c r="X18" s="80">
        <f t="shared" si="48"/>
        <v>-582</v>
      </c>
      <c r="Z18" s="80">
        <v>8.0</v>
      </c>
      <c r="AA18" s="119">
        <v>43001.0</v>
      </c>
      <c r="AB18" s="80">
        <v>-242.0</v>
      </c>
      <c r="AC18" s="80">
        <v>-1014.0</v>
      </c>
      <c r="AD18" s="80">
        <v>1734.0</v>
      </c>
      <c r="AE18" s="80">
        <v>-582.0</v>
      </c>
    </row>
    <row r="19">
      <c r="A19" s="28">
        <f>'SAMLET_alle regnskab'!B28</f>
        <v>18</v>
      </c>
      <c r="B19" s="80">
        <f>'SAMLET_alle regnskab'!A28</f>
        <v>8</v>
      </c>
      <c r="C19" s="28">
        <f>'SAMLET_alle regnskab'!U28</f>
        <v>12</v>
      </c>
      <c r="D19" s="28">
        <f>'SAMLET_alle regnskab'!V28</f>
        <v>12</v>
      </c>
      <c r="E19" s="28">
        <f>'SAMLET_alle regnskab'!W28</f>
        <v>-12</v>
      </c>
      <c r="F19" s="28">
        <f>'SAMLET_alle regnskab'!X28</f>
        <v>-12</v>
      </c>
      <c r="H19" s="80">
        <f t="shared" si="7"/>
        <v>8</v>
      </c>
      <c r="I19" s="28">
        <f t="shared" ref="I19:L19" si="49">I18+C19</f>
        <v>-16</v>
      </c>
      <c r="J19" s="28">
        <f t="shared" si="49"/>
        <v>48</v>
      </c>
      <c r="K19" s="28">
        <f t="shared" si="49"/>
        <v>-72</v>
      </c>
      <c r="L19" s="28">
        <f t="shared" si="49"/>
        <v>40</v>
      </c>
      <c r="N19" s="80">
        <f t="shared" si="25"/>
        <v>8</v>
      </c>
      <c r="O19" s="28">
        <f t="shared" ref="O19:R19" si="50">O18+I12</f>
        <v>-96</v>
      </c>
      <c r="P19" s="28">
        <f t="shared" si="50"/>
        <v>-368</v>
      </c>
      <c r="Q19" s="28">
        <f t="shared" si="50"/>
        <v>64</v>
      </c>
      <c r="R19" s="28">
        <f t="shared" si="50"/>
        <v>400</v>
      </c>
      <c r="T19" s="80">
        <v>8.0</v>
      </c>
      <c r="U19" s="80">
        <f t="shared" ref="U19:X19" si="51">U18+C12</f>
        <v>-202</v>
      </c>
      <c r="V19" s="80">
        <f t="shared" si="51"/>
        <v>-974</v>
      </c>
      <c r="W19" s="80">
        <f t="shared" si="51"/>
        <v>1694</v>
      </c>
      <c r="X19" s="80">
        <f t="shared" si="51"/>
        <v>-622</v>
      </c>
      <c r="Z19" s="80">
        <v>8.0</v>
      </c>
      <c r="AA19" s="119">
        <v>43001.0</v>
      </c>
      <c r="AB19" s="80">
        <v>-202.0</v>
      </c>
      <c r="AC19" s="80">
        <v>-974.0</v>
      </c>
      <c r="AD19" s="80">
        <v>1694.0</v>
      </c>
      <c r="AE19" s="80">
        <v>-622.0</v>
      </c>
    </row>
    <row r="20">
      <c r="A20" s="28">
        <f>'SAMLET_alle regnskab'!B29</f>
        <v>19</v>
      </c>
      <c r="B20" s="80">
        <f>'SAMLET_alle regnskab'!A29</f>
        <v>8</v>
      </c>
      <c r="C20" s="28">
        <f>'SAMLET_alle regnskab'!U29</f>
        <v>-16</v>
      </c>
      <c r="D20" s="28">
        <f>'SAMLET_alle regnskab'!V29</f>
        <v>16</v>
      </c>
      <c r="E20" s="28">
        <f>'SAMLET_alle regnskab'!W29</f>
        <v>16</v>
      </c>
      <c r="F20" s="28">
        <f>'SAMLET_alle regnskab'!X29</f>
        <v>-16</v>
      </c>
      <c r="H20" s="80">
        <f t="shared" si="7"/>
        <v>8</v>
      </c>
      <c r="I20" s="28">
        <f t="shared" ref="I20:L20" si="52">I19+C20</f>
        <v>-32</v>
      </c>
      <c r="J20" s="28">
        <f t="shared" si="52"/>
        <v>64</v>
      </c>
      <c r="K20" s="28">
        <f t="shared" si="52"/>
        <v>-56</v>
      </c>
      <c r="L20" s="28">
        <f t="shared" si="52"/>
        <v>24</v>
      </c>
      <c r="N20" s="80">
        <f t="shared" si="25"/>
        <v>8</v>
      </c>
      <c r="O20" s="28">
        <f t="shared" ref="O20:R20" si="53">O19+I13</f>
        <v>-116</v>
      </c>
      <c r="P20" s="28">
        <f t="shared" si="53"/>
        <v>-388</v>
      </c>
      <c r="Q20" s="28">
        <f t="shared" si="53"/>
        <v>36</v>
      </c>
      <c r="R20" s="28">
        <f t="shared" si="53"/>
        <v>468</v>
      </c>
      <c r="T20" s="80">
        <v>8.0</v>
      </c>
      <c r="U20" s="80">
        <f t="shared" ref="U20:X20" si="54">U19+C13</f>
        <v>-178</v>
      </c>
      <c r="V20" s="80">
        <f t="shared" si="54"/>
        <v>-982</v>
      </c>
      <c r="W20" s="80">
        <f t="shared" si="54"/>
        <v>1686</v>
      </c>
      <c r="X20" s="80">
        <f t="shared" si="54"/>
        <v>-630</v>
      </c>
      <c r="Z20" s="80">
        <v>8.0</v>
      </c>
      <c r="AA20" s="119">
        <v>43001.0</v>
      </c>
      <c r="AB20" s="80">
        <v>-178.0</v>
      </c>
      <c r="AC20" s="80">
        <v>-982.0</v>
      </c>
      <c r="AD20" s="80">
        <v>1686.0</v>
      </c>
      <c r="AE20" s="80">
        <v>-630.0</v>
      </c>
    </row>
    <row r="21">
      <c r="A21" s="28">
        <f>'SAMLET_alle regnskab'!B30</f>
        <v>20</v>
      </c>
      <c r="B21" s="80">
        <f>'SAMLET_alle regnskab'!A30</f>
        <v>8</v>
      </c>
      <c r="C21" s="28">
        <f>'SAMLET_alle regnskab'!U30</f>
        <v>-64</v>
      </c>
      <c r="D21" s="28">
        <f>'SAMLET_alle regnskab'!V30</f>
        <v>64</v>
      </c>
      <c r="E21" s="28">
        <f>'SAMLET_alle regnskab'!W30</f>
        <v>64</v>
      </c>
      <c r="F21" s="28">
        <f>'SAMLET_alle regnskab'!X30</f>
        <v>-64</v>
      </c>
      <c r="H21" s="80">
        <f t="shared" si="7"/>
        <v>8</v>
      </c>
      <c r="I21" s="28">
        <f t="shared" ref="I21:L21" si="55">I20+C21</f>
        <v>-96</v>
      </c>
      <c r="J21" s="28">
        <f t="shared" si="55"/>
        <v>128</v>
      </c>
      <c r="K21" s="28">
        <f t="shared" si="55"/>
        <v>8</v>
      </c>
      <c r="L21" s="28">
        <f t="shared" si="55"/>
        <v>-40</v>
      </c>
      <c r="N21" s="80">
        <f t="shared" si="25"/>
        <v>8</v>
      </c>
      <c r="O21" s="28">
        <f t="shared" ref="O21:R21" si="56">O20+I14</f>
        <v>-112</v>
      </c>
      <c r="P21" s="28">
        <f t="shared" si="56"/>
        <v>-416</v>
      </c>
      <c r="Q21" s="28">
        <f t="shared" si="56"/>
        <v>0</v>
      </c>
      <c r="R21" s="28">
        <f t="shared" si="56"/>
        <v>528</v>
      </c>
      <c r="T21" s="80">
        <v>8.0</v>
      </c>
      <c r="U21" s="80">
        <f t="shared" ref="U21:X21" si="57">U20+C14</f>
        <v>-154</v>
      </c>
      <c r="V21" s="80">
        <f t="shared" si="57"/>
        <v>-990</v>
      </c>
      <c r="W21" s="80">
        <f t="shared" si="57"/>
        <v>1678</v>
      </c>
      <c r="X21" s="80">
        <f t="shared" si="57"/>
        <v>-638</v>
      </c>
      <c r="Z21" s="80">
        <v>8.0</v>
      </c>
      <c r="AA21" s="119">
        <v>43001.0</v>
      </c>
      <c r="AB21" s="80">
        <v>-154.0</v>
      </c>
      <c r="AC21" s="80">
        <v>-990.0</v>
      </c>
      <c r="AD21" s="80">
        <v>1678.0</v>
      </c>
      <c r="AE21" s="80">
        <v>-638.0</v>
      </c>
    </row>
    <row r="22">
      <c r="A22" s="28">
        <f>'SAMLET_alle regnskab'!B31</f>
        <v>21</v>
      </c>
      <c r="B22" s="80">
        <f>'SAMLET_alle regnskab'!A31</f>
        <v>8</v>
      </c>
      <c r="C22" s="28">
        <f>'SAMLET_alle regnskab'!U31</f>
        <v>20</v>
      </c>
      <c r="D22" s="28">
        <f>'SAMLET_alle regnskab'!V31</f>
        <v>20</v>
      </c>
      <c r="E22" s="28">
        <f>'SAMLET_alle regnskab'!W31</f>
        <v>-60</v>
      </c>
      <c r="F22" s="28">
        <f>'SAMLET_alle regnskab'!X31</f>
        <v>20</v>
      </c>
      <c r="H22" s="80">
        <f t="shared" si="7"/>
        <v>8</v>
      </c>
      <c r="I22" s="28">
        <f t="shared" ref="I22:L22" si="58">I21+C22</f>
        <v>-76</v>
      </c>
      <c r="J22" s="28">
        <f t="shared" si="58"/>
        <v>148</v>
      </c>
      <c r="K22" s="28">
        <f t="shared" si="58"/>
        <v>-52</v>
      </c>
      <c r="L22" s="28">
        <f t="shared" si="58"/>
        <v>-20</v>
      </c>
      <c r="N22" s="80">
        <f t="shared" si="25"/>
        <v>8</v>
      </c>
      <c r="O22" s="28">
        <f t="shared" ref="O22:R22" si="59">O21+I15</f>
        <v>-120</v>
      </c>
      <c r="P22" s="28">
        <f t="shared" si="59"/>
        <v>-456</v>
      </c>
      <c r="Q22" s="28">
        <f t="shared" si="59"/>
        <v>-24</v>
      </c>
      <c r="R22" s="28">
        <f t="shared" si="59"/>
        <v>600</v>
      </c>
      <c r="T22" s="80">
        <v>8.0</v>
      </c>
      <c r="U22" s="80">
        <f t="shared" ref="U22:X22" si="60">U21+C15</f>
        <v>-166</v>
      </c>
      <c r="V22" s="80">
        <f t="shared" si="60"/>
        <v>-1002</v>
      </c>
      <c r="W22" s="80">
        <f t="shared" si="60"/>
        <v>1690</v>
      </c>
      <c r="X22" s="80">
        <f t="shared" si="60"/>
        <v>-626</v>
      </c>
      <c r="Z22" s="80">
        <v>8.0</v>
      </c>
      <c r="AA22" s="119">
        <v>43001.0</v>
      </c>
      <c r="AB22" s="80">
        <v>-166.0</v>
      </c>
      <c r="AC22" s="80">
        <v>-1002.0</v>
      </c>
      <c r="AD22" s="80">
        <v>1690.0</v>
      </c>
      <c r="AE22" s="80">
        <v>-626.0</v>
      </c>
    </row>
    <row r="23">
      <c r="A23" s="28">
        <f>'SAMLET_alle regnskab'!B32</f>
        <v>22</v>
      </c>
      <c r="B23" s="80">
        <f>'SAMLET_alle regnskab'!A32</f>
        <v>8</v>
      </c>
      <c r="C23" s="28">
        <f>'SAMLET_alle regnskab'!U32</f>
        <v>16</v>
      </c>
      <c r="D23" s="28">
        <f>'SAMLET_alle regnskab'!V32</f>
        <v>-48</v>
      </c>
      <c r="E23" s="28">
        <f>'SAMLET_alle regnskab'!W32</f>
        <v>16</v>
      </c>
      <c r="F23" s="28">
        <f>'SAMLET_alle regnskab'!X32</f>
        <v>16</v>
      </c>
      <c r="H23" s="80">
        <f t="shared" si="7"/>
        <v>8</v>
      </c>
      <c r="I23" s="28">
        <f t="shared" ref="I23:L23" si="61">I22+C23</f>
        <v>-60</v>
      </c>
      <c r="J23" s="28">
        <f t="shared" si="61"/>
        <v>100</v>
      </c>
      <c r="K23" s="28">
        <f t="shared" si="61"/>
        <v>-36</v>
      </c>
      <c r="L23" s="28">
        <f t="shared" si="61"/>
        <v>-4</v>
      </c>
      <c r="N23" s="80">
        <f t="shared" si="25"/>
        <v>8</v>
      </c>
      <c r="O23" s="28">
        <f t="shared" ref="O23:R23" si="62">O22+I16</f>
        <v>-108</v>
      </c>
      <c r="P23" s="28">
        <f t="shared" si="62"/>
        <v>-476</v>
      </c>
      <c r="Q23" s="28">
        <f t="shared" si="62"/>
        <v>-28</v>
      </c>
      <c r="R23" s="28">
        <f t="shared" si="62"/>
        <v>612</v>
      </c>
      <c r="T23" s="80">
        <v>8.0</v>
      </c>
      <c r="U23" s="80">
        <f t="shared" ref="U23:X23" si="63">U22+C16</f>
        <v>-146</v>
      </c>
      <c r="V23" s="80">
        <f t="shared" si="63"/>
        <v>-982</v>
      </c>
      <c r="W23" s="80">
        <f t="shared" si="63"/>
        <v>1710</v>
      </c>
      <c r="X23" s="80">
        <f t="shared" si="63"/>
        <v>-686</v>
      </c>
      <c r="Z23" s="80">
        <v>8.0</v>
      </c>
      <c r="AA23" s="119">
        <v>43001.0</v>
      </c>
      <c r="AB23" s="80">
        <v>-146.0</v>
      </c>
      <c r="AC23" s="80">
        <v>-982.0</v>
      </c>
      <c r="AD23" s="80">
        <v>1710.0</v>
      </c>
      <c r="AE23" s="80">
        <v>-686.0</v>
      </c>
    </row>
    <row r="24">
      <c r="A24" s="28">
        <f>'SAMLET_alle regnskab'!B33</f>
        <v>23</v>
      </c>
      <c r="B24" s="80">
        <f>'SAMLET_alle regnskab'!A33</f>
        <v>8</v>
      </c>
      <c r="C24" s="28">
        <f>'SAMLET_alle regnskab'!U33</f>
        <v>64</v>
      </c>
      <c r="D24" s="28">
        <f>'SAMLET_alle regnskab'!V33</f>
        <v>-64</v>
      </c>
      <c r="E24" s="28">
        <f>'SAMLET_alle regnskab'!W33</f>
        <v>-64</v>
      </c>
      <c r="F24" s="28">
        <f>'SAMLET_alle regnskab'!X33</f>
        <v>64</v>
      </c>
      <c r="H24" s="80">
        <f t="shared" si="7"/>
        <v>8</v>
      </c>
      <c r="I24" s="28">
        <f t="shared" ref="I24:L24" si="64">I23+C24</f>
        <v>4</v>
      </c>
      <c r="J24" s="28">
        <f t="shared" si="64"/>
        <v>36</v>
      </c>
      <c r="K24" s="28">
        <f t="shared" si="64"/>
        <v>-100</v>
      </c>
      <c r="L24" s="28">
        <f t="shared" si="64"/>
        <v>60</v>
      </c>
      <c r="N24" s="80">
        <f t="shared" si="25"/>
        <v>8</v>
      </c>
      <c r="O24" s="28">
        <f t="shared" ref="O24:R24" si="65">O23+I17</f>
        <v>-88</v>
      </c>
      <c r="P24" s="28">
        <f t="shared" si="65"/>
        <v>-488</v>
      </c>
      <c r="Q24" s="28">
        <f t="shared" si="65"/>
        <v>-40</v>
      </c>
      <c r="R24" s="28">
        <f t="shared" si="65"/>
        <v>616</v>
      </c>
      <c r="T24" s="80">
        <v>8.0</v>
      </c>
      <c r="U24" s="80">
        <f t="shared" ref="U24:X24" si="66">U23+C17</f>
        <v>-138</v>
      </c>
      <c r="V24" s="80">
        <f t="shared" si="66"/>
        <v>-974</v>
      </c>
      <c r="W24" s="80">
        <f t="shared" si="66"/>
        <v>1702</v>
      </c>
      <c r="X24" s="80">
        <f t="shared" si="66"/>
        <v>-694</v>
      </c>
      <c r="Z24" s="80">
        <v>8.0</v>
      </c>
      <c r="AA24" s="119">
        <v>43001.0</v>
      </c>
      <c r="AB24" s="80">
        <v>-138.0</v>
      </c>
      <c r="AC24" s="80">
        <v>-974.0</v>
      </c>
      <c r="AD24" s="80">
        <v>1702.0</v>
      </c>
      <c r="AE24" s="80">
        <v>-694.0</v>
      </c>
    </row>
    <row r="25">
      <c r="A25" s="28">
        <f>'SAMLET_alle regnskab'!B34</f>
        <v>24</v>
      </c>
      <c r="B25" s="80">
        <f>'SAMLET_alle regnskab'!A34</f>
        <v>8</v>
      </c>
      <c r="C25" s="28">
        <f>'SAMLET_alle regnskab'!U34</f>
        <v>24</v>
      </c>
      <c r="D25" s="28">
        <f>'SAMLET_alle regnskab'!V34</f>
        <v>24</v>
      </c>
      <c r="E25" s="28">
        <f>'SAMLET_alle regnskab'!W34</f>
        <v>-24</v>
      </c>
      <c r="F25" s="28">
        <f>'SAMLET_alle regnskab'!X34</f>
        <v>-24</v>
      </c>
      <c r="H25" s="80">
        <f t="shared" si="7"/>
        <v>8</v>
      </c>
      <c r="I25" s="28">
        <f t="shared" ref="I25:L25" si="67">I24+C25</f>
        <v>28</v>
      </c>
      <c r="J25" s="28">
        <f t="shared" si="67"/>
        <v>60</v>
      </c>
      <c r="K25" s="28">
        <f t="shared" si="67"/>
        <v>-124</v>
      </c>
      <c r="L25" s="28">
        <f t="shared" si="67"/>
        <v>36</v>
      </c>
      <c r="N25" s="80">
        <f t="shared" si="25"/>
        <v>8</v>
      </c>
      <c r="O25" s="28">
        <f t="shared" ref="O25:R25" si="68">O24+I18</f>
        <v>-116</v>
      </c>
      <c r="P25" s="28">
        <f t="shared" si="68"/>
        <v>-452</v>
      </c>
      <c r="Q25" s="28">
        <f t="shared" si="68"/>
        <v>-100</v>
      </c>
      <c r="R25" s="28">
        <f t="shared" si="68"/>
        <v>668</v>
      </c>
      <c r="T25" s="80">
        <v>8.0</v>
      </c>
      <c r="U25" s="80">
        <f t="shared" ref="U25:X25" si="69">U24+C18</f>
        <v>-186</v>
      </c>
      <c r="V25" s="80">
        <f t="shared" si="69"/>
        <v>-926</v>
      </c>
      <c r="W25" s="80">
        <f t="shared" si="69"/>
        <v>1654</v>
      </c>
      <c r="X25" s="80">
        <f t="shared" si="69"/>
        <v>-646</v>
      </c>
      <c r="Z25" s="80">
        <v>8.0</v>
      </c>
      <c r="AA25" s="119">
        <v>43001.0</v>
      </c>
      <c r="AB25" s="80">
        <v>-186.0</v>
      </c>
      <c r="AC25" s="80">
        <v>-926.0</v>
      </c>
      <c r="AD25" s="80">
        <v>1654.0</v>
      </c>
      <c r="AE25" s="80">
        <v>-646.0</v>
      </c>
    </row>
    <row r="26">
      <c r="A26" s="28">
        <f>'SAMLET_alle regnskab'!B35</f>
        <v>25</v>
      </c>
      <c r="B26" s="80">
        <f>'SAMLET_alle regnskab'!A35</f>
        <v>8</v>
      </c>
      <c r="C26" s="28">
        <f>'SAMLET_alle regnskab'!U35</f>
        <v>12</v>
      </c>
      <c r="D26" s="28">
        <f>'SAMLET_alle regnskab'!V35</f>
        <v>-12</v>
      </c>
      <c r="E26" s="28">
        <f>'SAMLET_alle regnskab'!W35</f>
        <v>-12</v>
      </c>
      <c r="F26" s="28">
        <f>'SAMLET_alle regnskab'!X35</f>
        <v>12</v>
      </c>
      <c r="H26" s="80">
        <f t="shared" si="7"/>
        <v>8</v>
      </c>
      <c r="I26" s="28">
        <f t="shared" ref="I26:L26" si="70">I25+C26</f>
        <v>40</v>
      </c>
      <c r="J26" s="28">
        <f t="shared" si="70"/>
        <v>48</v>
      </c>
      <c r="K26" s="28">
        <f t="shared" si="70"/>
        <v>-136</v>
      </c>
      <c r="L26" s="28">
        <f t="shared" si="70"/>
        <v>48</v>
      </c>
      <c r="N26" s="80">
        <f t="shared" si="25"/>
        <v>8</v>
      </c>
      <c r="O26" s="28">
        <f t="shared" ref="O26:R26" si="71">O25+I19</f>
        <v>-132</v>
      </c>
      <c r="P26" s="28">
        <f t="shared" si="71"/>
        <v>-404</v>
      </c>
      <c r="Q26" s="28">
        <f t="shared" si="71"/>
        <v>-172</v>
      </c>
      <c r="R26" s="28">
        <f t="shared" si="71"/>
        <v>708</v>
      </c>
      <c r="T26" s="80">
        <v>8.0</v>
      </c>
      <c r="U26" s="80">
        <f t="shared" ref="U26:X26" si="72">U25+C19</f>
        <v>-174</v>
      </c>
      <c r="V26" s="80">
        <f t="shared" si="72"/>
        <v>-914</v>
      </c>
      <c r="W26" s="80">
        <f t="shared" si="72"/>
        <v>1642</v>
      </c>
      <c r="X26" s="80">
        <f t="shared" si="72"/>
        <v>-658</v>
      </c>
      <c r="Z26" s="80">
        <v>8.0</v>
      </c>
      <c r="AA26" s="119">
        <v>43001.0</v>
      </c>
      <c r="AB26" s="80">
        <v>-174.0</v>
      </c>
      <c r="AC26" s="80">
        <v>-914.0</v>
      </c>
      <c r="AD26" s="80">
        <v>1642.0</v>
      </c>
      <c r="AE26" s="80">
        <v>-658.0</v>
      </c>
    </row>
    <row r="27">
      <c r="A27" s="28">
        <f>'SAMLET_alle regnskab'!B36</f>
        <v>26</v>
      </c>
      <c r="B27" s="80">
        <f>'SAMLET_alle regnskab'!A36</f>
        <v>8</v>
      </c>
      <c r="C27" s="28">
        <f>'SAMLET_alle regnskab'!U36</f>
        <v>-8</v>
      </c>
      <c r="D27" s="28">
        <f>'SAMLET_alle regnskab'!V36</f>
        <v>-8</v>
      </c>
      <c r="E27" s="28">
        <f>'SAMLET_alle regnskab'!W36</f>
        <v>8</v>
      </c>
      <c r="F27" s="28">
        <f>'SAMLET_alle regnskab'!X36</f>
        <v>8</v>
      </c>
      <c r="H27" s="80">
        <f t="shared" si="7"/>
        <v>8</v>
      </c>
      <c r="I27" s="28">
        <f t="shared" ref="I27:L27" si="73">I26+C27</f>
        <v>32</v>
      </c>
      <c r="J27" s="28">
        <f t="shared" si="73"/>
        <v>40</v>
      </c>
      <c r="K27" s="28">
        <f t="shared" si="73"/>
        <v>-128</v>
      </c>
      <c r="L27" s="28">
        <f t="shared" si="73"/>
        <v>56</v>
      </c>
      <c r="N27" s="80">
        <f t="shared" si="25"/>
        <v>8</v>
      </c>
      <c r="O27" s="28">
        <f t="shared" ref="O27:R27" si="74">O26+I20</f>
        <v>-164</v>
      </c>
      <c r="P27" s="28">
        <f t="shared" si="74"/>
        <v>-340</v>
      </c>
      <c r="Q27" s="28">
        <f t="shared" si="74"/>
        <v>-228</v>
      </c>
      <c r="R27" s="28">
        <f t="shared" si="74"/>
        <v>732</v>
      </c>
      <c r="T27" s="80">
        <v>8.0</v>
      </c>
      <c r="U27" s="80">
        <f t="shared" ref="U27:X27" si="75">U26+C20</f>
        <v>-190</v>
      </c>
      <c r="V27" s="80">
        <f t="shared" si="75"/>
        <v>-898</v>
      </c>
      <c r="W27" s="80">
        <f t="shared" si="75"/>
        <v>1658</v>
      </c>
      <c r="X27" s="80">
        <f t="shared" si="75"/>
        <v>-674</v>
      </c>
      <c r="Z27" s="80">
        <v>8.0</v>
      </c>
      <c r="AA27" s="119">
        <v>43001.0</v>
      </c>
      <c r="AB27" s="80">
        <v>-190.0</v>
      </c>
      <c r="AC27" s="80">
        <v>-898.0</v>
      </c>
      <c r="AD27" s="80">
        <v>1658.0</v>
      </c>
      <c r="AE27" s="80">
        <v>-674.0</v>
      </c>
    </row>
    <row r="28">
      <c r="A28" s="28">
        <f>'SAMLET_alle regnskab'!B37</f>
        <v>27</v>
      </c>
      <c r="B28" s="80">
        <f>'SAMLET_alle regnskab'!A37</f>
        <v>8</v>
      </c>
      <c r="C28" s="28">
        <f>'SAMLET_alle regnskab'!U37</f>
        <v>12</v>
      </c>
      <c r="D28" s="28">
        <f>'SAMLET_alle regnskab'!V37</f>
        <v>-12</v>
      </c>
      <c r="E28" s="28">
        <f>'SAMLET_alle regnskab'!W37</f>
        <v>-12</v>
      </c>
      <c r="F28" s="28">
        <f>'SAMLET_alle regnskab'!X37</f>
        <v>12</v>
      </c>
      <c r="H28" s="80">
        <f t="shared" si="7"/>
        <v>8</v>
      </c>
      <c r="I28" s="28">
        <f t="shared" ref="I28:L28" si="76">I27+C28</f>
        <v>44</v>
      </c>
      <c r="J28" s="28">
        <f t="shared" si="76"/>
        <v>28</v>
      </c>
      <c r="K28" s="28">
        <f t="shared" si="76"/>
        <v>-140</v>
      </c>
      <c r="L28" s="28">
        <f t="shared" si="76"/>
        <v>68</v>
      </c>
      <c r="N28" s="80">
        <f t="shared" si="25"/>
        <v>8</v>
      </c>
      <c r="O28" s="28">
        <f t="shared" ref="O28:R28" si="77">O27+I21</f>
        <v>-260</v>
      </c>
      <c r="P28" s="28">
        <f t="shared" si="77"/>
        <v>-212</v>
      </c>
      <c r="Q28" s="28">
        <f t="shared" si="77"/>
        <v>-220</v>
      </c>
      <c r="R28" s="28">
        <f t="shared" si="77"/>
        <v>692</v>
      </c>
      <c r="T28" s="80">
        <v>8.0</v>
      </c>
      <c r="U28" s="80">
        <f t="shared" ref="U28:X28" si="78">U27+C21</f>
        <v>-254</v>
      </c>
      <c r="V28" s="80">
        <f t="shared" si="78"/>
        <v>-834</v>
      </c>
      <c r="W28" s="80">
        <f t="shared" si="78"/>
        <v>1722</v>
      </c>
      <c r="X28" s="80">
        <f t="shared" si="78"/>
        <v>-738</v>
      </c>
      <c r="Z28" s="80">
        <v>8.0</v>
      </c>
      <c r="AA28" s="119">
        <v>43001.0</v>
      </c>
      <c r="AB28" s="80">
        <v>-254.0</v>
      </c>
      <c r="AC28" s="80">
        <v>-834.0</v>
      </c>
      <c r="AD28" s="80">
        <v>1722.0</v>
      </c>
      <c r="AE28" s="80">
        <v>-738.0</v>
      </c>
    </row>
    <row r="29">
      <c r="A29" s="28">
        <f>'SAMLET_alle regnskab'!B38</f>
        <v>28</v>
      </c>
      <c r="B29" s="80">
        <f>'SAMLET_alle regnskab'!A38</f>
        <v>8</v>
      </c>
      <c r="C29" s="28">
        <f>'SAMLET_alle regnskab'!U38</f>
        <v>80</v>
      </c>
      <c r="D29" s="28">
        <f>'SAMLET_alle regnskab'!V38</f>
        <v>-80</v>
      </c>
      <c r="E29" s="28">
        <f>'SAMLET_alle regnskab'!W38</f>
        <v>-80</v>
      </c>
      <c r="F29" s="28">
        <f>'SAMLET_alle regnskab'!X38</f>
        <v>80</v>
      </c>
      <c r="H29" s="80">
        <f t="shared" si="7"/>
        <v>8</v>
      </c>
      <c r="I29" s="28">
        <f t="shared" ref="I29:L29" si="79">I28+C29</f>
        <v>124</v>
      </c>
      <c r="J29" s="28">
        <f t="shared" si="79"/>
        <v>-52</v>
      </c>
      <c r="K29" s="28">
        <f t="shared" si="79"/>
        <v>-220</v>
      </c>
      <c r="L29" s="28">
        <f t="shared" si="79"/>
        <v>148</v>
      </c>
      <c r="N29" s="80">
        <f t="shared" si="25"/>
        <v>8</v>
      </c>
      <c r="O29" s="28">
        <f t="shared" ref="O29:R29" si="80">O28+I22</f>
        <v>-336</v>
      </c>
      <c r="P29" s="28">
        <f t="shared" si="80"/>
        <v>-64</v>
      </c>
      <c r="Q29" s="28">
        <f t="shared" si="80"/>
        <v>-272</v>
      </c>
      <c r="R29" s="28">
        <f t="shared" si="80"/>
        <v>672</v>
      </c>
      <c r="T29" s="80">
        <v>8.0</v>
      </c>
      <c r="U29" s="80">
        <f t="shared" ref="U29:X29" si="81">U28+C22</f>
        <v>-234</v>
      </c>
      <c r="V29" s="80">
        <f t="shared" si="81"/>
        <v>-814</v>
      </c>
      <c r="W29" s="80">
        <f t="shared" si="81"/>
        <v>1662</v>
      </c>
      <c r="X29" s="80">
        <f t="shared" si="81"/>
        <v>-718</v>
      </c>
      <c r="Z29" s="80">
        <v>8.0</v>
      </c>
      <c r="AA29" s="119">
        <v>43001.0</v>
      </c>
      <c r="AB29" s="80">
        <v>-234.0</v>
      </c>
      <c r="AC29" s="80">
        <v>-814.0</v>
      </c>
      <c r="AD29" s="80">
        <v>1662.0</v>
      </c>
      <c r="AE29" s="80">
        <v>-718.0</v>
      </c>
    </row>
    <row r="30">
      <c r="A30" s="28">
        <f>'SAMLET_alle regnskab'!B39</f>
        <v>29</v>
      </c>
      <c r="B30" s="80">
        <f>'SAMLET_alle regnskab'!A39</f>
        <v>8</v>
      </c>
      <c r="C30" s="28">
        <f>'SAMLET_alle regnskab'!U39</f>
        <v>-8</v>
      </c>
      <c r="D30" s="28">
        <f>'SAMLET_alle regnskab'!V39</f>
        <v>8</v>
      </c>
      <c r="E30" s="28">
        <f>'SAMLET_alle regnskab'!W39</f>
        <v>-8</v>
      </c>
      <c r="F30" s="28">
        <f>'SAMLET_alle regnskab'!X39</f>
        <v>8</v>
      </c>
      <c r="H30" s="80">
        <f t="shared" si="7"/>
        <v>8</v>
      </c>
      <c r="I30" s="28">
        <f t="shared" ref="I30:L30" si="82">I29+C30</f>
        <v>116</v>
      </c>
      <c r="J30" s="28">
        <f t="shared" si="82"/>
        <v>-44</v>
      </c>
      <c r="K30" s="28">
        <f t="shared" si="82"/>
        <v>-228</v>
      </c>
      <c r="L30" s="28">
        <f t="shared" si="82"/>
        <v>156</v>
      </c>
      <c r="N30" s="80">
        <f t="shared" si="25"/>
        <v>8</v>
      </c>
      <c r="O30" s="28">
        <f t="shared" ref="O30:R30" si="83">O29+I23</f>
        <v>-396</v>
      </c>
      <c r="P30" s="28">
        <f t="shared" si="83"/>
        <v>36</v>
      </c>
      <c r="Q30" s="28">
        <f t="shared" si="83"/>
        <v>-308</v>
      </c>
      <c r="R30" s="28">
        <f t="shared" si="83"/>
        <v>668</v>
      </c>
      <c r="T30" s="80">
        <v>8.0</v>
      </c>
      <c r="U30" s="80">
        <f t="shared" ref="U30:X30" si="84">U29+C23</f>
        <v>-218</v>
      </c>
      <c r="V30" s="80">
        <f t="shared" si="84"/>
        <v>-862</v>
      </c>
      <c r="W30" s="80">
        <f t="shared" si="84"/>
        <v>1678</v>
      </c>
      <c r="X30" s="80">
        <f t="shared" si="84"/>
        <v>-702</v>
      </c>
      <c r="Z30" s="80">
        <v>8.0</v>
      </c>
      <c r="AA30" s="119">
        <v>43001.0</v>
      </c>
      <c r="AB30" s="80">
        <v>-218.0</v>
      </c>
      <c r="AC30" s="80">
        <v>-862.0</v>
      </c>
      <c r="AD30" s="80">
        <v>1678.0</v>
      </c>
      <c r="AE30" s="80">
        <v>-702.0</v>
      </c>
    </row>
    <row r="31">
      <c r="A31" s="28">
        <f>'SAMLET_alle regnskab'!B40</f>
        <v>30</v>
      </c>
      <c r="B31" s="80">
        <f>'SAMLET_alle regnskab'!A40</f>
        <v>8</v>
      </c>
      <c r="C31" s="28">
        <f>'SAMLET_alle regnskab'!U40</f>
        <v>-80</v>
      </c>
      <c r="D31" s="28">
        <f>'SAMLET_alle regnskab'!V40</f>
        <v>-80</v>
      </c>
      <c r="E31" s="28">
        <f>'SAMLET_alle regnskab'!W40</f>
        <v>80</v>
      </c>
      <c r="F31" s="28">
        <f>'SAMLET_alle regnskab'!X40</f>
        <v>80</v>
      </c>
      <c r="H31" s="80">
        <f t="shared" si="7"/>
        <v>8</v>
      </c>
      <c r="I31" s="28">
        <f t="shared" ref="I31:L31" si="85">I30+C31</f>
        <v>36</v>
      </c>
      <c r="J31" s="28">
        <f t="shared" si="85"/>
        <v>-124</v>
      </c>
      <c r="K31" s="28">
        <f t="shared" si="85"/>
        <v>-148</v>
      </c>
      <c r="L31" s="28">
        <f t="shared" si="85"/>
        <v>236</v>
      </c>
      <c r="N31" s="80">
        <f t="shared" si="25"/>
        <v>8</v>
      </c>
      <c r="O31" s="28">
        <f t="shared" ref="O31:R31" si="86">O30+I24</f>
        <v>-392</v>
      </c>
      <c r="P31" s="28">
        <f t="shared" si="86"/>
        <v>72</v>
      </c>
      <c r="Q31" s="28">
        <f t="shared" si="86"/>
        <v>-408</v>
      </c>
      <c r="R31" s="28">
        <f t="shared" si="86"/>
        <v>728</v>
      </c>
      <c r="T31" s="80">
        <v>8.0</v>
      </c>
      <c r="U31" s="80">
        <f t="shared" ref="U31:X31" si="87">U30+C24</f>
        <v>-154</v>
      </c>
      <c r="V31" s="80">
        <f t="shared" si="87"/>
        <v>-926</v>
      </c>
      <c r="W31" s="80">
        <f t="shared" si="87"/>
        <v>1614</v>
      </c>
      <c r="X31" s="80">
        <f t="shared" si="87"/>
        <v>-638</v>
      </c>
      <c r="Z31" s="80">
        <v>8.0</v>
      </c>
      <c r="AA31" s="119">
        <v>43001.0</v>
      </c>
      <c r="AB31" s="80">
        <v>-154.0</v>
      </c>
      <c r="AC31" s="80">
        <v>-926.0</v>
      </c>
      <c r="AD31" s="80">
        <v>1614.0</v>
      </c>
      <c r="AE31" s="80">
        <v>-638.0</v>
      </c>
    </row>
    <row r="32">
      <c r="A32" s="28">
        <f>'SAMLET_alle regnskab'!B41</f>
        <v>31</v>
      </c>
      <c r="B32" s="80">
        <f>'SAMLET_alle regnskab'!A41</f>
        <v>8</v>
      </c>
      <c r="C32" s="28">
        <f>'SAMLET_alle regnskab'!U41</f>
        <v>-8</v>
      </c>
      <c r="D32" s="28">
        <f>'SAMLET_alle regnskab'!V41</f>
        <v>-8</v>
      </c>
      <c r="E32" s="28">
        <f>'SAMLET_alle regnskab'!W41</f>
        <v>-8</v>
      </c>
      <c r="F32" s="28">
        <f>'SAMLET_alle regnskab'!X41</f>
        <v>24</v>
      </c>
      <c r="H32" s="80">
        <f t="shared" si="7"/>
        <v>8</v>
      </c>
      <c r="I32" s="28">
        <f t="shared" ref="I32:L32" si="88">I31+C32</f>
        <v>28</v>
      </c>
      <c r="J32" s="28">
        <f t="shared" si="88"/>
        <v>-132</v>
      </c>
      <c r="K32" s="28">
        <f t="shared" si="88"/>
        <v>-156</v>
      </c>
      <c r="L32" s="28">
        <f t="shared" si="88"/>
        <v>260</v>
      </c>
      <c r="N32" s="80">
        <f t="shared" si="25"/>
        <v>8</v>
      </c>
      <c r="O32" s="28">
        <f t="shared" ref="O32:R32" si="89">O31+I25</f>
        <v>-364</v>
      </c>
      <c r="P32" s="28">
        <f t="shared" si="89"/>
        <v>132</v>
      </c>
      <c r="Q32" s="28">
        <f t="shared" si="89"/>
        <v>-532</v>
      </c>
      <c r="R32" s="28">
        <f t="shared" si="89"/>
        <v>764</v>
      </c>
      <c r="T32" s="80">
        <v>8.0</v>
      </c>
      <c r="U32" s="80">
        <f t="shared" ref="U32:X32" si="90">U31+C25</f>
        <v>-130</v>
      </c>
      <c r="V32" s="80">
        <f t="shared" si="90"/>
        <v>-902</v>
      </c>
      <c r="W32" s="80">
        <f t="shared" si="90"/>
        <v>1590</v>
      </c>
      <c r="X32" s="80">
        <f t="shared" si="90"/>
        <v>-662</v>
      </c>
      <c r="Z32" s="80">
        <v>8.0</v>
      </c>
      <c r="AA32" s="119">
        <v>43001.0</v>
      </c>
      <c r="AB32" s="80">
        <v>-130.0</v>
      </c>
      <c r="AC32" s="80">
        <v>-902.0</v>
      </c>
      <c r="AD32" s="80">
        <v>1590.0</v>
      </c>
      <c r="AE32" s="80">
        <v>-662.0</v>
      </c>
    </row>
    <row r="33">
      <c r="A33" s="28">
        <f>'SAMLET_alle regnskab'!B42</f>
        <v>32</v>
      </c>
      <c r="B33" s="80">
        <f>'SAMLET_alle regnskab'!A42</f>
        <v>8</v>
      </c>
      <c r="C33" s="28">
        <f>'SAMLET_alle regnskab'!U42</f>
        <v>24</v>
      </c>
      <c r="D33" s="28">
        <f>'SAMLET_alle regnskab'!V42</f>
        <v>-72</v>
      </c>
      <c r="E33" s="28">
        <f>'SAMLET_alle regnskab'!W42</f>
        <v>24</v>
      </c>
      <c r="F33" s="28">
        <f>'SAMLET_alle regnskab'!X42</f>
        <v>24</v>
      </c>
      <c r="H33" s="80">
        <f t="shared" si="7"/>
        <v>8</v>
      </c>
      <c r="I33" s="28">
        <f t="shared" ref="I33:L33" si="91">I32+C33</f>
        <v>52</v>
      </c>
      <c r="J33" s="28">
        <f t="shared" si="91"/>
        <v>-204</v>
      </c>
      <c r="K33" s="28">
        <f t="shared" si="91"/>
        <v>-132</v>
      </c>
      <c r="L33" s="28">
        <f t="shared" si="91"/>
        <v>284</v>
      </c>
      <c r="N33" s="80">
        <f t="shared" si="25"/>
        <v>8</v>
      </c>
      <c r="O33" s="28">
        <f t="shared" ref="O33:R33" si="92">O32+I26</f>
        <v>-324</v>
      </c>
      <c r="P33" s="28">
        <f t="shared" si="92"/>
        <v>180</v>
      </c>
      <c r="Q33" s="28">
        <f t="shared" si="92"/>
        <v>-668</v>
      </c>
      <c r="R33" s="28">
        <f t="shared" si="92"/>
        <v>812</v>
      </c>
      <c r="T33" s="80">
        <v>8.0</v>
      </c>
      <c r="U33" s="80">
        <f t="shared" ref="U33:X33" si="93">U32+C26</f>
        <v>-118</v>
      </c>
      <c r="V33" s="80">
        <f t="shared" si="93"/>
        <v>-914</v>
      </c>
      <c r="W33" s="80">
        <f t="shared" si="93"/>
        <v>1578</v>
      </c>
      <c r="X33" s="80">
        <f t="shared" si="93"/>
        <v>-650</v>
      </c>
      <c r="Z33" s="80">
        <v>8.0</v>
      </c>
      <c r="AA33" s="119">
        <v>43001.0</v>
      </c>
      <c r="AB33" s="80">
        <v>-118.0</v>
      </c>
      <c r="AC33" s="80">
        <v>-914.0</v>
      </c>
      <c r="AD33" s="80">
        <v>1578.0</v>
      </c>
      <c r="AE33" s="80">
        <v>-650.0</v>
      </c>
    </row>
    <row r="34">
      <c r="A34" s="28">
        <f>'SAMLET_alle regnskab'!B43</f>
        <v>33</v>
      </c>
      <c r="B34" s="80">
        <f>'SAMLET_alle regnskab'!A43</f>
        <v>8</v>
      </c>
      <c r="C34" s="28">
        <f>'SAMLET_alle regnskab'!U43</f>
        <v>-16</v>
      </c>
      <c r="D34" s="28">
        <f>'SAMLET_alle regnskab'!V43</f>
        <v>-16</v>
      </c>
      <c r="E34" s="28">
        <f>'SAMLET_alle regnskab'!W43</f>
        <v>-16</v>
      </c>
      <c r="F34" s="28">
        <f>'SAMLET_alle regnskab'!X43</f>
        <v>48</v>
      </c>
      <c r="H34" s="80">
        <f t="shared" si="7"/>
        <v>8</v>
      </c>
      <c r="I34" s="28">
        <f t="shared" ref="I34:L34" si="94">I33+C34</f>
        <v>36</v>
      </c>
      <c r="J34" s="28">
        <f t="shared" si="94"/>
        <v>-220</v>
      </c>
      <c r="K34" s="28">
        <f t="shared" si="94"/>
        <v>-148</v>
      </c>
      <c r="L34" s="28">
        <f t="shared" si="94"/>
        <v>332</v>
      </c>
      <c r="N34" s="80">
        <f t="shared" si="25"/>
        <v>8</v>
      </c>
      <c r="O34" s="28">
        <f t="shared" ref="O34:R34" si="95">O33+I27</f>
        <v>-292</v>
      </c>
      <c r="P34" s="28">
        <f t="shared" si="95"/>
        <v>220</v>
      </c>
      <c r="Q34" s="28">
        <f t="shared" si="95"/>
        <v>-796</v>
      </c>
      <c r="R34" s="28">
        <f t="shared" si="95"/>
        <v>868</v>
      </c>
      <c r="T34" s="80">
        <v>8.0</v>
      </c>
      <c r="U34" s="80">
        <f t="shared" ref="U34:X34" si="96">U33+C27</f>
        <v>-126</v>
      </c>
      <c r="V34" s="80">
        <f t="shared" si="96"/>
        <v>-922</v>
      </c>
      <c r="W34" s="80">
        <f t="shared" si="96"/>
        <v>1586</v>
      </c>
      <c r="X34" s="80">
        <f t="shared" si="96"/>
        <v>-642</v>
      </c>
      <c r="Z34" s="80">
        <v>8.0</v>
      </c>
      <c r="AA34" s="119">
        <v>43001.0</v>
      </c>
      <c r="AB34" s="80">
        <v>-126.0</v>
      </c>
      <c r="AC34" s="80">
        <v>-922.0</v>
      </c>
      <c r="AD34" s="80">
        <v>1586.0</v>
      </c>
      <c r="AE34" s="80">
        <v>-642.0</v>
      </c>
    </row>
    <row r="35">
      <c r="A35" s="28">
        <f>'SAMLET_alle regnskab'!B44</f>
        <v>34</v>
      </c>
      <c r="B35" s="80">
        <f>'SAMLET_alle regnskab'!A44</f>
        <v>8</v>
      </c>
      <c r="C35" s="28">
        <f>'SAMLET_alle regnskab'!U44</f>
        <v>-16</v>
      </c>
      <c r="D35" s="28">
        <f>'SAMLET_alle regnskab'!V44</f>
        <v>-16</v>
      </c>
      <c r="E35" s="28">
        <f>'SAMLET_alle regnskab'!W44</f>
        <v>16</v>
      </c>
      <c r="F35" s="28">
        <f>'SAMLET_alle regnskab'!X44</f>
        <v>16</v>
      </c>
      <c r="H35" s="80">
        <f t="shared" si="7"/>
        <v>8</v>
      </c>
      <c r="I35" s="28">
        <f t="shared" ref="I35:L35" si="97">I34+C35</f>
        <v>20</v>
      </c>
      <c r="J35" s="28">
        <f t="shared" si="97"/>
        <v>-236</v>
      </c>
      <c r="K35" s="28">
        <f t="shared" si="97"/>
        <v>-132</v>
      </c>
      <c r="L35" s="28">
        <f t="shared" si="97"/>
        <v>348</v>
      </c>
      <c r="N35" s="80">
        <f t="shared" si="25"/>
        <v>8</v>
      </c>
      <c r="O35" s="28">
        <f t="shared" ref="O35:R35" si="98">O34+I28</f>
        <v>-248</v>
      </c>
      <c r="P35" s="28">
        <f t="shared" si="98"/>
        <v>248</v>
      </c>
      <c r="Q35" s="28">
        <f t="shared" si="98"/>
        <v>-936</v>
      </c>
      <c r="R35" s="28">
        <f t="shared" si="98"/>
        <v>936</v>
      </c>
      <c r="T35" s="80">
        <v>8.0</v>
      </c>
      <c r="U35" s="80">
        <f t="shared" ref="U35:X35" si="99">U34+C28</f>
        <v>-114</v>
      </c>
      <c r="V35" s="80">
        <f t="shared" si="99"/>
        <v>-934</v>
      </c>
      <c r="W35" s="80">
        <f t="shared" si="99"/>
        <v>1574</v>
      </c>
      <c r="X35" s="80">
        <f t="shared" si="99"/>
        <v>-630</v>
      </c>
      <c r="Z35" s="80">
        <v>8.0</v>
      </c>
      <c r="AA35" s="119">
        <v>43001.0</v>
      </c>
      <c r="AB35" s="80">
        <v>-114.0</v>
      </c>
      <c r="AC35" s="80">
        <v>-934.0</v>
      </c>
      <c r="AD35" s="80">
        <v>1574.0</v>
      </c>
      <c r="AE35" s="80">
        <v>-630.0</v>
      </c>
    </row>
    <row r="36">
      <c r="A36" s="28">
        <f>'SAMLET_alle regnskab'!B45</f>
        <v>35</v>
      </c>
      <c r="B36" s="80">
        <f>'SAMLET_alle regnskab'!A45</f>
        <v>8</v>
      </c>
      <c r="C36" s="28">
        <f>'SAMLET_alle regnskab'!U45</f>
        <v>-24</v>
      </c>
      <c r="D36" s="28">
        <f>'SAMLET_alle regnskab'!V45</f>
        <v>24</v>
      </c>
      <c r="E36" s="28">
        <f>'SAMLET_alle regnskab'!W45</f>
        <v>-24</v>
      </c>
      <c r="F36" s="28">
        <f>'SAMLET_alle regnskab'!X45</f>
        <v>24</v>
      </c>
      <c r="H36" s="80">
        <f t="shared" si="7"/>
        <v>8</v>
      </c>
      <c r="I36" s="28">
        <f t="shared" ref="I36:L36" si="100">I35+C36</f>
        <v>-4</v>
      </c>
      <c r="J36" s="28">
        <f t="shared" si="100"/>
        <v>-212</v>
      </c>
      <c r="K36" s="28">
        <f t="shared" si="100"/>
        <v>-156</v>
      </c>
      <c r="L36" s="28">
        <f t="shared" si="100"/>
        <v>372</v>
      </c>
      <c r="N36" s="80">
        <f t="shared" si="25"/>
        <v>8</v>
      </c>
      <c r="O36" s="28">
        <f t="shared" ref="O36:R36" si="101">O35+I29</f>
        <v>-124</v>
      </c>
      <c r="P36" s="28">
        <f t="shared" si="101"/>
        <v>196</v>
      </c>
      <c r="Q36" s="28">
        <f t="shared" si="101"/>
        <v>-1156</v>
      </c>
      <c r="R36" s="28">
        <f t="shared" si="101"/>
        <v>1084</v>
      </c>
      <c r="T36" s="80">
        <v>8.0</v>
      </c>
      <c r="U36" s="80">
        <f t="shared" ref="U36:X36" si="102">U35+C29</f>
        <v>-34</v>
      </c>
      <c r="V36" s="80">
        <f t="shared" si="102"/>
        <v>-1014</v>
      </c>
      <c r="W36" s="80">
        <f t="shared" si="102"/>
        <v>1494</v>
      </c>
      <c r="X36" s="80">
        <f t="shared" si="102"/>
        <v>-550</v>
      </c>
      <c r="Z36" s="80">
        <v>8.0</v>
      </c>
      <c r="AA36" s="119">
        <v>43001.0</v>
      </c>
      <c r="AB36" s="80">
        <v>-34.0</v>
      </c>
      <c r="AC36" s="80">
        <v>-1014.0</v>
      </c>
      <c r="AD36" s="80">
        <v>1494.0</v>
      </c>
      <c r="AE36" s="80">
        <v>-550.0</v>
      </c>
    </row>
    <row r="37">
      <c r="A37" s="28">
        <f>'SAMLET_alle regnskab'!B46</f>
        <v>36</v>
      </c>
      <c r="B37" s="80">
        <f>'SAMLET_alle regnskab'!A46</f>
        <v>8</v>
      </c>
      <c r="C37" s="28">
        <f>'SAMLET_alle regnskab'!U46</f>
        <v>16</v>
      </c>
      <c r="D37" s="28">
        <f>'SAMLET_alle regnskab'!V46</f>
        <v>-48</v>
      </c>
      <c r="E37" s="28">
        <f>'SAMLET_alle regnskab'!W46</f>
        <v>16</v>
      </c>
      <c r="F37" s="28">
        <f>'SAMLET_alle regnskab'!X46</f>
        <v>16</v>
      </c>
      <c r="H37" s="80">
        <f t="shared" si="7"/>
        <v>8</v>
      </c>
      <c r="I37" s="28">
        <f t="shared" ref="I37:L37" si="103">I36+C37</f>
        <v>12</v>
      </c>
      <c r="J37" s="28">
        <f t="shared" si="103"/>
        <v>-260</v>
      </c>
      <c r="K37" s="28">
        <f t="shared" si="103"/>
        <v>-140</v>
      </c>
      <c r="L37" s="28">
        <f t="shared" si="103"/>
        <v>388</v>
      </c>
      <c r="N37" s="80">
        <f t="shared" si="25"/>
        <v>8</v>
      </c>
      <c r="O37" s="28">
        <f t="shared" ref="O37:R37" si="104">O36+I30</f>
        <v>-8</v>
      </c>
      <c r="P37" s="28">
        <f t="shared" si="104"/>
        <v>152</v>
      </c>
      <c r="Q37" s="28">
        <f t="shared" si="104"/>
        <v>-1384</v>
      </c>
      <c r="R37" s="28">
        <f t="shared" si="104"/>
        <v>1240</v>
      </c>
      <c r="T37" s="80">
        <v>8.0</v>
      </c>
      <c r="U37" s="80">
        <f t="shared" ref="U37:X37" si="105">U36+C30</f>
        <v>-42</v>
      </c>
      <c r="V37" s="80">
        <f t="shared" si="105"/>
        <v>-1006</v>
      </c>
      <c r="W37" s="80">
        <f t="shared" si="105"/>
        <v>1486</v>
      </c>
      <c r="X37" s="80">
        <f t="shared" si="105"/>
        <v>-542</v>
      </c>
      <c r="Z37" s="80">
        <v>8.0</v>
      </c>
      <c r="AA37" s="119">
        <v>43001.0</v>
      </c>
      <c r="AB37" s="80">
        <v>-42.0</v>
      </c>
      <c r="AC37" s="80">
        <v>-1006.0</v>
      </c>
      <c r="AD37" s="80">
        <v>1486.0</v>
      </c>
      <c r="AE37" s="80">
        <v>-542.0</v>
      </c>
    </row>
    <row r="38">
      <c r="A38" s="28">
        <f>'SAMLET_alle regnskab'!B47</f>
        <v>37</v>
      </c>
      <c r="B38" s="80">
        <f>'SAMLET_alle regnskab'!A47</f>
        <v>8</v>
      </c>
      <c r="C38" s="28">
        <f>'SAMLET_alle regnskab'!U47</f>
        <v>24</v>
      </c>
      <c r="D38" s="28">
        <f>'SAMLET_alle regnskab'!V47</f>
        <v>-24</v>
      </c>
      <c r="E38" s="28">
        <f>'SAMLET_alle regnskab'!W47</f>
        <v>24</v>
      </c>
      <c r="F38" s="28">
        <f>'SAMLET_alle regnskab'!X47</f>
        <v>-24</v>
      </c>
      <c r="H38" s="80">
        <f t="shared" si="7"/>
        <v>8</v>
      </c>
      <c r="I38" s="28">
        <f t="shared" ref="I38:L38" si="106">I37+C38</f>
        <v>36</v>
      </c>
      <c r="J38" s="28">
        <f t="shared" si="106"/>
        <v>-284</v>
      </c>
      <c r="K38" s="28">
        <f t="shared" si="106"/>
        <v>-116</v>
      </c>
      <c r="L38" s="28">
        <f t="shared" si="106"/>
        <v>364</v>
      </c>
      <c r="N38" s="80">
        <f t="shared" si="25"/>
        <v>8</v>
      </c>
      <c r="O38" s="28">
        <f t="shared" ref="O38:R38" si="107">O37+I31</f>
        <v>28</v>
      </c>
      <c r="P38" s="28">
        <f t="shared" si="107"/>
        <v>28</v>
      </c>
      <c r="Q38" s="28">
        <f t="shared" si="107"/>
        <v>-1532</v>
      </c>
      <c r="R38" s="28">
        <f t="shared" si="107"/>
        <v>1476</v>
      </c>
      <c r="T38" s="80">
        <v>8.0</v>
      </c>
      <c r="U38" s="80">
        <f t="shared" ref="U38:X38" si="108">U37+C31</f>
        <v>-122</v>
      </c>
      <c r="V38" s="80">
        <f t="shared" si="108"/>
        <v>-1086</v>
      </c>
      <c r="W38" s="80">
        <f t="shared" si="108"/>
        <v>1566</v>
      </c>
      <c r="X38" s="80">
        <f t="shared" si="108"/>
        <v>-462</v>
      </c>
      <c r="Z38" s="80">
        <v>8.0</v>
      </c>
      <c r="AA38" s="119">
        <v>43001.0</v>
      </c>
      <c r="AB38" s="80">
        <v>-122.0</v>
      </c>
      <c r="AC38" s="80">
        <v>-1086.0</v>
      </c>
      <c r="AD38" s="80">
        <v>1566.0</v>
      </c>
      <c r="AE38" s="80">
        <v>-462.0</v>
      </c>
    </row>
    <row r="39">
      <c r="A39" s="28">
        <f>'SAMLET_alle regnskab'!B48</f>
        <v>38</v>
      </c>
      <c r="B39" s="80">
        <f>'SAMLET_alle regnskab'!A48</f>
        <v>8</v>
      </c>
      <c r="C39" s="28">
        <f>'SAMLET_alle regnskab'!U48</f>
        <v>-16</v>
      </c>
      <c r="D39" s="28">
        <f>'SAMLET_alle regnskab'!V48</f>
        <v>-16</v>
      </c>
      <c r="E39" s="28">
        <f>'SAMLET_alle regnskab'!W48</f>
        <v>16</v>
      </c>
      <c r="F39" s="28">
        <f>'SAMLET_alle regnskab'!X48</f>
        <v>16</v>
      </c>
      <c r="H39" s="80">
        <f t="shared" si="7"/>
        <v>8</v>
      </c>
      <c r="I39" s="28">
        <f t="shared" ref="I39:L39" si="109">I38+C39</f>
        <v>20</v>
      </c>
      <c r="J39" s="28">
        <f t="shared" si="109"/>
        <v>-300</v>
      </c>
      <c r="K39" s="28">
        <f t="shared" si="109"/>
        <v>-100</v>
      </c>
      <c r="L39" s="28">
        <f t="shared" si="109"/>
        <v>380</v>
      </c>
      <c r="N39" s="80">
        <f t="shared" si="25"/>
        <v>8</v>
      </c>
      <c r="O39" s="28">
        <f t="shared" ref="O39:R39" si="110">O38+I32</f>
        <v>56</v>
      </c>
      <c r="P39" s="28">
        <f t="shared" si="110"/>
        <v>-104</v>
      </c>
      <c r="Q39" s="28">
        <f t="shared" si="110"/>
        <v>-1688</v>
      </c>
      <c r="R39" s="28">
        <f t="shared" si="110"/>
        <v>1736</v>
      </c>
      <c r="T39" s="80">
        <v>8.0</v>
      </c>
      <c r="U39" s="80">
        <f t="shared" ref="U39:X39" si="111">U38+C32</f>
        <v>-130</v>
      </c>
      <c r="V39" s="80">
        <f t="shared" si="111"/>
        <v>-1094</v>
      </c>
      <c r="W39" s="80">
        <f t="shared" si="111"/>
        <v>1558</v>
      </c>
      <c r="X39" s="80">
        <f t="shared" si="111"/>
        <v>-438</v>
      </c>
      <c r="Z39" s="80">
        <v>8.0</v>
      </c>
      <c r="AA39" s="119">
        <v>43001.0</v>
      </c>
      <c r="AB39" s="80">
        <v>-130.0</v>
      </c>
      <c r="AC39" s="80">
        <v>-1094.0</v>
      </c>
      <c r="AD39" s="80">
        <v>1558.0</v>
      </c>
      <c r="AE39" s="80">
        <v>-438.0</v>
      </c>
    </row>
    <row r="40">
      <c r="A40" s="28">
        <f>'SAMLET_alle regnskab'!B49</f>
        <v>39</v>
      </c>
      <c r="B40" s="80">
        <f>'SAMLET_alle regnskab'!A49</f>
        <v>8</v>
      </c>
      <c r="C40" s="28">
        <f>'SAMLET_alle regnskab'!U49</f>
        <v>-24</v>
      </c>
      <c r="D40" s="28">
        <f>'SAMLET_alle regnskab'!V49</f>
        <v>24</v>
      </c>
      <c r="E40" s="28">
        <f>'SAMLET_alle regnskab'!W49</f>
        <v>-24</v>
      </c>
      <c r="F40" s="28">
        <f>'SAMLET_alle regnskab'!X49</f>
        <v>24</v>
      </c>
      <c r="H40" s="80">
        <f t="shared" si="7"/>
        <v>8</v>
      </c>
      <c r="I40" s="28">
        <f t="shared" ref="I40:L40" si="112">I39+C40</f>
        <v>-4</v>
      </c>
      <c r="J40" s="28">
        <f t="shared" si="112"/>
        <v>-276</v>
      </c>
      <c r="K40" s="28">
        <f t="shared" si="112"/>
        <v>-124</v>
      </c>
      <c r="L40" s="28">
        <f t="shared" si="112"/>
        <v>404</v>
      </c>
      <c r="N40" s="80">
        <f t="shared" si="25"/>
        <v>8</v>
      </c>
      <c r="O40" s="28">
        <f t="shared" ref="O40:R40" si="113">O39+I33</f>
        <v>108</v>
      </c>
      <c r="P40" s="28">
        <f t="shared" si="113"/>
        <v>-308</v>
      </c>
      <c r="Q40" s="28">
        <f t="shared" si="113"/>
        <v>-1820</v>
      </c>
      <c r="R40" s="28">
        <f t="shared" si="113"/>
        <v>2020</v>
      </c>
      <c r="T40" s="80">
        <v>8.0</v>
      </c>
      <c r="U40" s="80">
        <f t="shared" ref="U40:X40" si="114">U39+C33</f>
        <v>-106</v>
      </c>
      <c r="V40" s="80">
        <f t="shared" si="114"/>
        <v>-1166</v>
      </c>
      <c r="W40" s="80">
        <f t="shared" si="114"/>
        <v>1582</v>
      </c>
      <c r="X40" s="80">
        <f t="shared" si="114"/>
        <v>-414</v>
      </c>
      <c r="Z40" s="80">
        <v>8.0</v>
      </c>
      <c r="AA40" s="119">
        <v>43001.0</v>
      </c>
      <c r="AB40" s="80">
        <v>-106.0</v>
      </c>
      <c r="AC40" s="80">
        <v>-1166.0</v>
      </c>
      <c r="AD40" s="80">
        <v>1582.0</v>
      </c>
      <c r="AE40" s="80">
        <v>-414.0</v>
      </c>
    </row>
    <row r="41">
      <c r="A41" s="28">
        <f>'SAMLET_alle regnskab'!B50</f>
        <v>40</v>
      </c>
      <c r="B41" s="80">
        <f>'SAMLET_alle regnskab'!A50</f>
        <v>8</v>
      </c>
      <c r="C41" s="28">
        <f>'SAMLET_alle regnskab'!U50</f>
        <v>-48</v>
      </c>
      <c r="D41" s="28">
        <f>'SAMLET_alle regnskab'!V50</f>
        <v>48</v>
      </c>
      <c r="E41" s="28">
        <f>'SAMLET_alle regnskab'!W50</f>
        <v>48</v>
      </c>
      <c r="F41" s="28">
        <f>'SAMLET_alle regnskab'!X50</f>
        <v>-48</v>
      </c>
      <c r="H41" s="80">
        <f t="shared" si="7"/>
        <v>8</v>
      </c>
      <c r="I41" s="28">
        <f t="shared" ref="I41:L41" si="115">I40+C41</f>
        <v>-52</v>
      </c>
      <c r="J41" s="28">
        <f t="shared" si="115"/>
        <v>-228</v>
      </c>
      <c r="K41" s="28">
        <f t="shared" si="115"/>
        <v>-76</v>
      </c>
      <c r="L41" s="28">
        <f t="shared" si="115"/>
        <v>356</v>
      </c>
      <c r="N41" s="80">
        <f t="shared" si="25"/>
        <v>8</v>
      </c>
      <c r="O41" s="28">
        <f t="shared" ref="O41:R41" si="116">O40+I34</f>
        <v>144</v>
      </c>
      <c r="P41" s="28">
        <f t="shared" si="116"/>
        <v>-528</v>
      </c>
      <c r="Q41" s="28">
        <f t="shared" si="116"/>
        <v>-1968</v>
      </c>
      <c r="R41" s="28">
        <f t="shared" si="116"/>
        <v>2352</v>
      </c>
      <c r="T41" s="80">
        <v>8.0</v>
      </c>
      <c r="U41" s="80">
        <f t="shared" ref="U41:X41" si="117">U40+C34</f>
        <v>-122</v>
      </c>
      <c r="V41" s="80">
        <f t="shared" si="117"/>
        <v>-1182</v>
      </c>
      <c r="W41" s="80">
        <f t="shared" si="117"/>
        <v>1566</v>
      </c>
      <c r="X41" s="80">
        <f t="shared" si="117"/>
        <v>-366</v>
      </c>
      <c r="Z41" s="80">
        <v>8.0</v>
      </c>
      <c r="AA41" s="119">
        <v>43001.0</v>
      </c>
      <c r="AB41" s="80">
        <v>-122.0</v>
      </c>
      <c r="AC41" s="80">
        <v>-1182.0</v>
      </c>
      <c r="AD41" s="80">
        <v>1566.0</v>
      </c>
      <c r="AE41" s="80">
        <v>-366.0</v>
      </c>
    </row>
    <row r="42">
      <c r="A42" s="28">
        <f>'SAMLET_alle regnskab'!B51</f>
        <v>41</v>
      </c>
      <c r="B42" s="80">
        <f>'SAMLET_alle regnskab'!A51</f>
        <v>8</v>
      </c>
      <c r="C42" s="28">
        <f>'SAMLET_alle regnskab'!U51</f>
        <v>-32</v>
      </c>
      <c r="D42" s="28">
        <f>'SAMLET_alle regnskab'!V51</f>
        <v>32</v>
      </c>
      <c r="E42" s="28">
        <f>'SAMLET_alle regnskab'!W51</f>
        <v>-32</v>
      </c>
      <c r="F42" s="28">
        <f>'SAMLET_alle regnskab'!X51</f>
        <v>32</v>
      </c>
      <c r="H42" s="80">
        <f t="shared" si="7"/>
        <v>8</v>
      </c>
      <c r="I42" s="28">
        <f t="shared" ref="I42:L42" si="118">I41+C42</f>
        <v>-84</v>
      </c>
      <c r="J42" s="28">
        <f t="shared" si="118"/>
        <v>-196</v>
      </c>
      <c r="K42" s="28">
        <f t="shared" si="118"/>
        <v>-108</v>
      </c>
      <c r="L42" s="28">
        <f t="shared" si="118"/>
        <v>388</v>
      </c>
      <c r="N42" s="80">
        <f t="shared" si="25"/>
        <v>8</v>
      </c>
      <c r="O42" s="28">
        <f t="shared" ref="O42:R42" si="119">O41+I35</f>
        <v>164</v>
      </c>
      <c r="P42" s="28">
        <f t="shared" si="119"/>
        <v>-764</v>
      </c>
      <c r="Q42" s="28">
        <f t="shared" si="119"/>
        <v>-2100</v>
      </c>
      <c r="R42" s="28">
        <f t="shared" si="119"/>
        <v>2700</v>
      </c>
      <c r="T42" s="80">
        <v>8.0</v>
      </c>
      <c r="U42" s="80">
        <f t="shared" ref="U42:X42" si="120">U41+C35</f>
        <v>-138</v>
      </c>
      <c r="V42" s="80">
        <f t="shared" si="120"/>
        <v>-1198</v>
      </c>
      <c r="W42" s="80">
        <f t="shared" si="120"/>
        <v>1582</v>
      </c>
      <c r="X42" s="80">
        <f t="shared" si="120"/>
        <v>-350</v>
      </c>
      <c r="Z42" s="80">
        <v>8.0</v>
      </c>
      <c r="AA42" s="119">
        <v>43001.0</v>
      </c>
      <c r="AB42" s="80">
        <v>-138.0</v>
      </c>
      <c r="AC42" s="80">
        <v>-1198.0</v>
      </c>
      <c r="AD42" s="80">
        <v>1582.0</v>
      </c>
      <c r="AE42" s="80">
        <v>-350.0</v>
      </c>
    </row>
    <row r="43">
      <c r="A43" s="28">
        <f>'SAMLET_alle regnskab'!B52</f>
        <v>42</v>
      </c>
      <c r="B43" s="80">
        <f>'SAMLET_alle regnskab'!A52</f>
        <v>8</v>
      </c>
      <c r="C43" s="28">
        <f>'SAMLET_alle regnskab'!U52</f>
        <v>-8</v>
      </c>
      <c r="D43" s="28">
        <f>'SAMLET_alle regnskab'!V52</f>
        <v>-8</v>
      </c>
      <c r="E43" s="28">
        <f>'SAMLET_alle regnskab'!W52</f>
        <v>24</v>
      </c>
      <c r="F43" s="28">
        <f>'SAMLET_alle regnskab'!X52</f>
        <v>-8</v>
      </c>
      <c r="H43" s="80">
        <f t="shared" si="7"/>
        <v>8</v>
      </c>
      <c r="I43" s="28">
        <f t="shared" ref="I43:L43" si="121">I42+C43</f>
        <v>-92</v>
      </c>
      <c r="J43" s="28">
        <f t="shared" si="121"/>
        <v>-204</v>
      </c>
      <c r="K43" s="28">
        <f t="shared" si="121"/>
        <v>-84</v>
      </c>
      <c r="L43" s="28">
        <f t="shared" si="121"/>
        <v>380</v>
      </c>
      <c r="N43" s="80">
        <f t="shared" si="25"/>
        <v>8</v>
      </c>
      <c r="O43" s="28">
        <f t="shared" ref="O43:R43" si="122">O42+I36</f>
        <v>160</v>
      </c>
      <c r="P43" s="28">
        <f t="shared" si="122"/>
        <v>-976</v>
      </c>
      <c r="Q43" s="28">
        <f t="shared" si="122"/>
        <v>-2256</v>
      </c>
      <c r="R43" s="28">
        <f t="shared" si="122"/>
        <v>3072</v>
      </c>
      <c r="T43" s="80">
        <v>8.0</v>
      </c>
      <c r="U43" s="80">
        <f t="shared" ref="U43:X43" si="123">U42+C36</f>
        <v>-162</v>
      </c>
      <c r="V43" s="80">
        <f t="shared" si="123"/>
        <v>-1174</v>
      </c>
      <c r="W43" s="80">
        <f t="shared" si="123"/>
        <v>1558</v>
      </c>
      <c r="X43" s="80">
        <f t="shared" si="123"/>
        <v>-326</v>
      </c>
      <c r="Z43" s="80">
        <v>8.0</v>
      </c>
      <c r="AA43" s="119">
        <v>43001.0</v>
      </c>
      <c r="AB43" s="80">
        <v>-162.0</v>
      </c>
      <c r="AC43" s="80">
        <v>-1174.0</v>
      </c>
      <c r="AD43" s="80">
        <v>1558.0</v>
      </c>
      <c r="AE43" s="80">
        <v>-326.0</v>
      </c>
    </row>
    <row r="44">
      <c r="A44" s="28">
        <f>'SAMLET_alle regnskab'!B53</f>
        <v>43</v>
      </c>
      <c r="B44" s="80">
        <f>'SAMLET_alle regnskab'!A53</f>
        <v>8</v>
      </c>
      <c r="C44" s="28">
        <f>'SAMLET_alle regnskab'!U53</f>
        <v>8</v>
      </c>
      <c r="D44" s="28">
        <f>'SAMLET_alle regnskab'!V53</f>
        <v>8</v>
      </c>
      <c r="E44" s="28">
        <f>'SAMLET_alle regnskab'!W53</f>
        <v>8</v>
      </c>
      <c r="F44" s="28">
        <f>'SAMLET_alle regnskab'!X53</f>
        <v>-24</v>
      </c>
      <c r="H44" s="80">
        <f t="shared" si="7"/>
        <v>8</v>
      </c>
      <c r="I44" s="28">
        <f t="shared" ref="I44:L44" si="124">I43+C44</f>
        <v>-84</v>
      </c>
      <c r="J44" s="28">
        <f t="shared" si="124"/>
        <v>-196</v>
      </c>
      <c r="K44" s="28">
        <f t="shared" si="124"/>
        <v>-76</v>
      </c>
      <c r="L44" s="28">
        <f t="shared" si="124"/>
        <v>356</v>
      </c>
      <c r="N44" s="80">
        <f t="shared" si="25"/>
        <v>8</v>
      </c>
      <c r="O44" s="28">
        <f t="shared" ref="O44:R44" si="125">O43+I37</f>
        <v>172</v>
      </c>
      <c r="P44" s="28">
        <f t="shared" si="125"/>
        <v>-1236</v>
      </c>
      <c r="Q44" s="28">
        <f t="shared" si="125"/>
        <v>-2396</v>
      </c>
      <c r="R44" s="28">
        <f t="shared" si="125"/>
        <v>3460</v>
      </c>
      <c r="T44" s="80">
        <v>8.0</v>
      </c>
      <c r="U44" s="80">
        <f t="shared" ref="U44:X44" si="126">U43+C37</f>
        <v>-146</v>
      </c>
      <c r="V44" s="80">
        <f t="shared" si="126"/>
        <v>-1222</v>
      </c>
      <c r="W44" s="80">
        <f t="shared" si="126"/>
        <v>1574</v>
      </c>
      <c r="X44" s="80">
        <f t="shared" si="126"/>
        <v>-310</v>
      </c>
      <c r="Z44" s="80">
        <v>8.0</v>
      </c>
      <c r="AA44" s="119">
        <v>43001.0</v>
      </c>
      <c r="AB44" s="80">
        <v>-146.0</v>
      </c>
      <c r="AC44" s="80">
        <v>-1222.0</v>
      </c>
      <c r="AD44" s="80">
        <v>1574.0</v>
      </c>
      <c r="AE44" s="80">
        <v>-310.0</v>
      </c>
    </row>
    <row r="45">
      <c r="A45" s="28">
        <f>'SAMLET_alle regnskab'!B54</f>
        <v>44</v>
      </c>
      <c r="B45" s="80">
        <f>'SAMLET_alle regnskab'!A54</f>
        <v>8</v>
      </c>
      <c r="C45" s="28">
        <f>'SAMLET_alle regnskab'!U54</f>
        <v>12</v>
      </c>
      <c r="D45" s="28">
        <f>'SAMLET_alle regnskab'!V54</f>
        <v>12</v>
      </c>
      <c r="E45" s="28">
        <f>'SAMLET_alle regnskab'!W54</f>
        <v>-12</v>
      </c>
      <c r="F45" s="28">
        <f>'SAMLET_alle regnskab'!X54</f>
        <v>-12</v>
      </c>
      <c r="H45" s="80">
        <f t="shared" si="7"/>
        <v>8</v>
      </c>
      <c r="I45" s="28">
        <f t="shared" ref="I45:L45" si="127">I44+C45</f>
        <v>-72</v>
      </c>
      <c r="J45" s="28">
        <f t="shared" si="127"/>
        <v>-184</v>
      </c>
      <c r="K45" s="28">
        <f t="shared" si="127"/>
        <v>-88</v>
      </c>
      <c r="L45" s="28">
        <f t="shared" si="127"/>
        <v>344</v>
      </c>
      <c r="N45" s="80">
        <f t="shared" si="25"/>
        <v>8</v>
      </c>
      <c r="O45" s="28">
        <f t="shared" ref="O45:R45" si="128">O44+I38</f>
        <v>208</v>
      </c>
      <c r="P45" s="28">
        <f t="shared" si="128"/>
        <v>-1520</v>
      </c>
      <c r="Q45" s="28">
        <f t="shared" si="128"/>
        <v>-2512</v>
      </c>
      <c r="R45" s="28">
        <f t="shared" si="128"/>
        <v>3824</v>
      </c>
      <c r="T45" s="80">
        <v>8.0</v>
      </c>
      <c r="U45" s="80">
        <f t="shared" ref="U45:X45" si="129">U44+C38</f>
        <v>-122</v>
      </c>
      <c r="V45" s="80">
        <f t="shared" si="129"/>
        <v>-1246</v>
      </c>
      <c r="W45" s="80">
        <f t="shared" si="129"/>
        <v>1598</v>
      </c>
      <c r="X45" s="80">
        <f t="shared" si="129"/>
        <v>-334</v>
      </c>
      <c r="Z45" s="80">
        <v>8.0</v>
      </c>
      <c r="AA45" s="119">
        <v>43001.0</v>
      </c>
      <c r="AB45" s="80">
        <v>-122.0</v>
      </c>
      <c r="AC45" s="80">
        <v>-1246.0</v>
      </c>
      <c r="AD45" s="80">
        <v>1598.0</v>
      </c>
      <c r="AE45" s="80">
        <v>-334.0</v>
      </c>
    </row>
    <row r="46">
      <c r="A46" s="28">
        <f>'SAMLET_alle regnskab'!B55</f>
        <v>45</v>
      </c>
      <c r="B46" s="80">
        <f>'SAMLET_alle regnskab'!A55</f>
        <v>8</v>
      </c>
      <c r="C46" s="28">
        <f>'SAMLET_alle regnskab'!U55</f>
        <v>16</v>
      </c>
      <c r="D46" s="28">
        <f>'SAMLET_alle regnskab'!V55</f>
        <v>16</v>
      </c>
      <c r="E46" s="28">
        <f>'SAMLET_alle regnskab'!W55</f>
        <v>-48</v>
      </c>
      <c r="F46" s="28">
        <f>'SAMLET_alle regnskab'!X55</f>
        <v>16</v>
      </c>
      <c r="H46" s="80">
        <f t="shared" si="7"/>
        <v>8</v>
      </c>
      <c r="I46" s="28">
        <f t="shared" ref="I46:L46" si="130">I45+C46</f>
        <v>-56</v>
      </c>
      <c r="J46" s="28">
        <f t="shared" si="130"/>
        <v>-168</v>
      </c>
      <c r="K46" s="28">
        <f t="shared" si="130"/>
        <v>-136</v>
      </c>
      <c r="L46" s="28">
        <f t="shared" si="130"/>
        <v>360</v>
      </c>
      <c r="N46" s="80">
        <f t="shared" si="25"/>
        <v>8</v>
      </c>
      <c r="O46" s="28">
        <f t="shared" ref="O46:R46" si="131">O45+I39</f>
        <v>228</v>
      </c>
      <c r="P46" s="28">
        <f t="shared" si="131"/>
        <v>-1820</v>
      </c>
      <c r="Q46" s="28">
        <f t="shared" si="131"/>
        <v>-2612</v>
      </c>
      <c r="R46" s="28">
        <f t="shared" si="131"/>
        <v>4204</v>
      </c>
      <c r="T46" s="80">
        <v>8.0</v>
      </c>
      <c r="U46" s="80">
        <f t="shared" ref="U46:X46" si="132">U45+C39</f>
        <v>-138</v>
      </c>
      <c r="V46" s="80">
        <f t="shared" si="132"/>
        <v>-1262</v>
      </c>
      <c r="W46" s="80">
        <f t="shared" si="132"/>
        <v>1614</v>
      </c>
      <c r="X46" s="80">
        <f t="shared" si="132"/>
        <v>-318</v>
      </c>
      <c r="Z46" s="80">
        <v>8.0</v>
      </c>
      <c r="AA46" s="119">
        <v>43001.0</v>
      </c>
      <c r="AB46" s="80">
        <v>-138.0</v>
      </c>
      <c r="AC46" s="80">
        <v>-1262.0</v>
      </c>
      <c r="AD46" s="80">
        <v>1614.0</v>
      </c>
      <c r="AE46" s="80">
        <v>-318.0</v>
      </c>
    </row>
    <row r="47">
      <c r="A47" s="28">
        <f>'SAMLET_alle regnskab'!B56</f>
        <v>46</v>
      </c>
      <c r="B47" s="80">
        <f>'SAMLET_alle regnskab'!A56</f>
        <v>8</v>
      </c>
      <c r="C47" s="28">
        <f>'SAMLET_alle regnskab'!U56</f>
        <v>-8</v>
      </c>
      <c r="D47" s="28">
        <f>'SAMLET_alle regnskab'!V56</f>
        <v>-8</v>
      </c>
      <c r="E47" s="28">
        <f>'SAMLET_alle regnskab'!W56</f>
        <v>8</v>
      </c>
      <c r="F47" s="28">
        <f>'SAMLET_alle regnskab'!X56</f>
        <v>8</v>
      </c>
      <c r="H47" s="80">
        <f t="shared" si="7"/>
        <v>8</v>
      </c>
      <c r="I47" s="28">
        <f t="shared" ref="I47:L47" si="133">I46+C47</f>
        <v>-64</v>
      </c>
      <c r="J47" s="28">
        <f t="shared" si="133"/>
        <v>-176</v>
      </c>
      <c r="K47" s="28">
        <f t="shared" si="133"/>
        <v>-128</v>
      </c>
      <c r="L47" s="28">
        <f t="shared" si="133"/>
        <v>368</v>
      </c>
      <c r="N47" s="80">
        <f t="shared" si="25"/>
        <v>8</v>
      </c>
      <c r="O47" s="28">
        <f t="shared" ref="O47:R47" si="134">O46+I40</f>
        <v>224</v>
      </c>
      <c r="P47" s="28">
        <f t="shared" si="134"/>
        <v>-2096</v>
      </c>
      <c r="Q47" s="28">
        <f t="shared" si="134"/>
        <v>-2736</v>
      </c>
      <c r="R47" s="28">
        <f t="shared" si="134"/>
        <v>4608</v>
      </c>
      <c r="T47" s="80">
        <v>8.0</v>
      </c>
      <c r="U47" s="80">
        <f t="shared" ref="U47:X47" si="135">U46+C40</f>
        <v>-162</v>
      </c>
      <c r="V47" s="80">
        <f t="shared" si="135"/>
        <v>-1238</v>
      </c>
      <c r="W47" s="80">
        <f t="shared" si="135"/>
        <v>1590</v>
      </c>
      <c r="X47" s="80">
        <f t="shared" si="135"/>
        <v>-294</v>
      </c>
      <c r="Z47" s="80">
        <v>8.0</v>
      </c>
      <c r="AA47" s="119">
        <v>43001.0</v>
      </c>
      <c r="AB47" s="80">
        <v>-162.0</v>
      </c>
      <c r="AC47" s="80">
        <v>-1238.0</v>
      </c>
      <c r="AD47" s="80">
        <v>1590.0</v>
      </c>
      <c r="AE47" s="80">
        <v>-294.0</v>
      </c>
    </row>
    <row r="48">
      <c r="A48" s="28">
        <f>'SAMLET_alle regnskab'!B57</f>
        <v>47</v>
      </c>
      <c r="B48" s="80">
        <f>'SAMLET_alle regnskab'!A57</f>
        <v>8</v>
      </c>
      <c r="C48" s="28">
        <f>'SAMLET_alle regnskab'!U57</f>
        <v>-16</v>
      </c>
      <c r="D48" s="28">
        <f>'SAMLET_alle regnskab'!V57</f>
        <v>48</v>
      </c>
      <c r="E48" s="28">
        <f>'SAMLET_alle regnskab'!W57</f>
        <v>-16</v>
      </c>
      <c r="F48" s="28">
        <f>'SAMLET_alle regnskab'!X57</f>
        <v>-16</v>
      </c>
      <c r="H48" s="80">
        <f t="shared" si="7"/>
        <v>8</v>
      </c>
      <c r="I48" s="28">
        <f t="shared" ref="I48:L48" si="136">I47+C48</f>
        <v>-80</v>
      </c>
      <c r="J48" s="28">
        <f t="shared" si="136"/>
        <v>-128</v>
      </c>
      <c r="K48" s="28">
        <f t="shared" si="136"/>
        <v>-144</v>
      </c>
      <c r="L48" s="28">
        <f t="shared" si="136"/>
        <v>352</v>
      </c>
      <c r="N48" s="80">
        <f t="shared" si="25"/>
        <v>8</v>
      </c>
      <c r="O48" s="28">
        <f t="shared" ref="O48:R48" si="137">O47+I41</f>
        <v>172</v>
      </c>
      <c r="P48" s="28">
        <f t="shared" si="137"/>
        <v>-2324</v>
      </c>
      <c r="Q48" s="28">
        <f t="shared" si="137"/>
        <v>-2812</v>
      </c>
      <c r="R48" s="28">
        <f t="shared" si="137"/>
        <v>4964</v>
      </c>
      <c r="T48" s="80">
        <v>8.0</v>
      </c>
      <c r="U48" s="80">
        <f t="shared" ref="U48:X48" si="138">U47+C41</f>
        <v>-210</v>
      </c>
      <c r="V48" s="80">
        <f t="shared" si="138"/>
        <v>-1190</v>
      </c>
      <c r="W48" s="80">
        <f t="shared" si="138"/>
        <v>1638</v>
      </c>
      <c r="X48" s="80">
        <f t="shared" si="138"/>
        <v>-342</v>
      </c>
      <c r="Z48" s="80">
        <v>8.0</v>
      </c>
      <c r="AA48" s="119">
        <v>43001.0</v>
      </c>
      <c r="AB48" s="80">
        <v>-210.0</v>
      </c>
      <c r="AC48" s="80">
        <v>-1190.0</v>
      </c>
      <c r="AD48" s="80">
        <v>1638.0</v>
      </c>
      <c r="AE48" s="80">
        <v>-342.0</v>
      </c>
    </row>
    <row r="49">
      <c r="A49" s="28">
        <f>'SAMLET_alle regnskab'!B58</f>
        <v>48</v>
      </c>
      <c r="B49" s="80">
        <f>'SAMLET_alle regnskab'!A58</f>
        <v>8</v>
      </c>
      <c r="C49" s="28">
        <f>'SAMLET_alle regnskab'!U58</f>
        <v>12</v>
      </c>
      <c r="D49" s="28">
        <f>'SAMLET_alle regnskab'!V58</f>
        <v>-12</v>
      </c>
      <c r="E49" s="28">
        <f>'SAMLET_alle regnskab'!W58</f>
        <v>-12</v>
      </c>
      <c r="F49" s="28">
        <f>'SAMLET_alle regnskab'!X58</f>
        <v>12</v>
      </c>
      <c r="H49" s="80">
        <f t="shared" si="7"/>
        <v>8</v>
      </c>
      <c r="I49" s="28">
        <f t="shared" ref="I49:L49" si="139">I48+C49</f>
        <v>-68</v>
      </c>
      <c r="J49" s="28">
        <f t="shared" si="139"/>
        <v>-140</v>
      </c>
      <c r="K49" s="28">
        <f t="shared" si="139"/>
        <v>-156</v>
      </c>
      <c r="L49" s="28">
        <f t="shared" si="139"/>
        <v>364</v>
      </c>
      <c r="N49" s="80">
        <f t="shared" si="25"/>
        <v>8</v>
      </c>
      <c r="O49" s="28">
        <f t="shared" ref="O49:R49" si="140">O48+I42</f>
        <v>88</v>
      </c>
      <c r="P49" s="28">
        <f t="shared" si="140"/>
        <v>-2520</v>
      </c>
      <c r="Q49" s="28">
        <f t="shared" si="140"/>
        <v>-2920</v>
      </c>
      <c r="R49" s="28">
        <f t="shared" si="140"/>
        <v>5352</v>
      </c>
      <c r="T49" s="80">
        <v>8.0</v>
      </c>
      <c r="U49" s="80">
        <f t="shared" ref="U49:X49" si="141">U48+C42</f>
        <v>-242</v>
      </c>
      <c r="V49" s="80">
        <f t="shared" si="141"/>
        <v>-1158</v>
      </c>
      <c r="W49" s="80">
        <f t="shared" si="141"/>
        <v>1606</v>
      </c>
      <c r="X49" s="80">
        <f t="shared" si="141"/>
        <v>-310</v>
      </c>
      <c r="Z49" s="80">
        <v>8.0</v>
      </c>
      <c r="AA49" s="119">
        <v>43001.0</v>
      </c>
      <c r="AB49" s="80">
        <v>-242.0</v>
      </c>
      <c r="AC49" s="80">
        <v>-1158.0</v>
      </c>
      <c r="AD49" s="80">
        <v>1606.0</v>
      </c>
      <c r="AE49" s="80">
        <v>-310.0</v>
      </c>
    </row>
    <row r="50">
      <c r="A50" s="28">
        <f>'SAMLET_alle regnskab'!B59</f>
        <v>49</v>
      </c>
      <c r="B50" s="80">
        <f>'SAMLET_alle regnskab'!A59</f>
        <v>8</v>
      </c>
      <c r="C50" s="28">
        <f>'SAMLET_alle regnskab'!U59</f>
        <v>-16</v>
      </c>
      <c r="D50" s="28">
        <f>'SAMLET_alle regnskab'!V59</f>
        <v>48</v>
      </c>
      <c r="E50" s="28">
        <f>'SAMLET_alle regnskab'!W59</f>
        <v>-16</v>
      </c>
      <c r="F50" s="28">
        <f>'SAMLET_alle regnskab'!X59</f>
        <v>-16</v>
      </c>
      <c r="H50" s="80">
        <f t="shared" si="7"/>
        <v>8</v>
      </c>
      <c r="I50" s="28">
        <f t="shared" ref="I50:L50" si="142">I49+C50</f>
        <v>-84</v>
      </c>
      <c r="J50" s="28">
        <f t="shared" si="142"/>
        <v>-92</v>
      </c>
      <c r="K50" s="28">
        <f t="shared" si="142"/>
        <v>-172</v>
      </c>
      <c r="L50" s="28">
        <f t="shared" si="142"/>
        <v>348</v>
      </c>
      <c r="N50" s="80">
        <f t="shared" si="25"/>
        <v>8</v>
      </c>
      <c r="O50" s="28">
        <f t="shared" ref="O50:R50" si="143">O49+I43</f>
        <v>-4</v>
      </c>
      <c r="P50" s="28">
        <f t="shared" si="143"/>
        <v>-2724</v>
      </c>
      <c r="Q50" s="28">
        <f t="shared" si="143"/>
        <v>-3004</v>
      </c>
      <c r="R50" s="28">
        <f t="shared" si="143"/>
        <v>5732</v>
      </c>
      <c r="T50" s="80">
        <v>8.0</v>
      </c>
      <c r="U50" s="80">
        <f t="shared" ref="U50:X50" si="144">U49+C43</f>
        <v>-250</v>
      </c>
      <c r="V50" s="80">
        <f t="shared" si="144"/>
        <v>-1166</v>
      </c>
      <c r="W50" s="80">
        <f t="shared" si="144"/>
        <v>1630</v>
      </c>
      <c r="X50" s="80">
        <f t="shared" si="144"/>
        <v>-318</v>
      </c>
      <c r="Z50" s="80">
        <v>8.0</v>
      </c>
      <c r="AA50" s="119">
        <v>43001.0</v>
      </c>
      <c r="AB50" s="80">
        <v>-250.0</v>
      </c>
      <c r="AC50" s="80">
        <v>-1166.0</v>
      </c>
      <c r="AD50" s="80">
        <v>1630.0</v>
      </c>
      <c r="AE50" s="80">
        <v>-318.0</v>
      </c>
    </row>
    <row r="51">
      <c r="A51" s="28">
        <f>'SAMLET_alle regnskab'!B60</f>
        <v>50</v>
      </c>
      <c r="B51" s="80">
        <f>'SAMLET_alle regnskab'!A60</f>
        <v>8</v>
      </c>
      <c r="C51" s="28">
        <f>'SAMLET_alle regnskab'!U60</f>
        <v>-8</v>
      </c>
      <c r="D51" s="28">
        <f>'SAMLET_alle regnskab'!V60</f>
        <v>8</v>
      </c>
      <c r="E51" s="28">
        <f>'SAMLET_alle regnskab'!W60</f>
        <v>-8</v>
      </c>
      <c r="F51" s="28">
        <f>'SAMLET_alle regnskab'!X60</f>
        <v>8</v>
      </c>
      <c r="H51" s="80">
        <f t="shared" si="7"/>
        <v>8</v>
      </c>
      <c r="I51" s="28">
        <f t="shared" ref="I51:L51" si="145">I50+C51</f>
        <v>-92</v>
      </c>
      <c r="J51" s="28">
        <f t="shared" si="145"/>
        <v>-84</v>
      </c>
      <c r="K51" s="28">
        <f t="shared" si="145"/>
        <v>-180</v>
      </c>
      <c r="L51" s="28">
        <f t="shared" si="145"/>
        <v>356</v>
      </c>
      <c r="N51" s="80">
        <f t="shared" si="25"/>
        <v>8</v>
      </c>
      <c r="O51" s="28">
        <f t="shared" ref="O51:R51" si="146">O50+I44</f>
        <v>-88</v>
      </c>
      <c r="P51" s="28">
        <f t="shared" si="146"/>
        <v>-2920</v>
      </c>
      <c r="Q51" s="28">
        <f t="shared" si="146"/>
        <v>-3080</v>
      </c>
      <c r="R51" s="28">
        <f t="shared" si="146"/>
        <v>6088</v>
      </c>
      <c r="T51" s="80">
        <v>8.0</v>
      </c>
      <c r="U51" s="80">
        <f t="shared" ref="U51:X51" si="147">U50+C44</f>
        <v>-242</v>
      </c>
      <c r="V51" s="80">
        <f t="shared" si="147"/>
        <v>-1158</v>
      </c>
      <c r="W51" s="80">
        <f t="shared" si="147"/>
        <v>1638</v>
      </c>
      <c r="X51" s="80">
        <f t="shared" si="147"/>
        <v>-342</v>
      </c>
      <c r="Z51" s="80">
        <v>8.0</v>
      </c>
      <c r="AA51" s="119">
        <v>43001.0</v>
      </c>
      <c r="AB51" s="80">
        <v>-242.0</v>
      </c>
      <c r="AC51" s="80">
        <v>-1158.0</v>
      </c>
      <c r="AD51" s="80">
        <v>1638.0</v>
      </c>
      <c r="AE51" s="80">
        <v>-342.0</v>
      </c>
    </row>
    <row r="52">
      <c r="A52" s="28">
        <f>'SAMLET_alle regnskab'!B61</f>
        <v>1</v>
      </c>
      <c r="B52" s="80">
        <f>'SAMLET_alle regnskab'!A61</f>
        <v>9</v>
      </c>
      <c r="C52" s="28">
        <f>'SAMLET_alle regnskab'!U61</f>
        <v>16</v>
      </c>
      <c r="D52" s="28">
        <f>'SAMLET_alle regnskab'!V61</f>
        <v>-16</v>
      </c>
      <c r="E52" s="28">
        <f>'SAMLET_alle regnskab'!W61</f>
        <v>16</v>
      </c>
      <c r="F52" s="28">
        <f>'SAMLET_alle regnskab'!X61</f>
        <v>-16</v>
      </c>
      <c r="H52" s="80">
        <f t="shared" si="7"/>
        <v>9</v>
      </c>
      <c r="I52" s="28">
        <f t="shared" ref="I52:L52" si="148">I51+C52</f>
        <v>-76</v>
      </c>
      <c r="J52" s="28">
        <f t="shared" si="148"/>
        <v>-100</v>
      </c>
      <c r="K52" s="28">
        <f t="shared" si="148"/>
        <v>-164</v>
      </c>
      <c r="L52" s="28">
        <f t="shared" si="148"/>
        <v>340</v>
      </c>
      <c r="N52" s="80">
        <f t="shared" si="25"/>
        <v>8</v>
      </c>
      <c r="O52" s="28">
        <f t="shared" ref="O52:R52" si="149">O51+I45</f>
        <v>-160</v>
      </c>
      <c r="P52" s="28">
        <f t="shared" si="149"/>
        <v>-3104</v>
      </c>
      <c r="Q52" s="28">
        <f t="shared" si="149"/>
        <v>-3168</v>
      </c>
      <c r="R52" s="28">
        <f t="shared" si="149"/>
        <v>6432</v>
      </c>
      <c r="T52" s="80">
        <v>8.0</v>
      </c>
      <c r="U52" s="80">
        <f t="shared" ref="U52:X52" si="150">U51+C45</f>
        <v>-230</v>
      </c>
      <c r="V52" s="80">
        <f t="shared" si="150"/>
        <v>-1146</v>
      </c>
      <c r="W52" s="80">
        <f t="shared" si="150"/>
        <v>1626</v>
      </c>
      <c r="X52" s="80">
        <f t="shared" si="150"/>
        <v>-354</v>
      </c>
      <c r="Z52" s="80">
        <v>8.0</v>
      </c>
      <c r="AA52" s="119">
        <v>43001.0</v>
      </c>
      <c r="AB52" s="80">
        <v>-230.0</v>
      </c>
      <c r="AC52" s="80">
        <v>-1146.0</v>
      </c>
      <c r="AD52" s="80">
        <v>1626.0</v>
      </c>
      <c r="AE52" s="80">
        <v>-354.0</v>
      </c>
    </row>
    <row r="53">
      <c r="A53" s="28">
        <f>'SAMLET_alle regnskab'!B62</f>
        <v>2</v>
      </c>
      <c r="B53" s="80">
        <f>'SAMLET_alle regnskab'!A62</f>
        <v>9</v>
      </c>
      <c r="C53" s="28">
        <f>'SAMLET_alle regnskab'!U62</f>
        <v>-4</v>
      </c>
      <c r="D53" s="28">
        <f>'SAMLET_alle regnskab'!V62</f>
        <v>-4</v>
      </c>
      <c r="E53" s="28">
        <f>'SAMLET_alle regnskab'!W62</f>
        <v>-4</v>
      </c>
      <c r="F53" s="28">
        <f>'SAMLET_alle regnskab'!X62</f>
        <v>12</v>
      </c>
      <c r="H53" s="80">
        <f t="shared" si="7"/>
        <v>9</v>
      </c>
      <c r="I53" s="28">
        <f t="shared" ref="I53:L53" si="151">I52+C53</f>
        <v>-80</v>
      </c>
      <c r="J53" s="28">
        <f t="shared" si="151"/>
        <v>-104</v>
      </c>
      <c r="K53" s="28">
        <f t="shared" si="151"/>
        <v>-168</v>
      </c>
      <c r="L53" s="28">
        <f t="shared" si="151"/>
        <v>352</v>
      </c>
      <c r="N53" s="80">
        <f t="shared" si="25"/>
        <v>8</v>
      </c>
      <c r="O53" s="28">
        <f t="shared" ref="O53:R53" si="152">O52+I46</f>
        <v>-216</v>
      </c>
      <c r="P53" s="28">
        <f t="shared" si="152"/>
        <v>-3272</v>
      </c>
      <c r="Q53" s="28">
        <f t="shared" si="152"/>
        <v>-3304</v>
      </c>
      <c r="R53" s="28">
        <f t="shared" si="152"/>
        <v>6792</v>
      </c>
      <c r="T53" s="80">
        <v>8.0</v>
      </c>
      <c r="U53" s="80">
        <f t="shared" ref="U53:X53" si="153">U52+C46</f>
        <v>-214</v>
      </c>
      <c r="V53" s="80">
        <f t="shared" si="153"/>
        <v>-1130</v>
      </c>
      <c r="W53" s="80">
        <f t="shared" si="153"/>
        <v>1578</v>
      </c>
      <c r="X53" s="80">
        <f t="shared" si="153"/>
        <v>-338</v>
      </c>
      <c r="Z53" s="80">
        <v>8.0</v>
      </c>
      <c r="AA53" s="119">
        <v>43001.0</v>
      </c>
      <c r="AB53" s="80">
        <v>-214.0</v>
      </c>
      <c r="AC53" s="80">
        <v>-1130.0</v>
      </c>
      <c r="AD53" s="80">
        <v>1578.0</v>
      </c>
      <c r="AE53" s="80">
        <v>-338.0</v>
      </c>
    </row>
    <row r="54">
      <c r="A54" s="28">
        <f>'SAMLET_alle regnskab'!B63</f>
        <v>3</v>
      </c>
      <c r="B54" s="80">
        <f>'SAMLET_alle regnskab'!A63</f>
        <v>9</v>
      </c>
      <c r="C54" s="28">
        <f>'SAMLET_alle regnskab'!U63</f>
        <v>12</v>
      </c>
      <c r="D54" s="28">
        <f>'SAMLET_alle regnskab'!V63</f>
        <v>12</v>
      </c>
      <c r="E54" s="28">
        <f>'SAMLET_alle regnskab'!W63</f>
        <v>-12</v>
      </c>
      <c r="F54" s="28">
        <f>'SAMLET_alle regnskab'!X63</f>
        <v>-12</v>
      </c>
      <c r="H54" s="80">
        <f t="shared" si="7"/>
        <v>9</v>
      </c>
      <c r="I54" s="28">
        <f t="shared" ref="I54:L54" si="154">I53+C54</f>
        <v>-68</v>
      </c>
      <c r="J54" s="28">
        <f t="shared" si="154"/>
        <v>-92</v>
      </c>
      <c r="K54" s="28">
        <f t="shared" si="154"/>
        <v>-180</v>
      </c>
      <c r="L54" s="28">
        <f t="shared" si="154"/>
        <v>340</v>
      </c>
      <c r="N54" s="80">
        <f t="shared" si="25"/>
        <v>8</v>
      </c>
      <c r="O54" s="28">
        <f t="shared" ref="O54:R54" si="155">O53+I47</f>
        <v>-280</v>
      </c>
      <c r="P54" s="28">
        <f t="shared" si="155"/>
        <v>-3448</v>
      </c>
      <c r="Q54" s="28">
        <f t="shared" si="155"/>
        <v>-3432</v>
      </c>
      <c r="R54" s="28">
        <f t="shared" si="155"/>
        <v>7160</v>
      </c>
      <c r="T54" s="80">
        <v>8.0</v>
      </c>
      <c r="U54" s="80">
        <f t="shared" ref="U54:X54" si="156">U53+C47</f>
        <v>-222</v>
      </c>
      <c r="V54" s="80">
        <f t="shared" si="156"/>
        <v>-1138</v>
      </c>
      <c r="W54" s="80">
        <f t="shared" si="156"/>
        <v>1586</v>
      </c>
      <c r="X54" s="80">
        <f t="shared" si="156"/>
        <v>-330</v>
      </c>
      <c r="Z54" s="80">
        <v>8.0</v>
      </c>
      <c r="AA54" s="119">
        <v>43001.0</v>
      </c>
      <c r="AB54" s="80">
        <v>-222.0</v>
      </c>
      <c r="AC54" s="80">
        <v>-1138.0</v>
      </c>
      <c r="AD54" s="80">
        <v>1586.0</v>
      </c>
      <c r="AE54" s="80">
        <v>-330.0</v>
      </c>
    </row>
    <row r="55">
      <c r="A55" s="28">
        <f>'SAMLET_alle regnskab'!B64</f>
        <v>4</v>
      </c>
      <c r="B55" s="80">
        <f>'SAMLET_alle regnskab'!A64</f>
        <v>9</v>
      </c>
      <c r="C55" s="28">
        <f>'SAMLET_alle regnskab'!U64</f>
        <v>-8</v>
      </c>
      <c r="D55" s="28">
        <f>'SAMLET_alle regnskab'!V64</f>
        <v>-8</v>
      </c>
      <c r="E55" s="28">
        <f>'SAMLET_alle regnskab'!W64</f>
        <v>24</v>
      </c>
      <c r="F55" s="28">
        <f>'SAMLET_alle regnskab'!X64</f>
        <v>-8</v>
      </c>
      <c r="H55" s="80">
        <f t="shared" si="7"/>
        <v>9</v>
      </c>
      <c r="I55" s="28">
        <f t="shared" ref="I55:L55" si="157">I54+C55</f>
        <v>-76</v>
      </c>
      <c r="J55" s="28">
        <f t="shared" si="157"/>
        <v>-100</v>
      </c>
      <c r="K55" s="28">
        <f t="shared" si="157"/>
        <v>-156</v>
      </c>
      <c r="L55" s="28">
        <f t="shared" si="157"/>
        <v>332</v>
      </c>
      <c r="N55" s="80">
        <f t="shared" si="25"/>
        <v>8</v>
      </c>
      <c r="O55" s="28">
        <f t="shared" ref="O55:R55" si="158">O54+I48</f>
        <v>-360</v>
      </c>
      <c r="P55" s="28">
        <f t="shared" si="158"/>
        <v>-3576</v>
      </c>
      <c r="Q55" s="28">
        <f t="shared" si="158"/>
        <v>-3576</v>
      </c>
      <c r="R55" s="28">
        <f t="shared" si="158"/>
        <v>7512</v>
      </c>
      <c r="T55" s="80">
        <v>8.0</v>
      </c>
      <c r="U55" s="80">
        <f t="shared" ref="U55:X55" si="159">U54+C48</f>
        <v>-238</v>
      </c>
      <c r="V55" s="80">
        <f t="shared" si="159"/>
        <v>-1090</v>
      </c>
      <c r="W55" s="80">
        <f t="shared" si="159"/>
        <v>1570</v>
      </c>
      <c r="X55" s="80">
        <f t="shared" si="159"/>
        <v>-346</v>
      </c>
      <c r="Z55" s="80">
        <v>8.0</v>
      </c>
      <c r="AA55" s="119">
        <v>43001.0</v>
      </c>
      <c r="AB55" s="80">
        <v>-238.0</v>
      </c>
      <c r="AC55" s="80">
        <v>-1090.0</v>
      </c>
      <c r="AD55" s="80">
        <v>1570.0</v>
      </c>
      <c r="AE55" s="80">
        <v>-346.0</v>
      </c>
    </row>
    <row r="56">
      <c r="A56" s="28">
        <f>'SAMLET_alle regnskab'!B65</f>
        <v>5</v>
      </c>
      <c r="B56" s="80">
        <f>'SAMLET_alle regnskab'!A65</f>
        <v>9</v>
      </c>
      <c r="C56" s="28">
        <f>'SAMLET_alle regnskab'!U65</f>
        <v>8</v>
      </c>
      <c r="D56" s="28">
        <f>'SAMLET_alle regnskab'!V65</f>
        <v>-8</v>
      </c>
      <c r="E56" s="28">
        <f>'SAMLET_alle regnskab'!W65</f>
        <v>6</v>
      </c>
      <c r="F56" s="28">
        <f>'SAMLET_alle regnskab'!X65</f>
        <v>-6</v>
      </c>
      <c r="H56" s="80">
        <f t="shared" si="7"/>
        <v>9</v>
      </c>
      <c r="I56" s="28">
        <f t="shared" ref="I56:L56" si="160">I55+C56</f>
        <v>-68</v>
      </c>
      <c r="J56" s="28">
        <f t="shared" si="160"/>
        <v>-108</v>
      </c>
      <c r="K56" s="28">
        <f t="shared" si="160"/>
        <v>-150</v>
      </c>
      <c r="L56" s="28">
        <f t="shared" si="160"/>
        <v>326</v>
      </c>
      <c r="N56" s="80">
        <f t="shared" si="25"/>
        <v>8</v>
      </c>
      <c r="O56" s="28">
        <f t="shared" ref="O56:R56" si="161">O55+I49</f>
        <v>-428</v>
      </c>
      <c r="P56" s="28">
        <f t="shared" si="161"/>
        <v>-3716</v>
      </c>
      <c r="Q56" s="28">
        <f t="shared" si="161"/>
        <v>-3732</v>
      </c>
      <c r="R56" s="28">
        <f t="shared" si="161"/>
        <v>7876</v>
      </c>
      <c r="T56" s="80">
        <v>8.0</v>
      </c>
      <c r="U56" s="80">
        <f t="shared" ref="U56:X56" si="162">U55+C49</f>
        <v>-226</v>
      </c>
      <c r="V56" s="80">
        <f t="shared" si="162"/>
        <v>-1102</v>
      </c>
      <c r="W56" s="80">
        <f t="shared" si="162"/>
        <v>1558</v>
      </c>
      <c r="X56" s="80">
        <f t="shared" si="162"/>
        <v>-334</v>
      </c>
      <c r="Z56" s="80">
        <v>8.0</v>
      </c>
      <c r="AA56" s="119">
        <v>43001.0</v>
      </c>
      <c r="AB56" s="80">
        <v>-226.0</v>
      </c>
      <c r="AC56" s="80">
        <v>-1102.0</v>
      </c>
      <c r="AD56" s="80">
        <v>1558.0</v>
      </c>
      <c r="AE56" s="80">
        <v>-334.0</v>
      </c>
    </row>
    <row r="57">
      <c r="A57" s="28">
        <f>'SAMLET_alle regnskab'!B66</f>
        <v>6</v>
      </c>
      <c r="B57" s="80">
        <f>'SAMLET_alle regnskab'!A66</f>
        <v>9</v>
      </c>
      <c r="C57" s="28">
        <f>'SAMLET_alle regnskab'!U66</f>
        <v>-16</v>
      </c>
      <c r="D57" s="28">
        <f>'SAMLET_alle regnskab'!V66</f>
        <v>16</v>
      </c>
      <c r="E57" s="28">
        <f>'SAMLET_alle regnskab'!W66</f>
        <v>-16</v>
      </c>
      <c r="F57" s="28">
        <f>'SAMLET_alle regnskab'!X66</f>
        <v>16</v>
      </c>
      <c r="H57" s="80">
        <f t="shared" si="7"/>
        <v>9</v>
      </c>
      <c r="I57" s="28">
        <f t="shared" ref="I57:L57" si="163">I56+C57</f>
        <v>-84</v>
      </c>
      <c r="J57" s="28">
        <f t="shared" si="163"/>
        <v>-92</v>
      </c>
      <c r="K57" s="28">
        <f t="shared" si="163"/>
        <v>-166</v>
      </c>
      <c r="L57" s="28">
        <f t="shared" si="163"/>
        <v>342</v>
      </c>
      <c r="N57" s="80">
        <f t="shared" si="25"/>
        <v>8</v>
      </c>
      <c r="O57" s="28">
        <f t="shared" ref="O57:R57" si="164">O56+I50</f>
        <v>-512</v>
      </c>
      <c r="P57" s="28">
        <f t="shared" si="164"/>
        <v>-3808</v>
      </c>
      <c r="Q57" s="28">
        <f t="shared" si="164"/>
        <v>-3904</v>
      </c>
      <c r="R57" s="28">
        <f t="shared" si="164"/>
        <v>8224</v>
      </c>
      <c r="T57" s="80">
        <v>8.0</v>
      </c>
      <c r="U57" s="80">
        <f t="shared" ref="U57:X57" si="165">U56+C50</f>
        <v>-242</v>
      </c>
      <c r="V57" s="80">
        <f t="shared" si="165"/>
        <v>-1054</v>
      </c>
      <c r="W57" s="80">
        <f t="shared" si="165"/>
        <v>1542</v>
      </c>
      <c r="X57" s="80">
        <f t="shared" si="165"/>
        <v>-350</v>
      </c>
      <c r="Z57" s="80">
        <v>8.0</v>
      </c>
      <c r="AA57" s="119">
        <v>43001.0</v>
      </c>
      <c r="AB57" s="80">
        <v>-242.0</v>
      </c>
      <c r="AC57" s="80">
        <v>-1054.0</v>
      </c>
      <c r="AD57" s="80">
        <v>1542.0</v>
      </c>
      <c r="AE57" s="80">
        <v>-350.0</v>
      </c>
    </row>
    <row r="58">
      <c r="A58" s="28">
        <f>'SAMLET_alle regnskab'!B67</f>
        <v>7</v>
      </c>
      <c r="B58" s="80">
        <f>'SAMLET_alle regnskab'!A67</f>
        <v>9</v>
      </c>
      <c r="C58" s="28">
        <f>'SAMLET_alle regnskab'!U67</f>
        <v>-8</v>
      </c>
      <c r="D58" s="28">
        <f>'SAMLET_alle regnskab'!V67</f>
        <v>8</v>
      </c>
      <c r="E58" s="28">
        <f>'SAMLET_alle regnskab'!W67</f>
        <v>-8</v>
      </c>
      <c r="F58" s="28">
        <f>'SAMLET_alle regnskab'!X67</f>
        <v>8</v>
      </c>
      <c r="H58" s="80">
        <f t="shared" si="7"/>
        <v>9</v>
      </c>
      <c r="I58" s="28">
        <f t="shared" ref="I58:L58" si="166">I57+C58</f>
        <v>-92</v>
      </c>
      <c r="J58" s="28">
        <f t="shared" si="166"/>
        <v>-84</v>
      </c>
      <c r="K58" s="28">
        <f t="shared" si="166"/>
        <v>-174</v>
      </c>
      <c r="L58" s="28">
        <f t="shared" si="166"/>
        <v>350</v>
      </c>
      <c r="N58" s="80">
        <f t="shared" si="25"/>
        <v>8</v>
      </c>
      <c r="O58" s="28">
        <f t="shared" ref="O58:R58" si="167">O57+I51</f>
        <v>-604</v>
      </c>
      <c r="P58" s="28">
        <f t="shared" si="167"/>
        <v>-3892</v>
      </c>
      <c r="Q58" s="28">
        <f t="shared" si="167"/>
        <v>-4084</v>
      </c>
      <c r="R58" s="28">
        <f t="shared" si="167"/>
        <v>8580</v>
      </c>
      <c r="T58" s="80">
        <v>8.0</v>
      </c>
      <c r="U58" s="80">
        <f t="shared" ref="U58:X58" si="168">U57+C51</f>
        <v>-250</v>
      </c>
      <c r="V58" s="80">
        <f t="shared" si="168"/>
        <v>-1046</v>
      </c>
      <c r="W58" s="80">
        <f t="shared" si="168"/>
        <v>1534</v>
      </c>
      <c r="X58" s="80">
        <f t="shared" si="168"/>
        <v>-342</v>
      </c>
      <c r="Z58" s="80">
        <v>8.0</v>
      </c>
      <c r="AA58" s="119">
        <v>43001.0</v>
      </c>
      <c r="AB58" s="80">
        <v>-250.0</v>
      </c>
      <c r="AC58" s="80">
        <v>-1046.0</v>
      </c>
      <c r="AD58" s="80">
        <v>1534.0</v>
      </c>
      <c r="AE58" s="80">
        <v>-342.0</v>
      </c>
    </row>
    <row r="59">
      <c r="A59" s="28">
        <f>'SAMLET_alle regnskab'!B68</f>
        <v>8</v>
      </c>
      <c r="B59" s="80">
        <f>'SAMLET_alle regnskab'!A68</f>
        <v>9</v>
      </c>
      <c r="C59" s="28">
        <f>'SAMLET_alle regnskab'!U68</f>
        <v>40</v>
      </c>
      <c r="D59" s="28">
        <f>'SAMLET_alle regnskab'!V68</f>
        <v>-40</v>
      </c>
      <c r="E59" s="28">
        <f>'SAMLET_alle regnskab'!W68</f>
        <v>-40</v>
      </c>
      <c r="F59" s="28">
        <f>'SAMLET_alle regnskab'!X68</f>
        <v>40</v>
      </c>
      <c r="H59" s="80">
        <f t="shared" si="7"/>
        <v>9</v>
      </c>
      <c r="I59" s="28">
        <f t="shared" ref="I59:L59" si="169">I58+C59</f>
        <v>-52</v>
      </c>
      <c r="J59" s="28">
        <f t="shared" si="169"/>
        <v>-124</v>
      </c>
      <c r="K59" s="28">
        <f t="shared" si="169"/>
        <v>-214</v>
      </c>
      <c r="L59" s="28">
        <f t="shared" si="169"/>
        <v>390</v>
      </c>
      <c r="N59" s="80">
        <f t="shared" si="25"/>
        <v>9</v>
      </c>
      <c r="O59" s="28">
        <f t="shared" ref="O59:R59" si="170">O58+I52</f>
        <v>-680</v>
      </c>
      <c r="P59" s="28">
        <f t="shared" si="170"/>
        <v>-3992</v>
      </c>
      <c r="Q59" s="28">
        <f t="shared" si="170"/>
        <v>-4248</v>
      </c>
      <c r="R59" s="28">
        <f t="shared" si="170"/>
        <v>8920</v>
      </c>
      <c r="T59" s="80">
        <v>9.0</v>
      </c>
      <c r="U59" s="80">
        <f t="shared" ref="U59:X59" si="171">U58+C52</f>
        <v>-234</v>
      </c>
      <c r="V59" s="80">
        <f t="shared" si="171"/>
        <v>-1062</v>
      </c>
      <c r="W59" s="80">
        <f t="shared" si="171"/>
        <v>1550</v>
      </c>
      <c r="X59" s="80">
        <f t="shared" si="171"/>
        <v>-358</v>
      </c>
      <c r="Z59" s="80">
        <v>9.0</v>
      </c>
      <c r="AA59" s="119">
        <f>'00_Regnskab_01'!C11</f>
        <v>43491</v>
      </c>
      <c r="AB59" s="80">
        <v>-234.0</v>
      </c>
      <c r="AC59" s="80">
        <v>-1062.0</v>
      </c>
      <c r="AD59" s="80">
        <v>1550.0</v>
      </c>
      <c r="AE59" s="80">
        <v>-358.0</v>
      </c>
    </row>
    <row r="60">
      <c r="A60" s="28">
        <f>'SAMLET_alle regnskab'!B69</f>
        <v>9</v>
      </c>
      <c r="B60" s="80">
        <f>'SAMLET_alle regnskab'!A69</f>
        <v>9</v>
      </c>
      <c r="C60" s="28">
        <f>'SAMLET_alle regnskab'!U69</f>
        <v>8</v>
      </c>
      <c r="D60" s="28">
        <f>'SAMLET_alle regnskab'!V69</f>
        <v>8</v>
      </c>
      <c r="E60" s="28">
        <f>'SAMLET_alle regnskab'!W69</f>
        <v>-8</v>
      </c>
      <c r="F60" s="28">
        <f>'SAMLET_alle regnskab'!X69</f>
        <v>-8</v>
      </c>
      <c r="H60" s="80">
        <f t="shared" si="7"/>
        <v>9</v>
      </c>
      <c r="I60" s="28">
        <f t="shared" ref="I60:L60" si="172">I59+C60</f>
        <v>-44</v>
      </c>
      <c r="J60" s="28">
        <f t="shared" si="172"/>
        <v>-116</v>
      </c>
      <c r="K60" s="28">
        <f t="shared" si="172"/>
        <v>-222</v>
      </c>
      <c r="L60" s="28">
        <f t="shared" si="172"/>
        <v>382</v>
      </c>
      <c r="N60" s="80">
        <f t="shared" si="25"/>
        <v>9</v>
      </c>
      <c r="O60" s="28">
        <f t="shared" ref="O60:R60" si="173">O59+I53</f>
        <v>-760</v>
      </c>
      <c r="P60" s="28">
        <f t="shared" si="173"/>
        <v>-4096</v>
      </c>
      <c r="Q60" s="28">
        <f t="shared" si="173"/>
        <v>-4416</v>
      </c>
      <c r="R60" s="28">
        <f t="shared" si="173"/>
        <v>9272</v>
      </c>
      <c r="T60" s="80">
        <v>9.0</v>
      </c>
      <c r="U60" s="80">
        <f t="shared" ref="U60:X60" si="174">U59+C53</f>
        <v>-238</v>
      </c>
      <c r="V60" s="80">
        <f t="shared" si="174"/>
        <v>-1066</v>
      </c>
      <c r="W60" s="80">
        <f t="shared" si="174"/>
        <v>1546</v>
      </c>
      <c r="X60" s="80">
        <f t="shared" si="174"/>
        <v>-346</v>
      </c>
      <c r="Z60" s="80">
        <v>9.0</v>
      </c>
      <c r="AA60" s="119">
        <v>43491.0</v>
      </c>
      <c r="AB60" s="80">
        <v>-238.0</v>
      </c>
      <c r="AC60" s="80">
        <v>-1066.0</v>
      </c>
      <c r="AD60" s="80">
        <v>1546.0</v>
      </c>
      <c r="AE60" s="80">
        <v>-346.0</v>
      </c>
    </row>
    <row r="61">
      <c r="A61" s="28">
        <f>'SAMLET_alle regnskab'!B70</f>
        <v>10</v>
      </c>
      <c r="B61" s="80">
        <f>'SAMLET_alle regnskab'!A70</f>
        <v>9</v>
      </c>
      <c r="C61" s="28">
        <f>'SAMLET_alle regnskab'!U70</f>
        <v>-96</v>
      </c>
      <c r="D61" s="28">
        <f>'SAMLET_alle regnskab'!V70</f>
        <v>96</v>
      </c>
      <c r="E61" s="28">
        <f>'SAMLET_alle regnskab'!W70</f>
        <v>96</v>
      </c>
      <c r="F61" s="28">
        <f>'SAMLET_alle regnskab'!X70</f>
        <v>-96</v>
      </c>
      <c r="H61" s="80">
        <f t="shared" si="7"/>
        <v>9</v>
      </c>
      <c r="I61" s="28">
        <f t="shared" ref="I61:L61" si="175">I60+C61</f>
        <v>-140</v>
      </c>
      <c r="J61" s="28">
        <f t="shared" si="175"/>
        <v>-20</v>
      </c>
      <c r="K61" s="28">
        <f t="shared" si="175"/>
        <v>-126</v>
      </c>
      <c r="L61" s="28">
        <f t="shared" si="175"/>
        <v>286</v>
      </c>
      <c r="N61" s="80">
        <f t="shared" si="25"/>
        <v>9</v>
      </c>
      <c r="O61" s="28">
        <f t="shared" ref="O61:R61" si="176">O60+I54</f>
        <v>-828</v>
      </c>
      <c r="P61" s="28">
        <f t="shared" si="176"/>
        <v>-4188</v>
      </c>
      <c r="Q61" s="28">
        <f t="shared" si="176"/>
        <v>-4596</v>
      </c>
      <c r="R61" s="28">
        <f t="shared" si="176"/>
        <v>9612</v>
      </c>
      <c r="T61" s="80">
        <v>9.0</v>
      </c>
      <c r="U61" s="80">
        <f t="shared" ref="U61:X61" si="177">U60+C54</f>
        <v>-226</v>
      </c>
      <c r="V61" s="80">
        <f t="shared" si="177"/>
        <v>-1054</v>
      </c>
      <c r="W61" s="80">
        <f t="shared" si="177"/>
        <v>1534</v>
      </c>
      <c r="X61" s="80">
        <f t="shared" si="177"/>
        <v>-358</v>
      </c>
      <c r="Z61" s="80">
        <v>9.0</v>
      </c>
      <c r="AA61" s="119">
        <v>43491.0</v>
      </c>
      <c r="AB61" s="80">
        <v>-226.0</v>
      </c>
      <c r="AC61" s="80">
        <v>-1054.0</v>
      </c>
      <c r="AD61" s="80">
        <v>1534.0</v>
      </c>
      <c r="AE61" s="80">
        <v>-358.0</v>
      </c>
    </row>
    <row r="62">
      <c r="A62" s="28">
        <f>'SAMLET_alle regnskab'!B71</f>
        <v>11</v>
      </c>
      <c r="B62" s="80">
        <f>'SAMLET_alle regnskab'!A71</f>
        <v>9</v>
      </c>
      <c r="C62" s="28">
        <f>'SAMLET_alle regnskab'!U71</f>
        <v>-64</v>
      </c>
      <c r="D62" s="28">
        <f>'SAMLET_alle regnskab'!V71</f>
        <v>64</v>
      </c>
      <c r="E62" s="28">
        <f>'SAMLET_alle regnskab'!W71</f>
        <v>64</v>
      </c>
      <c r="F62" s="28">
        <f>'SAMLET_alle regnskab'!X71</f>
        <v>-64</v>
      </c>
      <c r="H62" s="80">
        <f t="shared" si="7"/>
        <v>9</v>
      </c>
      <c r="I62" s="28">
        <f t="shared" ref="I62:L62" si="178">I61+C62</f>
        <v>-204</v>
      </c>
      <c r="J62" s="28">
        <f t="shared" si="178"/>
        <v>44</v>
      </c>
      <c r="K62" s="28">
        <f t="shared" si="178"/>
        <v>-62</v>
      </c>
      <c r="L62" s="28">
        <f t="shared" si="178"/>
        <v>222</v>
      </c>
      <c r="N62" s="80">
        <f t="shared" si="25"/>
        <v>9</v>
      </c>
      <c r="O62" s="28">
        <f t="shared" ref="O62:R62" si="179">O61+I55</f>
        <v>-904</v>
      </c>
      <c r="P62" s="28">
        <f t="shared" si="179"/>
        <v>-4288</v>
      </c>
      <c r="Q62" s="28">
        <f t="shared" si="179"/>
        <v>-4752</v>
      </c>
      <c r="R62" s="28">
        <f t="shared" si="179"/>
        <v>9944</v>
      </c>
      <c r="T62" s="80">
        <v>9.0</v>
      </c>
      <c r="U62" s="80">
        <f t="shared" ref="U62:X62" si="180">U61+C55</f>
        <v>-234</v>
      </c>
      <c r="V62" s="80">
        <f t="shared" si="180"/>
        <v>-1062</v>
      </c>
      <c r="W62" s="80">
        <f t="shared" si="180"/>
        <v>1558</v>
      </c>
      <c r="X62" s="80">
        <f t="shared" si="180"/>
        <v>-366</v>
      </c>
      <c r="Z62" s="80">
        <v>9.0</v>
      </c>
      <c r="AA62" s="119">
        <v>43491.0</v>
      </c>
      <c r="AB62" s="80">
        <v>-234.0</v>
      </c>
      <c r="AC62" s="80">
        <v>-1062.0</v>
      </c>
      <c r="AD62" s="80">
        <v>1558.0</v>
      </c>
      <c r="AE62" s="80">
        <v>-366.0</v>
      </c>
    </row>
    <row r="63">
      <c r="A63" s="28">
        <f>'SAMLET_alle regnskab'!B72</f>
        <v>12</v>
      </c>
      <c r="B63" s="80">
        <f>'SAMLET_alle regnskab'!A72</f>
        <v>9</v>
      </c>
      <c r="C63" s="28">
        <f>'SAMLET_alle regnskab'!U72</f>
        <v>-48</v>
      </c>
      <c r="D63" s="28">
        <f>'SAMLET_alle regnskab'!V72</f>
        <v>-48</v>
      </c>
      <c r="E63" s="28">
        <f>'SAMLET_alle regnskab'!W72</f>
        <v>48</v>
      </c>
      <c r="F63" s="28">
        <f>'SAMLET_alle regnskab'!X72</f>
        <v>48</v>
      </c>
      <c r="H63" s="80">
        <f t="shared" si="7"/>
        <v>9</v>
      </c>
      <c r="I63" s="28">
        <f t="shared" ref="I63:L63" si="181">I62+C63</f>
        <v>-252</v>
      </c>
      <c r="J63" s="28">
        <f t="shared" si="181"/>
        <v>-4</v>
      </c>
      <c r="K63" s="28">
        <f t="shared" si="181"/>
        <v>-14</v>
      </c>
      <c r="L63" s="28">
        <f t="shared" si="181"/>
        <v>270</v>
      </c>
      <c r="N63" s="80">
        <f t="shared" si="25"/>
        <v>9</v>
      </c>
      <c r="O63" s="28">
        <f t="shared" ref="O63:R63" si="182">O62+I56</f>
        <v>-972</v>
      </c>
      <c r="P63" s="28">
        <f t="shared" si="182"/>
        <v>-4396</v>
      </c>
      <c r="Q63" s="28">
        <f t="shared" si="182"/>
        <v>-4902</v>
      </c>
      <c r="R63" s="28">
        <f t="shared" si="182"/>
        <v>10270</v>
      </c>
      <c r="T63" s="80">
        <v>9.0</v>
      </c>
      <c r="U63" s="80">
        <f t="shared" ref="U63:X63" si="183">U62+C56</f>
        <v>-226</v>
      </c>
      <c r="V63" s="80">
        <f t="shared" si="183"/>
        <v>-1070</v>
      </c>
      <c r="W63" s="80">
        <f t="shared" si="183"/>
        <v>1564</v>
      </c>
      <c r="X63" s="80">
        <f t="shared" si="183"/>
        <v>-372</v>
      </c>
      <c r="Z63" s="80">
        <v>9.0</v>
      </c>
      <c r="AA63" s="119">
        <v>43491.0</v>
      </c>
      <c r="AB63" s="80">
        <v>-226.0</v>
      </c>
      <c r="AC63" s="80">
        <v>-1070.0</v>
      </c>
      <c r="AD63" s="80">
        <v>1564.0</v>
      </c>
      <c r="AE63" s="80">
        <v>-372.0</v>
      </c>
    </row>
    <row r="64">
      <c r="A64" s="28">
        <f>'SAMLET_alle regnskab'!B73</f>
        <v>13</v>
      </c>
      <c r="B64" s="80">
        <f>'SAMLET_alle regnskab'!A73</f>
        <v>9</v>
      </c>
      <c r="C64" s="28">
        <f>'SAMLET_alle regnskab'!U73</f>
        <v>24</v>
      </c>
      <c r="D64" s="28">
        <f>'SAMLET_alle regnskab'!V73</f>
        <v>-72</v>
      </c>
      <c r="E64" s="28">
        <f>'SAMLET_alle regnskab'!W73</f>
        <v>24</v>
      </c>
      <c r="F64" s="28">
        <f>'SAMLET_alle regnskab'!X73</f>
        <v>24</v>
      </c>
      <c r="H64" s="80">
        <f t="shared" si="7"/>
        <v>9</v>
      </c>
      <c r="I64" s="28">
        <f t="shared" ref="I64:L64" si="184">I63+C64</f>
        <v>-228</v>
      </c>
      <c r="J64" s="28">
        <f t="shared" si="184"/>
        <v>-76</v>
      </c>
      <c r="K64" s="28">
        <f t="shared" si="184"/>
        <v>10</v>
      </c>
      <c r="L64" s="28">
        <f t="shared" si="184"/>
        <v>294</v>
      </c>
      <c r="N64" s="80">
        <f t="shared" si="25"/>
        <v>9</v>
      </c>
      <c r="O64" s="28">
        <f t="shared" ref="O64:R64" si="185">O63+I57</f>
        <v>-1056</v>
      </c>
      <c r="P64" s="28">
        <f t="shared" si="185"/>
        <v>-4488</v>
      </c>
      <c r="Q64" s="28">
        <f t="shared" si="185"/>
        <v>-5068</v>
      </c>
      <c r="R64" s="28">
        <f t="shared" si="185"/>
        <v>10612</v>
      </c>
      <c r="T64" s="80">
        <v>9.0</v>
      </c>
      <c r="U64" s="80">
        <f t="shared" ref="U64:X64" si="186">U63+C57</f>
        <v>-242</v>
      </c>
      <c r="V64" s="80">
        <f t="shared" si="186"/>
        <v>-1054</v>
      </c>
      <c r="W64" s="80">
        <f t="shared" si="186"/>
        <v>1548</v>
      </c>
      <c r="X64" s="80">
        <f t="shared" si="186"/>
        <v>-356</v>
      </c>
      <c r="Z64" s="80">
        <v>9.0</v>
      </c>
      <c r="AA64" s="119">
        <v>43491.0</v>
      </c>
      <c r="AB64" s="80">
        <v>-242.0</v>
      </c>
      <c r="AC64" s="80">
        <v>-1054.0</v>
      </c>
      <c r="AD64" s="80">
        <v>1548.0</v>
      </c>
      <c r="AE64" s="80">
        <v>-356.0</v>
      </c>
    </row>
    <row r="65">
      <c r="A65" s="28">
        <f>'SAMLET_alle regnskab'!B74</f>
        <v>14</v>
      </c>
      <c r="B65" s="80">
        <f>'SAMLET_alle regnskab'!A74</f>
        <v>9</v>
      </c>
      <c r="C65" s="28">
        <f>'SAMLET_alle regnskab'!U74</f>
        <v>-8</v>
      </c>
      <c r="D65" s="28">
        <f>'SAMLET_alle regnskab'!V74</f>
        <v>-8</v>
      </c>
      <c r="E65" s="28">
        <f>'SAMLET_alle regnskab'!W74</f>
        <v>8</v>
      </c>
      <c r="F65" s="28">
        <f>'SAMLET_alle regnskab'!X74</f>
        <v>8</v>
      </c>
      <c r="H65" s="80">
        <f t="shared" si="7"/>
        <v>9</v>
      </c>
      <c r="I65" s="28">
        <f t="shared" ref="I65:L65" si="187">I64+C65</f>
        <v>-236</v>
      </c>
      <c r="J65" s="28">
        <f t="shared" si="187"/>
        <v>-84</v>
      </c>
      <c r="K65" s="28">
        <f t="shared" si="187"/>
        <v>18</v>
      </c>
      <c r="L65" s="28">
        <f t="shared" si="187"/>
        <v>302</v>
      </c>
      <c r="N65" s="80">
        <f t="shared" si="25"/>
        <v>9</v>
      </c>
      <c r="O65" s="28">
        <f t="shared" ref="O65:R65" si="188">O64+I58</f>
        <v>-1148</v>
      </c>
      <c r="P65" s="28">
        <f t="shared" si="188"/>
        <v>-4572</v>
      </c>
      <c r="Q65" s="28">
        <f t="shared" si="188"/>
        <v>-5242</v>
      </c>
      <c r="R65" s="28">
        <f t="shared" si="188"/>
        <v>10962</v>
      </c>
      <c r="T65" s="80">
        <v>9.0</v>
      </c>
      <c r="U65" s="80">
        <f t="shared" ref="U65:X65" si="189">U64+C58</f>
        <v>-250</v>
      </c>
      <c r="V65" s="80">
        <f t="shared" si="189"/>
        <v>-1046</v>
      </c>
      <c r="W65" s="80">
        <f t="shared" si="189"/>
        <v>1540</v>
      </c>
      <c r="X65" s="80">
        <f t="shared" si="189"/>
        <v>-348</v>
      </c>
      <c r="Z65" s="80">
        <v>9.0</v>
      </c>
      <c r="AA65" s="119">
        <v>43491.0</v>
      </c>
      <c r="AB65" s="80">
        <v>-250.0</v>
      </c>
      <c r="AC65" s="80">
        <v>-1046.0</v>
      </c>
      <c r="AD65" s="80">
        <v>1540.0</v>
      </c>
      <c r="AE65" s="80">
        <v>-348.0</v>
      </c>
    </row>
    <row r="66">
      <c r="A66" s="28">
        <f>'SAMLET_alle regnskab'!B75</f>
        <v>15</v>
      </c>
      <c r="B66" s="80">
        <f>'SAMLET_alle regnskab'!A75</f>
        <v>9</v>
      </c>
      <c r="C66" s="28">
        <f>'SAMLET_alle regnskab'!U75</f>
        <v>-8</v>
      </c>
      <c r="D66" s="28">
        <f>'SAMLET_alle regnskab'!V75</f>
        <v>8</v>
      </c>
      <c r="E66" s="28">
        <f>'SAMLET_alle regnskab'!W75</f>
        <v>-8</v>
      </c>
      <c r="F66" s="28">
        <f>'SAMLET_alle regnskab'!X75</f>
        <v>8</v>
      </c>
      <c r="H66" s="80">
        <f t="shared" si="7"/>
        <v>9</v>
      </c>
      <c r="I66" s="28">
        <f t="shared" ref="I66:L66" si="190">I65+C66</f>
        <v>-244</v>
      </c>
      <c r="J66" s="28">
        <f t="shared" si="190"/>
        <v>-76</v>
      </c>
      <c r="K66" s="28">
        <f t="shared" si="190"/>
        <v>10</v>
      </c>
      <c r="L66" s="28">
        <f t="shared" si="190"/>
        <v>310</v>
      </c>
      <c r="N66" s="80">
        <f t="shared" si="25"/>
        <v>9</v>
      </c>
      <c r="O66" s="28">
        <f t="shared" ref="O66:R66" si="191">O65+I59</f>
        <v>-1200</v>
      </c>
      <c r="P66" s="28">
        <f t="shared" si="191"/>
        <v>-4696</v>
      </c>
      <c r="Q66" s="28">
        <f t="shared" si="191"/>
        <v>-5456</v>
      </c>
      <c r="R66" s="28">
        <f t="shared" si="191"/>
        <v>11352</v>
      </c>
      <c r="T66" s="80">
        <v>9.0</v>
      </c>
      <c r="U66" s="80">
        <f t="shared" ref="U66:X66" si="192">U65+C59</f>
        <v>-210</v>
      </c>
      <c r="V66" s="80">
        <f t="shared" si="192"/>
        <v>-1086</v>
      </c>
      <c r="W66" s="80">
        <f t="shared" si="192"/>
        <v>1500</v>
      </c>
      <c r="X66" s="80">
        <f t="shared" si="192"/>
        <v>-308</v>
      </c>
      <c r="Z66" s="80">
        <v>9.0</v>
      </c>
      <c r="AA66" s="119">
        <v>43491.0</v>
      </c>
      <c r="AB66" s="80">
        <v>-210.0</v>
      </c>
      <c r="AC66" s="80">
        <v>-1086.0</v>
      </c>
      <c r="AD66" s="80">
        <v>1500.0</v>
      </c>
      <c r="AE66" s="80">
        <v>-308.0</v>
      </c>
    </row>
    <row r="67">
      <c r="A67" s="28">
        <f>'SAMLET_alle regnskab'!B76</f>
        <v>16</v>
      </c>
      <c r="B67" s="80">
        <f>'SAMLET_alle regnskab'!A76</f>
        <v>9</v>
      </c>
      <c r="C67" s="28">
        <f>'SAMLET_alle regnskab'!U76</f>
        <v>-32</v>
      </c>
      <c r="D67" s="28">
        <f>'SAMLET_alle regnskab'!V76</f>
        <v>-32</v>
      </c>
      <c r="E67" s="28">
        <f>'SAMLET_alle regnskab'!W76</f>
        <v>32</v>
      </c>
      <c r="F67" s="28">
        <f>'SAMLET_alle regnskab'!X76</f>
        <v>32</v>
      </c>
      <c r="H67" s="80">
        <f t="shared" si="7"/>
        <v>9</v>
      </c>
      <c r="I67" s="28">
        <f t="shared" ref="I67:L67" si="193">I66+C67</f>
        <v>-276</v>
      </c>
      <c r="J67" s="28">
        <f t="shared" si="193"/>
        <v>-108</v>
      </c>
      <c r="K67" s="28">
        <f t="shared" si="193"/>
        <v>42</v>
      </c>
      <c r="L67" s="28">
        <f t="shared" si="193"/>
        <v>342</v>
      </c>
      <c r="N67" s="80">
        <f t="shared" si="25"/>
        <v>9</v>
      </c>
      <c r="O67" s="28">
        <f t="shared" ref="O67:R67" si="194">O66+I60</f>
        <v>-1244</v>
      </c>
      <c r="P67" s="28">
        <f t="shared" si="194"/>
        <v>-4812</v>
      </c>
      <c r="Q67" s="28">
        <f t="shared" si="194"/>
        <v>-5678</v>
      </c>
      <c r="R67" s="28">
        <f t="shared" si="194"/>
        <v>11734</v>
      </c>
      <c r="T67" s="80">
        <v>9.0</v>
      </c>
      <c r="U67" s="80">
        <f t="shared" ref="U67:X67" si="195">U66+C60</f>
        <v>-202</v>
      </c>
      <c r="V67" s="80">
        <f t="shared" si="195"/>
        <v>-1078</v>
      </c>
      <c r="W67" s="80">
        <f t="shared" si="195"/>
        <v>1492</v>
      </c>
      <c r="X67" s="80">
        <f t="shared" si="195"/>
        <v>-316</v>
      </c>
      <c r="Z67" s="80">
        <v>9.0</v>
      </c>
      <c r="AA67" s="119">
        <v>43491.0</v>
      </c>
      <c r="AB67" s="80">
        <v>-202.0</v>
      </c>
      <c r="AC67" s="80">
        <v>-1078.0</v>
      </c>
      <c r="AD67" s="80">
        <v>1492.0</v>
      </c>
      <c r="AE67" s="80">
        <v>-316.0</v>
      </c>
    </row>
    <row r="68">
      <c r="A68" s="28">
        <f>'SAMLET_alle regnskab'!B77</f>
        <v>17</v>
      </c>
      <c r="B68" s="80">
        <f>'SAMLET_alle regnskab'!A77</f>
        <v>9</v>
      </c>
      <c r="C68" s="28">
        <f>'SAMLET_alle regnskab'!U77</f>
        <v>12</v>
      </c>
      <c r="D68" s="28">
        <f>'SAMLET_alle regnskab'!V77</f>
        <v>-12</v>
      </c>
      <c r="E68" s="28">
        <f>'SAMLET_alle regnskab'!W77</f>
        <v>12</v>
      </c>
      <c r="F68" s="28">
        <f>'SAMLET_alle regnskab'!X77</f>
        <v>-12</v>
      </c>
      <c r="H68" s="80">
        <f t="shared" si="7"/>
        <v>9</v>
      </c>
      <c r="I68" s="28">
        <f t="shared" ref="I68:L68" si="196">I67+C68</f>
        <v>-264</v>
      </c>
      <c r="J68" s="28">
        <f t="shared" si="196"/>
        <v>-120</v>
      </c>
      <c r="K68" s="28">
        <f t="shared" si="196"/>
        <v>54</v>
      </c>
      <c r="L68" s="28">
        <f t="shared" si="196"/>
        <v>330</v>
      </c>
      <c r="N68" s="80">
        <f t="shared" si="25"/>
        <v>9</v>
      </c>
      <c r="O68" s="28">
        <f t="shared" ref="O68:R68" si="197">O67+I61</f>
        <v>-1384</v>
      </c>
      <c r="P68" s="28">
        <f t="shared" si="197"/>
        <v>-4832</v>
      </c>
      <c r="Q68" s="28">
        <f t="shared" si="197"/>
        <v>-5804</v>
      </c>
      <c r="R68" s="28">
        <f t="shared" si="197"/>
        <v>12020</v>
      </c>
      <c r="T68" s="80">
        <v>9.0</v>
      </c>
      <c r="U68" s="80">
        <f t="shared" ref="U68:X68" si="198">U67+C61</f>
        <v>-298</v>
      </c>
      <c r="V68" s="80">
        <f t="shared" si="198"/>
        <v>-982</v>
      </c>
      <c r="W68" s="80">
        <f t="shared" si="198"/>
        <v>1588</v>
      </c>
      <c r="X68" s="80">
        <f t="shared" si="198"/>
        <v>-412</v>
      </c>
      <c r="Z68" s="80">
        <v>9.0</v>
      </c>
      <c r="AA68" s="119">
        <v>43491.0</v>
      </c>
      <c r="AB68" s="80">
        <v>-298.0</v>
      </c>
      <c r="AC68" s="80">
        <v>-982.0</v>
      </c>
      <c r="AD68" s="80">
        <v>1588.0</v>
      </c>
      <c r="AE68" s="80">
        <v>-412.0</v>
      </c>
    </row>
    <row r="69">
      <c r="A69" s="28">
        <f>'SAMLET_alle regnskab'!B78</f>
        <v>18</v>
      </c>
      <c r="B69" s="80">
        <f>'SAMLET_alle regnskab'!A78</f>
        <v>9</v>
      </c>
      <c r="C69" s="28">
        <f>'SAMLET_alle regnskab'!U78</f>
        <v>-8</v>
      </c>
      <c r="D69" s="28">
        <f>'SAMLET_alle regnskab'!V78</f>
        <v>-8</v>
      </c>
      <c r="E69" s="28">
        <f>'SAMLET_alle regnskab'!W78</f>
        <v>-8</v>
      </c>
      <c r="F69" s="28">
        <f>'SAMLET_alle regnskab'!X78</f>
        <v>24</v>
      </c>
      <c r="H69" s="80">
        <f t="shared" si="7"/>
        <v>9</v>
      </c>
      <c r="I69" s="28">
        <f t="shared" ref="I69:L69" si="199">I68+C69</f>
        <v>-272</v>
      </c>
      <c r="J69" s="28">
        <f t="shared" si="199"/>
        <v>-128</v>
      </c>
      <c r="K69" s="28">
        <f t="shared" si="199"/>
        <v>46</v>
      </c>
      <c r="L69" s="28">
        <f t="shared" si="199"/>
        <v>354</v>
      </c>
      <c r="N69" s="80">
        <f t="shared" si="25"/>
        <v>9</v>
      </c>
      <c r="O69" s="28">
        <f t="shared" ref="O69:R69" si="200">O68+I62</f>
        <v>-1588</v>
      </c>
      <c r="P69" s="28">
        <f t="shared" si="200"/>
        <v>-4788</v>
      </c>
      <c r="Q69" s="28">
        <f t="shared" si="200"/>
        <v>-5866</v>
      </c>
      <c r="R69" s="28">
        <f t="shared" si="200"/>
        <v>12242</v>
      </c>
      <c r="T69" s="80">
        <v>9.0</v>
      </c>
      <c r="U69" s="80">
        <f t="shared" ref="U69:X69" si="201">U68+C62</f>
        <v>-362</v>
      </c>
      <c r="V69" s="80">
        <f t="shared" si="201"/>
        <v>-918</v>
      </c>
      <c r="W69" s="80">
        <f t="shared" si="201"/>
        <v>1652</v>
      </c>
      <c r="X69" s="80">
        <f t="shared" si="201"/>
        <v>-476</v>
      </c>
      <c r="Z69" s="80">
        <v>9.0</v>
      </c>
      <c r="AA69" s="119">
        <v>43491.0</v>
      </c>
      <c r="AB69" s="80">
        <v>-362.0</v>
      </c>
      <c r="AC69" s="80">
        <v>-918.0</v>
      </c>
      <c r="AD69" s="80">
        <v>1652.0</v>
      </c>
      <c r="AE69" s="80">
        <v>-476.0</v>
      </c>
    </row>
    <row r="70">
      <c r="A70" s="28">
        <f>'SAMLET_alle regnskab'!B79</f>
        <v>19</v>
      </c>
      <c r="B70" s="80">
        <f>'SAMLET_alle regnskab'!A79</f>
        <v>9</v>
      </c>
      <c r="C70" s="28">
        <f>'SAMLET_alle regnskab'!U79</f>
        <v>12</v>
      </c>
      <c r="D70" s="28">
        <f>'SAMLET_alle regnskab'!V79</f>
        <v>-4</v>
      </c>
      <c r="E70" s="28">
        <f>'SAMLET_alle regnskab'!W79</f>
        <v>-4</v>
      </c>
      <c r="F70" s="28">
        <f>'SAMLET_alle regnskab'!X79</f>
        <v>-4</v>
      </c>
      <c r="H70" s="80">
        <f t="shared" si="7"/>
        <v>9</v>
      </c>
      <c r="I70" s="28">
        <f t="shared" ref="I70:L70" si="202">I69+C70</f>
        <v>-260</v>
      </c>
      <c r="J70" s="28">
        <f t="shared" si="202"/>
        <v>-132</v>
      </c>
      <c r="K70" s="28">
        <f t="shared" si="202"/>
        <v>42</v>
      </c>
      <c r="L70" s="28">
        <f t="shared" si="202"/>
        <v>350</v>
      </c>
      <c r="N70" s="80">
        <f t="shared" si="25"/>
        <v>9</v>
      </c>
      <c r="O70" s="28">
        <f t="shared" ref="O70:R70" si="203">O69+I63</f>
        <v>-1840</v>
      </c>
      <c r="P70" s="28">
        <f t="shared" si="203"/>
        <v>-4792</v>
      </c>
      <c r="Q70" s="28">
        <f t="shared" si="203"/>
        <v>-5880</v>
      </c>
      <c r="R70" s="28">
        <f t="shared" si="203"/>
        <v>12512</v>
      </c>
      <c r="T70" s="80">
        <v>9.0</v>
      </c>
      <c r="U70" s="80">
        <f t="shared" ref="U70:X70" si="204">U69+C63</f>
        <v>-410</v>
      </c>
      <c r="V70" s="80">
        <f t="shared" si="204"/>
        <v>-966</v>
      </c>
      <c r="W70" s="80">
        <f t="shared" si="204"/>
        <v>1700</v>
      </c>
      <c r="X70" s="80">
        <f t="shared" si="204"/>
        <v>-428</v>
      </c>
      <c r="Z70" s="80">
        <v>9.0</v>
      </c>
      <c r="AA70" s="119">
        <v>43491.0</v>
      </c>
      <c r="AB70" s="80">
        <v>-410.0</v>
      </c>
      <c r="AC70" s="80">
        <v>-966.0</v>
      </c>
      <c r="AD70" s="80">
        <v>1700.0</v>
      </c>
      <c r="AE70" s="80">
        <v>-428.0</v>
      </c>
    </row>
    <row r="71">
      <c r="A71" s="28">
        <f>'SAMLET_alle regnskab'!B80</f>
        <v>20</v>
      </c>
      <c r="B71" s="80">
        <f>'SAMLET_alle regnskab'!A80</f>
        <v>9</v>
      </c>
      <c r="C71" s="28">
        <f>'SAMLET_alle regnskab'!U80</f>
        <v>-12</v>
      </c>
      <c r="D71" s="28">
        <f>'SAMLET_alle regnskab'!V80</f>
        <v>-12</v>
      </c>
      <c r="E71" s="28">
        <f>'SAMLET_alle regnskab'!W80</f>
        <v>12</v>
      </c>
      <c r="F71" s="28">
        <f>'SAMLET_alle regnskab'!X80</f>
        <v>12</v>
      </c>
      <c r="H71" s="80">
        <f t="shared" si="7"/>
        <v>9</v>
      </c>
      <c r="I71" s="28">
        <f t="shared" ref="I71:L71" si="205">I70+C71</f>
        <v>-272</v>
      </c>
      <c r="J71" s="28">
        <f t="shared" si="205"/>
        <v>-144</v>
      </c>
      <c r="K71" s="28">
        <f t="shared" si="205"/>
        <v>54</v>
      </c>
      <c r="L71" s="28">
        <f t="shared" si="205"/>
        <v>362</v>
      </c>
      <c r="N71" s="80">
        <f t="shared" si="25"/>
        <v>9</v>
      </c>
      <c r="O71" s="28">
        <f t="shared" ref="O71:R71" si="206">O70+I64</f>
        <v>-2068</v>
      </c>
      <c r="P71" s="28">
        <f t="shared" si="206"/>
        <v>-4868</v>
      </c>
      <c r="Q71" s="28">
        <f t="shared" si="206"/>
        <v>-5870</v>
      </c>
      <c r="R71" s="28">
        <f t="shared" si="206"/>
        <v>12806</v>
      </c>
      <c r="T71" s="80">
        <v>9.0</v>
      </c>
      <c r="U71" s="80">
        <f t="shared" ref="U71:X71" si="207">U70+C64</f>
        <v>-386</v>
      </c>
      <c r="V71" s="80">
        <f t="shared" si="207"/>
        <v>-1038</v>
      </c>
      <c r="W71" s="80">
        <f t="shared" si="207"/>
        <v>1724</v>
      </c>
      <c r="X71" s="80">
        <f t="shared" si="207"/>
        <v>-404</v>
      </c>
      <c r="Z71" s="80">
        <v>9.0</v>
      </c>
      <c r="AA71" s="119">
        <v>43491.0</v>
      </c>
      <c r="AB71" s="80">
        <v>-386.0</v>
      </c>
      <c r="AC71" s="80">
        <v>-1038.0</v>
      </c>
      <c r="AD71" s="80">
        <v>1724.0</v>
      </c>
      <c r="AE71" s="80">
        <v>-404.0</v>
      </c>
    </row>
    <row r="72">
      <c r="A72" s="28">
        <f>'SAMLET_alle regnskab'!B81</f>
        <v>21</v>
      </c>
      <c r="B72" s="80">
        <f>'SAMLET_alle regnskab'!A81</f>
        <v>9</v>
      </c>
      <c r="C72" s="28">
        <f>'SAMLET_alle regnskab'!U81</f>
        <v>12</v>
      </c>
      <c r="D72" s="28">
        <f>'SAMLET_alle regnskab'!V81</f>
        <v>-12</v>
      </c>
      <c r="E72" s="28">
        <f>'SAMLET_alle regnskab'!W81</f>
        <v>12</v>
      </c>
      <c r="F72" s="28">
        <f>'SAMLET_alle regnskab'!X81</f>
        <v>-12</v>
      </c>
      <c r="H72" s="80">
        <f t="shared" si="7"/>
        <v>9</v>
      </c>
      <c r="I72" s="28">
        <f t="shared" ref="I72:L72" si="208">I71+C72</f>
        <v>-260</v>
      </c>
      <c r="J72" s="28">
        <f t="shared" si="208"/>
        <v>-156</v>
      </c>
      <c r="K72" s="28">
        <f t="shared" si="208"/>
        <v>66</v>
      </c>
      <c r="L72" s="28">
        <f t="shared" si="208"/>
        <v>350</v>
      </c>
      <c r="N72" s="80">
        <f t="shared" si="25"/>
        <v>9</v>
      </c>
      <c r="O72" s="28">
        <f t="shared" ref="O72:R72" si="209">O71+I65</f>
        <v>-2304</v>
      </c>
      <c r="P72" s="28">
        <f t="shared" si="209"/>
        <v>-4952</v>
      </c>
      <c r="Q72" s="28">
        <f t="shared" si="209"/>
        <v>-5852</v>
      </c>
      <c r="R72" s="28">
        <f t="shared" si="209"/>
        <v>13108</v>
      </c>
      <c r="T72" s="80">
        <v>9.0</v>
      </c>
      <c r="U72" s="80">
        <f t="shared" ref="U72:X72" si="210">U71+C65</f>
        <v>-394</v>
      </c>
      <c r="V72" s="80">
        <f t="shared" si="210"/>
        <v>-1046</v>
      </c>
      <c r="W72" s="80">
        <f t="shared" si="210"/>
        <v>1732</v>
      </c>
      <c r="X72" s="80">
        <f t="shared" si="210"/>
        <v>-396</v>
      </c>
      <c r="Z72" s="80">
        <v>9.0</v>
      </c>
      <c r="AA72" s="119">
        <v>43491.0</v>
      </c>
      <c r="AB72" s="80">
        <v>-394.0</v>
      </c>
      <c r="AC72" s="80">
        <v>-1046.0</v>
      </c>
      <c r="AD72" s="80">
        <v>1732.0</v>
      </c>
      <c r="AE72" s="80">
        <v>-396.0</v>
      </c>
    </row>
    <row r="73">
      <c r="A73" s="28">
        <f>'SAMLET_alle regnskab'!B82</f>
        <v>22</v>
      </c>
      <c r="B73" s="80">
        <f>'SAMLET_alle regnskab'!A82</f>
        <v>9</v>
      </c>
      <c r="C73" s="28">
        <f>'SAMLET_alle regnskab'!U82</f>
        <v>-12</v>
      </c>
      <c r="D73" s="28">
        <f>'SAMLET_alle regnskab'!V82</f>
        <v>12</v>
      </c>
      <c r="E73" s="28">
        <f>'SAMLET_alle regnskab'!W82</f>
        <v>-12</v>
      </c>
      <c r="F73" s="28">
        <f>'SAMLET_alle regnskab'!X82</f>
        <v>12</v>
      </c>
      <c r="H73" s="80">
        <f t="shared" si="7"/>
        <v>9</v>
      </c>
      <c r="I73" s="28">
        <f t="shared" ref="I73:L73" si="211">I72+C73</f>
        <v>-272</v>
      </c>
      <c r="J73" s="28">
        <f t="shared" si="211"/>
        <v>-144</v>
      </c>
      <c r="K73" s="28">
        <f t="shared" si="211"/>
        <v>54</v>
      </c>
      <c r="L73" s="28">
        <f t="shared" si="211"/>
        <v>362</v>
      </c>
      <c r="N73" s="80">
        <f t="shared" si="25"/>
        <v>9</v>
      </c>
      <c r="O73" s="28">
        <f t="shared" ref="O73:R73" si="212">O72+I66</f>
        <v>-2548</v>
      </c>
      <c r="P73" s="28">
        <f t="shared" si="212"/>
        <v>-5028</v>
      </c>
      <c r="Q73" s="28">
        <f t="shared" si="212"/>
        <v>-5842</v>
      </c>
      <c r="R73" s="28">
        <f t="shared" si="212"/>
        <v>13418</v>
      </c>
      <c r="T73" s="80">
        <v>9.0</v>
      </c>
      <c r="U73" s="80">
        <f t="shared" ref="U73:X73" si="213">U72+C66</f>
        <v>-402</v>
      </c>
      <c r="V73" s="80">
        <f t="shared" si="213"/>
        <v>-1038</v>
      </c>
      <c r="W73" s="80">
        <f t="shared" si="213"/>
        <v>1724</v>
      </c>
      <c r="X73" s="80">
        <f t="shared" si="213"/>
        <v>-388</v>
      </c>
      <c r="Z73" s="80">
        <v>9.0</v>
      </c>
      <c r="AA73" s="119">
        <v>43491.0</v>
      </c>
      <c r="AB73" s="80">
        <v>-402.0</v>
      </c>
      <c r="AC73" s="80">
        <v>-1038.0</v>
      </c>
      <c r="AD73" s="80">
        <v>1724.0</v>
      </c>
      <c r="AE73" s="80">
        <v>-388.0</v>
      </c>
    </row>
    <row r="74">
      <c r="A74" s="28">
        <f>'SAMLET_alle regnskab'!B83</f>
        <v>23</v>
      </c>
      <c r="B74" s="80">
        <f>'SAMLET_alle regnskab'!A83</f>
        <v>9</v>
      </c>
      <c r="C74" s="28">
        <f>'SAMLET_alle regnskab'!U83</f>
        <v>12</v>
      </c>
      <c r="D74" s="28">
        <f>'SAMLET_alle regnskab'!V83</f>
        <v>12</v>
      </c>
      <c r="E74" s="28">
        <f>'SAMLET_alle regnskab'!W83</f>
        <v>-36</v>
      </c>
      <c r="F74" s="28">
        <f>'SAMLET_alle regnskab'!X83</f>
        <v>12</v>
      </c>
      <c r="H74" s="80">
        <f t="shared" si="7"/>
        <v>9</v>
      </c>
      <c r="I74" s="28">
        <f t="shared" ref="I74:L74" si="214">I73+C74</f>
        <v>-260</v>
      </c>
      <c r="J74" s="28">
        <f t="shared" si="214"/>
        <v>-132</v>
      </c>
      <c r="K74" s="28">
        <f t="shared" si="214"/>
        <v>18</v>
      </c>
      <c r="L74" s="28">
        <f t="shared" si="214"/>
        <v>374</v>
      </c>
      <c r="N74" s="80">
        <f t="shared" si="25"/>
        <v>9</v>
      </c>
      <c r="O74" s="28">
        <f t="shared" ref="O74:R74" si="215">O73+I67</f>
        <v>-2824</v>
      </c>
      <c r="P74" s="28">
        <f t="shared" si="215"/>
        <v>-5136</v>
      </c>
      <c r="Q74" s="28">
        <f t="shared" si="215"/>
        <v>-5800</v>
      </c>
      <c r="R74" s="28">
        <f t="shared" si="215"/>
        <v>13760</v>
      </c>
      <c r="T74" s="80">
        <v>9.0</v>
      </c>
      <c r="U74" s="80">
        <f t="shared" ref="U74:X74" si="216">U73+C67</f>
        <v>-434</v>
      </c>
      <c r="V74" s="80">
        <f t="shared" si="216"/>
        <v>-1070</v>
      </c>
      <c r="W74" s="80">
        <f t="shared" si="216"/>
        <v>1756</v>
      </c>
      <c r="X74" s="80">
        <f t="shared" si="216"/>
        <v>-356</v>
      </c>
      <c r="Z74" s="80">
        <v>9.0</v>
      </c>
      <c r="AA74" s="119">
        <v>43491.0</v>
      </c>
      <c r="AB74" s="80">
        <v>-434.0</v>
      </c>
      <c r="AC74" s="80">
        <v>-1070.0</v>
      </c>
      <c r="AD74" s="80">
        <v>1756.0</v>
      </c>
      <c r="AE74" s="80">
        <v>-356.0</v>
      </c>
    </row>
    <row r="75">
      <c r="A75" s="28">
        <f>'SAMLET_alle regnskab'!B84</f>
        <v>24</v>
      </c>
      <c r="B75" s="80">
        <f>'SAMLET_alle regnskab'!A84</f>
        <v>9</v>
      </c>
      <c r="C75" s="28">
        <f>'SAMLET_alle regnskab'!U84</f>
        <v>96</v>
      </c>
      <c r="D75" s="28">
        <f>'SAMLET_alle regnskab'!V84</f>
        <v>-96</v>
      </c>
      <c r="E75" s="28">
        <f>'SAMLET_alle regnskab'!W84</f>
        <v>96</v>
      </c>
      <c r="F75" s="28">
        <f>'SAMLET_alle regnskab'!X84</f>
        <v>-96</v>
      </c>
      <c r="H75" s="80">
        <f t="shared" si="7"/>
        <v>9</v>
      </c>
      <c r="I75" s="28">
        <f t="shared" ref="I75:L75" si="217">I74+C75</f>
        <v>-164</v>
      </c>
      <c r="J75" s="28">
        <f t="shared" si="217"/>
        <v>-228</v>
      </c>
      <c r="K75" s="28">
        <f t="shared" si="217"/>
        <v>114</v>
      </c>
      <c r="L75" s="28">
        <f t="shared" si="217"/>
        <v>278</v>
      </c>
      <c r="N75" s="80">
        <f t="shared" si="25"/>
        <v>9</v>
      </c>
      <c r="O75" s="28">
        <f t="shared" ref="O75:R75" si="218">O74+I68</f>
        <v>-3088</v>
      </c>
      <c r="P75" s="28">
        <f t="shared" si="218"/>
        <v>-5256</v>
      </c>
      <c r="Q75" s="28">
        <f t="shared" si="218"/>
        <v>-5746</v>
      </c>
      <c r="R75" s="28">
        <f t="shared" si="218"/>
        <v>14090</v>
      </c>
      <c r="T75" s="80">
        <v>9.0</v>
      </c>
      <c r="U75" s="80">
        <f t="shared" ref="U75:X75" si="219">U74+C68</f>
        <v>-422</v>
      </c>
      <c r="V75" s="80">
        <f t="shared" si="219"/>
        <v>-1082</v>
      </c>
      <c r="W75" s="80">
        <f t="shared" si="219"/>
        <v>1768</v>
      </c>
      <c r="X75" s="80">
        <f t="shared" si="219"/>
        <v>-368</v>
      </c>
      <c r="Z75" s="80">
        <v>9.0</v>
      </c>
      <c r="AA75" s="119">
        <v>43491.0</v>
      </c>
      <c r="AB75" s="80">
        <v>-422.0</v>
      </c>
      <c r="AC75" s="80">
        <v>-1082.0</v>
      </c>
      <c r="AD75" s="80">
        <v>1768.0</v>
      </c>
      <c r="AE75" s="80">
        <v>-368.0</v>
      </c>
    </row>
    <row r="76">
      <c r="A76" s="28">
        <f>'SAMLET_alle regnskab'!B85</f>
        <v>25</v>
      </c>
      <c r="B76" s="80">
        <f>'SAMLET_alle regnskab'!A85</f>
        <v>9</v>
      </c>
      <c r="C76" s="28">
        <f>'SAMLET_alle regnskab'!U85</f>
        <v>16</v>
      </c>
      <c r="D76" s="28">
        <f>'SAMLET_alle regnskab'!V85</f>
        <v>-16</v>
      </c>
      <c r="E76" s="28">
        <f>'SAMLET_alle regnskab'!W85</f>
        <v>-16</v>
      </c>
      <c r="F76" s="28">
        <f>'SAMLET_alle regnskab'!X85</f>
        <v>16</v>
      </c>
      <c r="H76" s="80">
        <f t="shared" si="7"/>
        <v>9</v>
      </c>
      <c r="I76" s="28">
        <f t="shared" ref="I76:L76" si="220">I75+C76</f>
        <v>-148</v>
      </c>
      <c r="J76" s="28">
        <f t="shared" si="220"/>
        <v>-244</v>
      </c>
      <c r="K76" s="28">
        <f t="shared" si="220"/>
        <v>98</v>
      </c>
      <c r="L76" s="28">
        <f t="shared" si="220"/>
        <v>294</v>
      </c>
      <c r="N76" s="80">
        <f t="shared" si="25"/>
        <v>9</v>
      </c>
      <c r="O76" s="28">
        <f t="shared" ref="O76:R76" si="221">O75+I69</f>
        <v>-3360</v>
      </c>
      <c r="P76" s="28">
        <f t="shared" si="221"/>
        <v>-5384</v>
      </c>
      <c r="Q76" s="28">
        <f t="shared" si="221"/>
        <v>-5700</v>
      </c>
      <c r="R76" s="28">
        <f t="shared" si="221"/>
        <v>14444</v>
      </c>
      <c r="T76" s="80">
        <v>9.0</v>
      </c>
      <c r="U76" s="80">
        <f t="shared" ref="U76:X76" si="222">U75+C69</f>
        <v>-430</v>
      </c>
      <c r="V76" s="80">
        <f t="shared" si="222"/>
        <v>-1090</v>
      </c>
      <c r="W76" s="80">
        <f t="shared" si="222"/>
        <v>1760</v>
      </c>
      <c r="X76" s="80">
        <f t="shared" si="222"/>
        <v>-344</v>
      </c>
      <c r="Z76" s="80">
        <v>9.0</v>
      </c>
      <c r="AA76" s="119">
        <v>43491.0</v>
      </c>
      <c r="AB76" s="80">
        <v>-430.0</v>
      </c>
      <c r="AC76" s="80">
        <v>-1090.0</v>
      </c>
      <c r="AD76" s="80">
        <v>1760.0</v>
      </c>
      <c r="AE76" s="80">
        <v>-344.0</v>
      </c>
    </row>
    <row r="77">
      <c r="A77" s="28">
        <f>'SAMLET_alle regnskab'!B86</f>
        <v>26</v>
      </c>
      <c r="B77" s="80">
        <f>'SAMLET_alle regnskab'!A86</f>
        <v>9</v>
      </c>
      <c r="C77" s="28">
        <f>'SAMLET_alle regnskab'!U86</f>
        <v>12</v>
      </c>
      <c r="D77" s="28">
        <f>'SAMLET_alle regnskab'!V86</f>
        <v>-12</v>
      </c>
      <c r="E77" s="28">
        <f>'SAMLET_alle regnskab'!W86</f>
        <v>-12</v>
      </c>
      <c r="F77" s="28">
        <f>'SAMLET_alle regnskab'!X86</f>
        <v>12</v>
      </c>
      <c r="H77" s="80">
        <f t="shared" si="7"/>
        <v>9</v>
      </c>
      <c r="I77" s="28">
        <f t="shared" ref="I77:L77" si="223">I76+C77</f>
        <v>-136</v>
      </c>
      <c r="J77" s="28">
        <f t="shared" si="223"/>
        <v>-256</v>
      </c>
      <c r="K77" s="28">
        <f t="shared" si="223"/>
        <v>86</v>
      </c>
      <c r="L77" s="28">
        <f t="shared" si="223"/>
        <v>306</v>
      </c>
      <c r="N77" s="80">
        <f t="shared" si="25"/>
        <v>9</v>
      </c>
      <c r="O77" s="28">
        <f t="shared" ref="O77:R77" si="224">O76+I70</f>
        <v>-3620</v>
      </c>
      <c r="P77" s="28">
        <f t="shared" si="224"/>
        <v>-5516</v>
      </c>
      <c r="Q77" s="28">
        <f t="shared" si="224"/>
        <v>-5658</v>
      </c>
      <c r="R77" s="28">
        <f t="shared" si="224"/>
        <v>14794</v>
      </c>
      <c r="T77" s="80">
        <v>9.0</v>
      </c>
      <c r="U77" s="80">
        <f t="shared" ref="U77:X77" si="225">U76+C70</f>
        <v>-418</v>
      </c>
      <c r="V77" s="80">
        <f t="shared" si="225"/>
        <v>-1094</v>
      </c>
      <c r="W77" s="80">
        <f t="shared" si="225"/>
        <v>1756</v>
      </c>
      <c r="X77" s="80">
        <f t="shared" si="225"/>
        <v>-348</v>
      </c>
      <c r="Z77" s="80">
        <v>9.0</v>
      </c>
      <c r="AA77" s="119">
        <v>43491.0</v>
      </c>
      <c r="AB77" s="80">
        <v>-418.0</v>
      </c>
      <c r="AC77" s="80">
        <v>-1094.0</v>
      </c>
      <c r="AD77" s="80">
        <v>1756.0</v>
      </c>
      <c r="AE77" s="80">
        <v>-348.0</v>
      </c>
    </row>
    <row r="78">
      <c r="A78" s="28">
        <f>'SAMLET_alle regnskab'!B87</f>
        <v>27</v>
      </c>
      <c r="B78" s="80">
        <f>'SAMLET_alle regnskab'!A87</f>
        <v>9</v>
      </c>
      <c r="C78" s="28">
        <f>'SAMLET_alle regnskab'!U87</f>
        <v>24</v>
      </c>
      <c r="D78" s="28">
        <f>'SAMLET_alle regnskab'!V87</f>
        <v>-24</v>
      </c>
      <c r="E78" s="28">
        <f>'SAMLET_alle regnskab'!W87</f>
        <v>24</v>
      </c>
      <c r="F78" s="28">
        <f>'SAMLET_alle regnskab'!X87</f>
        <v>-24</v>
      </c>
      <c r="H78" s="80">
        <f t="shared" si="7"/>
        <v>9</v>
      </c>
      <c r="I78" s="28">
        <f t="shared" ref="I78:L78" si="226">I77+C78</f>
        <v>-112</v>
      </c>
      <c r="J78" s="28">
        <f t="shared" si="226"/>
        <v>-280</v>
      </c>
      <c r="K78" s="28">
        <f t="shared" si="226"/>
        <v>110</v>
      </c>
      <c r="L78" s="28">
        <f t="shared" si="226"/>
        <v>282</v>
      </c>
      <c r="N78" s="80">
        <f t="shared" si="25"/>
        <v>9</v>
      </c>
      <c r="O78" s="28">
        <f t="shared" ref="O78:R78" si="227">O77+I71</f>
        <v>-3892</v>
      </c>
      <c r="P78" s="28">
        <f t="shared" si="227"/>
        <v>-5660</v>
      </c>
      <c r="Q78" s="28">
        <f t="shared" si="227"/>
        <v>-5604</v>
      </c>
      <c r="R78" s="28">
        <f t="shared" si="227"/>
        <v>15156</v>
      </c>
      <c r="T78" s="80">
        <v>9.0</v>
      </c>
      <c r="U78" s="80">
        <f t="shared" ref="U78:X78" si="228">U77+C71</f>
        <v>-430</v>
      </c>
      <c r="V78" s="80">
        <f t="shared" si="228"/>
        <v>-1106</v>
      </c>
      <c r="W78" s="80">
        <f t="shared" si="228"/>
        <v>1768</v>
      </c>
      <c r="X78" s="80">
        <f t="shared" si="228"/>
        <v>-336</v>
      </c>
      <c r="Z78" s="80">
        <v>9.0</v>
      </c>
      <c r="AA78" s="119">
        <v>43491.0</v>
      </c>
      <c r="AB78" s="80">
        <v>-430.0</v>
      </c>
      <c r="AC78" s="80">
        <v>-1106.0</v>
      </c>
      <c r="AD78" s="80">
        <v>1768.0</v>
      </c>
      <c r="AE78" s="80">
        <v>-336.0</v>
      </c>
    </row>
    <row r="79">
      <c r="A79" s="28">
        <f>'SAMLET_alle regnskab'!B88</f>
        <v>28</v>
      </c>
      <c r="B79" s="80">
        <f>'SAMLET_alle regnskab'!A88</f>
        <v>9</v>
      </c>
      <c r="C79" s="28">
        <f>'SAMLET_alle regnskab'!U88</f>
        <v>-8</v>
      </c>
      <c r="D79" s="28">
        <f>'SAMLET_alle regnskab'!V88</f>
        <v>-8</v>
      </c>
      <c r="E79" s="28">
        <f>'SAMLET_alle regnskab'!W88</f>
        <v>24</v>
      </c>
      <c r="F79" s="28">
        <f>'SAMLET_alle regnskab'!X88</f>
        <v>-8</v>
      </c>
      <c r="H79" s="80">
        <f t="shared" si="7"/>
        <v>9</v>
      </c>
      <c r="I79" s="28">
        <f t="shared" ref="I79:L79" si="229">I78+C79</f>
        <v>-120</v>
      </c>
      <c r="J79" s="28">
        <f t="shared" si="229"/>
        <v>-288</v>
      </c>
      <c r="K79" s="28">
        <f t="shared" si="229"/>
        <v>134</v>
      </c>
      <c r="L79" s="28">
        <f t="shared" si="229"/>
        <v>274</v>
      </c>
      <c r="N79" s="80">
        <f t="shared" si="25"/>
        <v>9</v>
      </c>
      <c r="O79" s="28">
        <f t="shared" ref="O79:R79" si="230">O78+I72</f>
        <v>-4152</v>
      </c>
      <c r="P79" s="28">
        <f t="shared" si="230"/>
        <v>-5816</v>
      </c>
      <c r="Q79" s="28">
        <f t="shared" si="230"/>
        <v>-5538</v>
      </c>
      <c r="R79" s="28">
        <f t="shared" si="230"/>
        <v>15506</v>
      </c>
      <c r="T79" s="80">
        <v>9.0</v>
      </c>
      <c r="U79" s="80">
        <f t="shared" ref="U79:X79" si="231">U78+C72</f>
        <v>-418</v>
      </c>
      <c r="V79" s="80">
        <f t="shared" si="231"/>
        <v>-1118</v>
      </c>
      <c r="W79" s="80">
        <f t="shared" si="231"/>
        <v>1780</v>
      </c>
      <c r="X79" s="80">
        <f t="shared" si="231"/>
        <v>-348</v>
      </c>
      <c r="Z79" s="80">
        <v>9.0</v>
      </c>
      <c r="AA79" s="119">
        <v>43491.0</v>
      </c>
      <c r="AB79" s="80">
        <v>-418.0</v>
      </c>
      <c r="AC79" s="80">
        <v>-1118.0</v>
      </c>
      <c r="AD79" s="80">
        <v>1780.0</v>
      </c>
      <c r="AE79" s="80">
        <v>-348.0</v>
      </c>
    </row>
    <row r="80">
      <c r="A80" s="28">
        <f>'SAMLET_alle regnskab'!B89</f>
        <v>29</v>
      </c>
      <c r="B80" s="80">
        <f>'SAMLET_alle regnskab'!A89</f>
        <v>9</v>
      </c>
      <c r="C80" s="28">
        <f>'SAMLET_alle regnskab'!U89</f>
        <v>-16</v>
      </c>
      <c r="D80" s="28">
        <f>'SAMLET_alle regnskab'!V89</f>
        <v>48</v>
      </c>
      <c r="E80" s="28">
        <f>'SAMLET_alle regnskab'!W89</f>
        <v>-16</v>
      </c>
      <c r="F80" s="28">
        <f>'SAMLET_alle regnskab'!X89</f>
        <v>-16</v>
      </c>
      <c r="H80" s="80">
        <f t="shared" si="7"/>
        <v>9</v>
      </c>
      <c r="I80" s="28">
        <f t="shared" ref="I80:L80" si="232">I79+C80</f>
        <v>-136</v>
      </c>
      <c r="J80" s="28">
        <f t="shared" si="232"/>
        <v>-240</v>
      </c>
      <c r="K80" s="28">
        <f t="shared" si="232"/>
        <v>118</v>
      </c>
      <c r="L80" s="28">
        <f t="shared" si="232"/>
        <v>258</v>
      </c>
      <c r="N80" s="80">
        <f t="shared" si="25"/>
        <v>9</v>
      </c>
      <c r="O80" s="28">
        <f t="shared" ref="O80:R80" si="233">O79+I73</f>
        <v>-4424</v>
      </c>
      <c r="P80" s="28">
        <f t="shared" si="233"/>
        <v>-5960</v>
      </c>
      <c r="Q80" s="28">
        <f t="shared" si="233"/>
        <v>-5484</v>
      </c>
      <c r="R80" s="28">
        <f t="shared" si="233"/>
        <v>15868</v>
      </c>
      <c r="T80" s="80">
        <v>9.0</v>
      </c>
      <c r="U80" s="80">
        <f t="shared" ref="U80:X80" si="234">U79+C73</f>
        <v>-430</v>
      </c>
      <c r="V80" s="80">
        <f t="shared" si="234"/>
        <v>-1106</v>
      </c>
      <c r="W80" s="80">
        <f t="shared" si="234"/>
        <v>1768</v>
      </c>
      <c r="X80" s="80">
        <f t="shared" si="234"/>
        <v>-336</v>
      </c>
      <c r="Z80" s="80">
        <v>9.0</v>
      </c>
      <c r="AA80" s="119">
        <v>43491.0</v>
      </c>
      <c r="AB80" s="80">
        <v>-430.0</v>
      </c>
      <c r="AC80" s="80">
        <v>-1106.0</v>
      </c>
      <c r="AD80" s="80">
        <v>1768.0</v>
      </c>
      <c r="AE80" s="80">
        <v>-336.0</v>
      </c>
    </row>
    <row r="81">
      <c r="A81" s="28">
        <f>'SAMLET_alle regnskab'!B90</f>
        <v>30</v>
      </c>
      <c r="B81" s="80">
        <f>'SAMLET_alle regnskab'!A90</f>
        <v>9</v>
      </c>
      <c r="C81" s="28">
        <f>'SAMLET_alle regnskab'!U90</f>
        <v>12</v>
      </c>
      <c r="D81" s="28">
        <f>'SAMLET_alle regnskab'!V90</f>
        <v>-12</v>
      </c>
      <c r="E81" s="28">
        <f>'SAMLET_alle regnskab'!W90</f>
        <v>-12</v>
      </c>
      <c r="F81" s="28">
        <f>'SAMLET_alle regnskab'!X90</f>
        <v>12</v>
      </c>
      <c r="H81" s="80">
        <f t="shared" si="7"/>
        <v>9</v>
      </c>
      <c r="I81" s="28">
        <f t="shared" ref="I81:L81" si="235">I80+C81</f>
        <v>-124</v>
      </c>
      <c r="J81" s="28">
        <f t="shared" si="235"/>
        <v>-252</v>
      </c>
      <c r="K81" s="28">
        <f t="shared" si="235"/>
        <v>106</v>
      </c>
      <c r="L81" s="28">
        <f t="shared" si="235"/>
        <v>270</v>
      </c>
      <c r="N81" s="80">
        <f t="shared" si="25"/>
        <v>9</v>
      </c>
      <c r="O81" s="28">
        <f t="shared" ref="O81:R81" si="236">O80+I74</f>
        <v>-4684</v>
      </c>
      <c r="P81" s="28">
        <f t="shared" si="236"/>
        <v>-6092</v>
      </c>
      <c r="Q81" s="28">
        <f t="shared" si="236"/>
        <v>-5466</v>
      </c>
      <c r="R81" s="28">
        <f t="shared" si="236"/>
        <v>16242</v>
      </c>
      <c r="T81" s="80">
        <v>9.0</v>
      </c>
      <c r="U81" s="80">
        <f t="shared" ref="U81:X81" si="237">U80+C74</f>
        <v>-418</v>
      </c>
      <c r="V81" s="80">
        <f t="shared" si="237"/>
        <v>-1094</v>
      </c>
      <c r="W81" s="80">
        <f t="shared" si="237"/>
        <v>1732</v>
      </c>
      <c r="X81" s="80">
        <f t="shared" si="237"/>
        <v>-324</v>
      </c>
      <c r="Z81" s="80">
        <v>9.0</v>
      </c>
      <c r="AA81" s="119">
        <v>43491.0</v>
      </c>
      <c r="AB81" s="80">
        <v>-418.0</v>
      </c>
      <c r="AC81" s="80">
        <v>-1094.0</v>
      </c>
      <c r="AD81" s="80">
        <v>1732.0</v>
      </c>
      <c r="AE81" s="80">
        <v>-324.0</v>
      </c>
    </row>
    <row r="82">
      <c r="A82" s="28">
        <f>'SAMLET_alle regnskab'!B91</f>
        <v>31</v>
      </c>
      <c r="B82" s="80">
        <f>'SAMLET_alle regnskab'!A91</f>
        <v>9</v>
      </c>
      <c r="C82" s="28">
        <f>'SAMLET_alle regnskab'!U91</f>
        <v>48</v>
      </c>
      <c r="D82" s="28">
        <f>'SAMLET_alle regnskab'!V91</f>
        <v>48</v>
      </c>
      <c r="E82" s="28">
        <f>'SAMLET_alle regnskab'!W91</f>
        <v>-48</v>
      </c>
      <c r="F82" s="28">
        <f>'SAMLET_alle regnskab'!X91</f>
        <v>-48</v>
      </c>
      <c r="H82" s="80">
        <f t="shared" si="7"/>
        <v>9</v>
      </c>
      <c r="I82" s="28">
        <f t="shared" ref="I82:L82" si="238">I81+C82</f>
        <v>-76</v>
      </c>
      <c r="J82" s="28">
        <f t="shared" si="238"/>
        <v>-204</v>
      </c>
      <c r="K82" s="28">
        <f t="shared" si="238"/>
        <v>58</v>
      </c>
      <c r="L82" s="28">
        <f t="shared" si="238"/>
        <v>222</v>
      </c>
      <c r="N82" s="80">
        <f t="shared" si="25"/>
        <v>9</v>
      </c>
      <c r="O82" s="28">
        <f t="shared" ref="O82:R82" si="239">O81+I75</f>
        <v>-4848</v>
      </c>
      <c r="P82" s="28">
        <f t="shared" si="239"/>
        <v>-6320</v>
      </c>
      <c r="Q82" s="28">
        <f t="shared" si="239"/>
        <v>-5352</v>
      </c>
      <c r="R82" s="28">
        <f t="shared" si="239"/>
        <v>16520</v>
      </c>
      <c r="T82" s="80">
        <v>9.0</v>
      </c>
      <c r="U82" s="80">
        <f t="shared" ref="U82:X82" si="240">U81+C75</f>
        <v>-322</v>
      </c>
      <c r="V82" s="80">
        <f t="shared" si="240"/>
        <v>-1190</v>
      </c>
      <c r="W82" s="80">
        <f t="shared" si="240"/>
        <v>1828</v>
      </c>
      <c r="X82" s="80">
        <f t="shared" si="240"/>
        <v>-420</v>
      </c>
      <c r="Z82" s="80">
        <v>9.0</v>
      </c>
      <c r="AA82" s="119">
        <v>43491.0</v>
      </c>
      <c r="AB82" s="80">
        <v>-322.0</v>
      </c>
      <c r="AC82" s="80">
        <v>-1190.0</v>
      </c>
      <c r="AD82" s="80">
        <v>1828.0</v>
      </c>
      <c r="AE82" s="80">
        <v>-420.0</v>
      </c>
    </row>
    <row r="83">
      <c r="A83" s="28">
        <f>'SAMLET_alle regnskab'!B92</f>
        <v>32</v>
      </c>
      <c r="B83" s="80">
        <f>'SAMLET_alle regnskab'!A92</f>
        <v>9</v>
      </c>
      <c r="C83" s="28">
        <f>'SAMLET_alle regnskab'!U92</f>
        <v>-12</v>
      </c>
      <c r="D83" s="28">
        <f>'SAMLET_alle regnskab'!V92</f>
        <v>-12</v>
      </c>
      <c r="E83" s="28">
        <f>'SAMLET_alle regnskab'!W92</f>
        <v>12</v>
      </c>
      <c r="F83" s="28">
        <f>'SAMLET_alle regnskab'!X92</f>
        <v>12</v>
      </c>
      <c r="H83" s="80">
        <f t="shared" si="7"/>
        <v>9</v>
      </c>
      <c r="I83" s="28">
        <f t="shared" ref="I83:L83" si="241">I82+C83</f>
        <v>-88</v>
      </c>
      <c r="J83" s="28">
        <f t="shared" si="241"/>
        <v>-216</v>
      </c>
      <c r="K83" s="28">
        <f t="shared" si="241"/>
        <v>70</v>
      </c>
      <c r="L83" s="28">
        <f t="shared" si="241"/>
        <v>234</v>
      </c>
      <c r="N83" s="80">
        <f t="shared" si="25"/>
        <v>9</v>
      </c>
      <c r="O83" s="28">
        <f t="shared" ref="O83:R83" si="242">O82+I76</f>
        <v>-4996</v>
      </c>
      <c r="P83" s="28">
        <f t="shared" si="242"/>
        <v>-6564</v>
      </c>
      <c r="Q83" s="28">
        <f t="shared" si="242"/>
        <v>-5254</v>
      </c>
      <c r="R83" s="28">
        <f t="shared" si="242"/>
        <v>16814</v>
      </c>
      <c r="T83" s="80">
        <v>9.0</v>
      </c>
      <c r="U83" s="80">
        <f t="shared" ref="U83:X83" si="243">U82+C76</f>
        <v>-306</v>
      </c>
      <c r="V83" s="80">
        <f t="shared" si="243"/>
        <v>-1206</v>
      </c>
      <c r="W83" s="80">
        <f t="shared" si="243"/>
        <v>1812</v>
      </c>
      <c r="X83" s="80">
        <f t="shared" si="243"/>
        <v>-404</v>
      </c>
      <c r="Z83" s="80">
        <v>9.0</v>
      </c>
      <c r="AA83" s="119">
        <v>43491.0</v>
      </c>
      <c r="AB83" s="80">
        <v>-306.0</v>
      </c>
      <c r="AC83" s="80">
        <v>-1206.0</v>
      </c>
      <c r="AD83" s="80">
        <v>1812.0</v>
      </c>
      <c r="AE83" s="80">
        <v>-404.0</v>
      </c>
    </row>
    <row r="84">
      <c r="A84" s="28">
        <f>'SAMLET_alle regnskab'!B93</f>
        <v>33</v>
      </c>
      <c r="B84" s="80">
        <f>'SAMLET_alle regnskab'!A93</f>
        <v>9</v>
      </c>
      <c r="C84" s="28">
        <f>'SAMLET_alle regnskab'!U93</f>
        <v>-10</v>
      </c>
      <c r="D84" s="28">
        <f>'SAMLET_alle regnskab'!V93</f>
        <v>10</v>
      </c>
      <c r="E84" s="28">
        <f>'SAMLET_alle regnskab'!W93</f>
        <v>-10</v>
      </c>
      <c r="F84" s="28">
        <f>'SAMLET_alle regnskab'!X93</f>
        <v>10</v>
      </c>
      <c r="H84" s="80">
        <f t="shared" si="7"/>
        <v>9</v>
      </c>
      <c r="I84" s="28">
        <f t="shared" ref="I84:L84" si="244">I83+C84</f>
        <v>-98</v>
      </c>
      <c r="J84" s="28">
        <f t="shared" si="244"/>
        <v>-206</v>
      </c>
      <c r="K84" s="28">
        <f t="shared" si="244"/>
        <v>60</v>
      </c>
      <c r="L84" s="28">
        <f t="shared" si="244"/>
        <v>244</v>
      </c>
      <c r="N84" s="80">
        <f t="shared" si="25"/>
        <v>9</v>
      </c>
      <c r="O84" s="28">
        <f t="shared" ref="O84:R84" si="245">O83+I77</f>
        <v>-5132</v>
      </c>
      <c r="P84" s="28">
        <f t="shared" si="245"/>
        <v>-6820</v>
      </c>
      <c r="Q84" s="28">
        <f t="shared" si="245"/>
        <v>-5168</v>
      </c>
      <c r="R84" s="28">
        <f t="shared" si="245"/>
        <v>17120</v>
      </c>
      <c r="T84" s="80">
        <v>9.0</v>
      </c>
      <c r="U84" s="80">
        <f t="shared" ref="U84:X84" si="246">U83+C77</f>
        <v>-294</v>
      </c>
      <c r="V84" s="80">
        <f t="shared" si="246"/>
        <v>-1218</v>
      </c>
      <c r="W84" s="80">
        <f t="shared" si="246"/>
        <v>1800</v>
      </c>
      <c r="X84" s="80">
        <f t="shared" si="246"/>
        <v>-392</v>
      </c>
      <c r="Z84" s="80">
        <v>9.0</v>
      </c>
      <c r="AA84" s="119">
        <v>43491.0</v>
      </c>
      <c r="AB84" s="80">
        <v>-294.0</v>
      </c>
      <c r="AC84" s="80">
        <v>-1218.0</v>
      </c>
      <c r="AD84" s="80">
        <v>1800.0</v>
      </c>
      <c r="AE84" s="80">
        <v>-392.0</v>
      </c>
    </row>
    <row r="85">
      <c r="A85" s="28">
        <f>'SAMLET_alle regnskab'!B94</f>
        <v>34</v>
      </c>
      <c r="B85" s="80">
        <f>'SAMLET_alle regnskab'!A94</f>
        <v>9</v>
      </c>
      <c r="C85" s="28">
        <f>'SAMLET_alle regnskab'!U94</f>
        <v>-48</v>
      </c>
      <c r="D85" s="28">
        <f>'SAMLET_alle regnskab'!V94</f>
        <v>16</v>
      </c>
      <c r="E85" s="28">
        <f>'SAMLET_alle regnskab'!W94</f>
        <v>16</v>
      </c>
      <c r="F85" s="28">
        <f>'SAMLET_alle regnskab'!X94</f>
        <v>16</v>
      </c>
      <c r="H85" s="80">
        <f t="shared" si="7"/>
        <v>9</v>
      </c>
      <c r="I85" s="28">
        <f t="shared" ref="I85:L85" si="247">I84+C85</f>
        <v>-146</v>
      </c>
      <c r="J85" s="28">
        <f t="shared" si="247"/>
        <v>-190</v>
      </c>
      <c r="K85" s="28">
        <f t="shared" si="247"/>
        <v>76</v>
      </c>
      <c r="L85" s="28">
        <f t="shared" si="247"/>
        <v>260</v>
      </c>
      <c r="N85" s="80">
        <f t="shared" si="25"/>
        <v>9</v>
      </c>
      <c r="O85" s="28">
        <f t="shared" ref="O85:R85" si="248">O84+I78</f>
        <v>-5244</v>
      </c>
      <c r="P85" s="28">
        <f t="shared" si="248"/>
        <v>-7100</v>
      </c>
      <c r="Q85" s="28">
        <f t="shared" si="248"/>
        <v>-5058</v>
      </c>
      <c r="R85" s="28">
        <f t="shared" si="248"/>
        <v>17402</v>
      </c>
      <c r="T85" s="80">
        <v>9.0</v>
      </c>
      <c r="U85" s="80">
        <f t="shared" ref="U85:X85" si="249">U84+C78</f>
        <v>-270</v>
      </c>
      <c r="V85" s="80">
        <f t="shared" si="249"/>
        <v>-1242</v>
      </c>
      <c r="W85" s="80">
        <f t="shared" si="249"/>
        <v>1824</v>
      </c>
      <c r="X85" s="80">
        <f t="shared" si="249"/>
        <v>-416</v>
      </c>
      <c r="Z85" s="80">
        <v>9.0</v>
      </c>
      <c r="AA85" s="119">
        <v>43491.0</v>
      </c>
      <c r="AB85" s="80">
        <v>-270.0</v>
      </c>
      <c r="AC85" s="80">
        <v>-1242.0</v>
      </c>
      <c r="AD85" s="80">
        <v>1824.0</v>
      </c>
      <c r="AE85" s="80">
        <v>-416.0</v>
      </c>
    </row>
    <row r="86">
      <c r="A86" s="28">
        <f>'SAMLET_alle regnskab'!B95</f>
        <v>35</v>
      </c>
      <c r="B86" s="80">
        <f>'SAMLET_alle regnskab'!A95</f>
        <v>9</v>
      </c>
      <c r="C86" s="28">
        <f>'SAMLET_alle regnskab'!U95</f>
        <v>12</v>
      </c>
      <c r="D86" s="28">
        <f>'SAMLET_alle regnskab'!V95</f>
        <v>-4</v>
      </c>
      <c r="E86" s="28">
        <f>'SAMLET_alle regnskab'!W95</f>
        <v>-4</v>
      </c>
      <c r="F86" s="28">
        <f>'SAMLET_alle regnskab'!X95</f>
        <v>-4</v>
      </c>
      <c r="H86" s="80">
        <f t="shared" si="7"/>
        <v>9</v>
      </c>
      <c r="I86" s="28">
        <f t="shared" ref="I86:L86" si="250">I85+C86</f>
        <v>-134</v>
      </c>
      <c r="J86" s="28">
        <f t="shared" si="250"/>
        <v>-194</v>
      </c>
      <c r="K86" s="28">
        <f t="shared" si="250"/>
        <v>72</v>
      </c>
      <c r="L86" s="28">
        <f t="shared" si="250"/>
        <v>256</v>
      </c>
      <c r="N86" s="80">
        <f t="shared" si="25"/>
        <v>9</v>
      </c>
      <c r="O86" s="28">
        <f t="shared" ref="O86:R86" si="251">O85+I79</f>
        <v>-5364</v>
      </c>
      <c r="P86" s="28">
        <f t="shared" si="251"/>
        <v>-7388</v>
      </c>
      <c r="Q86" s="28">
        <f t="shared" si="251"/>
        <v>-4924</v>
      </c>
      <c r="R86" s="28">
        <f t="shared" si="251"/>
        <v>17676</v>
      </c>
      <c r="T86" s="80">
        <v>9.0</v>
      </c>
      <c r="U86" s="80">
        <f t="shared" ref="U86:X86" si="252">U85+C79</f>
        <v>-278</v>
      </c>
      <c r="V86" s="80">
        <f t="shared" si="252"/>
        <v>-1250</v>
      </c>
      <c r="W86" s="80">
        <f t="shared" si="252"/>
        <v>1848</v>
      </c>
      <c r="X86" s="80">
        <f t="shared" si="252"/>
        <v>-424</v>
      </c>
      <c r="Z86" s="80">
        <v>9.0</v>
      </c>
      <c r="AA86" s="119">
        <v>43491.0</v>
      </c>
      <c r="AB86" s="80">
        <v>-278.0</v>
      </c>
      <c r="AC86" s="80">
        <v>-1250.0</v>
      </c>
      <c r="AD86" s="80">
        <v>1848.0</v>
      </c>
      <c r="AE86" s="80">
        <v>-424.0</v>
      </c>
    </row>
    <row r="87">
      <c r="A87" s="28">
        <f>'SAMLET_alle regnskab'!B96</f>
        <v>36</v>
      </c>
      <c r="B87" s="80">
        <f>'SAMLET_alle regnskab'!A96</f>
        <v>9</v>
      </c>
      <c r="C87" s="28">
        <f>'SAMLET_alle regnskab'!U96</f>
        <v>-24</v>
      </c>
      <c r="D87" s="28">
        <f>'SAMLET_alle regnskab'!V96</f>
        <v>8</v>
      </c>
      <c r="E87" s="28">
        <f>'SAMLET_alle regnskab'!W96</f>
        <v>8</v>
      </c>
      <c r="F87" s="28">
        <f>'SAMLET_alle regnskab'!X96</f>
        <v>8</v>
      </c>
      <c r="H87" s="80">
        <f t="shared" si="7"/>
        <v>9</v>
      </c>
      <c r="I87" s="28">
        <f t="shared" ref="I87:L87" si="253">I86+C87</f>
        <v>-158</v>
      </c>
      <c r="J87" s="28">
        <f t="shared" si="253"/>
        <v>-186</v>
      </c>
      <c r="K87" s="28">
        <f t="shared" si="253"/>
        <v>80</v>
      </c>
      <c r="L87" s="28">
        <f t="shared" si="253"/>
        <v>264</v>
      </c>
      <c r="N87" s="80">
        <f t="shared" si="25"/>
        <v>9</v>
      </c>
      <c r="O87" s="28">
        <f t="shared" ref="O87:R87" si="254">O86+I80</f>
        <v>-5500</v>
      </c>
      <c r="P87" s="28">
        <f t="shared" si="254"/>
        <v>-7628</v>
      </c>
      <c r="Q87" s="28">
        <f t="shared" si="254"/>
        <v>-4806</v>
      </c>
      <c r="R87" s="28">
        <f t="shared" si="254"/>
        <v>17934</v>
      </c>
      <c r="T87" s="80">
        <v>9.0</v>
      </c>
      <c r="U87" s="80">
        <f t="shared" ref="U87:X87" si="255">U86+C80</f>
        <v>-294</v>
      </c>
      <c r="V87" s="80">
        <f t="shared" si="255"/>
        <v>-1202</v>
      </c>
      <c r="W87" s="80">
        <f t="shared" si="255"/>
        <v>1832</v>
      </c>
      <c r="X87" s="80">
        <f t="shared" si="255"/>
        <v>-440</v>
      </c>
      <c r="Z87" s="80">
        <v>9.0</v>
      </c>
      <c r="AA87" s="119">
        <v>43491.0</v>
      </c>
      <c r="AB87" s="80">
        <v>-294.0</v>
      </c>
      <c r="AC87" s="80">
        <v>-1202.0</v>
      </c>
      <c r="AD87" s="80">
        <v>1832.0</v>
      </c>
      <c r="AE87" s="80">
        <v>-440.0</v>
      </c>
    </row>
    <row r="88">
      <c r="A88" s="28">
        <f>'SAMLET_alle regnskab'!B97</f>
        <v>37</v>
      </c>
      <c r="B88" s="80">
        <f>'SAMLET_alle regnskab'!A97</f>
        <v>9</v>
      </c>
      <c r="C88" s="28">
        <f>'SAMLET_alle regnskab'!U97</f>
        <v>-18</v>
      </c>
      <c r="D88" s="28">
        <f>'SAMLET_alle regnskab'!V97</f>
        <v>6</v>
      </c>
      <c r="E88" s="28">
        <f>'SAMLET_alle regnskab'!W97</f>
        <v>6</v>
      </c>
      <c r="F88" s="28">
        <f>'SAMLET_alle regnskab'!X97</f>
        <v>6</v>
      </c>
      <c r="H88" s="80">
        <f t="shared" si="7"/>
        <v>9</v>
      </c>
      <c r="I88" s="28">
        <f t="shared" ref="I88:L88" si="256">I87+C88</f>
        <v>-176</v>
      </c>
      <c r="J88" s="28">
        <f t="shared" si="256"/>
        <v>-180</v>
      </c>
      <c r="K88" s="28">
        <f t="shared" si="256"/>
        <v>86</v>
      </c>
      <c r="L88" s="28">
        <f t="shared" si="256"/>
        <v>270</v>
      </c>
      <c r="N88" s="80">
        <f t="shared" si="25"/>
        <v>9</v>
      </c>
      <c r="O88" s="28">
        <f t="shared" ref="O88:R88" si="257">O87+I81</f>
        <v>-5624</v>
      </c>
      <c r="P88" s="28">
        <f t="shared" si="257"/>
        <v>-7880</v>
      </c>
      <c r="Q88" s="28">
        <f t="shared" si="257"/>
        <v>-4700</v>
      </c>
      <c r="R88" s="28">
        <f t="shared" si="257"/>
        <v>18204</v>
      </c>
      <c r="T88" s="80">
        <v>9.0</v>
      </c>
      <c r="U88" s="80">
        <f t="shared" ref="U88:X88" si="258">U87+C81</f>
        <v>-282</v>
      </c>
      <c r="V88" s="80">
        <f t="shared" si="258"/>
        <v>-1214</v>
      </c>
      <c r="W88" s="80">
        <f t="shared" si="258"/>
        <v>1820</v>
      </c>
      <c r="X88" s="80">
        <f t="shared" si="258"/>
        <v>-428</v>
      </c>
      <c r="Z88" s="80">
        <v>9.0</v>
      </c>
      <c r="AA88" s="119">
        <v>43491.0</v>
      </c>
      <c r="AB88" s="80">
        <v>-282.0</v>
      </c>
      <c r="AC88" s="80">
        <v>-1214.0</v>
      </c>
      <c r="AD88" s="80">
        <v>1820.0</v>
      </c>
      <c r="AE88" s="80">
        <v>-428.0</v>
      </c>
    </row>
    <row r="89">
      <c r="A89" s="28">
        <f>'SAMLET_alle regnskab'!B98</f>
        <v>38</v>
      </c>
      <c r="B89" s="80">
        <f>'SAMLET_alle regnskab'!A98</f>
        <v>9</v>
      </c>
      <c r="C89" s="28">
        <f>'SAMLET_alle regnskab'!U98</f>
        <v>-64</v>
      </c>
      <c r="D89" s="28">
        <f>'SAMLET_alle regnskab'!V98</f>
        <v>-64</v>
      </c>
      <c r="E89" s="28">
        <f>'SAMLET_alle regnskab'!W98</f>
        <v>64</v>
      </c>
      <c r="F89" s="28">
        <f>'SAMLET_alle regnskab'!X98</f>
        <v>64</v>
      </c>
      <c r="H89" s="80">
        <f t="shared" si="7"/>
        <v>9</v>
      </c>
      <c r="I89" s="28">
        <f t="shared" ref="I89:L89" si="259">I88+C89</f>
        <v>-240</v>
      </c>
      <c r="J89" s="28">
        <f t="shared" si="259"/>
        <v>-244</v>
      </c>
      <c r="K89" s="28">
        <f t="shared" si="259"/>
        <v>150</v>
      </c>
      <c r="L89" s="28">
        <f t="shared" si="259"/>
        <v>334</v>
      </c>
      <c r="N89" s="80">
        <f t="shared" si="25"/>
        <v>9</v>
      </c>
      <c r="O89" s="28">
        <f t="shared" ref="O89:R89" si="260">O88+I82</f>
        <v>-5700</v>
      </c>
      <c r="P89" s="28">
        <f t="shared" si="260"/>
        <v>-8084</v>
      </c>
      <c r="Q89" s="28">
        <f t="shared" si="260"/>
        <v>-4642</v>
      </c>
      <c r="R89" s="28">
        <f t="shared" si="260"/>
        <v>18426</v>
      </c>
      <c r="T89" s="80">
        <v>9.0</v>
      </c>
      <c r="U89" s="80">
        <f t="shared" ref="U89:X89" si="261">U88+C82</f>
        <v>-234</v>
      </c>
      <c r="V89" s="80">
        <f t="shared" si="261"/>
        <v>-1166</v>
      </c>
      <c r="W89" s="80">
        <f t="shared" si="261"/>
        <v>1772</v>
      </c>
      <c r="X89" s="80">
        <f t="shared" si="261"/>
        <v>-476</v>
      </c>
      <c r="Z89" s="80">
        <v>9.0</v>
      </c>
      <c r="AA89" s="119">
        <v>43491.0</v>
      </c>
      <c r="AB89" s="80">
        <v>-234.0</v>
      </c>
      <c r="AC89" s="80">
        <v>-1166.0</v>
      </c>
      <c r="AD89" s="80">
        <v>1772.0</v>
      </c>
      <c r="AE89" s="80">
        <v>-476.0</v>
      </c>
    </row>
    <row r="90">
      <c r="A90" s="28">
        <f>'SAMLET_alle regnskab'!B99</f>
        <v>39</v>
      </c>
      <c r="B90" s="80">
        <f>'SAMLET_alle regnskab'!A99</f>
        <v>9</v>
      </c>
      <c r="C90" s="28">
        <f>'SAMLET_alle regnskab'!U99</f>
        <v>-16</v>
      </c>
      <c r="D90" s="28">
        <f>'SAMLET_alle regnskab'!V99</f>
        <v>16</v>
      </c>
      <c r="E90" s="28">
        <f>'SAMLET_alle regnskab'!W99</f>
        <v>-16</v>
      </c>
      <c r="F90" s="28">
        <f>'SAMLET_alle regnskab'!X99</f>
        <v>16</v>
      </c>
      <c r="H90" s="80">
        <f t="shared" si="7"/>
        <v>9</v>
      </c>
      <c r="I90" s="28">
        <f t="shared" ref="I90:L90" si="262">I89+C90</f>
        <v>-256</v>
      </c>
      <c r="J90" s="28">
        <f t="shared" si="262"/>
        <v>-228</v>
      </c>
      <c r="K90" s="28">
        <f t="shared" si="262"/>
        <v>134</v>
      </c>
      <c r="L90" s="28">
        <f t="shared" si="262"/>
        <v>350</v>
      </c>
      <c r="N90" s="80">
        <f t="shared" si="25"/>
        <v>9</v>
      </c>
      <c r="O90" s="28">
        <f t="shared" ref="O90:R90" si="263">O89+I83</f>
        <v>-5788</v>
      </c>
      <c r="P90" s="28">
        <f t="shared" si="263"/>
        <v>-8300</v>
      </c>
      <c r="Q90" s="28">
        <f t="shared" si="263"/>
        <v>-4572</v>
      </c>
      <c r="R90" s="28">
        <f t="shared" si="263"/>
        <v>18660</v>
      </c>
      <c r="T90" s="80">
        <v>9.0</v>
      </c>
      <c r="U90" s="80">
        <f t="shared" ref="U90:X90" si="264">U89+C83</f>
        <v>-246</v>
      </c>
      <c r="V90" s="80">
        <f t="shared" si="264"/>
        <v>-1178</v>
      </c>
      <c r="W90" s="80">
        <f t="shared" si="264"/>
        <v>1784</v>
      </c>
      <c r="X90" s="80">
        <f t="shared" si="264"/>
        <v>-464</v>
      </c>
      <c r="Z90" s="80">
        <v>9.0</v>
      </c>
      <c r="AA90" s="119">
        <v>43491.0</v>
      </c>
      <c r="AB90" s="80">
        <v>-246.0</v>
      </c>
      <c r="AC90" s="80">
        <v>-1178.0</v>
      </c>
      <c r="AD90" s="80">
        <v>1784.0</v>
      </c>
      <c r="AE90" s="80">
        <v>-464.0</v>
      </c>
    </row>
    <row r="91">
      <c r="A91" s="28">
        <f>'SAMLET_alle regnskab'!B100</f>
        <v>40</v>
      </c>
      <c r="B91" s="80">
        <f>'SAMLET_alle regnskab'!A100</f>
        <v>9</v>
      </c>
      <c r="C91" s="28">
        <f>'SAMLET_alle regnskab'!U100</f>
        <v>8</v>
      </c>
      <c r="D91" s="28">
        <f>'SAMLET_alle regnskab'!V100</f>
        <v>8</v>
      </c>
      <c r="E91" s="28">
        <f>'SAMLET_alle regnskab'!W100</f>
        <v>-8</v>
      </c>
      <c r="F91" s="28">
        <f>'SAMLET_alle regnskab'!X100</f>
        <v>-8</v>
      </c>
      <c r="H91" s="80">
        <f t="shared" si="7"/>
        <v>9</v>
      </c>
      <c r="I91" s="28">
        <f t="shared" ref="I91:L91" si="265">I90+C91</f>
        <v>-248</v>
      </c>
      <c r="J91" s="28">
        <f t="shared" si="265"/>
        <v>-220</v>
      </c>
      <c r="K91" s="28">
        <f t="shared" si="265"/>
        <v>126</v>
      </c>
      <c r="L91" s="28">
        <f t="shared" si="265"/>
        <v>342</v>
      </c>
      <c r="N91" s="80">
        <f t="shared" si="25"/>
        <v>9</v>
      </c>
      <c r="O91" s="28">
        <f t="shared" ref="O91:R91" si="266">O90+I84</f>
        <v>-5886</v>
      </c>
      <c r="P91" s="28">
        <f t="shared" si="266"/>
        <v>-8506</v>
      </c>
      <c r="Q91" s="28">
        <f t="shared" si="266"/>
        <v>-4512</v>
      </c>
      <c r="R91" s="28">
        <f t="shared" si="266"/>
        <v>18904</v>
      </c>
      <c r="T91" s="80">
        <v>9.0</v>
      </c>
      <c r="U91" s="80">
        <f t="shared" ref="U91:X91" si="267">U90+C84</f>
        <v>-256</v>
      </c>
      <c r="V91" s="80">
        <f t="shared" si="267"/>
        <v>-1168</v>
      </c>
      <c r="W91" s="80">
        <f t="shared" si="267"/>
        <v>1774</v>
      </c>
      <c r="X91" s="80">
        <f t="shared" si="267"/>
        <v>-454</v>
      </c>
      <c r="Z91" s="80">
        <v>9.0</v>
      </c>
      <c r="AA91" s="119">
        <v>43491.0</v>
      </c>
      <c r="AB91" s="80">
        <v>-256.0</v>
      </c>
      <c r="AC91" s="80">
        <v>-1168.0</v>
      </c>
      <c r="AD91" s="80">
        <v>1774.0</v>
      </c>
      <c r="AE91" s="80">
        <v>-454.0</v>
      </c>
    </row>
    <row r="92">
      <c r="A92" s="28">
        <f>'SAMLET_alle regnskab'!B101</f>
        <v>41</v>
      </c>
      <c r="B92" s="80">
        <f>'SAMLET_alle regnskab'!A101</f>
        <v>9</v>
      </c>
      <c r="C92" s="28">
        <f>'SAMLET_alle regnskab'!U101</f>
        <v>24</v>
      </c>
      <c r="D92" s="28">
        <f>'SAMLET_alle regnskab'!V101</f>
        <v>-24</v>
      </c>
      <c r="E92" s="28">
        <f>'SAMLET_alle regnskab'!W101</f>
        <v>-24</v>
      </c>
      <c r="F92" s="28">
        <f>'SAMLET_alle regnskab'!X101</f>
        <v>24</v>
      </c>
      <c r="H92" s="80">
        <f t="shared" si="7"/>
        <v>9</v>
      </c>
      <c r="I92" s="28">
        <f t="shared" ref="I92:L92" si="268">I91+C92</f>
        <v>-224</v>
      </c>
      <c r="J92" s="28">
        <f t="shared" si="268"/>
        <v>-244</v>
      </c>
      <c r="K92" s="28">
        <f t="shared" si="268"/>
        <v>102</v>
      </c>
      <c r="L92" s="28">
        <f t="shared" si="268"/>
        <v>366</v>
      </c>
      <c r="N92" s="80">
        <f t="shared" si="25"/>
        <v>9</v>
      </c>
      <c r="O92" s="28">
        <f t="shared" ref="O92:R92" si="269">O91+I85</f>
        <v>-6032</v>
      </c>
      <c r="P92" s="28">
        <f t="shared" si="269"/>
        <v>-8696</v>
      </c>
      <c r="Q92" s="28">
        <f t="shared" si="269"/>
        <v>-4436</v>
      </c>
      <c r="R92" s="28">
        <f t="shared" si="269"/>
        <v>19164</v>
      </c>
      <c r="T92" s="80">
        <v>9.0</v>
      </c>
      <c r="U92" s="80">
        <f t="shared" ref="U92:X92" si="270">U91+C85</f>
        <v>-304</v>
      </c>
      <c r="V92" s="80">
        <f t="shared" si="270"/>
        <v>-1152</v>
      </c>
      <c r="W92" s="80">
        <f t="shared" si="270"/>
        <v>1790</v>
      </c>
      <c r="X92" s="80">
        <f t="shared" si="270"/>
        <v>-438</v>
      </c>
      <c r="Z92" s="80">
        <v>9.0</v>
      </c>
      <c r="AA92" s="119">
        <v>43491.0</v>
      </c>
      <c r="AB92" s="80">
        <v>-304.0</v>
      </c>
      <c r="AC92" s="80">
        <v>-1152.0</v>
      </c>
      <c r="AD92" s="80">
        <v>1790.0</v>
      </c>
      <c r="AE92" s="80">
        <v>-438.0</v>
      </c>
    </row>
    <row r="93">
      <c r="A93" s="28">
        <f>'SAMLET_alle regnskab'!B102</f>
        <v>1</v>
      </c>
      <c r="B93" s="80">
        <f>'SAMLET_alle regnskab'!A102</f>
        <v>10</v>
      </c>
      <c r="C93" s="28">
        <f>'SAMLET_alle regnskab'!U102</f>
        <v>16</v>
      </c>
      <c r="D93" s="28">
        <f>'SAMLET_alle regnskab'!V102</f>
        <v>-16</v>
      </c>
      <c r="E93" s="28">
        <f>'SAMLET_alle regnskab'!W102</f>
        <v>-16</v>
      </c>
      <c r="F93" s="28">
        <f>'SAMLET_alle regnskab'!X102</f>
        <v>16</v>
      </c>
      <c r="H93" s="80">
        <f t="shared" si="7"/>
        <v>10</v>
      </c>
      <c r="I93" s="28">
        <f t="shared" ref="I93:L93" si="271">I92+C93</f>
        <v>-208</v>
      </c>
      <c r="J93" s="28">
        <f t="shared" si="271"/>
        <v>-260</v>
      </c>
      <c r="K93" s="28">
        <f t="shared" si="271"/>
        <v>86</v>
      </c>
      <c r="L93" s="28">
        <f t="shared" si="271"/>
        <v>382</v>
      </c>
      <c r="N93" s="80">
        <f t="shared" si="25"/>
        <v>9</v>
      </c>
      <c r="O93" s="28">
        <f t="shared" ref="O93:R93" si="272">O92+I86</f>
        <v>-6166</v>
      </c>
      <c r="P93" s="28">
        <f t="shared" si="272"/>
        <v>-8890</v>
      </c>
      <c r="Q93" s="28">
        <f t="shared" si="272"/>
        <v>-4364</v>
      </c>
      <c r="R93" s="28">
        <f t="shared" si="272"/>
        <v>19420</v>
      </c>
      <c r="T93" s="80">
        <v>9.0</v>
      </c>
      <c r="U93" s="80">
        <f t="shared" ref="U93:X93" si="273">U92+C86</f>
        <v>-292</v>
      </c>
      <c r="V93" s="80">
        <f t="shared" si="273"/>
        <v>-1156</v>
      </c>
      <c r="W93" s="80">
        <f t="shared" si="273"/>
        <v>1786</v>
      </c>
      <c r="X93" s="80">
        <f t="shared" si="273"/>
        <v>-442</v>
      </c>
      <c r="Z93" s="80">
        <v>9.0</v>
      </c>
      <c r="AA93" s="119">
        <v>43491.0</v>
      </c>
      <c r="AB93" s="80">
        <v>-292.0</v>
      </c>
      <c r="AC93" s="80">
        <v>-1156.0</v>
      </c>
      <c r="AD93" s="80">
        <v>1786.0</v>
      </c>
      <c r="AE93" s="80">
        <v>-442.0</v>
      </c>
    </row>
    <row r="94">
      <c r="A94" s="28">
        <f>'SAMLET_alle regnskab'!B103</f>
        <v>2</v>
      </c>
      <c r="B94" s="80">
        <f>'SAMLET_alle regnskab'!A103</f>
        <v>10</v>
      </c>
      <c r="C94" s="28">
        <f>'SAMLET_alle regnskab'!U103</f>
        <v>96</v>
      </c>
      <c r="D94" s="28">
        <f>'SAMLET_alle regnskab'!V103</f>
        <v>-96</v>
      </c>
      <c r="E94" s="28">
        <f>'SAMLET_alle regnskab'!W103</f>
        <v>96</v>
      </c>
      <c r="F94" s="28">
        <f>'SAMLET_alle regnskab'!X103</f>
        <v>-96</v>
      </c>
      <c r="H94" s="80">
        <f t="shared" si="7"/>
        <v>10</v>
      </c>
      <c r="I94" s="28">
        <f t="shared" ref="I94:L94" si="274">I93+C94</f>
        <v>-112</v>
      </c>
      <c r="J94" s="28">
        <f t="shared" si="274"/>
        <v>-356</v>
      </c>
      <c r="K94" s="28">
        <f t="shared" si="274"/>
        <v>182</v>
      </c>
      <c r="L94" s="28">
        <f t="shared" si="274"/>
        <v>286</v>
      </c>
      <c r="N94" s="80">
        <f t="shared" si="25"/>
        <v>9</v>
      </c>
      <c r="O94" s="28">
        <f t="shared" ref="O94:R94" si="275">O93+I87</f>
        <v>-6324</v>
      </c>
      <c r="P94" s="28">
        <f t="shared" si="275"/>
        <v>-9076</v>
      </c>
      <c r="Q94" s="28">
        <f t="shared" si="275"/>
        <v>-4284</v>
      </c>
      <c r="R94" s="28">
        <f t="shared" si="275"/>
        <v>19684</v>
      </c>
      <c r="T94" s="80">
        <v>9.0</v>
      </c>
      <c r="U94" s="80">
        <f t="shared" ref="U94:X94" si="276">U93+C87</f>
        <v>-316</v>
      </c>
      <c r="V94" s="80">
        <f t="shared" si="276"/>
        <v>-1148</v>
      </c>
      <c r="W94" s="80">
        <f t="shared" si="276"/>
        <v>1794</v>
      </c>
      <c r="X94" s="80">
        <f t="shared" si="276"/>
        <v>-434</v>
      </c>
      <c r="Z94" s="80">
        <v>9.0</v>
      </c>
      <c r="AA94" s="119">
        <v>43491.0</v>
      </c>
      <c r="AB94" s="80">
        <v>-316.0</v>
      </c>
      <c r="AC94" s="80">
        <v>-1148.0</v>
      </c>
      <c r="AD94" s="80">
        <v>1794.0</v>
      </c>
      <c r="AE94" s="80">
        <v>-434.0</v>
      </c>
    </row>
    <row r="95">
      <c r="A95" s="28">
        <f>'SAMLET_alle regnskab'!B104</f>
        <v>3</v>
      </c>
      <c r="B95" s="80">
        <f>'SAMLET_alle regnskab'!A104</f>
        <v>10</v>
      </c>
      <c r="C95" s="28">
        <f>'SAMLET_alle regnskab'!U104</f>
        <v>24</v>
      </c>
      <c r="D95" s="28">
        <f>'SAMLET_alle regnskab'!V104</f>
        <v>-8</v>
      </c>
      <c r="E95" s="28">
        <f>'SAMLET_alle regnskab'!W104</f>
        <v>-8</v>
      </c>
      <c r="F95" s="28">
        <f>'SAMLET_alle regnskab'!X104</f>
        <v>-8</v>
      </c>
      <c r="H95" s="80">
        <f t="shared" si="7"/>
        <v>10</v>
      </c>
      <c r="I95" s="28">
        <f t="shared" ref="I95:L95" si="277">I94+C95</f>
        <v>-88</v>
      </c>
      <c r="J95" s="28">
        <f t="shared" si="277"/>
        <v>-364</v>
      </c>
      <c r="K95" s="28">
        <f t="shared" si="277"/>
        <v>174</v>
      </c>
      <c r="L95" s="28">
        <f t="shared" si="277"/>
        <v>278</v>
      </c>
      <c r="N95" s="80">
        <f t="shared" si="25"/>
        <v>9</v>
      </c>
      <c r="O95" s="28">
        <f t="shared" ref="O95:R95" si="278">O94+I88</f>
        <v>-6500</v>
      </c>
      <c r="P95" s="28">
        <f t="shared" si="278"/>
        <v>-9256</v>
      </c>
      <c r="Q95" s="28">
        <f t="shared" si="278"/>
        <v>-4198</v>
      </c>
      <c r="R95" s="28">
        <f t="shared" si="278"/>
        <v>19954</v>
      </c>
      <c r="T95" s="80">
        <v>9.0</v>
      </c>
      <c r="U95" s="80">
        <f t="shared" ref="U95:X95" si="279">U94+C88</f>
        <v>-334</v>
      </c>
      <c r="V95" s="80">
        <f t="shared" si="279"/>
        <v>-1142</v>
      </c>
      <c r="W95" s="80">
        <f t="shared" si="279"/>
        <v>1800</v>
      </c>
      <c r="X95" s="80">
        <f t="shared" si="279"/>
        <v>-428</v>
      </c>
      <c r="Z95" s="80">
        <v>9.0</v>
      </c>
      <c r="AA95" s="119">
        <v>43491.0</v>
      </c>
      <c r="AB95" s="80">
        <v>-334.0</v>
      </c>
      <c r="AC95" s="80">
        <v>-1142.0</v>
      </c>
      <c r="AD95" s="80">
        <v>1800.0</v>
      </c>
      <c r="AE95" s="80">
        <v>-428.0</v>
      </c>
    </row>
    <row r="96">
      <c r="A96" s="28">
        <f>'SAMLET_alle regnskab'!B105</f>
        <v>4</v>
      </c>
      <c r="B96" s="80">
        <f>'SAMLET_alle regnskab'!A105</f>
        <v>10</v>
      </c>
      <c r="C96" s="28">
        <f>'SAMLET_alle regnskab'!U105</f>
        <v>12</v>
      </c>
      <c r="D96" s="28">
        <f>'SAMLET_alle regnskab'!V105</f>
        <v>-36</v>
      </c>
      <c r="E96" s="28">
        <f>'SAMLET_alle regnskab'!W105</f>
        <v>12</v>
      </c>
      <c r="F96" s="28">
        <f>'SAMLET_alle regnskab'!X105</f>
        <v>12</v>
      </c>
      <c r="H96" s="80">
        <f t="shared" si="7"/>
        <v>10</v>
      </c>
      <c r="I96" s="28">
        <f t="shared" ref="I96:L96" si="280">I95+C96</f>
        <v>-76</v>
      </c>
      <c r="J96" s="28">
        <f t="shared" si="280"/>
        <v>-400</v>
      </c>
      <c r="K96" s="28">
        <f t="shared" si="280"/>
        <v>186</v>
      </c>
      <c r="L96" s="28">
        <f t="shared" si="280"/>
        <v>290</v>
      </c>
      <c r="N96" s="80">
        <f t="shared" si="25"/>
        <v>9</v>
      </c>
      <c r="O96" s="28">
        <f t="shared" ref="O96:R96" si="281">O95+I89</f>
        <v>-6740</v>
      </c>
      <c r="P96" s="28">
        <f t="shared" si="281"/>
        <v>-9500</v>
      </c>
      <c r="Q96" s="28">
        <f t="shared" si="281"/>
        <v>-4048</v>
      </c>
      <c r="R96" s="28">
        <f t="shared" si="281"/>
        <v>20288</v>
      </c>
      <c r="T96" s="80">
        <v>9.0</v>
      </c>
      <c r="U96" s="80">
        <f t="shared" ref="U96:X96" si="282">U95+C89</f>
        <v>-398</v>
      </c>
      <c r="V96" s="80">
        <f t="shared" si="282"/>
        <v>-1206</v>
      </c>
      <c r="W96" s="80">
        <f t="shared" si="282"/>
        <v>1864</v>
      </c>
      <c r="X96" s="80">
        <f t="shared" si="282"/>
        <v>-364</v>
      </c>
      <c r="Z96" s="80">
        <v>9.0</v>
      </c>
      <c r="AA96" s="119">
        <v>43491.0</v>
      </c>
      <c r="AB96" s="80">
        <v>-398.0</v>
      </c>
      <c r="AC96" s="80">
        <v>-1206.0</v>
      </c>
      <c r="AD96" s="80">
        <v>1864.0</v>
      </c>
      <c r="AE96" s="80">
        <v>-364.0</v>
      </c>
    </row>
    <row r="97">
      <c r="A97" s="28">
        <f>'SAMLET_alle regnskab'!B106</f>
        <v>5</v>
      </c>
      <c r="B97" s="80">
        <f>'SAMLET_alle regnskab'!A106</f>
        <v>10</v>
      </c>
      <c r="C97" s="28">
        <f>'SAMLET_alle regnskab'!U106</f>
        <v>12</v>
      </c>
      <c r="D97" s="28">
        <f>'SAMLET_alle regnskab'!V106</f>
        <v>-12</v>
      </c>
      <c r="E97" s="28">
        <f>'SAMLET_alle regnskab'!W106</f>
        <v>12</v>
      </c>
      <c r="F97" s="28">
        <f>'SAMLET_alle regnskab'!X106</f>
        <v>-12</v>
      </c>
      <c r="H97" s="80">
        <f t="shared" si="7"/>
        <v>10</v>
      </c>
      <c r="I97" s="28">
        <f t="shared" ref="I97:L97" si="283">I96+C97</f>
        <v>-64</v>
      </c>
      <c r="J97" s="28">
        <f t="shared" si="283"/>
        <v>-412</v>
      </c>
      <c r="K97" s="28">
        <f t="shared" si="283"/>
        <v>198</v>
      </c>
      <c r="L97" s="28">
        <f t="shared" si="283"/>
        <v>278</v>
      </c>
      <c r="N97" s="80">
        <f t="shared" si="25"/>
        <v>9</v>
      </c>
      <c r="O97" s="28">
        <f t="shared" ref="O97:R97" si="284">O96+I90</f>
        <v>-6996</v>
      </c>
      <c r="P97" s="28">
        <f t="shared" si="284"/>
        <v>-9728</v>
      </c>
      <c r="Q97" s="28">
        <f t="shared" si="284"/>
        <v>-3914</v>
      </c>
      <c r="R97" s="28">
        <f t="shared" si="284"/>
        <v>20638</v>
      </c>
      <c r="T97" s="80">
        <v>9.0</v>
      </c>
      <c r="U97" s="80">
        <f t="shared" ref="U97:X97" si="285">U96+C90</f>
        <v>-414</v>
      </c>
      <c r="V97" s="80">
        <f t="shared" si="285"/>
        <v>-1190</v>
      </c>
      <c r="W97" s="80">
        <f t="shared" si="285"/>
        <v>1848</v>
      </c>
      <c r="X97" s="80">
        <f t="shared" si="285"/>
        <v>-348</v>
      </c>
      <c r="Z97" s="80">
        <v>9.0</v>
      </c>
      <c r="AA97" s="119">
        <v>43491.0</v>
      </c>
      <c r="AB97" s="80">
        <v>-414.0</v>
      </c>
      <c r="AC97" s="80">
        <v>-1190.0</v>
      </c>
      <c r="AD97" s="80">
        <v>1848.0</v>
      </c>
      <c r="AE97" s="80">
        <v>-348.0</v>
      </c>
    </row>
    <row r="98">
      <c r="A98" s="28">
        <f>'SAMLET_alle regnskab'!B107</f>
        <v>6</v>
      </c>
      <c r="B98" s="80">
        <f>'SAMLET_alle regnskab'!A107</f>
        <v>10</v>
      </c>
      <c r="C98" s="28">
        <f>'SAMLET_alle regnskab'!U107</f>
        <v>16</v>
      </c>
      <c r="D98" s="28">
        <f>'SAMLET_alle regnskab'!V107</f>
        <v>-48</v>
      </c>
      <c r="E98" s="28">
        <f>'SAMLET_alle regnskab'!W107</f>
        <v>16</v>
      </c>
      <c r="F98" s="28">
        <f>'SAMLET_alle regnskab'!X107</f>
        <v>16</v>
      </c>
      <c r="H98" s="80">
        <f t="shared" si="7"/>
        <v>10</v>
      </c>
      <c r="I98" s="28">
        <f t="shared" ref="I98:L98" si="286">I97+C98</f>
        <v>-48</v>
      </c>
      <c r="J98" s="28">
        <f t="shared" si="286"/>
        <v>-460</v>
      </c>
      <c r="K98" s="28">
        <f t="shared" si="286"/>
        <v>214</v>
      </c>
      <c r="L98" s="28">
        <f t="shared" si="286"/>
        <v>294</v>
      </c>
      <c r="N98" s="80">
        <f t="shared" si="25"/>
        <v>9</v>
      </c>
      <c r="O98" s="28">
        <f t="shared" ref="O98:R98" si="287">O97+I91</f>
        <v>-7244</v>
      </c>
      <c r="P98" s="28">
        <f t="shared" si="287"/>
        <v>-9948</v>
      </c>
      <c r="Q98" s="28">
        <f t="shared" si="287"/>
        <v>-3788</v>
      </c>
      <c r="R98" s="28">
        <f t="shared" si="287"/>
        <v>20980</v>
      </c>
      <c r="T98" s="80">
        <v>9.0</v>
      </c>
      <c r="U98" s="80">
        <f t="shared" ref="U98:X98" si="288">U97+C91</f>
        <v>-406</v>
      </c>
      <c r="V98" s="80">
        <f t="shared" si="288"/>
        <v>-1182</v>
      </c>
      <c r="W98" s="80">
        <f t="shared" si="288"/>
        <v>1840</v>
      </c>
      <c r="X98" s="80">
        <f t="shared" si="288"/>
        <v>-356</v>
      </c>
      <c r="Z98" s="80">
        <v>9.0</v>
      </c>
      <c r="AA98" s="119">
        <v>43491.0</v>
      </c>
      <c r="AB98" s="80">
        <v>-406.0</v>
      </c>
      <c r="AC98" s="80">
        <v>-1182.0</v>
      </c>
      <c r="AD98" s="80">
        <v>1840.0</v>
      </c>
      <c r="AE98" s="80">
        <v>-356.0</v>
      </c>
    </row>
    <row r="99">
      <c r="A99" s="28">
        <f>'SAMLET_alle regnskab'!B108</f>
        <v>7</v>
      </c>
      <c r="B99" s="80">
        <f>'SAMLET_alle regnskab'!A108</f>
        <v>10</v>
      </c>
      <c r="C99" s="28">
        <f>'SAMLET_alle regnskab'!U108</f>
        <v>-8</v>
      </c>
      <c r="D99" s="28">
        <f>'SAMLET_alle regnskab'!V108</f>
        <v>-8</v>
      </c>
      <c r="E99" s="28">
        <f>'SAMLET_alle regnskab'!W108</f>
        <v>8</v>
      </c>
      <c r="F99" s="28">
        <f>'SAMLET_alle regnskab'!X108</f>
        <v>8</v>
      </c>
      <c r="H99" s="80">
        <f t="shared" si="7"/>
        <v>10</v>
      </c>
      <c r="I99" s="28">
        <f t="shared" ref="I99:L99" si="289">I98+C99</f>
        <v>-56</v>
      </c>
      <c r="J99" s="28">
        <f t="shared" si="289"/>
        <v>-468</v>
      </c>
      <c r="K99" s="28">
        <f t="shared" si="289"/>
        <v>222</v>
      </c>
      <c r="L99" s="28">
        <f t="shared" si="289"/>
        <v>302</v>
      </c>
      <c r="N99" s="80">
        <f t="shared" si="25"/>
        <v>9</v>
      </c>
      <c r="O99" s="28">
        <f t="shared" ref="O99:R99" si="290">O98+I92</f>
        <v>-7468</v>
      </c>
      <c r="P99" s="28">
        <f t="shared" si="290"/>
        <v>-10192</v>
      </c>
      <c r="Q99" s="28">
        <f t="shared" si="290"/>
        <v>-3686</v>
      </c>
      <c r="R99" s="28">
        <f t="shared" si="290"/>
        <v>21346</v>
      </c>
      <c r="T99" s="80">
        <v>9.0</v>
      </c>
      <c r="U99" s="80">
        <f t="shared" ref="U99:X99" si="291">U98+C92</f>
        <v>-382</v>
      </c>
      <c r="V99" s="80">
        <f t="shared" si="291"/>
        <v>-1206</v>
      </c>
      <c r="W99" s="80">
        <f t="shared" si="291"/>
        <v>1816</v>
      </c>
      <c r="X99" s="80">
        <f t="shared" si="291"/>
        <v>-332</v>
      </c>
      <c r="Z99" s="80">
        <v>9.0</v>
      </c>
      <c r="AA99" s="119">
        <v>43491.0</v>
      </c>
      <c r="AB99" s="80">
        <v>-382.0</v>
      </c>
      <c r="AC99" s="80">
        <v>-1206.0</v>
      </c>
      <c r="AD99" s="80">
        <v>1816.0</v>
      </c>
      <c r="AE99" s="80">
        <v>-332.0</v>
      </c>
    </row>
    <row r="100">
      <c r="A100" s="28">
        <f>'SAMLET_alle regnskab'!B109</f>
        <v>8</v>
      </c>
      <c r="B100" s="80">
        <f>'SAMLET_alle regnskab'!A109</f>
        <v>10</v>
      </c>
      <c r="C100" s="28">
        <f>'SAMLET_alle regnskab'!U109</f>
        <v>-12</v>
      </c>
      <c r="D100" s="28">
        <f>'SAMLET_alle regnskab'!V109</f>
        <v>12</v>
      </c>
      <c r="E100" s="28">
        <f>'SAMLET_alle regnskab'!W109</f>
        <v>12</v>
      </c>
      <c r="F100" s="28">
        <f>'SAMLET_alle regnskab'!X109</f>
        <v>-12</v>
      </c>
      <c r="H100" s="80">
        <f t="shared" si="7"/>
        <v>10</v>
      </c>
      <c r="I100" s="28">
        <f t="shared" ref="I100:L100" si="292">I99+C100</f>
        <v>-68</v>
      </c>
      <c r="J100" s="28">
        <f t="shared" si="292"/>
        <v>-456</v>
      </c>
      <c r="K100" s="28">
        <f t="shared" si="292"/>
        <v>234</v>
      </c>
      <c r="L100" s="28">
        <f t="shared" si="292"/>
        <v>290</v>
      </c>
      <c r="N100" s="80">
        <f t="shared" si="25"/>
        <v>10</v>
      </c>
      <c r="O100" s="28">
        <f t="shared" ref="O100:R100" si="293">O99+I93</f>
        <v>-7676</v>
      </c>
      <c r="P100" s="28">
        <f t="shared" si="293"/>
        <v>-10452</v>
      </c>
      <c r="Q100" s="28">
        <f t="shared" si="293"/>
        <v>-3600</v>
      </c>
      <c r="R100" s="28">
        <f t="shared" si="293"/>
        <v>21728</v>
      </c>
      <c r="T100" s="80">
        <v>10.0</v>
      </c>
      <c r="U100" s="80">
        <f t="shared" ref="U100:X100" si="294">U99+C93</f>
        <v>-366</v>
      </c>
      <c r="V100" s="80">
        <f t="shared" si="294"/>
        <v>-1222</v>
      </c>
      <c r="W100" s="80">
        <f t="shared" si="294"/>
        <v>1800</v>
      </c>
      <c r="X100" s="80">
        <f t="shared" si="294"/>
        <v>-316</v>
      </c>
      <c r="Z100" s="80">
        <v>10.0</v>
      </c>
      <c r="AA100" s="10">
        <v>43644.0</v>
      </c>
      <c r="AB100" s="80">
        <v>-366.0</v>
      </c>
      <c r="AC100" s="80">
        <v>-1222.0</v>
      </c>
      <c r="AD100" s="80">
        <v>1800.0</v>
      </c>
      <c r="AE100" s="80">
        <v>-316.0</v>
      </c>
    </row>
    <row r="101">
      <c r="A101" s="28">
        <f>'SAMLET_alle regnskab'!B110</f>
        <v>9</v>
      </c>
      <c r="B101" s="80">
        <f>'SAMLET_alle regnskab'!A110</f>
        <v>10</v>
      </c>
      <c r="C101" s="28">
        <f>'SAMLET_alle regnskab'!U110</f>
        <v>48</v>
      </c>
      <c r="D101" s="28">
        <f>'SAMLET_alle regnskab'!V110</f>
        <v>48</v>
      </c>
      <c r="E101" s="28">
        <f>'SAMLET_alle regnskab'!W110</f>
        <v>-48</v>
      </c>
      <c r="F101" s="28">
        <f>'SAMLET_alle regnskab'!X110</f>
        <v>-48</v>
      </c>
      <c r="H101" s="80">
        <f t="shared" si="7"/>
        <v>10</v>
      </c>
      <c r="I101" s="28">
        <f t="shared" ref="I101:L101" si="295">I100+C101</f>
        <v>-20</v>
      </c>
      <c r="J101" s="28">
        <f t="shared" si="295"/>
        <v>-408</v>
      </c>
      <c r="K101" s="28">
        <f t="shared" si="295"/>
        <v>186</v>
      </c>
      <c r="L101" s="28">
        <f t="shared" si="295"/>
        <v>242</v>
      </c>
      <c r="N101" s="80">
        <f t="shared" si="25"/>
        <v>10</v>
      </c>
      <c r="O101" s="28">
        <f t="shared" ref="O101:R101" si="296">O100+I94</f>
        <v>-7788</v>
      </c>
      <c r="P101" s="28">
        <f t="shared" si="296"/>
        <v>-10808</v>
      </c>
      <c r="Q101" s="28">
        <f t="shared" si="296"/>
        <v>-3418</v>
      </c>
      <c r="R101" s="28">
        <f t="shared" si="296"/>
        <v>22014</v>
      </c>
      <c r="T101" s="80">
        <v>10.0</v>
      </c>
      <c r="U101" s="80">
        <f t="shared" ref="U101:X101" si="297">U100+C94</f>
        <v>-270</v>
      </c>
      <c r="V101" s="80">
        <f t="shared" si="297"/>
        <v>-1318</v>
      </c>
      <c r="W101" s="80">
        <f t="shared" si="297"/>
        <v>1896</v>
      </c>
      <c r="X101" s="80">
        <f t="shared" si="297"/>
        <v>-412</v>
      </c>
      <c r="Z101" s="80">
        <v>10.0</v>
      </c>
      <c r="AA101" s="10">
        <v>43644.0</v>
      </c>
      <c r="AB101" s="80">
        <v>-270.0</v>
      </c>
      <c r="AC101" s="80">
        <v>-1318.0</v>
      </c>
      <c r="AD101" s="80">
        <v>1896.0</v>
      </c>
      <c r="AE101" s="80">
        <v>-412.0</v>
      </c>
    </row>
    <row r="102">
      <c r="A102" s="28">
        <f>'SAMLET_alle regnskab'!B111</f>
        <v>10</v>
      </c>
      <c r="B102" s="80">
        <f>'SAMLET_alle regnskab'!A111</f>
        <v>10</v>
      </c>
      <c r="C102" s="28">
        <f>'SAMLET_alle regnskab'!U111</f>
        <v>20</v>
      </c>
      <c r="D102" s="28">
        <f>'SAMLET_alle regnskab'!V111</f>
        <v>-20</v>
      </c>
      <c r="E102" s="28">
        <f>'SAMLET_alle regnskab'!W111</f>
        <v>20</v>
      </c>
      <c r="F102" s="28">
        <f>'SAMLET_alle regnskab'!X111</f>
        <v>-20</v>
      </c>
      <c r="H102" s="80">
        <f t="shared" si="7"/>
        <v>10</v>
      </c>
      <c r="I102" s="28">
        <f t="shared" ref="I102:L102" si="298">I101+C102</f>
        <v>0</v>
      </c>
      <c r="J102" s="28">
        <f t="shared" si="298"/>
        <v>-428</v>
      </c>
      <c r="K102" s="28">
        <f t="shared" si="298"/>
        <v>206</v>
      </c>
      <c r="L102" s="28">
        <f t="shared" si="298"/>
        <v>222</v>
      </c>
      <c r="N102" s="80">
        <f t="shared" si="25"/>
        <v>10</v>
      </c>
      <c r="O102" s="28">
        <f t="shared" ref="O102:R102" si="299">O101+I95</f>
        <v>-7876</v>
      </c>
      <c r="P102" s="28">
        <f t="shared" si="299"/>
        <v>-11172</v>
      </c>
      <c r="Q102" s="28">
        <f t="shared" si="299"/>
        <v>-3244</v>
      </c>
      <c r="R102" s="28">
        <f t="shared" si="299"/>
        <v>22292</v>
      </c>
      <c r="T102" s="80">
        <v>10.0</v>
      </c>
      <c r="U102" s="80">
        <f t="shared" ref="U102:X102" si="300">U101+C95</f>
        <v>-246</v>
      </c>
      <c r="V102" s="80">
        <f t="shared" si="300"/>
        <v>-1326</v>
      </c>
      <c r="W102" s="80">
        <f t="shared" si="300"/>
        <v>1888</v>
      </c>
      <c r="X102" s="80">
        <f t="shared" si="300"/>
        <v>-420</v>
      </c>
      <c r="Z102" s="80">
        <v>10.0</v>
      </c>
      <c r="AA102" s="10">
        <v>43644.0</v>
      </c>
      <c r="AB102" s="80">
        <v>-246.0</v>
      </c>
      <c r="AC102" s="80">
        <v>-1326.0</v>
      </c>
      <c r="AD102" s="80">
        <v>1888.0</v>
      </c>
      <c r="AE102" s="80">
        <v>-420.0</v>
      </c>
    </row>
    <row r="103">
      <c r="A103" s="28">
        <f>'SAMLET_alle regnskab'!B112</f>
        <v>11</v>
      </c>
      <c r="B103" s="80">
        <f>'SAMLET_alle regnskab'!A112</f>
        <v>10</v>
      </c>
      <c r="C103" s="28">
        <f>'SAMLET_alle regnskab'!U112</f>
        <v>-12</v>
      </c>
      <c r="D103" s="28">
        <f>'SAMLET_alle regnskab'!V112</f>
        <v>-12</v>
      </c>
      <c r="E103" s="28">
        <f>'SAMLET_alle regnskab'!W112</f>
        <v>12</v>
      </c>
      <c r="F103" s="28">
        <f>'SAMLET_alle regnskab'!X112</f>
        <v>12</v>
      </c>
      <c r="H103" s="80">
        <f t="shared" si="7"/>
        <v>10</v>
      </c>
      <c r="I103" s="28">
        <f t="shared" ref="I103:L103" si="301">I102+C103</f>
        <v>-12</v>
      </c>
      <c r="J103" s="28">
        <f t="shared" si="301"/>
        <v>-440</v>
      </c>
      <c r="K103" s="28">
        <f t="shared" si="301"/>
        <v>218</v>
      </c>
      <c r="L103" s="28">
        <f t="shared" si="301"/>
        <v>234</v>
      </c>
      <c r="N103" s="80">
        <f t="shared" si="25"/>
        <v>10</v>
      </c>
      <c r="O103" s="28">
        <f t="shared" ref="O103:R103" si="302">O102+I96</f>
        <v>-7952</v>
      </c>
      <c r="P103" s="28">
        <f t="shared" si="302"/>
        <v>-11572</v>
      </c>
      <c r="Q103" s="28">
        <f t="shared" si="302"/>
        <v>-3058</v>
      </c>
      <c r="R103" s="28">
        <f t="shared" si="302"/>
        <v>22582</v>
      </c>
      <c r="T103" s="80">
        <v>10.0</v>
      </c>
      <c r="U103" s="80">
        <f t="shared" ref="U103:X103" si="303">U102+C96</f>
        <v>-234</v>
      </c>
      <c r="V103" s="80">
        <f t="shared" si="303"/>
        <v>-1362</v>
      </c>
      <c r="W103" s="80">
        <f t="shared" si="303"/>
        <v>1900</v>
      </c>
      <c r="X103" s="80">
        <f t="shared" si="303"/>
        <v>-408</v>
      </c>
      <c r="Z103" s="80">
        <v>10.0</v>
      </c>
      <c r="AA103" s="10">
        <v>43644.0</v>
      </c>
      <c r="AB103" s="80">
        <v>-234.0</v>
      </c>
      <c r="AC103" s="80">
        <v>-1362.0</v>
      </c>
      <c r="AD103" s="80">
        <v>1900.0</v>
      </c>
      <c r="AE103" s="80">
        <v>-408.0</v>
      </c>
    </row>
    <row r="104">
      <c r="A104" s="28">
        <f>'SAMLET_alle regnskab'!B113</f>
        <v>12</v>
      </c>
      <c r="B104" s="80">
        <f>'SAMLET_alle regnskab'!A113</f>
        <v>10</v>
      </c>
      <c r="C104" s="28">
        <f>'SAMLET_alle regnskab'!U113</f>
        <v>48</v>
      </c>
      <c r="D104" s="28">
        <f>'SAMLET_alle regnskab'!V113</f>
        <v>48</v>
      </c>
      <c r="E104" s="28">
        <f>'SAMLET_alle regnskab'!W113</f>
        <v>-48</v>
      </c>
      <c r="F104" s="28">
        <f>'SAMLET_alle regnskab'!X113</f>
        <v>-48</v>
      </c>
      <c r="H104" s="80">
        <f t="shared" si="7"/>
        <v>10</v>
      </c>
      <c r="I104" s="28">
        <f t="shared" ref="I104:L104" si="304">I103+C104</f>
        <v>36</v>
      </c>
      <c r="J104" s="28">
        <f t="shared" si="304"/>
        <v>-392</v>
      </c>
      <c r="K104" s="28">
        <f t="shared" si="304"/>
        <v>170</v>
      </c>
      <c r="L104" s="28">
        <f t="shared" si="304"/>
        <v>186</v>
      </c>
      <c r="N104" s="80">
        <f t="shared" si="25"/>
        <v>10</v>
      </c>
      <c r="O104" s="28">
        <f t="shared" ref="O104:R104" si="305">O103+I97</f>
        <v>-8016</v>
      </c>
      <c r="P104" s="28">
        <f t="shared" si="305"/>
        <v>-11984</v>
      </c>
      <c r="Q104" s="28">
        <f t="shared" si="305"/>
        <v>-2860</v>
      </c>
      <c r="R104" s="28">
        <f t="shared" si="305"/>
        <v>22860</v>
      </c>
      <c r="T104" s="80">
        <v>10.0</v>
      </c>
      <c r="U104" s="80">
        <f t="shared" ref="U104:X104" si="306">U103+C97</f>
        <v>-222</v>
      </c>
      <c r="V104" s="80">
        <f t="shared" si="306"/>
        <v>-1374</v>
      </c>
      <c r="W104" s="80">
        <f t="shared" si="306"/>
        <v>1912</v>
      </c>
      <c r="X104" s="80">
        <f t="shared" si="306"/>
        <v>-420</v>
      </c>
      <c r="Z104" s="80">
        <v>10.0</v>
      </c>
      <c r="AA104" s="10">
        <v>43644.0</v>
      </c>
      <c r="AB104" s="80">
        <v>-222.0</v>
      </c>
      <c r="AC104" s="80">
        <v>-1374.0</v>
      </c>
      <c r="AD104" s="80">
        <v>1912.0</v>
      </c>
      <c r="AE104" s="80">
        <v>-420.0</v>
      </c>
    </row>
    <row r="105">
      <c r="A105" s="28">
        <f>'SAMLET_alle regnskab'!B114</f>
        <v>13</v>
      </c>
      <c r="B105" s="80">
        <f>'SAMLET_alle regnskab'!A114</f>
        <v>10</v>
      </c>
      <c r="C105" s="28">
        <f>'SAMLET_alle regnskab'!U114</f>
        <v>-24</v>
      </c>
      <c r="D105" s="28">
        <f>'SAMLET_alle regnskab'!V114</f>
        <v>8</v>
      </c>
      <c r="E105" s="28">
        <f>'SAMLET_alle regnskab'!W114</f>
        <v>8</v>
      </c>
      <c r="F105" s="28">
        <f>'SAMLET_alle regnskab'!X114</f>
        <v>8</v>
      </c>
      <c r="H105" s="80">
        <f t="shared" si="7"/>
        <v>10</v>
      </c>
      <c r="I105" s="28">
        <f t="shared" ref="I105:L105" si="307">I104+C105</f>
        <v>12</v>
      </c>
      <c r="J105" s="28">
        <f t="shared" si="307"/>
        <v>-384</v>
      </c>
      <c r="K105" s="28">
        <f t="shared" si="307"/>
        <v>178</v>
      </c>
      <c r="L105" s="28">
        <f t="shared" si="307"/>
        <v>194</v>
      </c>
      <c r="N105" s="80">
        <f t="shared" si="25"/>
        <v>10</v>
      </c>
      <c r="O105" s="28">
        <f t="shared" ref="O105:R105" si="308">O104+I98</f>
        <v>-8064</v>
      </c>
      <c r="P105" s="28">
        <f t="shared" si="308"/>
        <v>-12444</v>
      </c>
      <c r="Q105" s="28">
        <f t="shared" si="308"/>
        <v>-2646</v>
      </c>
      <c r="R105" s="28">
        <f t="shared" si="308"/>
        <v>23154</v>
      </c>
      <c r="T105" s="80">
        <v>10.0</v>
      </c>
      <c r="U105" s="80">
        <f t="shared" ref="U105:X105" si="309">U104+C98</f>
        <v>-206</v>
      </c>
      <c r="V105" s="80">
        <f t="shared" si="309"/>
        <v>-1422</v>
      </c>
      <c r="W105" s="80">
        <f t="shared" si="309"/>
        <v>1928</v>
      </c>
      <c r="X105" s="80">
        <f t="shared" si="309"/>
        <v>-404</v>
      </c>
      <c r="Z105" s="80">
        <v>10.0</v>
      </c>
      <c r="AA105" s="10">
        <v>43644.0</v>
      </c>
      <c r="AB105" s="80">
        <v>-206.0</v>
      </c>
      <c r="AC105" s="80">
        <v>-1422.0</v>
      </c>
      <c r="AD105" s="80">
        <v>1928.0</v>
      </c>
      <c r="AE105" s="80">
        <v>-404.0</v>
      </c>
    </row>
    <row r="106">
      <c r="A106" s="28">
        <f>'SAMLET_alle regnskab'!B115</f>
        <v>14</v>
      </c>
      <c r="B106" s="80">
        <f>'SAMLET_alle regnskab'!A115</f>
        <v>10</v>
      </c>
      <c r="C106" s="28">
        <f>'SAMLET_alle regnskab'!U115</f>
        <v>16</v>
      </c>
      <c r="D106" s="28">
        <f>'SAMLET_alle regnskab'!V115</f>
        <v>16</v>
      </c>
      <c r="E106" s="28">
        <f>'SAMLET_alle regnskab'!W115</f>
        <v>-48</v>
      </c>
      <c r="F106" s="28">
        <f>'SAMLET_alle regnskab'!X115</f>
        <v>16</v>
      </c>
      <c r="H106" s="80">
        <f t="shared" si="7"/>
        <v>10</v>
      </c>
      <c r="I106" s="28">
        <f t="shared" ref="I106:L106" si="310">I105+C106</f>
        <v>28</v>
      </c>
      <c r="J106" s="28">
        <f t="shared" si="310"/>
        <v>-368</v>
      </c>
      <c r="K106" s="28">
        <f t="shared" si="310"/>
        <v>130</v>
      </c>
      <c r="L106" s="28">
        <f t="shared" si="310"/>
        <v>210</v>
      </c>
      <c r="N106" s="80">
        <f t="shared" si="25"/>
        <v>10</v>
      </c>
      <c r="O106" s="28">
        <f t="shared" ref="O106:R106" si="311">O105+I99</f>
        <v>-8120</v>
      </c>
      <c r="P106" s="28">
        <f t="shared" si="311"/>
        <v>-12912</v>
      </c>
      <c r="Q106" s="28">
        <f t="shared" si="311"/>
        <v>-2424</v>
      </c>
      <c r="R106" s="28">
        <f t="shared" si="311"/>
        <v>23456</v>
      </c>
      <c r="T106" s="80">
        <v>10.0</v>
      </c>
      <c r="U106" s="80">
        <f t="shared" ref="U106:X106" si="312">U105+C99</f>
        <v>-214</v>
      </c>
      <c r="V106" s="80">
        <f t="shared" si="312"/>
        <v>-1430</v>
      </c>
      <c r="W106" s="80">
        <f t="shared" si="312"/>
        <v>1936</v>
      </c>
      <c r="X106" s="80">
        <f t="shared" si="312"/>
        <v>-396</v>
      </c>
      <c r="Z106" s="80">
        <v>10.0</v>
      </c>
      <c r="AA106" s="10">
        <v>43644.0</v>
      </c>
      <c r="AB106" s="80">
        <v>-214.0</v>
      </c>
      <c r="AC106" s="80">
        <v>-1430.0</v>
      </c>
      <c r="AD106" s="80">
        <v>1936.0</v>
      </c>
      <c r="AE106" s="80">
        <v>-396.0</v>
      </c>
    </row>
    <row r="107">
      <c r="A107" s="28">
        <f>'SAMLET_alle regnskab'!B116</f>
        <v>15</v>
      </c>
      <c r="B107" s="80">
        <f>'SAMLET_alle regnskab'!A116</f>
        <v>10</v>
      </c>
      <c r="C107" s="28">
        <f>'SAMLET_alle regnskab'!U116</f>
        <v>32</v>
      </c>
      <c r="D107" s="28">
        <f>'SAMLET_alle regnskab'!V116</f>
        <v>-32</v>
      </c>
      <c r="E107" s="28">
        <f>'SAMLET_alle regnskab'!W116</f>
        <v>-32</v>
      </c>
      <c r="F107" s="28">
        <f>'SAMLET_alle regnskab'!X116</f>
        <v>32</v>
      </c>
      <c r="H107" s="80">
        <f t="shared" si="7"/>
        <v>10</v>
      </c>
      <c r="I107" s="28">
        <f t="shared" ref="I107:L107" si="313">I106+C107</f>
        <v>60</v>
      </c>
      <c r="J107" s="28">
        <f t="shared" si="313"/>
        <v>-400</v>
      </c>
      <c r="K107" s="28">
        <f t="shared" si="313"/>
        <v>98</v>
      </c>
      <c r="L107" s="28">
        <f t="shared" si="313"/>
        <v>242</v>
      </c>
      <c r="N107" s="80">
        <f t="shared" si="25"/>
        <v>10</v>
      </c>
      <c r="O107" s="28">
        <f t="shared" ref="O107:R107" si="314">O106+I100</f>
        <v>-8188</v>
      </c>
      <c r="P107" s="28">
        <f t="shared" si="314"/>
        <v>-13368</v>
      </c>
      <c r="Q107" s="28">
        <f t="shared" si="314"/>
        <v>-2190</v>
      </c>
      <c r="R107" s="28">
        <f t="shared" si="314"/>
        <v>23746</v>
      </c>
      <c r="T107" s="80">
        <v>10.0</v>
      </c>
      <c r="U107" s="80">
        <f t="shared" ref="U107:X107" si="315">U106+C100</f>
        <v>-226</v>
      </c>
      <c r="V107" s="80">
        <f t="shared" si="315"/>
        <v>-1418</v>
      </c>
      <c r="W107" s="80">
        <f t="shared" si="315"/>
        <v>1948</v>
      </c>
      <c r="X107" s="80">
        <f t="shared" si="315"/>
        <v>-408</v>
      </c>
      <c r="Z107" s="80">
        <v>10.0</v>
      </c>
      <c r="AA107" s="10">
        <v>43644.0</v>
      </c>
      <c r="AB107" s="80">
        <v>-226.0</v>
      </c>
      <c r="AC107" s="80">
        <v>-1418.0</v>
      </c>
      <c r="AD107" s="80">
        <v>1948.0</v>
      </c>
      <c r="AE107" s="80">
        <v>-408.0</v>
      </c>
    </row>
    <row r="108">
      <c r="A108" s="28">
        <f>'SAMLET_alle regnskab'!B117</f>
        <v>16</v>
      </c>
      <c r="B108" s="80">
        <f>'SAMLET_alle regnskab'!A117</f>
        <v>10</v>
      </c>
      <c r="C108" s="28">
        <f>'SAMLET_alle regnskab'!U117</f>
        <v>-16</v>
      </c>
      <c r="D108" s="28">
        <f>'SAMLET_alle regnskab'!V117</f>
        <v>16</v>
      </c>
      <c r="E108" s="28">
        <f>'SAMLET_alle regnskab'!W117</f>
        <v>-16</v>
      </c>
      <c r="F108" s="28">
        <f>'SAMLET_alle regnskab'!X117</f>
        <v>16</v>
      </c>
      <c r="H108" s="80">
        <f t="shared" si="7"/>
        <v>10</v>
      </c>
      <c r="I108" s="28">
        <f t="shared" ref="I108:L108" si="316">I107+C108</f>
        <v>44</v>
      </c>
      <c r="J108" s="28">
        <f t="shared" si="316"/>
        <v>-384</v>
      </c>
      <c r="K108" s="28">
        <f t="shared" si="316"/>
        <v>82</v>
      </c>
      <c r="L108" s="28">
        <f t="shared" si="316"/>
        <v>258</v>
      </c>
      <c r="N108" s="80">
        <f t="shared" si="25"/>
        <v>10</v>
      </c>
      <c r="O108" s="28">
        <f t="shared" ref="O108:R108" si="317">O107+I101</f>
        <v>-8208</v>
      </c>
      <c r="P108" s="28">
        <f t="shared" si="317"/>
        <v>-13776</v>
      </c>
      <c r="Q108" s="28">
        <f t="shared" si="317"/>
        <v>-2004</v>
      </c>
      <c r="R108" s="28">
        <f t="shared" si="317"/>
        <v>23988</v>
      </c>
      <c r="T108" s="80">
        <v>10.0</v>
      </c>
      <c r="U108" s="80">
        <f t="shared" ref="U108:X108" si="318">U107+C101</f>
        <v>-178</v>
      </c>
      <c r="V108" s="80">
        <f t="shared" si="318"/>
        <v>-1370</v>
      </c>
      <c r="W108" s="80">
        <f t="shared" si="318"/>
        <v>1900</v>
      </c>
      <c r="X108" s="80">
        <f t="shared" si="318"/>
        <v>-456</v>
      </c>
      <c r="Z108" s="80">
        <v>10.0</v>
      </c>
      <c r="AA108" s="10">
        <v>43644.0</v>
      </c>
      <c r="AB108" s="80">
        <v>-178.0</v>
      </c>
      <c r="AC108" s="80">
        <v>-1370.0</v>
      </c>
      <c r="AD108" s="80">
        <v>1900.0</v>
      </c>
      <c r="AE108" s="80">
        <v>-456.0</v>
      </c>
    </row>
    <row r="109">
      <c r="A109" s="28">
        <f>'SAMLET_alle regnskab'!B118</f>
        <v>17</v>
      </c>
      <c r="B109" s="80">
        <f>'SAMLET_alle regnskab'!A118</f>
        <v>10</v>
      </c>
      <c r="C109" s="28">
        <f>'SAMLET_alle regnskab'!U118</f>
        <v>16</v>
      </c>
      <c r="D109" s="28">
        <f>'SAMLET_alle regnskab'!V118</f>
        <v>16</v>
      </c>
      <c r="E109" s="28">
        <f>'SAMLET_alle regnskab'!W118</f>
        <v>-16</v>
      </c>
      <c r="F109" s="28">
        <f>'SAMLET_alle regnskab'!X118</f>
        <v>-16</v>
      </c>
      <c r="H109" s="80">
        <f t="shared" si="7"/>
        <v>10</v>
      </c>
      <c r="I109" s="28">
        <f t="shared" ref="I109:L109" si="319">I108+C109</f>
        <v>60</v>
      </c>
      <c r="J109" s="28">
        <f t="shared" si="319"/>
        <v>-368</v>
      </c>
      <c r="K109" s="28">
        <f t="shared" si="319"/>
        <v>66</v>
      </c>
      <c r="L109" s="28">
        <f t="shared" si="319"/>
        <v>242</v>
      </c>
      <c r="N109" s="80">
        <f t="shared" si="25"/>
        <v>10</v>
      </c>
      <c r="O109" s="28">
        <f t="shared" ref="O109:R109" si="320">O108+I102</f>
        <v>-8208</v>
      </c>
      <c r="P109" s="28">
        <f t="shared" si="320"/>
        <v>-14204</v>
      </c>
      <c r="Q109" s="28">
        <f t="shared" si="320"/>
        <v>-1798</v>
      </c>
      <c r="R109" s="28">
        <f t="shared" si="320"/>
        <v>24210</v>
      </c>
      <c r="T109" s="80">
        <v>10.0</v>
      </c>
      <c r="U109" s="80">
        <f t="shared" ref="U109:X109" si="321">U108+C102</f>
        <v>-158</v>
      </c>
      <c r="V109" s="80">
        <f t="shared" si="321"/>
        <v>-1390</v>
      </c>
      <c r="W109" s="80">
        <f t="shared" si="321"/>
        <v>1920</v>
      </c>
      <c r="X109" s="80">
        <f t="shared" si="321"/>
        <v>-476</v>
      </c>
      <c r="Z109" s="80">
        <v>10.0</v>
      </c>
      <c r="AA109" s="10">
        <v>43644.0</v>
      </c>
      <c r="AB109" s="80">
        <v>-158.0</v>
      </c>
      <c r="AC109" s="80">
        <v>-1390.0</v>
      </c>
      <c r="AD109" s="80">
        <v>1920.0</v>
      </c>
      <c r="AE109" s="80">
        <v>-476.0</v>
      </c>
    </row>
    <row r="110">
      <c r="A110" s="28">
        <f>'SAMLET_alle regnskab'!B119</f>
        <v>18</v>
      </c>
      <c r="B110" s="80">
        <f>'SAMLET_alle regnskab'!A119</f>
        <v>10</v>
      </c>
      <c r="C110" s="28">
        <f>'SAMLET_alle regnskab'!U119</f>
        <v>-16</v>
      </c>
      <c r="D110" s="28">
        <f>'SAMLET_alle regnskab'!V119</f>
        <v>48</v>
      </c>
      <c r="E110" s="28">
        <f>'SAMLET_alle regnskab'!W119</f>
        <v>-16</v>
      </c>
      <c r="F110" s="28">
        <f>'SAMLET_alle regnskab'!X119</f>
        <v>-16</v>
      </c>
      <c r="H110" s="80">
        <f t="shared" si="7"/>
        <v>10</v>
      </c>
      <c r="I110" s="28">
        <f t="shared" ref="I110:L110" si="322">I109+C110</f>
        <v>44</v>
      </c>
      <c r="J110" s="28">
        <f t="shared" si="322"/>
        <v>-320</v>
      </c>
      <c r="K110" s="28">
        <f t="shared" si="322"/>
        <v>50</v>
      </c>
      <c r="L110" s="28">
        <f t="shared" si="322"/>
        <v>226</v>
      </c>
      <c r="N110" s="80">
        <f t="shared" si="25"/>
        <v>10</v>
      </c>
      <c r="O110" s="28">
        <f t="shared" ref="O110:R110" si="323">O109+I103</f>
        <v>-8220</v>
      </c>
      <c r="P110" s="28">
        <f t="shared" si="323"/>
        <v>-14644</v>
      </c>
      <c r="Q110" s="28">
        <f t="shared" si="323"/>
        <v>-1580</v>
      </c>
      <c r="R110" s="28">
        <f t="shared" si="323"/>
        <v>24444</v>
      </c>
      <c r="T110" s="80">
        <v>10.0</v>
      </c>
      <c r="U110" s="80">
        <f t="shared" ref="U110:X110" si="324">U109+C103</f>
        <v>-170</v>
      </c>
      <c r="V110" s="80">
        <f t="shared" si="324"/>
        <v>-1402</v>
      </c>
      <c r="W110" s="80">
        <f t="shared" si="324"/>
        <v>1932</v>
      </c>
      <c r="X110" s="80">
        <f t="shared" si="324"/>
        <v>-464</v>
      </c>
      <c r="Z110" s="80">
        <v>10.0</v>
      </c>
      <c r="AA110" s="10">
        <v>43644.0</v>
      </c>
      <c r="AB110" s="80">
        <v>-170.0</v>
      </c>
      <c r="AC110" s="80">
        <v>-1402.0</v>
      </c>
      <c r="AD110" s="80">
        <v>1932.0</v>
      </c>
      <c r="AE110" s="80">
        <v>-464.0</v>
      </c>
    </row>
    <row r="111">
      <c r="A111" s="28">
        <f>'SAMLET_alle regnskab'!B120</f>
        <v>19</v>
      </c>
      <c r="B111" s="80">
        <f>'SAMLET_alle regnskab'!A120</f>
        <v>10</v>
      </c>
      <c r="C111" s="28">
        <f>'SAMLET_alle regnskab'!U120</f>
        <v>-16</v>
      </c>
      <c r="D111" s="28">
        <f>'SAMLET_alle regnskab'!V120</f>
        <v>-16</v>
      </c>
      <c r="E111" s="28">
        <f>'SAMLET_alle regnskab'!W120</f>
        <v>-16</v>
      </c>
      <c r="F111" s="28">
        <f>'SAMLET_alle regnskab'!X120</f>
        <v>48</v>
      </c>
      <c r="H111" s="80">
        <f t="shared" si="7"/>
        <v>10</v>
      </c>
      <c r="I111" s="28">
        <f t="shared" ref="I111:L111" si="325">I110+C111</f>
        <v>28</v>
      </c>
      <c r="J111" s="28">
        <f t="shared" si="325"/>
        <v>-336</v>
      </c>
      <c r="K111" s="28">
        <f t="shared" si="325"/>
        <v>34</v>
      </c>
      <c r="L111" s="28">
        <f t="shared" si="325"/>
        <v>274</v>
      </c>
      <c r="N111" s="80">
        <f t="shared" si="25"/>
        <v>10</v>
      </c>
      <c r="O111" s="28">
        <f t="shared" ref="O111:R111" si="326">O110+I104</f>
        <v>-8184</v>
      </c>
      <c r="P111" s="28">
        <f t="shared" si="326"/>
        <v>-15036</v>
      </c>
      <c r="Q111" s="28">
        <f t="shared" si="326"/>
        <v>-1410</v>
      </c>
      <c r="R111" s="28">
        <f t="shared" si="326"/>
        <v>24630</v>
      </c>
      <c r="T111" s="80">
        <v>10.0</v>
      </c>
      <c r="U111" s="80">
        <f t="shared" ref="U111:X111" si="327">U110+C104</f>
        <v>-122</v>
      </c>
      <c r="V111" s="80">
        <f t="shared" si="327"/>
        <v>-1354</v>
      </c>
      <c r="W111" s="80">
        <f t="shared" si="327"/>
        <v>1884</v>
      </c>
      <c r="X111" s="80">
        <f t="shared" si="327"/>
        <v>-512</v>
      </c>
      <c r="Z111" s="80">
        <v>10.0</v>
      </c>
      <c r="AA111" s="10">
        <v>43644.0</v>
      </c>
      <c r="AB111" s="80">
        <v>-122.0</v>
      </c>
      <c r="AC111" s="80">
        <v>-1354.0</v>
      </c>
      <c r="AD111" s="80">
        <v>1884.0</v>
      </c>
      <c r="AE111" s="80">
        <v>-512.0</v>
      </c>
    </row>
    <row r="112">
      <c r="A112" s="28">
        <f>'SAMLET_alle regnskab'!B121</f>
        <v>20</v>
      </c>
      <c r="B112" s="80">
        <f>'SAMLET_alle regnskab'!A121</f>
        <v>10</v>
      </c>
      <c r="C112" s="28">
        <f>'SAMLET_alle regnskab'!U121</f>
        <v>12</v>
      </c>
      <c r="D112" s="28">
        <f>'SAMLET_alle regnskab'!V121</f>
        <v>-12</v>
      </c>
      <c r="E112" s="28">
        <f>'SAMLET_alle regnskab'!W121</f>
        <v>12</v>
      </c>
      <c r="F112" s="28">
        <f>'SAMLET_alle regnskab'!X121</f>
        <v>-12</v>
      </c>
      <c r="H112" s="80">
        <f t="shared" si="7"/>
        <v>10</v>
      </c>
      <c r="I112" s="28">
        <f t="shared" ref="I112:L112" si="328">I111+C112</f>
        <v>40</v>
      </c>
      <c r="J112" s="28">
        <f t="shared" si="328"/>
        <v>-348</v>
      </c>
      <c r="K112" s="28">
        <f t="shared" si="328"/>
        <v>46</v>
      </c>
      <c r="L112" s="28">
        <f t="shared" si="328"/>
        <v>262</v>
      </c>
      <c r="N112" s="80">
        <f t="shared" si="25"/>
        <v>10</v>
      </c>
      <c r="O112" s="28">
        <f t="shared" ref="O112:R112" si="329">O111+I105</f>
        <v>-8172</v>
      </c>
      <c r="P112" s="28">
        <f t="shared" si="329"/>
        <v>-15420</v>
      </c>
      <c r="Q112" s="28">
        <f t="shared" si="329"/>
        <v>-1232</v>
      </c>
      <c r="R112" s="28">
        <f t="shared" si="329"/>
        <v>24824</v>
      </c>
      <c r="T112" s="80">
        <v>10.0</v>
      </c>
      <c r="U112" s="80">
        <f t="shared" ref="U112:X112" si="330">U111+C105</f>
        <v>-146</v>
      </c>
      <c r="V112" s="80">
        <f t="shared" si="330"/>
        <v>-1346</v>
      </c>
      <c r="W112" s="80">
        <f t="shared" si="330"/>
        <v>1892</v>
      </c>
      <c r="X112" s="80">
        <f t="shared" si="330"/>
        <v>-504</v>
      </c>
      <c r="Z112" s="80">
        <v>10.0</v>
      </c>
      <c r="AA112" s="10">
        <v>43644.0</v>
      </c>
      <c r="AB112" s="80">
        <v>-146.0</v>
      </c>
      <c r="AC112" s="80">
        <v>-1346.0</v>
      </c>
      <c r="AD112" s="80">
        <v>1892.0</v>
      </c>
      <c r="AE112" s="80">
        <v>-504.0</v>
      </c>
    </row>
    <row r="113">
      <c r="A113" s="28">
        <f>'SAMLET_alle regnskab'!B122</f>
        <v>21</v>
      </c>
      <c r="B113" s="80">
        <f>'SAMLET_alle regnskab'!A122</f>
        <v>10</v>
      </c>
      <c r="C113" s="28">
        <f>'SAMLET_alle regnskab'!U122</f>
        <v>-4</v>
      </c>
      <c r="D113" s="28">
        <f>'SAMLET_alle regnskab'!V122</f>
        <v>4</v>
      </c>
      <c r="E113" s="28">
        <f>'SAMLET_alle regnskab'!W122</f>
        <v>-4</v>
      </c>
      <c r="F113" s="28">
        <f>'SAMLET_alle regnskab'!X122</f>
        <v>4</v>
      </c>
      <c r="H113" s="80">
        <f t="shared" si="7"/>
        <v>10</v>
      </c>
      <c r="I113" s="28">
        <f t="shared" ref="I113:L113" si="331">I112+C113</f>
        <v>36</v>
      </c>
      <c r="J113" s="28">
        <f t="shared" si="331"/>
        <v>-344</v>
      </c>
      <c r="K113" s="28">
        <f t="shared" si="331"/>
        <v>42</v>
      </c>
      <c r="L113" s="28">
        <f t="shared" si="331"/>
        <v>266</v>
      </c>
      <c r="N113" s="80">
        <f t="shared" si="25"/>
        <v>10</v>
      </c>
      <c r="O113" s="28">
        <f t="shared" ref="O113:R113" si="332">O112+I106</f>
        <v>-8144</v>
      </c>
      <c r="P113" s="28">
        <f t="shared" si="332"/>
        <v>-15788</v>
      </c>
      <c r="Q113" s="28">
        <f t="shared" si="332"/>
        <v>-1102</v>
      </c>
      <c r="R113" s="28">
        <f t="shared" si="332"/>
        <v>25034</v>
      </c>
      <c r="T113" s="80">
        <v>10.0</v>
      </c>
      <c r="U113" s="80">
        <f t="shared" ref="U113:X113" si="333">U112+C106</f>
        <v>-130</v>
      </c>
      <c r="V113" s="80">
        <f t="shared" si="333"/>
        <v>-1330</v>
      </c>
      <c r="W113" s="80">
        <f t="shared" si="333"/>
        <v>1844</v>
      </c>
      <c r="X113" s="80">
        <f t="shared" si="333"/>
        <v>-488</v>
      </c>
      <c r="Z113" s="80">
        <v>10.0</v>
      </c>
      <c r="AA113" s="10">
        <v>43644.0</v>
      </c>
      <c r="AB113" s="80">
        <v>-130.0</v>
      </c>
      <c r="AC113" s="80">
        <v>-1330.0</v>
      </c>
      <c r="AD113" s="80">
        <v>1844.0</v>
      </c>
      <c r="AE113" s="80">
        <v>-488.0</v>
      </c>
    </row>
    <row r="114">
      <c r="A114" s="28">
        <f>'SAMLET_alle regnskab'!B123</f>
        <v>22</v>
      </c>
      <c r="B114" s="80">
        <f>'SAMLET_alle regnskab'!A123</f>
        <v>10</v>
      </c>
      <c r="C114" s="28">
        <f>'SAMLET_alle regnskab'!U123</f>
        <v>80</v>
      </c>
      <c r="D114" s="28">
        <f>'SAMLET_alle regnskab'!V123</f>
        <v>-80</v>
      </c>
      <c r="E114" s="28">
        <f>'SAMLET_alle regnskab'!W123</f>
        <v>-80</v>
      </c>
      <c r="F114" s="28">
        <f>'SAMLET_alle regnskab'!X123</f>
        <v>80</v>
      </c>
      <c r="H114" s="80">
        <f t="shared" si="7"/>
        <v>10</v>
      </c>
      <c r="I114" s="28">
        <f t="shared" ref="I114:L114" si="334">I113+C114</f>
        <v>116</v>
      </c>
      <c r="J114" s="28">
        <f t="shared" si="334"/>
        <v>-424</v>
      </c>
      <c r="K114" s="28">
        <f t="shared" si="334"/>
        <v>-38</v>
      </c>
      <c r="L114" s="28">
        <f t="shared" si="334"/>
        <v>346</v>
      </c>
      <c r="N114" s="80">
        <f t="shared" si="25"/>
        <v>10</v>
      </c>
      <c r="O114" s="28">
        <f t="shared" ref="O114:R114" si="335">O113+I107</f>
        <v>-8084</v>
      </c>
      <c r="P114" s="28">
        <f t="shared" si="335"/>
        <v>-16188</v>
      </c>
      <c r="Q114" s="28">
        <f t="shared" si="335"/>
        <v>-1004</v>
      </c>
      <c r="R114" s="28">
        <f t="shared" si="335"/>
        <v>25276</v>
      </c>
      <c r="T114" s="80">
        <v>10.0</v>
      </c>
      <c r="U114" s="80">
        <f t="shared" ref="U114:X114" si="336">U113+C107</f>
        <v>-98</v>
      </c>
      <c r="V114" s="80">
        <f t="shared" si="336"/>
        <v>-1362</v>
      </c>
      <c r="W114" s="80">
        <f t="shared" si="336"/>
        <v>1812</v>
      </c>
      <c r="X114" s="80">
        <f t="shared" si="336"/>
        <v>-456</v>
      </c>
      <c r="Z114" s="80">
        <v>10.0</v>
      </c>
      <c r="AA114" s="10">
        <v>43644.0</v>
      </c>
      <c r="AB114" s="80">
        <v>-98.0</v>
      </c>
      <c r="AC114" s="80">
        <v>-1362.0</v>
      </c>
      <c r="AD114" s="80">
        <v>1812.0</v>
      </c>
      <c r="AE114" s="80">
        <v>-456.0</v>
      </c>
    </row>
    <row r="115">
      <c r="A115" s="28">
        <f>'SAMLET_alle regnskab'!B124</f>
        <v>23</v>
      </c>
      <c r="B115" s="80">
        <f>'SAMLET_alle regnskab'!A124</f>
        <v>10</v>
      </c>
      <c r="C115" s="28">
        <f>'SAMLET_alle regnskab'!U124</f>
        <v>32</v>
      </c>
      <c r="D115" s="28">
        <f>'SAMLET_alle regnskab'!V124</f>
        <v>32</v>
      </c>
      <c r="E115" s="28">
        <f>'SAMLET_alle regnskab'!W124</f>
        <v>-32</v>
      </c>
      <c r="F115" s="28">
        <f>'SAMLET_alle regnskab'!X124</f>
        <v>-32</v>
      </c>
      <c r="H115" s="80">
        <f t="shared" si="7"/>
        <v>10</v>
      </c>
      <c r="I115" s="28">
        <f t="shared" ref="I115:L115" si="337">I114+C115</f>
        <v>148</v>
      </c>
      <c r="J115" s="28">
        <f t="shared" si="337"/>
        <v>-392</v>
      </c>
      <c r="K115" s="28">
        <f t="shared" si="337"/>
        <v>-70</v>
      </c>
      <c r="L115" s="28">
        <f t="shared" si="337"/>
        <v>314</v>
      </c>
      <c r="N115" s="80">
        <f t="shared" si="25"/>
        <v>10</v>
      </c>
      <c r="O115" s="28">
        <f t="shared" ref="O115:R115" si="338">O114+I108</f>
        <v>-8040</v>
      </c>
      <c r="P115" s="28">
        <f t="shared" si="338"/>
        <v>-16572</v>
      </c>
      <c r="Q115" s="28">
        <f t="shared" si="338"/>
        <v>-922</v>
      </c>
      <c r="R115" s="28">
        <f t="shared" si="338"/>
        <v>25534</v>
      </c>
      <c r="T115" s="80">
        <v>10.0</v>
      </c>
      <c r="U115" s="80">
        <f t="shared" ref="U115:X115" si="339">U114+C108</f>
        <v>-114</v>
      </c>
      <c r="V115" s="80">
        <f t="shared" si="339"/>
        <v>-1346</v>
      </c>
      <c r="W115" s="80">
        <f t="shared" si="339"/>
        <v>1796</v>
      </c>
      <c r="X115" s="80">
        <f t="shared" si="339"/>
        <v>-440</v>
      </c>
      <c r="Z115" s="80">
        <v>10.0</v>
      </c>
      <c r="AA115" s="10">
        <v>43644.0</v>
      </c>
      <c r="AB115" s="80">
        <v>-114.0</v>
      </c>
      <c r="AC115" s="80">
        <v>-1346.0</v>
      </c>
      <c r="AD115" s="80">
        <v>1796.0</v>
      </c>
      <c r="AE115" s="80">
        <v>-440.0</v>
      </c>
    </row>
    <row r="116">
      <c r="A116" s="28">
        <f>'SAMLET_alle regnskab'!B125</f>
        <v>24</v>
      </c>
      <c r="B116" s="80">
        <f>'SAMLET_alle regnskab'!A125</f>
        <v>10</v>
      </c>
      <c r="C116" s="28">
        <f>'SAMLET_alle regnskab'!U125</f>
        <v>-24</v>
      </c>
      <c r="D116" s="28">
        <f>'SAMLET_alle regnskab'!V125</f>
        <v>24</v>
      </c>
      <c r="E116" s="28">
        <f>'SAMLET_alle regnskab'!W125</f>
        <v>24</v>
      </c>
      <c r="F116" s="28">
        <f>'SAMLET_alle regnskab'!X125</f>
        <v>-24</v>
      </c>
      <c r="H116" s="80">
        <f t="shared" si="7"/>
        <v>10</v>
      </c>
      <c r="I116" s="28">
        <f t="shared" ref="I116:L116" si="340">I115+C116</f>
        <v>124</v>
      </c>
      <c r="J116" s="28">
        <f t="shared" si="340"/>
        <v>-368</v>
      </c>
      <c r="K116" s="28">
        <f t="shared" si="340"/>
        <v>-46</v>
      </c>
      <c r="L116" s="28">
        <f t="shared" si="340"/>
        <v>290</v>
      </c>
      <c r="N116" s="80">
        <f t="shared" si="25"/>
        <v>10</v>
      </c>
      <c r="O116" s="28">
        <f t="shared" ref="O116:R116" si="341">O115+I109</f>
        <v>-7980</v>
      </c>
      <c r="P116" s="28">
        <f t="shared" si="341"/>
        <v>-16940</v>
      </c>
      <c r="Q116" s="28">
        <f t="shared" si="341"/>
        <v>-856</v>
      </c>
      <c r="R116" s="28">
        <f t="shared" si="341"/>
        <v>25776</v>
      </c>
      <c r="T116" s="80">
        <v>10.0</v>
      </c>
      <c r="U116" s="80">
        <f t="shared" ref="U116:X116" si="342">U115+C109</f>
        <v>-98</v>
      </c>
      <c r="V116" s="80">
        <f t="shared" si="342"/>
        <v>-1330</v>
      </c>
      <c r="W116" s="80">
        <f t="shared" si="342"/>
        <v>1780</v>
      </c>
      <c r="X116" s="80">
        <f t="shared" si="342"/>
        <v>-456</v>
      </c>
      <c r="Z116" s="80">
        <v>10.0</v>
      </c>
      <c r="AA116" s="10">
        <v>43644.0</v>
      </c>
      <c r="AB116" s="80">
        <v>-98.0</v>
      </c>
      <c r="AC116" s="80">
        <v>-1330.0</v>
      </c>
      <c r="AD116" s="80">
        <v>1780.0</v>
      </c>
      <c r="AE116" s="80">
        <v>-456.0</v>
      </c>
    </row>
    <row r="117">
      <c r="A117" s="28">
        <f>'SAMLET_alle regnskab'!B126</f>
        <v>25</v>
      </c>
      <c r="B117" s="80">
        <f>'SAMLET_alle regnskab'!A126</f>
        <v>10</v>
      </c>
      <c r="C117" s="28">
        <f>'SAMLET_alle regnskab'!U126</f>
        <v>-4</v>
      </c>
      <c r="D117" s="28">
        <f>'SAMLET_alle regnskab'!V126</f>
        <v>-4</v>
      </c>
      <c r="E117" s="28">
        <f>'SAMLET_alle regnskab'!W126</f>
        <v>4</v>
      </c>
      <c r="F117" s="28">
        <f>'SAMLET_alle regnskab'!X126</f>
        <v>4</v>
      </c>
      <c r="H117" s="80">
        <f t="shared" si="7"/>
        <v>10</v>
      </c>
      <c r="I117" s="28">
        <f t="shared" ref="I117:L117" si="343">I116+C117</f>
        <v>120</v>
      </c>
      <c r="J117" s="28">
        <f t="shared" si="343"/>
        <v>-372</v>
      </c>
      <c r="K117" s="28">
        <f t="shared" si="343"/>
        <v>-42</v>
      </c>
      <c r="L117" s="28">
        <f t="shared" si="343"/>
        <v>294</v>
      </c>
      <c r="N117" s="80">
        <f t="shared" si="25"/>
        <v>10</v>
      </c>
      <c r="O117" s="28">
        <f t="shared" ref="O117:R117" si="344">O116+I110</f>
        <v>-7936</v>
      </c>
      <c r="P117" s="28">
        <f t="shared" si="344"/>
        <v>-17260</v>
      </c>
      <c r="Q117" s="28">
        <f t="shared" si="344"/>
        <v>-806</v>
      </c>
      <c r="R117" s="28">
        <f t="shared" si="344"/>
        <v>26002</v>
      </c>
      <c r="T117" s="80">
        <v>10.0</v>
      </c>
      <c r="U117" s="80">
        <f t="shared" ref="U117:X117" si="345">U116+C110</f>
        <v>-114</v>
      </c>
      <c r="V117" s="80">
        <f t="shared" si="345"/>
        <v>-1282</v>
      </c>
      <c r="W117" s="80">
        <f t="shared" si="345"/>
        <v>1764</v>
      </c>
      <c r="X117" s="80">
        <f t="shared" si="345"/>
        <v>-472</v>
      </c>
      <c r="Z117" s="80">
        <v>10.0</v>
      </c>
      <c r="AA117" s="10">
        <v>43644.0</v>
      </c>
      <c r="AB117" s="80">
        <v>-114.0</v>
      </c>
      <c r="AC117" s="80">
        <v>-1282.0</v>
      </c>
      <c r="AD117" s="80">
        <v>1764.0</v>
      </c>
      <c r="AE117" s="80">
        <v>-472.0</v>
      </c>
    </row>
    <row r="118">
      <c r="A118" s="28">
        <f>'SAMLET_alle regnskab'!B127</f>
        <v>26</v>
      </c>
      <c r="B118" s="80">
        <f>'SAMLET_alle regnskab'!A127</f>
        <v>10</v>
      </c>
      <c r="C118" s="28">
        <f>'SAMLET_alle regnskab'!U127</f>
        <v>-16</v>
      </c>
      <c r="D118" s="28">
        <f>'SAMLET_alle regnskab'!V127</f>
        <v>16</v>
      </c>
      <c r="E118" s="28">
        <f>'SAMLET_alle regnskab'!W127</f>
        <v>16</v>
      </c>
      <c r="F118" s="28">
        <f>'SAMLET_alle regnskab'!X127</f>
        <v>-16</v>
      </c>
      <c r="H118" s="80">
        <f t="shared" si="7"/>
        <v>10</v>
      </c>
      <c r="I118" s="28">
        <f t="shared" ref="I118:L118" si="346">I117+C118</f>
        <v>104</v>
      </c>
      <c r="J118" s="28">
        <f t="shared" si="346"/>
        <v>-356</v>
      </c>
      <c r="K118" s="28">
        <f t="shared" si="346"/>
        <v>-26</v>
      </c>
      <c r="L118" s="28">
        <f t="shared" si="346"/>
        <v>278</v>
      </c>
      <c r="N118" s="80">
        <f t="shared" si="25"/>
        <v>10</v>
      </c>
      <c r="O118" s="28">
        <f t="shared" ref="O118:R118" si="347">O117+I111</f>
        <v>-7908</v>
      </c>
      <c r="P118" s="28">
        <f t="shared" si="347"/>
        <v>-17596</v>
      </c>
      <c r="Q118" s="28">
        <f t="shared" si="347"/>
        <v>-772</v>
      </c>
      <c r="R118" s="28">
        <f t="shared" si="347"/>
        <v>26276</v>
      </c>
      <c r="T118" s="80">
        <v>10.0</v>
      </c>
      <c r="U118" s="80">
        <f t="shared" ref="U118:X118" si="348">U117+C111</f>
        <v>-130</v>
      </c>
      <c r="V118" s="80">
        <f t="shared" si="348"/>
        <v>-1298</v>
      </c>
      <c r="W118" s="80">
        <f t="shared" si="348"/>
        <v>1748</v>
      </c>
      <c r="X118" s="80">
        <f t="shared" si="348"/>
        <v>-424</v>
      </c>
      <c r="Z118" s="80">
        <v>10.0</v>
      </c>
      <c r="AA118" s="10">
        <v>43644.0</v>
      </c>
      <c r="AB118" s="80">
        <v>-130.0</v>
      </c>
      <c r="AC118" s="80">
        <v>-1298.0</v>
      </c>
      <c r="AD118" s="80">
        <v>1748.0</v>
      </c>
      <c r="AE118" s="80">
        <v>-424.0</v>
      </c>
    </row>
    <row r="119">
      <c r="A119" s="28">
        <f>'SAMLET_alle regnskab'!B128</f>
        <v>27</v>
      </c>
      <c r="B119" s="80">
        <f>'SAMLET_alle regnskab'!A128</f>
        <v>10</v>
      </c>
      <c r="C119" s="28">
        <f>'SAMLET_alle regnskab'!U128</f>
        <v>-20</v>
      </c>
      <c r="D119" s="28">
        <f>'SAMLET_alle regnskab'!V128</f>
        <v>20</v>
      </c>
      <c r="E119" s="28">
        <f>'SAMLET_alle regnskab'!W128</f>
        <v>-20</v>
      </c>
      <c r="F119" s="28">
        <f>'SAMLET_alle regnskab'!X128</f>
        <v>20</v>
      </c>
      <c r="H119" s="80">
        <f t="shared" si="7"/>
        <v>10</v>
      </c>
      <c r="I119" s="28">
        <f t="shared" ref="I119:L119" si="349">I118+C119</f>
        <v>84</v>
      </c>
      <c r="J119" s="28">
        <f t="shared" si="349"/>
        <v>-336</v>
      </c>
      <c r="K119" s="28">
        <f t="shared" si="349"/>
        <v>-46</v>
      </c>
      <c r="L119" s="28">
        <f t="shared" si="349"/>
        <v>298</v>
      </c>
      <c r="N119" s="80">
        <f t="shared" si="25"/>
        <v>10</v>
      </c>
      <c r="O119" s="28">
        <f t="shared" ref="O119:R119" si="350">O118+I112</f>
        <v>-7868</v>
      </c>
      <c r="P119" s="28">
        <f t="shared" si="350"/>
        <v>-17944</v>
      </c>
      <c r="Q119" s="28">
        <f t="shared" si="350"/>
        <v>-726</v>
      </c>
      <c r="R119" s="28">
        <f t="shared" si="350"/>
        <v>26538</v>
      </c>
      <c r="T119" s="80">
        <v>10.0</v>
      </c>
      <c r="U119" s="80">
        <f t="shared" ref="U119:X119" si="351">U118+C112</f>
        <v>-118</v>
      </c>
      <c r="V119" s="80">
        <f t="shared" si="351"/>
        <v>-1310</v>
      </c>
      <c r="W119" s="80">
        <f t="shared" si="351"/>
        <v>1760</v>
      </c>
      <c r="X119" s="80">
        <f t="shared" si="351"/>
        <v>-436</v>
      </c>
      <c r="Z119" s="80">
        <v>10.0</v>
      </c>
      <c r="AA119" s="10">
        <v>43644.0</v>
      </c>
      <c r="AB119" s="80">
        <v>-118.0</v>
      </c>
      <c r="AC119" s="80">
        <v>-1310.0</v>
      </c>
      <c r="AD119" s="80">
        <v>1760.0</v>
      </c>
      <c r="AE119" s="80">
        <v>-436.0</v>
      </c>
    </row>
    <row r="120">
      <c r="A120" s="28">
        <f>'SAMLET_alle regnskab'!B129</f>
        <v>28</v>
      </c>
      <c r="B120" s="80">
        <f>'SAMLET_alle regnskab'!A129</f>
        <v>10</v>
      </c>
      <c r="C120" s="28">
        <f>'SAMLET_alle regnskab'!U129</f>
        <v>20</v>
      </c>
      <c r="D120" s="28">
        <f>'SAMLET_alle regnskab'!V129</f>
        <v>20</v>
      </c>
      <c r="E120" s="28">
        <f>'SAMLET_alle regnskab'!W129</f>
        <v>-60</v>
      </c>
      <c r="F120" s="28">
        <f>'SAMLET_alle regnskab'!X129</f>
        <v>20</v>
      </c>
      <c r="H120" s="80">
        <f t="shared" si="7"/>
        <v>10</v>
      </c>
      <c r="I120" s="28">
        <f t="shared" ref="I120:L120" si="352">I119+C120</f>
        <v>104</v>
      </c>
      <c r="J120" s="28">
        <f t="shared" si="352"/>
        <v>-316</v>
      </c>
      <c r="K120" s="28">
        <f t="shared" si="352"/>
        <v>-106</v>
      </c>
      <c r="L120" s="28">
        <f t="shared" si="352"/>
        <v>318</v>
      </c>
      <c r="N120" s="80">
        <f t="shared" si="25"/>
        <v>10</v>
      </c>
      <c r="O120" s="28">
        <f t="shared" ref="O120:R120" si="353">O119+I113</f>
        <v>-7832</v>
      </c>
      <c r="P120" s="28">
        <f t="shared" si="353"/>
        <v>-18288</v>
      </c>
      <c r="Q120" s="28">
        <f t="shared" si="353"/>
        <v>-684</v>
      </c>
      <c r="R120" s="28">
        <f t="shared" si="353"/>
        <v>26804</v>
      </c>
      <c r="T120" s="80">
        <v>10.0</v>
      </c>
      <c r="U120" s="80">
        <f t="shared" ref="U120:X120" si="354">U119+C113</f>
        <v>-122</v>
      </c>
      <c r="V120" s="80">
        <f t="shared" si="354"/>
        <v>-1306</v>
      </c>
      <c r="W120" s="80">
        <f t="shared" si="354"/>
        <v>1756</v>
      </c>
      <c r="X120" s="80">
        <f t="shared" si="354"/>
        <v>-432</v>
      </c>
      <c r="Z120" s="80">
        <v>10.0</v>
      </c>
      <c r="AA120" s="10">
        <v>43644.0</v>
      </c>
      <c r="AB120" s="80">
        <v>-122.0</v>
      </c>
      <c r="AC120" s="80">
        <v>-1306.0</v>
      </c>
      <c r="AD120" s="80">
        <v>1756.0</v>
      </c>
      <c r="AE120" s="80">
        <v>-432.0</v>
      </c>
    </row>
    <row r="121">
      <c r="A121" s="28">
        <f>'SAMLET_alle regnskab'!B130</f>
        <v>29</v>
      </c>
      <c r="B121" s="80">
        <f>'SAMLET_alle regnskab'!A130</f>
        <v>10</v>
      </c>
      <c r="C121" s="28">
        <f>'SAMLET_alle regnskab'!U130</f>
        <v>-16</v>
      </c>
      <c r="D121" s="28">
        <f>'SAMLET_alle regnskab'!V130</f>
        <v>48</v>
      </c>
      <c r="E121" s="28">
        <f>'SAMLET_alle regnskab'!W130</f>
        <v>-16</v>
      </c>
      <c r="F121" s="28">
        <f>'SAMLET_alle regnskab'!X130</f>
        <v>-16</v>
      </c>
      <c r="H121" s="80">
        <f t="shared" si="7"/>
        <v>10</v>
      </c>
      <c r="I121" s="28">
        <f t="shared" ref="I121:L121" si="355">I120+C121</f>
        <v>88</v>
      </c>
      <c r="J121" s="28">
        <f t="shared" si="355"/>
        <v>-268</v>
      </c>
      <c r="K121" s="28">
        <f t="shared" si="355"/>
        <v>-122</v>
      </c>
      <c r="L121" s="28">
        <f t="shared" si="355"/>
        <v>302</v>
      </c>
      <c r="N121" s="80">
        <f t="shared" si="25"/>
        <v>10</v>
      </c>
      <c r="O121" s="28">
        <f t="shared" ref="O121:R121" si="356">O120+I114</f>
        <v>-7716</v>
      </c>
      <c r="P121" s="28">
        <f t="shared" si="356"/>
        <v>-18712</v>
      </c>
      <c r="Q121" s="28">
        <f t="shared" si="356"/>
        <v>-722</v>
      </c>
      <c r="R121" s="28">
        <f t="shared" si="356"/>
        <v>27150</v>
      </c>
      <c r="T121" s="80">
        <v>10.0</v>
      </c>
      <c r="U121" s="80">
        <f t="shared" ref="U121:X121" si="357">U120+C114</f>
        <v>-42</v>
      </c>
      <c r="V121" s="80">
        <f t="shared" si="357"/>
        <v>-1386</v>
      </c>
      <c r="W121" s="80">
        <f t="shared" si="357"/>
        <v>1676</v>
      </c>
      <c r="X121" s="80">
        <f t="shared" si="357"/>
        <v>-352</v>
      </c>
      <c r="Z121" s="80">
        <v>10.0</v>
      </c>
      <c r="AA121" s="10">
        <v>43644.0</v>
      </c>
      <c r="AB121" s="80">
        <v>-42.0</v>
      </c>
      <c r="AC121" s="80">
        <v>-1386.0</v>
      </c>
      <c r="AD121" s="80">
        <v>1676.0</v>
      </c>
      <c r="AE121" s="80">
        <v>-352.0</v>
      </c>
    </row>
    <row r="122">
      <c r="A122" s="28">
        <f>'SAMLET_alle regnskab'!B131</f>
        <v>30</v>
      </c>
      <c r="B122" s="80">
        <f>'SAMLET_alle regnskab'!A131</f>
        <v>10</v>
      </c>
      <c r="C122" s="28">
        <f>'SAMLET_alle regnskab'!U131</f>
        <v>-16</v>
      </c>
      <c r="D122" s="28">
        <f>'SAMLET_alle regnskab'!V131</f>
        <v>-16</v>
      </c>
      <c r="E122" s="28">
        <f>'SAMLET_alle regnskab'!W131</f>
        <v>48</v>
      </c>
      <c r="F122" s="28">
        <f>'SAMLET_alle regnskab'!X131</f>
        <v>-16</v>
      </c>
      <c r="H122" s="80">
        <f t="shared" si="7"/>
        <v>10</v>
      </c>
      <c r="I122" s="28">
        <f t="shared" ref="I122:L122" si="358">I121+C122</f>
        <v>72</v>
      </c>
      <c r="J122" s="28">
        <f t="shared" si="358"/>
        <v>-284</v>
      </c>
      <c r="K122" s="28">
        <f t="shared" si="358"/>
        <v>-74</v>
      </c>
      <c r="L122" s="28">
        <f t="shared" si="358"/>
        <v>286</v>
      </c>
      <c r="N122" s="80">
        <f t="shared" si="25"/>
        <v>10</v>
      </c>
      <c r="O122" s="28">
        <f t="shared" ref="O122:R122" si="359">O121+I115</f>
        <v>-7568</v>
      </c>
      <c r="P122" s="28">
        <f t="shared" si="359"/>
        <v>-19104</v>
      </c>
      <c r="Q122" s="28">
        <f t="shared" si="359"/>
        <v>-792</v>
      </c>
      <c r="R122" s="28">
        <f t="shared" si="359"/>
        <v>27464</v>
      </c>
      <c r="T122" s="80">
        <v>10.0</v>
      </c>
      <c r="U122" s="80">
        <f t="shared" ref="U122:X122" si="360">U121+C115</f>
        <v>-10</v>
      </c>
      <c r="V122" s="80">
        <f t="shared" si="360"/>
        <v>-1354</v>
      </c>
      <c r="W122" s="80">
        <f t="shared" si="360"/>
        <v>1644</v>
      </c>
      <c r="X122" s="80">
        <f t="shared" si="360"/>
        <v>-384</v>
      </c>
      <c r="Z122" s="80">
        <v>10.0</v>
      </c>
      <c r="AA122" s="10">
        <v>43644.0</v>
      </c>
      <c r="AB122" s="80">
        <v>-10.0</v>
      </c>
      <c r="AC122" s="80">
        <v>-1354.0</v>
      </c>
      <c r="AD122" s="80">
        <v>1644.0</v>
      </c>
      <c r="AE122" s="80">
        <v>-384.0</v>
      </c>
    </row>
    <row r="123">
      <c r="A123" s="28">
        <f>'SAMLET_alle regnskab'!B132</f>
        <v>31</v>
      </c>
      <c r="B123" s="80">
        <f>'SAMLET_alle regnskab'!A132</f>
        <v>10</v>
      </c>
      <c r="C123" s="28">
        <f>'SAMLET_alle regnskab'!U132</f>
        <v>32</v>
      </c>
      <c r="D123" s="28">
        <f>'SAMLET_alle regnskab'!V132</f>
        <v>-32</v>
      </c>
      <c r="E123" s="28">
        <f>'SAMLET_alle regnskab'!W132</f>
        <v>32</v>
      </c>
      <c r="F123" s="28">
        <f>'SAMLET_alle regnskab'!X132</f>
        <v>-32</v>
      </c>
      <c r="H123" s="80">
        <f t="shared" si="7"/>
        <v>10</v>
      </c>
      <c r="I123" s="28">
        <f t="shared" ref="I123:L123" si="361">I122+C123</f>
        <v>104</v>
      </c>
      <c r="J123" s="28">
        <f t="shared" si="361"/>
        <v>-316</v>
      </c>
      <c r="K123" s="28">
        <f t="shared" si="361"/>
        <v>-42</v>
      </c>
      <c r="L123" s="28">
        <f t="shared" si="361"/>
        <v>254</v>
      </c>
      <c r="N123" s="80">
        <f t="shared" si="25"/>
        <v>10</v>
      </c>
      <c r="O123" s="28">
        <f t="shared" ref="O123:R123" si="362">O122+I116</f>
        <v>-7444</v>
      </c>
      <c r="P123" s="28">
        <f t="shared" si="362"/>
        <v>-19472</v>
      </c>
      <c r="Q123" s="28">
        <f t="shared" si="362"/>
        <v>-838</v>
      </c>
      <c r="R123" s="28">
        <f t="shared" si="362"/>
        <v>27754</v>
      </c>
      <c r="T123" s="80">
        <v>10.0</v>
      </c>
      <c r="U123" s="80">
        <f t="shared" ref="U123:X123" si="363">U122+C116</f>
        <v>-34</v>
      </c>
      <c r="V123" s="80">
        <f t="shared" si="363"/>
        <v>-1330</v>
      </c>
      <c r="W123" s="80">
        <f t="shared" si="363"/>
        <v>1668</v>
      </c>
      <c r="X123" s="80">
        <f t="shared" si="363"/>
        <v>-408</v>
      </c>
      <c r="Z123" s="80">
        <v>10.0</v>
      </c>
      <c r="AA123" s="10">
        <v>43644.0</v>
      </c>
      <c r="AB123" s="80">
        <v>-34.0</v>
      </c>
      <c r="AC123" s="80">
        <v>-1330.0</v>
      </c>
      <c r="AD123" s="80">
        <v>1668.0</v>
      </c>
      <c r="AE123" s="80">
        <v>-408.0</v>
      </c>
    </row>
    <row r="124">
      <c r="A124" s="28">
        <f>'SAMLET_alle regnskab'!B133</f>
        <v>32</v>
      </c>
      <c r="B124" s="80">
        <f>'SAMLET_alle regnskab'!A133</f>
        <v>10</v>
      </c>
      <c r="C124" s="28">
        <f>'SAMLET_alle regnskab'!U133</f>
        <v>-8</v>
      </c>
      <c r="D124" s="28">
        <f>'SAMLET_alle regnskab'!V133</f>
        <v>8</v>
      </c>
      <c r="E124" s="28">
        <f>'SAMLET_alle regnskab'!W133</f>
        <v>-8</v>
      </c>
      <c r="F124" s="28">
        <f>'SAMLET_alle regnskab'!X133</f>
        <v>8</v>
      </c>
      <c r="H124" s="80">
        <f t="shared" si="7"/>
        <v>10</v>
      </c>
      <c r="I124" s="28">
        <f t="shared" ref="I124:L124" si="364">I123+C124</f>
        <v>96</v>
      </c>
      <c r="J124" s="28">
        <f t="shared" si="364"/>
        <v>-308</v>
      </c>
      <c r="K124" s="28">
        <f t="shared" si="364"/>
        <v>-50</v>
      </c>
      <c r="L124" s="28">
        <f t="shared" si="364"/>
        <v>262</v>
      </c>
      <c r="N124" s="80">
        <f t="shared" si="25"/>
        <v>10</v>
      </c>
      <c r="O124" s="28">
        <f t="shared" ref="O124:R124" si="365">O123+I117</f>
        <v>-7324</v>
      </c>
      <c r="P124" s="28">
        <f t="shared" si="365"/>
        <v>-19844</v>
      </c>
      <c r="Q124" s="28">
        <f t="shared" si="365"/>
        <v>-880</v>
      </c>
      <c r="R124" s="28">
        <f t="shared" si="365"/>
        <v>28048</v>
      </c>
      <c r="T124" s="80">
        <v>10.0</v>
      </c>
      <c r="U124" s="80">
        <f t="shared" ref="U124:X124" si="366">U123+C117</f>
        <v>-38</v>
      </c>
      <c r="V124" s="80">
        <f t="shared" si="366"/>
        <v>-1334</v>
      </c>
      <c r="W124" s="80">
        <f t="shared" si="366"/>
        <v>1672</v>
      </c>
      <c r="X124" s="80">
        <f t="shared" si="366"/>
        <v>-404</v>
      </c>
      <c r="Z124" s="80">
        <v>10.0</v>
      </c>
      <c r="AA124" s="10">
        <v>43644.0</v>
      </c>
      <c r="AB124" s="80">
        <v>-38.0</v>
      </c>
      <c r="AC124" s="80">
        <v>-1334.0</v>
      </c>
      <c r="AD124" s="80">
        <v>1672.0</v>
      </c>
      <c r="AE124" s="80">
        <v>-404.0</v>
      </c>
    </row>
    <row r="125">
      <c r="A125" s="28">
        <f>'SAMLET_alle regnskab'!B134</f>
        <v>1</v>
      </c>
      <c r="B125" s="80">
        <f>'SAMLET_alle regnskab'!A134</f>
        <v>11</v>
      </c>
      <c r="C125" s="28">
        <f>'SAMLET_alle regnskab'!U134</f>
        <v>12</v>
      </c>
      <c r="D125" s="28">
        <f>'SAMLET_alle regnskab'!V134</f>
        <v>12</v>
      </c>
      <c r="E125" s="28">
        <f>'SAMLET_alle regnskab'!W134</f>
        <v>-12</v>
      </c>
      <c r="F125" s="28">
        <f>'SAMLET_alle regnskab'!X134</f>
        <v>-12</v>
      </c>
      <c r="H125" s="80">
        <f t="shared" si="7"/>
        <v>11</v>
      </c>
      <c r="I125" s="28">
        <f t="shared" ref="I125:L125" si="367">I124+C125</f>
        <v>108</v>
      </c>
      <c r="J125" s="28">
        <f t="shared" si="367"/>
        <v>-296</v>
      </c>
      <c r="K125" s="28">
        <f t="shared" si="367"/>
        <v>-62</v>
      </c>
      <c r="L125" s="28">
        <f t="shared" si="367"/>
        <v>250</v>
      </c>
      <c r="N125" s="80">
        <f t="shared" si="25"/>
        <v>10</v>
      </c>
      <c r="O125" s="28">
        <f t="shared" ref="O125:R125" si="368">O124+I118</f>
        <v>-7220</v>
      </c>
      <c r="P125" s="28">
        <f t="shared" si="368"/>
        <v>-20200</v>
      </c>
      <c r="Q125" s="28">
        <f t="shared" si="368"/>
        <v>-906</v>
      </c>
      <c r="R125" s="28">
        <f t="shared" si="368"/>
        <v>28326</v>
      </c>
      <c r="T125" s="80">
        <v>10.0</v>
      </c>
      <c r="U125" s="80">
        <f t="shared" ref="U125:X125" si="369">U124+C118</f>
        <v>-54</v>
      </c>
      <c r="V125" s="80">
        <f t="shared" si="369"/>
        <v>-1318</v>
      </c>
      <c r="W125" s="80">
        <f t="shared" si="369"/>
        <v>1688</v>
      </c>
      <c r="X125" s="80">
        <f t="shared" si="369"/>
        <v>-420</v>
      </c>
      <c r="Z125" s="80">
        <v>10.0</v>
      </c>
      <c r="AA125" s="10">
        <v>43644.0</v>
      </c>
      <c r="AB125" s="80">
        <v>-54.0</v>
      </c>
      <c r="AC125" s="80">
        <v>-1318.0</v>
      </c>
      <c r="AD125" s="80">
        <v>1688.0</v>
      </c>
      <c r="AE125" s="80">
        <v>-420.0</v>
      </c>
    </row>
    <row r="126">
      <c r="A126" s="28">
        <f>'SAMLET_alle regnskab'!B135</f>
        <v>2</v>
      </c>
      <c r="B126" s="80">
        <f>'SAMLET_alle regnskab'!A135</f>
        <v>11</v>
      </c>
      <c r="C126" s="28">
        <f>'SAMLET_alle regnskab'!U135</f>
        <v>4</v>
      </c>
      <c r="D126" s="28">
        <f>'SAMLET_alle regnskab'!V135</f>
        <v>-4</v>
      </c>
      <c r="E126" s="28">
        <f>'SAMLET_alle regnskab'!W135</f>
        <v>-4</v>
      </c>
      <c r="F126" s="28">
        <f>'SAMLET_alle regnskab'!X135</f>
        <v>4</v>
      </c>
      <c r="H126" s="80">
        <f t="shared" si="7"/>
        <v>11</v>
      </c>
      <c r="I126" s="28">
        <f t="shared" ref="I126:L126" si="370">I125+C126</f>
        <v>112</v>
      </c>
      <c r="J126" s="28">
        <f t="shared" si="370"/>
        <v>-300</v>
      </c>
      <c r="K126" s="28">
        <f t="shared" si="370"/>
        <v>-66</v>
      </c>
      <c r="L126" s="28">
        <f t="shared" si="370"/>
        <v>254</v>
      </c>
      <c r="N126" s="80">
        <f t="shared" si="25"/>
        <v>10</v>
      </c>
      <c r="O126" s="28">
        <f t="shared" ref="O126:R126" si="371">O125+I119</f>
        <v>-7136</v>
      </c>
      <c r="P126" s="28">
        <f t="shared" si="371"/>
        <v>-20536</v>
      </c>
      <c r="Q126" s="28">
        <f t="shared" si="371"/>
        <v>-952</v>
      </c>
      <c r="R126" s="28">
        <f t="shared" si="371"/>
        <v>28624</v>
      </c>
      <c r="T126" s="80">
        <v>10.0</v>
      </c>
      <c r="U126" s="80">
        <f t="shared" ref="U126:X126" si="372">U125+C119</f>
        <v>-74</v>
      </c>
      <c r="V126" s="80">
        <f t="shared" si="372"/>
        <v>-1298</v>
      </c>
      <c r="W126" s="80">
        <f t="shared" si="372"/>
        <v>1668</v>
      </c>
      <c r="X126" s="80">
        <f t="shared" si="372"/>
        <v>-400</v>
      </c>
      <c r="Z126" s="80">
        <v>10.0</v>
      </c>
      <c r="AA126" s="10">
        <v>43644.0</v>
      </c>
      <c r="AB126" s="80">
        <v>-74.0</v>
      </c>
      <c r="AC126" s="80">
        <v>-1298.0</v>
      </c>
      <c r="AD126" s="80">
        <v>1668.0</v>
      </c>
      <c r="AE126" s="80">
        <v>-400.0</v>
      </c>
    </row>
    <row r="127">
      <c r="A127" s="28">
        <f>'SAMLET_alle regnskab'!B136</f>
        <v>3</v>
      </c>
      <c r="B127" s="80">
        <f>'SAMLET_alle regnskab'!A136</f>
        <v>11</v>
      </c>
      <c r="C127" s="28">
        <f>'SAMLET_alle regnskab'!U136</f>
        <v>-48</v>
      </c>
      <c r="D127" s="28">
        <f>'SAMLET_alle regnskab'!V136</f>
        <v>-48</v>
      </c>
      <c r="E127" s="28">
        <f>'SAMLET_alle regnskab'!W136</f>
        <v>48</v>
      </c>
      <c r="F127" s="28">
        <f>'SAMLET_alle regnskab'!X136</f>
        <v>48</v>
      </c>
      <c r="H127" s="80">
        <f t="shared" si="7"/>
        <v>11</v>
      </c>
      <c r="I127" s="28">
        <f t="shared" ref="I127:L127" si="373">I126+C127</f>
        <v>64</v>
      </c>
      <c r="J127" s="28">
        <f t="shared" si="373"/>
        <v>-348</v>
      </c>
      <c r="K127" s="28">
        <f t="shared" si="373"/>
        <v>-18</v>
      </c>
      <c r="L127" s="28">
        <f t="shared" si="373"/>
        <v>302</v>
      </c>
      <c r="N127" s="80">
        <f t="shared" si="25"/>
        <v>10</v>
      </c>
      <c r="O127" s="28">
        <f t="shared" ref="O127:R127" si="374">O126+I120</f>
        <v>-7032</v>
      </c>
      <c r="P127" s="28">
        <f t="shared" si="374"/>
        <v>-20852</v>
      </c>
      <c r="Q127" s="28">
        <f t="shared" si="374"/>
        <v>-1058</v>
      </c>
      <c r="R127" s="28">
        <f t="shared" si="374"/>
        <v>28942</v>
      </c>
      <c r="T127" s="80">
        <v>10.0</v>
      </c>
      <c r="U127" s="80">
        <f t="shared" ref="U127:X127" si="375">U126+C120</f>
        <v>-54</v>
      </c>
      <c r="V127" s="80">
        <f t="shared" si="375"/>
        <v>-1278</v>
      </c>
      <c r="W127" s="80">
        <f t="shared" si="375"/>
        <v>1608</v>
      </c>
      <c r="X127" s="80">
        <f t="shared" si="375"/>
        <v>-380</v>
      </c>
      <c r="Z127" s="80">
        <v>10.0</v>
      </c>
      <c r="AA127" s="10">
        <v>43644.0</v>
      </c>
      <c r="AB127" s="80">
        <v>-54.0</v>
      </c>
      <c r="AC127" s="80">
        <v>-1278.0</v>
      </c>
      <c r="AD127" s="80">
        <v>1608.0</v>
      </c>
      <c r="AE127" s="80">
        <v>-380.0</v>
      </c>
    </row>
    <row r="128">
      <c r="A128" s="28">
        <f>'SAMLET_alle regnskab'!B137</f>
        <v>4</v>
      </c>
      <c r="B128" s="80">
        <f>'SAMLET_alle regnskab'!A137</f>
        <v>11</v>
      </c>
      <c r="C128" s="28">
        <f>'SAMLET_alle regnskab'!U137</f>
        <v>-36</v>
      </c>
      <c r="D128" s="28">
        <f>'SAMLET_alle regnskab'!V137</f>
        <v>12</v>
      </c>
      <c r="E128" s="28">
        <f>'SAMLET_alle regnskab'!W137</f>
        <v>12</v>
      </c>
      <c r="F128" s="28">
        <f>'SAMLET_alle regnskab'!X137</f>
        <v>12</v>
      </c>
      <c r="H128" s="80">
        <f t="shared" si="7"/>
        <v>11</v>
      </c>
      <c r="I128" s="28">
        <f t="shared" ref="I128:L128" si="376">I127+C128</f>
        <v>28</v>
      </c>
      <c r="J128" s="28">
        <f t="shared" si="376"/>
        <v>-336</v>
      </c>
      <c r="K128" s="28">
        <f t="shared" si="376"/>
        <v>-6</v>
      </c>
      <c r="L128" s="28">
        <f t="shared" si="376"/>
        <v>314</v>
      </c>
      <c r="N128" s="80">
        <f t="shared" si="25"/>
        <v>10</v>
      </c>
      <c r="O128" s="28">
        <f t="shared" ref="O128:R128" si="377">O127+I121</f>
        <v>-6944</v>
      </c>
      <c r="P128" s="28">
        <f t="shared" si="377"/>
        <v>-21120</v>
      </c>
      <c r="Q128" s="28">
        <f t="shared" si="377"/>
        <v>-1180</v>
      </c>
      <c r="R128" s="28">
        <f t="shared" si="377"/>
        <v>29244</v>
      </c>
      <c r="T128" s="80">
        <v>10.0</v>
      </c>
      <c r="U128" s="80">
        <f t="shared" ref="U128:X128" si="378">U127+C121</f>
        <v>-70</v>
      </c>
      <c r="V128" s="80">
        <f t="shared" si="378"/>
        <v>-1230</v>
      </c>
      <c r="W128" s="80">
        <f t="shared" si="378"/>
        <v>1592</v>
      </c>
      <c r="X128" s="80">
        <f t="shared" si="378"/>
        <v>-396</v>
      </c>
      <c r="Z128" s="80">
        <v>10.0</v>
      </c>
      <c r="AA128" s="10">
        <v>43644.0</v>
      </c>
      <c r="AB128" s="80">
        <v>-70.0</v>
      </c>
      <c r="AC128" s="80">
        <v>-1230.0</v>
      </c>
      <c r="AD128" s="80">
        <v>1592.0</v>
      </c>
      <c r="AE128" s="80">
        <v>-396.0</v>
      </c>
    </row>
    <row r="129">
      <c r="A129" s="28">
        <f>'SAMLET_alle regnskab'!B138</f>
        <v>5</v>
      </c>
      <c r="B129" s="80">
        <f>'SAMLET_alle regnskab'!A138</f>
        <v>11</v>
      </c>
      <c r="C129" s="28">
        <f>'SAMLET_alle regnskab'!U138</f>
        <v>-24</v>
      </c>
      <c r="D129" s="28">
        <f>'SAMLET_alle regnskab'!V138</f>
        <v>24</v>
      </c>
      <c r="E129" s="28">
        <f>'SAMLET_alle regnskab'!W138</f>
        <v>-24</v>
      </c>
      <c r="F129" s="28">
        <f>'SAMLET_alle regnskab'!X138</f>
        <v>24</v>
      </c>
      <c r="H129" s="80">
        <f t="shared" si="7"/>
        <v>11</v>
      </c>
      <c r="I129" s="28">
        <f t="shared" ref="I129:L129" si="379">I128+C129</f>
        <v>4</v>
      </c>
      <c r="J129" s="28">
        <f t="shared" si="379"/>
        <v>-312</v>
      </c>
      <c r="K129" s="28">
        <f t="shared" si="379"/>
        <v>-30</v>
      </c>
      <c r="L129" s="28">
        <f t="shared" si="379"/>
        <v>338</v>
      </c>
      <c r="N129" s="80">
        <f t="shared" si="25"/>
        <v>10</v>
      </c>
      <c r="O129" s="28">
        <f t="shared" ref="O129:R129" si="380">O128+I122</f>
        <v>-6872</v>
      </c>
      <c r="P129" s="28">
        <f t="shared" si="380"/>
        <v>-21404</v>
      </c>
      <c r="Q129" s="28">
        <f t="shared" si="380"/>
        <v>-1254</v>
      </c>
      <c r="R129" s="28">
        <f t="shared" si="380"/>
        <v>29530</v>
      </c>
      <c r="T129" s="80">
        <v>10.0</v>
      </c>
      <c r="U129" s="80">
        <f t="shared" ref="U129:X129" si="381">U128+C122</f>
        <v>-86</v>
      </c>
      <c r="V129" s="80">
        <f t="shared" si="381"/>
        <v>-1246</v>
      </c>
      <c r="W129" s="80">
        <f t="shared" si="381"/>
        <v>1640</v>
      </c>
      <c r="X129" s="80">
        <f t="shared" si="381"/>
        <v>-412</v>
      </c>
      <c r="Z129" s="80">
        <v>10.0</v>
      </c>
      <c r="AA129" s="10">
        <v>43644.0</v>
      </c>
      <c r="AB129" s="80">
        <v>-86.0</v>
      </c>
      <c r="AC129" s="80">
        <v>-1246.0</v>
      </c>
      <c r="AD129" s="80">
        <v>1640.0</v>
      </c>
      <c r="AE129" s="80">
        <v>-412.0</v>
      </c>
    </row>
    <row r="130">
      <c r="A130" s="28">
        <f>'SAMLET_alle regnskab'!B139</f>
        <v>6</v>
      </c>
      <c r="B130" s="80">
        <f>'SAMLET_alle regnskab'!A139</f>
        <v>11</v>
      </c>
      <c r="C130" s="28">
        <f>'SAMLET_alle regnskab'!U139</f>
        <v>32</v>
      </c>
      <c r="D130" s="28">
        <f>'SAMLET_alle regnskab'!V139</f>
        <v>-32</v>
      </c>
      <c r="E130" s="28">
        <f>'SAMLET_alle regnskab'!W139</f>
        <v>-32</v>
      </c>
      <c r="F130" s="28">
        <f>'SAMLET_alle regnskab'!X139</f>
        <v>32</v>
      </c>
      <c r="H130" s="80">
        <f t="shared" si="7"/>
        <v>11</v>
      </c>
      <c r="I130" s="28">
        <f t="shared" ref="I130:L130" si="382">I129+C130</f>
        <v>36</v>
      </c>
      <c r="J130" s="28">
        <f t="shared" si="382"/>
        <v>-344</v>
      </c>
      <c r="K130" s="28">
        <f t="shared" si="382"/>
        <v>-62</v>
      </c>
      <c r="L130" s="28">
        <f t="shared" si="382"/>
        <v>370</v>
      </c>
      <c r="N130" s="80">
        <f t="shared" si="25"/>
        <v>10</v>
      </c>
      <c r="O130" s="28">
        <f t="shared" ref="O130:R130" si="383">O129+I123</f>
        <v>-6768</v>
      </c>
      <c r="P130" s="28">
        <f t="shared" si="383"/>
        <v>-21720</v>
      </c>
      <c r="Q130" s="28">
        <f t="shared" si="383"/>
        <v>-1296</v>
      </c>
      <c r="R130" s="28">
        <f t="shared" si="383"/>
        <v>29784</v>
      </c>
      <c r="T130" s="80">
        <v>10.0</v>
      </c>
      <c r="U130" s="80">
        <f t="shared" ref="U130:X130" si="384">U129+C123</f>
        <v>-54</v>
      </c>
      <c r="V130" s="80">
        <f t="shared" si="384"/>
        <v>-1278</v>
      </c>
      <c r="W130" s="80">
        <f t="shared" si="384"/>
        <v>1672</v>
      </c>
      <c r="X130" s="80">
        <f t="shared" si="384"/>
        <v>-444</v>
      </c>
      <c r="Z130" s="80">
        <v>10.0</v>
      </c>
      <c r="AA130" s="10">
        <v>43644.0</v>
      </c>
      <c r="AB130" s="80">
        <v>-54.0</v>
      </c>
      <c r="AC130" s="80">
        <v>-1278.0</v>
      </c>
      <c r="AD130" s="80">
        <v>1672.0</v>
      </c>
      <c r="AE130" s="80">
        <v>-444.0</v>
      </c>
    </row>
    <row r="131">
      <c r="A131" s="28">
        <f>'SAMLET_alle regnskab'!B140</f>
        <v>7</v>
      </c>
      <c r="B131" s="80">
        <f>'SAMLET_alle regnskab'!A140</f>
        <v>11</v>
      </c>
      <c r="C131" s="28">
        <f>'SAMLET_alle regnskab'!U140</f>
        <v>16</v>
      </c>
      <c r="D131" s="28">
        <f>'SAMLET_alle regnskab'!V140</f>
        <v>-48</v>
      </c>
      <c r="E131" s="28">
        <f>'SAMLET_alle regnskab'!W140</f>
        <v>16</v>
      </c>
      <c r="F131" s="28">
        <f>'SAMLET_alle regnskab'!X140</f>
        <v>16</v>
      </c>
      <c r="H131" s="80">
        <f t="shared" si="7"/>
        <v>11</v>
      </c>
      <c r="I131" s="28">
        <f t="shared" ref="I131:L131" si="385">I130+C131</f>
        <v>52</v>
      </c>
      <c r="J131" s="28">
        <f t="shared" si="385"/>
        <v>-392</v>
      </c>
      <c r="K131" s="28">
        <f t="shared" si="385"/>
        <v>-46</v>
      </c>
      <c r="L131" s="28">
        <f t="shared" si="385"/>
        <v>386</v>
      </c>
      <c r="N131" s="80">
        <f t="shared" si="25"/>
        <v>10</v>
      </c>
      <c r="O131" s="28">
        <f t="shared" ref="O131:R131" si="386">O130+I124</f>
        <v>-6672</v>
      </c>
      <c r="P131" s="28">
        <f t="shared" si="386"/>
        <v>-22028</v>
      </c>
      <c r="Q131" s="28">
        <f t="shared" si="386"/>
        <v>-1346</v>
      </c>
      <c r="R131" s="28">
        <f t="shared" si="386"/>
        <v>30046</v>
      </c>
      <c r="T131" s="80">
        <v>10.0</v>
      </c>
      <c r="U131" s="80">
        <f t="shared" ref="U131:X131" si="387">U130+C124</f>
        <v>-62</v>
      </c>
      <c r="V131" s="80">
        <f t="shared" si="387"/>
        <v>-1270</v>
      </c>
      <c r="W131" s="80">
        <f t="shared" si="387"/>
        <v>1664</v>
      </c>
      <c r="X131" s="80">
        <f t="shared" si="387"/>
        <v>-436</v>
      </c>
      <c r="Z131" s="80">
        <v>10.0</v>
      </c>
      <c r="AA131" s="10">
        <v>43644.0</v>
      </c>
      <c r="AB131" s="80">
        <v>-62.0</v>
      </c>
      <c r="AC131" s="80">
        <v>-1270.0</v>
      </c>
      <c r="AD131" s="80">
        <v>1664.0</v>
      </c>
      <c r="AE131" s="80">
        <v>-436.0</v>
      </c>
    </row>
    <row r="132">
      <c r="A132" s="28">
        <f>'SAMLET_alle regnskab'!B141</f>
        <v>8</v>
      </c>
      <c r="B132" s="80">
        <f>'SAMLET_alle regnskab'!A141</f>
        <v>11</v>
      </c>
      <c r="C132" s="28">
        <f>'SAMLET_alle regnskab'!U141</f>
        <v>24</v>
      </c>
      <c r="D132" s="28">
        <f>'SAMLET_alle regnskab'!V141</f>
        <v>-8</v>
      </c>
      <c r="E132" s="28">
        <f>'SAMLET_alle regnskab'!W141</f>
        <v>-8</v>
      </c>
      <c r="F132" s="28">
        <f>'SAMLET_alle regnskab'!X141</f>
        <v>-8</v>
      </c>
      <c r="H132" s="80">
        <f t="shared" si="7"/>
        <v>11</v>
      </c>
      <c r="I132" s="28">
        <f t="shared" ref="I132:L132" si="388">I131+C132</f>
        <v>76</v>
      </c>
      <c r="J132" s="28">
        <f t="shared" si="388"/>
        <v>-400</v>
      </c>
      <c r="K132" s="28">
        <f t="shared" si="388"/>
        <v>-54</v>
      </c>
      <c r="L132" s="28">
        <f t="shared" si="388"/>
        <v>378</v>
      </c>
      <c r="N132" s="80">
        <f t="shared" si="25"/>
        <v>11</v>
      </c>
      <c r="O132" s="28">
        <f t="shared" ref="O132:R132" si="389">O131+I125</f>
        <v>-6564</v>
      </c>
      <c r="P132" s="28">
        <f t="shared" si="389"/>
        <v>-22324</v>
      </c>
      <c r="Q132" s="28">
        <f t="shared" si="389"/>
        <v>-1408</v>
      </c>
      <c r="R132" s="28">
        <f t="shared" si="389"/>
        <v>30296</v>
      </c>
      <c r="T132" s="80">
        <v>11.0</v>
      </c>
      <c r="U132" s="80">
        <f t="shared" ref="U132:X132" si="390">U131+C125</f>
        <v>-50</v>
      </c>
      <c r="V132" s="80">
        <f t="shared" si="390"/>
        <v>-1258</v>
      </c>
      <c r="W132" s="80">
        <f t="shared" si="390"/>
        <v>1652</v>
      </c>
      <c r="X132" s="80">
        <f t="shared" si="390"/>
        <v>-448</v>
      </c>
      <c r="Z132" s="80">
        <v>11.0</v>
      </c>
      <c r="AA132" s="10">
        <v>43798.0</v>
      </c>
      <c r="AB132" s="80">
        <v>-50.0</v>
      </c>
      <c r="AC132" s="80">
        <v>-1258.0</v>
      </c>
      <c r="AD132" s="80">
        <v>1652.0</v>
      </c>
      <c r="AE132" s="80">
        <v>-448.0</v>
      </c>
    </row>
    <row r="133">
      <c r="A133" s="28">
        <f>'SAMLET_alle regnskab'!B142</f>
        <v>9</v>
      </c>
      <c r="B133" s="80">
        <f>'SAMLET_alle regnskab'!A142</f>
        <v>11</v>
      </c>
      <c r="C133" s="28">
        <f>'SAMLET_alle regnskab'!U142</f>
        <v>8</v>
      </c>
      <c r="D133" s="28">
        <f>'SAMLET_alle regnskab'!V142</f>
        <v>8</v>
      </c>
      <c r="E133" s="28">
        <f>'SAMLET_alle regnskab'!W142</f>
        <v>-8</v>
      </c>
      <c r="F133" s="28">
        <f>'SAMLET_alle regnskab'!X142</f>
        <v>-8</v>
      </c>
      <c r="H133" s="80">
        <f t="shared" si="7"/>
        <v>11</v>
      </c>
      <c r="I133" s="28">
        <f t="shared" ref="I133:L133" si="391">I132+C133</f>
        <v>84</v>
      </c>
      <c r="J133" s="28">
        <f t="shared" si="391"/>
        <v>-392</v>
      </c>
      <c r="K133" s="28">
        <f t="shared" si="391"/>
        <v>-62</v>
      </c>
      <c r="L133" s="28">
        <f t="shared" si="391"/>
        <v>370</v>
      </c>
      <c r="N133" s="80">
        <f t="shared" si="25"/>
        <v>11</v>
      </c>
      <c r="O133" s="28">
        <f t="shared" ref="O133:R133" si="392">O132+I126</f>
        <v>-6452</v>
      </c>
      <c r="P133" s="28">
        <f t="shared" si="392"/>
        <v>-22624</v>
      </c>
      <c r="Q133" s="28">
        <f t="shared" si="392"/>
        <v>-1474</v>
      </c>
      <c r="R133" s="28">
        <f t="shared" si="392"/>
        <v>30550</v>
      </c>
      <c r="T133" s="80">
        <v>11.0</v>
      </c>
      <c r="U133" s="80">
        <f t="shared" ref="U133:X133" si="393">U132+C126</f>
        <v>-46</v>
      </c>
      <c r="V133" s="80">
        <f t="shared" si="393"/>
        <v>-1262</v>
      </c>
      <c r="W133" s="80">
        <f t="shared" si="393"/>
        <v>1648</v>
      </c>
      <c r="X133" s="80">
        <f t="shared" si="393"/>
        <v>-444</v>
      </c>
      <c r="Z133" s="80">
        <v>11.0</v>
      </c>
      <c r="AA133" s="10">
        <v>43798.0</v>
      </c>
      <c r="AB133" s="80">
        <v>-46.0</v>
      </c>
      <c r="AC133" s="80">
        <v>-1262.0</v>
      </c>
      <c r="AD133" s="80">
        <v>1648.0</v>
      </c>
      <c r="AE133" s="80">
        <v>-444.0</v>
      </c>
    </row>
    <row r="134">
      <c r="A134" s="28">
        <f>'SAMLET_alle regnskab'!B143</f>
        <v>10</v>
      </c>
      <c r="B134" s="80">
        <f>'SAMLET_alle regnskab'!A143</f>
        <v>11</v>
      </c>
      <c r="C134" s="28">
        <f>'SAMLET_alle regnskab'!U143</f>
        <v>16</v>
      </c>
      <c r="D134" s="28">
        <f>'SAMLET_alle regnskab'!V143</f>
        <v>16</v>
      </c>
      <c r="E134" s="28">
        <f>'SAMLET_alle regnskab'!W143</f>
        <v>-48</v>
      </c>
      <c r="F134" s="28">
        <f>'SAMLET_alle regnskab'!X143</f>
        <v>16</v>
      </c>
      <c r="H134" s="80">
        <f t="shared" si="7"/>
        <v>11</v>
      </c>
      <c r="I134" s="28">
        <f t="shared" ref="I134:L134" si="394">I133+C134</f>
        <v>100</v>
      </c>
      <c r="J134" s="28">
        <f t="shared" si="394"/>
        <v>-376</v>
      </c>
      <c r="K134" s="28">
        <f t="shared" si="394"/>
        <v>-110</v>
      </c>
      <c r="L134" s="28">
        <f t="shared" si="394"/>
        <v>386</v>
      </c>
      <c r="N134" s="80">
        <f t="shared" si="25"/>
        <v>11</v>
      </c>
      <c r="O134" s="28">
        <f t="shared" ref="O134:R134" si="395">O133+I127</f>
        <v>-6388</v>
      </c>
      <c r="P134" s="28">
        <f t="shared" si="395"/>
        <v>-22972</v>
      </c>
      <c r="Q134" s="28">
        <f t="shared" si="395"/>
        <v>-1492</v>
      </c>
      <c r="R134" s="28">
        <f t="shared" si="395"/>
        <v>30852</v>
      </c>
      <c r="T134" s="80">
        <v>11.0</v>
      </c>
      <c r="U134" s="80">
        <f t="shared" ref="U134:X134" si="396">U133+C127</f>
        <v>-94</v>
      </c>
      <c r="V134" s="80">
        <f t="shared" si="396"/>
        <v>-1310</v>
      </c>
      <c r="W134" s="80">
        <f t="shared" si="396"/>
        <v>1696</v>
      </c>
      <c r="X134" s="80">
        <f t="shared" si="396"/>
        <v>-396</v>
      </c>
      <c r="Z134" s="80">
        <v>11.0</v>
      </c>
      <c r="AA134" s="10">
        <v>43798.0</v>
      </c>
      <c r="AB134" s="80">
        <v>-94.0</v>
      </c>
      <c r="AC134" s="80">
        <v>-1310.0</v>
      </c>
      <c r="AD134" s="80">
        <v>1696.0</v>
      </c>
      <c r="AE134" s="80">
        <v>-396.0</v>
      </c>
    </row>
    <row r="135">
      <c r="A135" s="28">
        <f>'SAMLET_alle regnskab'!B144</f>
        <v>11</v>
      </c>
      <c r="B135" s="80">
        <f>'SAMLET_alle regnskab'!A144</f>
        <v>11</v>
      </c>
      <c r="C135" s="28">
        <f>'SAMLET_alle regnskab'!U144</f>
        <v>16</v>
      </c>
      <c r="D135" s="28">
        <f>'SAMLET_alle regnskab'!V144</f>
        <v>-48</v>
      </c>
      <c r="E135" s="28">
        <f>'SAMLET_alle regnskab'!W144</f>
        <v>16</v>
      </c>
      <c r="F135" s="28">
        <f>'SAMLET_alle regnskab'!X144</f>
        <v>16</v>
      </c>
      <c r="H135" s="80">
        <f t="shared" si="7"/>
        <v>11</v>
      </c>
      <c r="I135" s="28">
        <f t="shared" ref="I135:L135" si="397">I134+C135</f>
        <v>116</v>
      </c>
      <c r="J135" s="28">
        <f t="shared" si="397"/>
        <v>-424</v>
      </c>
      <c r="K135" s="28">
        <f t="shared" si="397"/>
        <v>-94</v>
      </c>
      <c r="L135" s="28">
        <f t="shared" si="397"/>
        <v>402</v>
      </c>
      <c r="N135" s="80">
        <f t="shared" si="25"/>
        <v>11</v>
      </c>
      <c r="O135" s="28">
        <f t="shared" ref="O135:R135" si="398">O134+I128</f>
        <v>-6360</v>
      </c>
      <c r="P135" s="28">
        <f t="shared" si="398"/>
        <v>-23308</v>
      </c>
      <c r="Q135" s="28">
        <f t="shared" si="398"/>
        <v>-1498</v>
      </c>
      <c r="R135" s="28">
        <f t="shared" si="398"/>
        <v>31166</v>
      </c>
      <c r="T135" s="80">
        <v>11.0</v>
      </c>
      <c r="U135" s="80">
        <f t="shared" ref="U135:X135" si="399">U134+C128</f>
        <v>-130</v>
      </c>
      <c r="V135" s="80">
        <f t="shared" si="399"/>
        <v>-1298</v>
      </c>
      <c r="W135" s="80">
        <f t="shared" si="399"/>
        <v>1708</v>
      </c>
      <c r="X135" s="80">
        <f t="shared" si="399"/>
        <v>-384</v>
      </c>
      <c r="Z135" s="80">
        <v>11.0</v>
      </c>
      <c r="AA135" s="10">
        <v>43798.0</v>
      </c>
      <c r="AB135" s="80">
        <v>-130.0</v>
      </c>
      <c r="AC135" s="80">
        <v>-1298.0</v>
      </c>
      <c r="AD135" s="80">
        <v>1708.0</v>
      </c>
      <c r="AE135" s="80">
        <v>-384.0</v>
      </c>
    </row>
    <row r="136">
      <c r="A136" s="28">
        <f>'SAMLET_alle regnskab'!B145</f>
        <v>12</v>
      </c>
      <c r="B136" s="80">
        <f>'SAMLET_alle regnskab'!A145</f>
        <v>11</v>
      </c>
      <c r="C136" s="28">
        <f>'SAMLET_alle regnskab'!U145</f>
        <v>-32</v>
      </c>
      <c r="D136" s="28">
        <f>'SAMLET_alle regnskab'!V145</f>
        <v>96</v>
      </c>
      <c r="E136" s="28">
        <f>'SAMLET_alle regnskab'!W145</f>
        <v>-32</v>
      </c>
      <c r="F136" s="28">
        <f>'SAMLET_alle regnskab'!X145</f>
        <v>-32</v>
      </c>
      <c r="H136" s="80">
        <f t="shared" si="7"/>
        <v>11</v>
      </c>
      <c r="I136" s="28">
        <f t="shared" ref="I136:L136" si="400">I135+C136</f>
        <v>84</v>
      </c>
      <c r="J136" s="28">
        <f t="shared" si="400"/>
        <v>-328</v>
      </c>
      <c r="K136" s="28">
        <f t="shared" si="400"/>
        <v>-126</v>
      </c>
      <c r="L136" s="28">
        <f t="shared" si="400"/>
        <v>370</v>
      </c>
      <c r="N136" s="80">
        <f t="shared" si="25"/>
        <v>11</v>
      </c>
      <c r="O136" s="28">
        <f t="shared" ref="O136:R136" si="401">O135+I129</f>
        <v>-6356</v>
      </c>
      <c r="P136" s="28">
        <f t="shared" si="401"/>
        <v>-23620</v>
      </c>
      <c r="Q136" s="28">
        <f t="shared" si="401"/>
        <v>-1528</v>
      </c>
      <c r="R136" s="28">
        <f t="shared" si="401"/>
        <v>31504</v>
      </c>
      <c r="T136" s="80">
        <v>11.0</v>
      </c>
      <c r="U136" s="80">
        <f t="shared" ref="U136:X136" si="402">U135+C129</f>
        <v>-154</v>
      </c>
      <c r="V136" s="80">
        <f t="shared" si="402"/>
        <v>-1274</v>
      </c>
      <c r="W136" s="80">
        <f t="shared" si="402"/>
        <v>1684</v>
      </c>
      <c r="X136" s="80">
        <f t="shared" si="402"/>
        <v>-360</v>
      </c>
      <c r="Z136" s="80">
        <v>11.0</v>
      </c>
      <c r="AA136" s="10">
        <v>43798.0</v>
      </c>
      <c r="AB136" s="80">
        <v>-154.0</v>
      </c>
      <c r="AC136" s="80">
        <v>-1274.0</v>
      </c>
      <c r="AD136" s="80">
        <v>1684.0</v>
      </c>
      <c r="AE136" s="80">
        <v>-360.0</v>
      </c>
    </row>
    <row r="137">
      <c r="A137" s="28">
        <f>'SAMLET_alle regnskab'!B146</f>
        <v>13</v>
      </c>
      <c r="B137" s="80">
        <f>'SAMLET_alle regnskab'!A146</f>
        <v>11</v>
      </c>
      <c r="C137" s="28">
        <f>'SAMLET_alle regnskab'!U146</f>
        <v>12</v>
      </c>
      <c r="D137" s="28">
        <f>'SAMLET_alle regnskab'!V146</f>
        <v>-12</v>
      </c>
      <c r="E137" s="28">
        <f>'SAMLET_alle regnskab'!W146</f>
        <v>12</v>
      </c>
      <c r="F137" s="28">
        <f>'SAMLET_alle regnskab'!X146</f>
        <v>-12</v>
      </c>
      <c r="H137" s="80">
        <f t="shared" si="7"/>
        <v>11</v>
      </c>
      <c r="I137" s="28">
        <f t="shared" ref="I137:L137" si="403">I136+C137</f>
        <v>96</v>
      </c>
      <c r="J137" s="28">
        <f t="shared" si="403"/>
        <v>-340</v>
      </c>
      <c r="K137" s="28">
        <f t="shared" si="403"/>
        <v>-114</v>
      </c>
      <c r="L137" s="28">
        <f t="shared" si="403"/>
        <v>358</v>
      </c>
      <c r="N137" s="80">
        <f t="shared" si="25"/>
        <v>11</v>
      </c>
      <c r="O137" s="28">
        <f t="shared" ref="O137:R137" si="404">O136+I130</f>
        <v>-6320</v>
      </c>
      <c r="P137" s="28">
        <f t="shared" si="404"/>
        <v>-23964</v>
      </c>
      <c r="Q137" s="28">
        <f t="shared" si="404"/>
        <v>-1590</v>
      </c>
      <c r="R137" s="28">
        <f t="shared" si="404"/>
        <v>31874</v>
      </c>
      <c r="T137" s="80">
        <v>11.0</v>
      </c>
      <c r="U137" s="80">
        <f t="shared" ref="U137:X137" si="405">U136+C130</f>
        <v>-122</v>
      </c>
      <c r="V137" s="80">
        <f t="shared" si="405"/>
        <v>-1306</v>
      </c>
      <c r="W137" s="80">
        <f t="shared" si="405"/>
        <v>1652</v>
      </c>
      <c r="X137" s="80">
        <f t="shared" si="405"/>
        <v>-328</v>
      </c>
      <c r="Z137" s="80">
        <v>11.0</v>
      </c>
      <c r="AA137" s="10">
        <v>43798.0</v>
      </c>
      <c r="AB137" s="80">
        <v>-122.0</v>
      </c>
      <c r="AC137" s="80">
        <v>-1306.0</v>
      </c>
      <c r="AD137" s="80">
        <v>1652.0</v>
      </c>
      <c r="AE137" s="80">
        <v>-328.0</v>
      </c>
    </row>
    <row r="138">
      <c r="A138" s="28">
        <f>'SAMLET_alle regnskab'!B147</f>
        <v>14</v>
      </c>
      <c r="B138" s="80">
        <f>'SAMLET_alle regnskab'!A147</f>
        <v>11</v>
      </c>
      <c r="C138" s="28">
        <f>'SAMLET_alle regnskab'!U147</f>
        <v>20</v>
      </c>
      <c r="D138" s="28">
        <f>'SAMLET_alle regnskab'!V147</f>
        <v>-20</v>
      </c>
      <c r="E138" s="28">
        <f>'SAMLET_alle regnskab'!W147</f>
        <v>20</v>
      </c>
      <c r="F138" s="28">
        <f>'SAMLET_alle regnskab'!X147</f>
        <v>-20</v>
      </c>
      <c r="H138" s="80">
        <f t="shared" si="7"/>
        <v>11</v>
      </c>
      <c r="I138" s="28">
        <f t="shared" ref="I138:L138" si="406">I137+C138</f>
        <v>116</v>
      </c>
      <c r="J138" s="28">
        <f t="shared" si="406"/>
        <v>-360</v>
      </c>
      <c r="K138" s="28">
        <f t="shared" si="406"/>
        <v>-94</v>
      </c>
      <c r="L138" s="28">
        <f t="shared" si="406"/>
        <v>338</v>
      </c>
      <c r="N138" s="80">
        <f t="shared" si="25"/>
        <v>11</v>
      </c>
      <c r="O138" s="28">
        <f t="shared" ref="O138:R138" si="407">O137+I131</f>
        <v>-6268</v>
      </c>
      <c r="P138" s="28">
        <f t="shared" si="407"/>
        <v>-24356</v>
      </c>
      <c r="Q138" s="28">
        <f t="shared" si="407"/>
        <v>-1636</v>
      </c>
      <c r="R138" s="28">
        <f t="shared" si="407"/>
        <v>32260</v>
      </c>
      <c r="T138" s="80">
        <v>11.0</v>
      </c>
      <c r="U138" s="80">
        <f t="shared" ref="U138:X138" si="408">U137+C131</f>
        <v>-106</v>
      </c>
      <c r="V138" s="80">
        <f t="shared" si="408"/>
        <v>-1354</v>
      </c>
      <c r="W138" s="80">
        <f t="shared" si="408"/>
        <v>1668</v>
      </c>
      <c r="X138" s="80">
        <f t="shared" si="408"/>
        <v>-312</v>
      </c>
      <c r="Z138" s="80">
        <v>11.0</v>
      </c>
      <c r="AA138" s="10">
        <v>43798.0</v>
      </c>
      <c r="AB138" s="80">
        <v>-106.0</v>
      </c>
      <c r="AC138" s="80">
        <v>-1354.0</v>
      </c>
      <c r="AD138" s="80">
        <v>1668.0</v>
      </c>
      <c r="AE138" s="80">
        <v>-312.0</v>
      </c>
    </row>
    <row r="139">
      <c r="A139" s="28">
        <f>'SAMLET_alle regnskab'!B148</f>
        <v>15</v>
      </c>
      <c r="B139" s="80">
        <f>'SAMLET_alle regnskab'!A148</f>
        <v>11</v>
      </c>
      <c r="C139" s="28">
        <f>'SAMLET_alle regnskab'!U148</f>
        <v>32</v>
      </c>
      <c r="D139" s="28">
        <f>'SAMLET_alle regnskab'!V148</f>
        <v>-96</v>
      </c>
      <c r="E139" s="28">
        <f>'SAMLET_alle regnskab'!W148</f>
        <v>32</v>
      </c>
      <c r="F139" s="28">
        <f>'SAMLET_alle regnskab'!X148</f>
        <v>32</v>
      </c>
      <c r="H139" s="80">
        <f t="shared" si="7"/>
        <v>11</v>
      </c>
      <c r="I139" s="28">
        <f t="shared" ref="I139:L139" si="409">I138+C139</f>
        <v>148</v>
      </c>
      <c r="J139" s="28">
        <f t="shared" si="409"/>
        <v>-456</v>
      </c>
      <c r="K139" s="28">
        <f t="shared" si="409"/>
        <v>-62</v>
      </c>
      <c r="L139" s="28">
        <f t="shared" si="409"/>
        <v>370</v>
      </c>
      <c r="N139" s="80">
        <f t="shared" si="25"/>
        <v>11</v>
      </c>
      <c r="O139" s="28">
        <f t="shared" ref="O139:R139" si="410">O138+I132</f>
        <v>-6192</v>
      </c>
      <c r="P139" s="28">
        <f t="shared" si="410"/>
        <v>-24756</v>
      </c>
      <c r="Q139" s="28">
        <f t="shared" si="410"/>
        <v>-1690</v>
      </c>
      <c r="R139" s="28">
        <f t="shared" si="410"/>
        <v>32638</v>
      </c>
      <c r="T139" s="80">
        <v>11.0</v>
      </c>
      <c r="U139" s="80">
        <f t="shared" ref="U139:X139" si="411">U138+C132</f>
        <v>-82</v>
      </c>
      <c r="V139" s="80">
        <f t="shared" si="411"/>
        <v>-1362</v>
      </c>
      <c r="W139" s="80">
        <f t="shared" si="411"/>
        <v>1660</v>
      </c>
      <c r="X139" s="80">
        <f t="shared" si="411"/>
        <v>-320</v>
      </c>
      <c r="Z139" s="80">
        <v>11.0</v>
      </c>
      <c r="AA139" s="10">
        <v>43798.0</v>
      </c>
      <c r="AB139" s="80">
        <v>-82.0</v>
      </c>
      <c r="AC139" s="80">
        <v>-1362.0</v>
      </c>
      <c r="AD139" s="80">
        <v>1660.0</v>
      </c>
      <c r="AE139" s="80">
        <v>-320.0</v>
      </c>
    </row>
    <row r="140">
      <c r="A140" s="28">
        <f>'SAMLET_alle regnskab'!B149</f>
        <v>16</v>
      </c>
      <c r="B140" s="80">
        <f>'SAMLET_alle regnskab'!A149</f>
        <v>11</v>
      </c>
      <c r="C140" s="28">
        <f>'SAMLET_alle regnskab'!U149</f>
        <v>12</v>
      </c>
      <c r="D140" s="28">
        <f>'SAMLET_alle regnskab'!V149</f>
        <v>-12</v>
      </c>
      <c r="E140" s="28">
        <f>'SAMLET_alle regnskab'!W149</f>
        <v>-12</v>
      </c>
      <c r="F140" s="28">
        <f>'SAMLET_alle regnskab'!X149</f>
        <v>12</v>
      </c>
      <c r="H140" s="80">
        <f t="shared" si="7"/>
        <v>11</v>
      </c>
      <c r="I140" s="28">
        <f t="shared" ref="I140:L140" si="412">I139+C140</f>
        <v>160</v>
      </c>
      <c r="J140" s="28">
        <f t="shared" si="412"/>
        <v>-468</v>
      </c>
      <c r="K140" s="28">
        <f t="shared" si="412"/>
        <v>-74</v>
      </c>
      <c r="L140" s="28">
        <f t="shared" si="412"/>
        <v>382</v>
      </c>
      <c r="N140" s="80">
        <f t="shared" si="25"/>
        <v>11</v>
      </c>
      <c r="O140" s="28">
        <f t="shared" ref="O140:R140" si="413">O139+I133</f>
        <v>-6108</v>
      </c>
      <c r="P140" s="28">
        <f t="shared" si="413"/>
        <v>-25148</v>
      </c>
      <c r="Q140" s="28">
        <f t="shared" si="413"/>
        <v>-1752</v>
      </c>
      <c r="R140" s="28">
        <f t="shared" si="413"/>
        <v>33008</v>
      </c>
      <c r="T140" s="80">
        <v>11.0</v>
      </c>
      <c r="U140" s="80">
        <f t="shared" ref="U140:X140" si="414">U139+C133</f>
        <v>-74</v>
      </c>
      <c r="V140" s="80">
        <f t="shared" si="414"/>
        <v>-1354</v>
      </c>
      <c r="W140" s="80">
        <f t="shared" si="414"/>
        <v>1652</v>
      </c>
      <c r="X140" s="80">
        <f t="shared" si="414"/>
        <v>-328</v>
      </c>
      <c r="Z140" s="80">
        <v>11.0</v>
      </c>
      <c r="AA140" s="10">
        <v>43798.0</v>
      </c>
      <c r="AB140" s="80">
        <v>-74.0</v>
      </c>
      <c r="AC140" s="80">
        <v>-1354.0</v>
      </c>
      <c r="AD140" s="80">
        <v>1652.0</v>
      </c>
      <c r="AE140" s="80">
        <v>-328.0</v>
      </c>
    </row>
    <row r="141">
      <c r="A141" s="28">
        <f>'SAMLET_alle regnskab'!B150</f>
        <v>17</v>
      </c>
      <c r="B141" s="80">
        <f>'SAMLET_alle regnskab'!A150</f>
        <v>11</v>
      </c>
      <c r="C141" s="28">
        <f>'SAMLET_alle regnskab'!U150</f>
        <v>8</v>
      </c>
      <c r="D141" s="28">
        <f>'SAMLET_alle regnskab'!V150</f>
        <v>8</v>
      </c>
      <c r="E141" s="28">
        <f>'SAMLET_alle regnskab'!W150</f>
        <v>8</v>
      </c>
      <c r="F141" s="28">
        <f>'SAMLET_alle regnskab'!X150</f>
        <v>-24</v>
      </c>
      <c r="H141" s="80">
        <f t="shared" si="7"/>
        <v>11</v>
      </c>
      <c r="I141" s="28">
        <f t="shared" ref="I141:L141" si="415">I140+C141</f>
        <v>168</v>
      </c>
      <c r="J141" s="28">
        <f t="shared" si="415"/>
        <v>-460</v>
      </c>
      <c r="K141" s="28">
        <f t="shared" si="415"/>
        <v>-66</v>
      </c>
      <c r="L141" s="28">
        <f t="shared" si="415"/>
        <v>358</v>
      </c>
      <c r="N141" s="80">
        <f t="shared" si="25"/>
        <v>11</v>
      </c>
      <c r="O141" s="28">
        <f t="shared" ref="O141:R141" si="416">O140+I134</f>
        <v>-6008</v>
      </c>
      <c r="P141" s="28">
        <f t="shared" si="416"/>
        <v>-25524</v>
      </c>
      <c r="Q141" s="28">
        <f t="shared" si="416"/>
        <v>-1862</v>
      </c>
      <c r="R141" s="28">
        <f t="shared" si="416"/>
        <v>33394</v>
      </c>
      <c r="T141" s="80">
        <v>11.0</v>
      </c>
      <c r="U141" s="80">
        <f t="shared" ref="U141:X141" si="417">U140+C134</f>
        <v>-58</v>
      </c>
      <c r="V141" s="80">
        <f t="shared" si="417"/>
        <v>-1338</v>
      </c>
      <c r="W141" s="80">
        <f t="shared" si="417"/>
        <v>1604</v>
      </c>
      <c r="X141" s="80">
        <f t="shared" si="417"/>
        <v>-312</v>
      </c>
      <c r="Z141" s="80">
        <v>11.0</v>
      </c>
      <c r="AA141" s="10">
        <v>43798.0</v>
      </c>
      <c r="AB141" s="80">
        <v>-58.0</v>
      </c>
      <c r="AC141" s="80">
        <v>-1338.0</v>
      </c>
      <c r="AD141" s="80">
        <v>1604.0</v>
      </c>
      <c r="AE141" s="80">
        <v>-312.0</v>
      </c>
    </row>
    <row r="142">
      <c r="A142" s="28">
        <f>'SAMLET_alle regnskab'!B151</f>
        <v>18</v>
      </c>
      <c r="B142" s="80">
        <f>'SAMLET_alle regnskab'!A151</f>
        <v>11</v>
      </c>
      <c r="C142" s="28">
        <f>'SAMLET_alle regnskab'!U151</f>
        <v>48</v>
      </c>
      <c r="D142" s="28">
        <f>'SAMLET_alle regnskab'!V151</f>
        <v>48</v>
      </c>
      <c r="E142" s="28">
        <f>'SAMLET_alle regnskab'!W151</f>
        <v>-48</v>
      </c>
      <c r="F142" s="28">
        <f>'SAMLET_alle regnskab'!X151</f>
        <v>-48</v>
      </c>
      <c r="H142" s="80">
        <f t="shared" si="7"/>
        <v>11</v>
      </c>
      <c r="I142" s="28">
        <f t="shared" ref="I142:L142" si="418">I141+C142</f>
        <v>216</v>
      </c>
      <c r="J142" s="28">
        <f t="shared" si="418"/>
        <v>-412</v>
      </c>
      <c r="K142" s="28">
        <f t="shared" si="418"/>
        <v>-114</v>
      </c>
      <c r="L142" s="28">
        <f t="shared" si="418"/>
        <v>310</v>
      </c>
      <c r="N142" s="80">
        <f t="shared" si="25"/>
        <v>11</v>
      </c>
      <c r="O142" s="28">
        <f t="shared" ref="O142:R142" si="419">O141+I135</f>
        <v>-5892</v>
      </c>
      <c r="P142" s="28">
        <f t="shared" si="419"/>
        <v>-25948</v>
      </c>
      <c r="Q142" s="28">
        <f t="shared" si="419"/>
        <v>-1956</v>
      </c>
      <c r="R142" s="28">
        <f t="shared" si="419"/>
        <v>33796</v>
      </c>
      <c r="T142" s="80">
        <v>11.0</v>
      </c>
      <c r="U142" s="80">
        <f t="shared" ref="U142:X142" si="420">U141+C135</f>
        <v>-42</v>
      </c>
      <c r="V142" s="80">
        <f t="shared" si="420"/>
        <v>-1386</v>
      </c>
      <c r="W142" s="80">
        <f t="shared" si="420"/>
        <v>1620</v>
      </c>
      <c r="X142" s="80">
        <f t="shared" si="420"/>
        <v>-296</v>
      </c>
      <c r="Z142" s="80">
        <v>11.0</v>
      </c>
      <c r="AA142" s="10">
        <v>43798.0</v>
      </c>
      <c r="AB142" s="80">
        <v>-42.0</v>
      </c>
      <c r="AC142" s="80">
        <v>-1386.0</v>
      </c>
      <c r="AD142" s="80">
        <v>1620.0</v>
      </c>
      <c r="AE142" s="80">
        <v>-296.0</v>
      </c>
    </row>
    <row r="143">
      <c r="A143" s="28">
        <f>'SAMLET_alle regnskab'!B152</f>
        <v>19</v>
      </c>
      <c r="B143" s="80">
        <f>'SAMLET_alle regnskab'!A152</f>
        <v>11</v>
      </c>
      <c r="C143" s="28">
        <f>'SAMLET_alle regnskab'!U152</f>
        <v>48</v>
      </c>
      <c r="D143" s="28">
        <f>'SAMLET_alle regnskab'!V152</f>
        <v>-16</v>
      </c>
      <c r="E143" s="28">
        <f>'SAMLET_alle regnskab'!W152</f>
        <v>-16</v>
      </c>
      <c r="F143" s="28">
        <f>'SAMLET_alle regnskab'!X152</f>
        <v>-16</v>
      </c>
      <c r="H143" s="80">
        <f t="shared" si="7"/>
        <v>11</v>
      </c>
      <c r="I143" s="28">
        <f t="shared" ref="I143:L143" si="421">I142+C143</f>
        <v>264</v>
      </c>
      <c r="J143" s="28">
        <f t="shared" si="421"/>
        <v>-428</v>
      </c>
      <c r="K143" s="28">
        <f t="shared" si="421"/>
        <v>-130</v>
      </c>
      <c r="L143" s="28">
        <f t="shared" si="421"/>
        <v>294</v>
      </c>
      <c r="N143" s="80">
        <f t="shared" si="25"/>
        <v>11</v>
      </c>
      <c r="O143" s="28">
        <f t="shared" ref="O143:R143" si="422">O142+I136</f>
        <v>-5808</v>
      </c>
      <c r="P143" s="28">
        <f t="shared" si="422"/>
        <v>-26276</v>
      </c>
      <c r="Q143" s="28">
        <f t="shared" si="422"/>
        <v>-2082</v>
      </c>
      <c r="R143" s="28">
        <f t="shared" si="422"/>
        <v>34166</v>
      </c>
      <c r="T143" s="80">
        <v>11.0</v>
      </c>
      <c r="U143" s="80">
        <f t="shared" ref="U143:X143" si="423">U142+C136</f>
        <v>-74</v>
      </c>
      <c r="V143" s="80">
        <f t="shared" si="423"/>
        <v>-1290</v>
      </c>
      <c r="W143" s="80">
        <f t="shared" si="423"/>
        <v>1588</v>
      </c>
      <c r="X143" s="80">
        <f t="shared" si="423"/>
        <v>-328</v>
      </c>
      <c r="Z143" s="80">
        <v>11.0</v>
      </c>
      <c r="AA143" s="10">
        <v>43798.0</v>
      </c>
      <c r="AB143" s="80">
        <v>-74.0</v>
      </c>
      <c r="AC143" s="80">
        <v>-1290.0</v>
      </c>
      <c r="AD143" s="80">
        <v>1588.0</v>
      </c>
      <c r="AE143" s="80">
        <v>-328.0</v>
      </c>
    </row>
    <row r="144">
      <c r="A144" s="28">
        <f>'SAMLET_alle regnskab'!B153</f>
        <v>20</v>
      </c>
      <c r="B144" s="80">
        <f>'SAMLET_alle regnskab'!A153</f>
        <v>11</v>
      </c>
      <c r="C144" s="28">
        <f>'SAMLET_alle regnskab'!U153</f>
        <v>16</v>
      </c>
      <c r="D144" s="28">
        <f>'SAMLET_alle regnskab'!V153</f>
        <v>-16</v>
      </c>
      <c r="E144" s="28">
        <f>'SAMLET_alle regnskab'!W153</f>
        <v>16</v>
      </c>
      <c r="F144" s="28">
        <f>'SAMLET_alle regnskab'!X153</f>
        <v>-16</v>
      </c>
      <c r="H144" s="80">
        <f t="shared" si="7"/>
        <v>11</v>
      </c>
      <c r="I144" s="28">
        <f t="shared" ref="I144:L144" si="424">I143+C144</f>
        <v>280</v>
      </c>
      <c r="J144" s="28">
        <f t="shared" si="424"/>
        <v>-444</v>
      </c>
      <c r="K144" s="28">
        <f t="shared" si="424"/>
        <v>-114</v>
      </c>
      <c r="L144" s="28">
        <f t="shared" si="424"/>
        <v>278</v>
      </c>
      <c r="N144" s="80">
        <f t="shared" si="25"/>
        <v>11</v>
      </c>
      <c r="O144" s="28">
        <f t="shared" ref="O144:R144" si="425">O143+I137</f>
        <v>-5712</v>
      </c>
      <c r="P144" s="28">
        <f t="shared" si="425"/>
        <v>-26616</v>
      </c>
      <c r="Q144" s="28">
        <f t="shared" si="425"/>
        <v>-2196</v>
      </c>
      <c r="R144" s="28">
        <f t="shared" si="425"/>
        <v>34524</v>
      </c>
      <c r="T144" s="80">
        <v>11.0</v>
      </c>
      <c r="U144" s="80">
        <f t="shared" ref="U144:X144" si="426">U143+C137</f>
        <v>-62</v>
      </c>
      <c r="V144" s="80">
        <f t="shared" si="426"/>
        <v>-1302</v>
      </c>
      <c r="W144" s="80">
        <f t="shared" si="426"/>
        <v>1600</v>
      </c>
      <c r="X144" s="80">
        <f t="shared" si="426"/>
        <v>-340</v>
      </c>
      <c r="Z144" s="80">
        <v>11.0</v>
      </c>
      <c r="AA144" s="10">
        <v>43798.0</v>
      </c>
      <c r="AB144" s="80">
        <v>-62.0</v>
      </c>
      <c r="AC144" s="80">
        <v>-1302.0</v>
      </c>
      <c r="AD144" s="80">
        <v>1600.0</v>
      </c>
      <c r="AE144" s="80">
        <v>-340.0</v>
      </c>
    </row>
    <row r="145">
      <c r="A145" s="28">
        <f>'SAMLET_alle regnskab'!B154</f>
        <v>21</v>
      </c>
      <c r="B145" s="80">
        <f>'SAMLET_alle regnskab'!A154</f>
        <v>11</v>
      </c>
      <c r="C145" s="28">
        <f>'SAMLET_alle regnskab'!U154</f>
        <v>-10</v>
      </c>
      <c r="D145" s="28">
        <f>'SAMLET_alle regnskab'!V154</f>
        <v>-10</v>
      </c>
      <c r="E145" s="28">
        <f>'SAMLET_alle regnskab'!W154</f>
        <v>10</v>
      </c>
      <c r="F145" s="28">
        <f>'SAMLET_alle regnskab'!X154</f>
        <v>10</v>
      </c>
      <c r="H145" s="80">
        <f t="shared" si="7"/>
        <v>11</v>
      </c>
      <c r="I145" s="28">
        <f t="shared" ref="I145:L145" si="427">I144+C145</f>
        <v>270</v>
      </c>
      <c r="J145" s="28">
        <f t="shared" si="427"/>
        <v>-454</v>
      </c>
      <c r="K145" s="28">
        <f t="shared" si="427"/>
        <v>-104</v>
      </c>
      <c r="L145" s="28">
        <f t="shared" si="427"/>
        <v>288</v>
      </c>
      <c r="N145" s="80">
        <f t="shared" si="25"/>
        <v>11</v>
      </c>
      <c r="O145" s="28">
        <f t="shared" ref="O145:R145" si="428">O144+I138</f>
        <v>-5596</v>
      </c>
      <c r="P145" s="28">
        <f t="shared" si="428"/>
        <v>-26976</v>
      </c>
      <c r="Q145" s="28">
        <f t="shared" si="428"/>
        <v>-2290</v>
      </c>
      <c r="R145" s="28">
        <f t="shared" si="428"/>
        <v>34862</v>
      </c>
      <c r="T145" s="80">
        <v>11.0</v>
      </c>
      <c r="U145" s="80">
        <f t="shared" ref="U145:X145" si="429">U144+C138</f>
        <v>-42</v>
      </c>
      <c r="V145" s="80">
        <f t="shared" si="429"/>
        <v>-1322</v>
      </c>
      <c r="W145" s="80">
        <f t="shared" si="429"/>
        <v>1620</v>
      </c>
      <c r="X145" s="80">
        <f t="shared" si="429"/>
        <v>-360</v>
      </c>
      <c r="Z145" s="80">
        <v>11.0</v>
      </c>
      <c r="AA145" s="10">
        <v>43798.0</v>
      </c>
      <c r="AB145" s="80">
        <v>-42.0</v>
      </c>
      <c r="AC145" s="80">
        <v>-1322.0</v>
      </c>
      <c r="AD145" s="80">
        <v>1620.0</v>
      </c>
      <c r="AE145" s="80">
        <v>-360.0</v>
      </c>
    </row>
    <row r="146">
      <c r="A146" s="28">
        <f>'SAMLET_alle regnskab'!B155</f>
        <v>22</v>
      </c>
      <c r="B146" s="80">
        <f>'SAMLET_alle regnskab'!A155</f>
        <v>11</v>
      </c>
      <c r="C146" s="28">
        <f>'SAMLET_alle regnskab'!U155</f>
        <v>-20</v>
      </c>
      <c r="D146" s="28">
        <f>'SAMLET_alle regnskab'!V155</f>
        <v>-20</v>
      </c>
      <c r="E146" s="28">
        <f>'SAMLET_alle regnskab'!W155</f>
        <v>20</v>
      </c>
      <c r="F146" s="28">
        <f>'SAMLET_alle regnskab'!X155</f>
        <v>20</v>
      </c>
      <c r="H146" s="80">
        <f t="shared" si="7"/>
        <v>11</v>
      </c>
      <c r="I146" s="28">
        <f t="shared" ref="I146:L146" si="430">I145+C146</f>
        <v>250</v>
      </c>
      <c r="J146" s="28">
        <f t="shared" si="430"/>
        <v>-474</v>
      </c>
      <c r="K146" s="28">
        <f t="shared" si="430"/>
        <v>-84</v>
      </c>
      <c r="L146" s="28">
        <f t="shared" si="430"/>
        <v>308</v>
      </c>
      <c r="N146" s="80">
        <f t="shared" si="25"/>
        <v>11</v>
      </c>
      <c r="O146" s="28">
        <f t="shared" ref="O146:R146" si="431">O145+I139</f>
        <v>-5448</v>
      </c>
      <c r="P146" s="28">
        <f t="shared" si="431"/>
        <v>-27432</v>
      </c>
      <c r="Q146" s="28">
        <f t="shared" si="431"/>
        <v>-2352</v>
      </c>
      <c r="R146" s="28">
        <f t="shared" si="431"/>
        <v>35232</v>
      </c>
      <c r="T146" s="80">
        <v>11.0</v>
      </c>
      <c r="U146" s="80">
        <f t="shared" ref="U146:X146" si="432">U145+C139</f>
        <v>-10</v>
      </c>
      <c r="V146" s="80">
        <f t="shared" si="432"/>
        <v>-1418</v>
      </c>
      <c r="W146" s="80">
        <f t="shared" si="432"/>
        <v>1652</v>
      </c>
      <c r="X146" s="80">
        <f t="shared" si="432"/>
        <v>-328</v>
      </c>
      <c r="Z146" s="80">
        <v>11.0</v>
      </c>
      <c r="AA146" s="10">
        <v>43798.0</v>
      </c>
      <c r="AB146" s="80">
        <v>-10.0</v>
      </c>
      <c r="AC146" s="80">
        <v>-1418.0</v>
      </c>
      <c r="AD146" s="80">
        <v>1652.0</v>
      </c>
      <c r="AE146" s="80">
        <v>-328.0</v>
      </c>
    </row>
    <row r="147">
      <c r="A147" s="28">
        <f>'SAMLET_alle regnskab'!B156</f>
        <v>23</v>
      </c>
      <c r="B147" s="80">
        <f>'SAMLET_alle regnskab'!A156</f>
        <v>11</v>
      </c>
      <c r="C147" s="28">
        <f>'SAMLET_alle regnskab'!U156</f>
        <v>48</v>
      </c>
      <c r="D147" s="28">
        <f>'SAMLET_alle regnskab'!V156</f>
        <v>-48</v>
      </c>
      <c r="E147" s="28">
        <f>'SAMLET_alle regnskab'!W156</f>
        <v>48</v>
      </c>
      <c r="F147" s="28">
        <f>'SAMLET_alle regnskab'!X156</f>
        <v>-48</v>
      </c>
      <c r="H147" s="80">
        <f t="shared" si="7"/>
        <v>11</v>
      </c>
      <c r="I147" s="28">
        <f t="shared" ref="I147:L147" si="433">I146+C147</f>
        <v>298</v>
      </c>
      <c r="J147" s="28">
        <f t="shared" si="433"/>
        <v>-522</v>
      </c>
      <c r="K147" s="28">
        <f t="shared" si="433"/>
        <v>-36</v>
      </c>
      <c r="L147" s="28">
        <f t="shared" si="433"/>
        <v>260</v>
      </c>
      <c r="N147" s="80">
        <f t="shared" si="25"/>
        <v>11</v>
      </c>
      <c r="O147" s="28">
        <f t="shared" ref="O147:R147" si="434">O146+I140</f>
        <v>-5288</v>
      </c>
      <c r="P147" s="28">
        <f t="shared" si="434"/>
        <v>-27900</v>
      </c>
      <c r="Q147" s="28">
        <f t="shared" si="434"/>
        <v>-2426</v>
      </c>
      <c r="R147" s="28">
        <f t="shared" si="434"/>
        <v>35614</v>
      </c>
      <c r="T147" s="80">
        <v>11.0</v>
      </c>
      <c r="U147" s="80">
        <f t="shared" ref="U147:X147" si="435">U146+C140</f>
        <v>2</v>
      </c>
      <c r="V147" s="80">
        <f t="shared" si="435"/>
        <v>-1430</v>
      </c>
      <c r="W147" s="80">
        <f t="shared" si="435"/>
        <v>1640</v>
      </c>
      <c r="X147" s="80">
        <f t="shared" si="435"/>
        <v>-316</v>
      </c>
      <c r="Z147" s="80">
        <v>11.0</v>
      </c>
      <c r="AA147" s="10">
        <v>43798.0</v>
      </c>
      <c r="AB147" s="80">
        <v>2.0</v>
      </c>
      <c r="AC147" s="80">
        <v>-1430.0</v>
      </c>
      <c r="AD147" s="80">
        <v>1640.0</v>
      </c>
      <c r="AE147" s="80">
        <v>-316.0</v>
      </c>
    </row>
    <row r="148">
      <c r="A148" s="28">
        <f>'SAMLET_alle regnskab'!B157</f>
        <v>24</v>
      </c>
      <c r="B148" s="80">
        <f>'SAMLET_alle regnskab'!A157</f>
        <v>11</v>
      </c>
      <c r="C148" s="28">
        <f>'SAMLET_alle regnskab'!U157</f>
        <v>-16</v>
      </c>
      <c r="D148" s="28">
        <f>'SAMLET_alle regnskab'!V157</f>
        <v>-16</v>
      </c>
      <c r="E148" s="28">
        <f>'SAMLET_alle regnskab'!W157</f>
        <v>16</v>
      </c>
      <c r="F148" s="28">
        <f>'SAMLET_alle regnskab'!X157</f>
        <v>16</v>
      </c>
      <c r="H148" s="80">
        <f t="shared" si="7"/>
        <v>11</v>
      </c>
      <c r="I148" s="28">
        <f t="shared" ref="I148:L148" si="436">I147+C148</f>
        <v>282</v>
      </c>
      <c r="J148" s="28">
        <f t="shared" si="436"/>
        <v>-538</v>
      </c>
      <c r="K148" s="28">
        <f t="shared" si="436"/>
        <v>-20</v>
      </c>
      <c r="L148" s="28">
        <f t="shared" si="436"/>
        <v>276</v>
      </c>
      <c r="N148" s="80">
        <f t="shared" si="25"/>
        <v>11</v>
      </c>
      <c r="O148" s="28">
        <f t="shared" ref="O148:R148" si="437">O147+I141</f>
        <v>-5120</v>
      </c>
      <c r="P148" s="28">
        <f t="shared" si="437"/>
        <v>-28360</v>
      </c>
      <c r="Q148" s="28">
        <f t="shared" si="437"/>
        <v>-2492</v>
      </c>
      <c r="R148" s="28">
        <f t="shared" si="437"/>
        <v>35972</v>
      </c>
      <c r="T148" s="80">
        <v>11.0</v>
      </c>
      <c r="U148" s="80">
        <f t="shared" ref="U148:X148" si="438">U147+C141</f>
        <v>10</v>
      </c>
      <c r="V148" s="80">
        <f t="shared" si="438"/>
        <v>-1422</v>
      </c>
      <c r="W148" s="80">
        <f t="shared" si="438"/>
        <v>1648</v>
      </c>
      <c r="X148" s="80">
        <f t="shared" si="438"/>
        <v>-340</v>
      </c>
      <c r="Z148" s="80">
        <v>11.0</v>
      </c>
      <c r="AA148" s="10">
        <v>43798.0</v>
      </c>
      <c r="AB148" s="80">
        <v>10.0</v>
      </c>
      <c r="AC148" s="80">
        <v>-1422.0</v>
      </c>
      <c r="AD148" s="80">
        <v>1648.0</v>
      </c>
      <c r="AE148" s="80">
        <v>-340.0</v>
      </c>
    </row>
    <row r="149">
      <c r="A149" s="28">
        <f>'SAMLET_alle regnskab'!B158</f>
        <v>25</v>
      </c>
      <c r="B149" s="80">
        <f>'SAMLET_alle regnskab'!A158</f>
        <v>11</v>
      </c>
      <c r="C149" s="28">
        <f>'SAMLET_alle regnskab'!U158</f>
        <v>16</v>
      </c>
      <c r="D149" s="28">
        <f>'SAMLET_alle regnskab'!V158</f>
        <v>16</v>
      </c>
      <c r="E149" s="28">
        <f>'SAMLET_alle regnskab'!W158</f>
        <v>-16</v>
      </c>
      <c r="F149" s="28">
        <f>'SAMLET_alle regnskab'!X158</f>
        <v>-16</v>
      </c>
      <c r="H149" s="80">
        <f t="shared" si="7"/>
        <v>11</v>
      </c>
      <c r="I149" s="28">
        <f t="shared" ref="I149:L149" si="439">I148+C149</f>
        <v>298</v>
      </c>
      <c r="J149" s="28">
        <f t="shared" si="439"/>
        <v>-522</v>
      </c>
      <c r="K149" s="28">
        <f t="shared" si="439"/>
        <v>-36</v>
      </c>
      <c r="L149" s="28">
        <f t="shared" si="439"/>
        <v>260</v>
      </c>
      <c r="N149" s="80">
        <f t="shared" si="25"/>
        <v>11</v>
      </c>
      <c r="O149" s="28">
        <f t="shared" ref="O149:R149" si="440">O148+I142</f>
        <v>-4904</v>
      </c>
      <c r="P149" s="28">
        <f t="shared" si="440"/>
        <v>-28772</v>
      </c>
      <c r="Q149" s="28">
        <f t="shared" si="440"/>
        <v>-2606</v>
      </c>
      <c r="R149" s="28">
        <f t="shared" si="440"/>
        <v>36282</v>
      </c>
      <c r="T149" s="80">
        <v>11.0</v>
      </c>
      <c r="U149" s="80">
        <f t="shared" ref="U149:X149" si="441">U148+C142</f>
        <v>58</v>
      </c>
      <c r="V149" s="80">
        <f t="shared" si="441"/>
        <v>-1374</v>
      </c>
      <c r="W149" s="80">
        <f t="shared" si="441"/>
        <v>1600</v>
      </c>
      <c r="X149" s="80">
        <f t="shared" si="441"/>
        <v>-388</v>
      </c>
      <c r="Z149" s="80">
        <v>11.0</v>
      </c>
      <c r="AA149" s="10">
        <v>43798.0</v>
      </c>
      <c r="AB149" s="80">
        <v>58.0</v>
      </c>
      <c r="AC149" s="80">
        <v>-1374.0</v>
      </c>
      <c r="AD149" s="80">
        <v>1600.0</v>
      </c>
      <c r="AE149" s="80">
        <v>-388.0</v>
      </c>
    </row>
    <row r="150">
      <c r="A150" s="28">
        <f>'SAMLET_alle regnskab'!B159</f>
        <v>26</v>
      </c>
      <c r="B150" s="80">
        <f>'SAMLET_alle regnskab'!A159</f>
        <v>11</v>
      </c>
      <c r="C150" s="28">
        <f>'SAMLET_alle regnskab'!U159</f>
        <v>24</v>
      </c>
      <c r="D150" s="28">
        <f>'SAMLET_alle regnskab'!V159</f>
        <v>-8</v>
      </c>
      <c r="E150" s="28">
        <f>'SAMLET_alle regnskab'!W159</f>
        <v>-8</v>
      </c>
      <c r="F150" s="28">
        <f>'SAMLET_alle regnskab'!X159</f>
        <v>-8</v>
      </c>
      <c r="H150" s="80">
        <f t="shared" si="7"/>
        <v>11</v>
      </c>
      <c r="I150" s="28">
        <f t="shared" ref="I150:L150" si="442">I149+C150</f>
        <v>322</v>
      </c>
      <c r="J150" s="28">
        <f t="shared" si="442"/>
        <v>-530</v>
      </c>
      <c r="K150" s="28">
        <f t="shared" si="442"/>
        <v>-44</v>
      </c>
      <c r="L150" s="28">
        <f t="shared" si="442"/>
        <v>252</v>
      </c>
      <c r="N150" s="80">
        <f t="shared" si="25"/>
        <v>11</v>
      </c>
      <c r="O150" s="28">
        <f t="shared" ref="O150:R150" si="443">O149+I143</f>
        <v>-4640</v>
      </c>
      <c r="P150" s="28">
        <f t="shared" si="443"/>
        <v>-29200</v>
      </c>
      <c r="Q150" s="28">
        <f t="shared" si="443"/>
        <v>-2736</v>
      </c>
      <c r="R150" s="28">
        <f t="shared" si="443"/>
        <v>36576</v>
      </c>
      <c r="T150" s="80">
        <v>11.0</v>
      </c>
      <c r="U150" s="80">
        <f t="shared" ref="U150:X150" si="444">U149+C143</f>
        <v>106</v>
      </c>
      <c r="V150" s="80">
        <f t="shared" si="444"/>
        <v>-1390</v>
      </c>
      <c r="W150" s="80">
        <f t="shared" si="444"/>
        <v>1584</v>
      </c>
      <c r="X150" s="80">
        <f t="shared" si="444"/>
        <v>-404</v>
      </c>
      <c r="Z150" s="80">
        <v>11.0</v>
      </c>
      <c r="AA150" s="10">
        <v>43798.0</v>
      </c>
      <c r="AB150" s="80">
        <v>106.0</v>
      </c>
      <c r="AC150" s="80">
        <v>-1390.0</v>
      </c>
      <c r="AD150" s="80">
        <v>1584.0</v>
      </c>
      <c r="AE150" s="80">
        <v>-404.0</v>
      </c>
    </row>
    <row r="151">
      <c r="A151" s="28">
        <f>'SAMLET_alle regnskab'!B160</f>
        <v>1</v>
      </c>
      <c r="B151" s="80" t="str">
        <f>'SAMLET_alle regnskab'!A160</f>
        <v>12a</v>
      </c>
      <c r="C151" s="28">
        <f>'SAMLET_alle regnskab'!U160</f>
        <v>-4</v>
      </c>
      <c r="D151" s="28">
        <f>'SAMLET_alle regnskab'!V160</f>
        <v>4</v>
      </c>
      <c r="E151" s="28">
        <f>'SAMLET_alle regnskab'!W160</f>
        <v>-4</v>
      </c>
      <c r="F151" s="28">
        <f>'SAMLET_alle regnskab'!X160</f>
        <v>4</v>
      </c>
      <c r="H151" s="80" t="str">
        <f t="shared" si="7"/>
        <v>12a</v>
      </c>
      <c r="I151" s="28">
        <f t="shared" ref="I151:L151" si="445">I150+C151</f>
        <v>318</v>
      </c>
      <c r="J151" s="28">
        <f t="shared" si="445"/>
        <v>-526</v>
      </c>
      <c r="K151" s="28">
        <f t="shared" si="445"/>
        <v>-48</v>
      </c>
      <c r="L151" s="28">
        <f t="shared" si="445"/>
        <v>256</v>
      </c>
      <c r="N151" s="80">
        <f t="shared" si="25"/>
        <v>11</v>
      </c>
      <c r="O151" s="28">
        <f t="shared" ref="O151:R151" si="446">O150+I144</f>
        <v>-4360</v>
      </c>
      <c r="P151" s="28">
        <f t="shared" si="446"/>
        <v>-29644</v>
      </c>
      <c r="Q151" s="28">
        <f t="shared" si="446"/>
        <v>-2850</v>
      </c>
      <c r="R151" s="28">
        <f t="shared" si="446"/>
        <v>36854</v>
      </c>
      <c r="T151" s="80">
        <v>11.0</v>
      </c>
      <c r="U151" s="80">
        <f t="shared" ref="U151:X151" si="447">U150+C144</f>
        <v>122</v>
      </c>
      <c r="V151" s="80">
        <f t="shared" si="447"/>
        <v>-1406</v>
      </c>
      <c r="W151" s="80">
        <f t="shared" si="447"/>
        <v>1600</v>
      </c>
      <c r="X151" s="80">
        <f t="shared" si="447"/>
        <v>-420</v>
      </c>
      <c r="Z151" s="80">
        <v>11.0</v>
      </c>
      <c r="AA151" s="10">
        <v>43798.0</v>
      </c>
      <c r="AB151" s="80">
        <v>122.0</v>
      </c>
      <c r="AC151" s="80">
        <v>-1406.0</v>
      </c>
      <c r="AD151" s="80">
        <v>1600.0</v>
      </c>
      <c r="AE151" s="80">
        <v>-420.0</v>
      </c>
    </row>
    <row r="152">
      <c r="A152" s="28">
        <f>'SAMLET_alle regnskab'!B161</f>
        <v>2</v>
      </c>
      <c r="B152" s="80" t="str">
        <f>'SAMLET_alle regnskab'!A161</f>
        <v>12a</v>
      </c>
      <c r="C152" s="28">
        <f>'SAMLET_alle regnskab'!U161</f>
        <v>-4</v>
      </c>
      <c r="D152" s="28">
        <f>'SAMLET_alle regnskab'!V161</f>
        <v>12</v>
      </c>
      <c r="E152" s="28">
        <f>'SAMLET_alle regnskab'!W161</f>
        <v>-4</v>
      </c>
      <c r="F152" s="28">
        <f>'SAMLET_alle regnskab'!X161</f>
        <v>-4</v>
      </c>
      <c r="H152" s="80" t="str">
        <f t="shared" si="7"/>
        <v>12a</v>
      </c>
      <c r="I152" s="28">
        <f t="shared" ref="I152:L152" si="448">I151+C152</f>
        <v>314</v>
      </c>
      <c r="J152" s="28">
        <f t="shared" si="448"/>
        <v>-514</v>
      </c>
      <c r="K152" s="28">
        <f t="shared" si="448"/>
        <v>-52</v>
      </c>
      <c r="L152" s="28">
        <f t="shared" si="448"/>
        <v>252</v>
      </c>
      <c r="N152" s="80">
        <f t="shared" si="25"/>
        <v>11</v>
      </c>
      <c r="O152" s="28">
        <f t="shared" ref="O152:R152" si="449">O151+I145</f>
        <v>-4090</v>
      </c>
      <c r="P152" s="28">
        <f t="shared" si="449"/>
        <v>-30098</v>
      </c>
      <c r="Q152" s="28">
        <f t="shared" si="449"/>
        <v>-2954</v>
      </c>
      <c r="R152" s="28">
        <f t="shared" si="449"/>
        <v>37142</v>
      </c>
      <c r="T152" s="80">
        <v>11.0</v>
      </c>
      <c r="U152" s="80">
        <f t="shared" ref="U152:X152" si="450">U151+C145</f>
        <v>112</v>
      </c>
      <c r="V152" s="80">
        <f t="shared" si="450"/>
        <v>-1416</v>
      </c>
      <c r="W152" s="80">
        <f t="shared" si="450"/>
        <v>1610</v>
      </c>
      <c r="X152" s="80">
        <f t="shared" si="450"/>
        <v>-410</v>
      </c>
      <c r="Z152" s="80">
        <v>11.0</v>
      </c>
      <c r="AA152" s="10">
        <v>43798.0</v>
      </c>
      <c r="AB152" s="80">
        <v>112.0</v>
      </c>
      <c r="AC152" s="80">
        <v>-1416.0</v>
      </c>
      <c r="AD152" s="80">
        <v>1610.0</v>
      </c>
      <c r="AE152" s="80">
        <v>-410.0</v>
      </c>
    </row>
    <row r="153">
      <c r="A153" s="28">
        <f>'SAMLET_alle regnskab'!B162</f>
        <v>3</v>
      </c>
      <c r="B153" s="80" t="str">
        <f>'SAMLET_alle regnskab'!A162</f>
        <v>12a</v>
      </c>
      <c r="C153" s="28">
        <f>'SAMLET_alle regnskab'!U162</f>
        <v>-16</v>
      </c>
      <c r="D153" s="28">
        <f>'SAMLET_alle regnskab'!V162</f>
        <v>16</v>
      </c>
      <c r="E153" s="28">
        <f>'SAMLET_alle regnskab'!W162</f>
        <v>16</v>
      </c>
      <c r="F153" s="28">
        <f>'SAMLET_alle regnskab'!X162</f>
        <v>-16</v>
      </c>
      <c r="H153" s="80" t="str">
        <f t="shared" si="7"/>
        <v>12a</v>
      </c>
      <c r="I153" s="28">
        <f t="shared" ref="I153:L153" si="451">I152+C153</f>
        <v>298</v>
      </c>
      <c r="J153" s="28">
        <f t="shared" si="451"/>
        <v>-498</v>
      </c>
      <c r="K153" s="28">
        <f t="shared" si="451"/>
        <v>-36</v>
      </c>
      <c r="L153" s="28">
        <f t="shared" si="451"/>
        <v>236</v>
      </c>
      <c r="N153" s="80">
        <f t="shared" si="25"/>
        <v>11</v>
      </c>
      <c r="O153" s="28">
        <f t="shared" ref="O153:R153" si="452">O152+I146</f>
        <v>-3840</v>
      </c>
      <c r="P153" s="28">
        <f t="shared" si="452"/>
        <v>-30572</v>
      </c>
      <c r="Q153" s="28">
        <f t="shared" si="452"/>
        <v>-3038</v>
      </c>
      <c r="R153" s="28">
        <f t="shared" si="452"/>
        <v>37450</v>
      </c>
      <c r="T153" s="80">
        <v>11.0</v>
      </c>
      <c r="U153" s="80">
        <f t="shared" ref="U153:X153" si="453">U152+C146</f>
        <v>92</v>
      </c>
      <c r="V153" s="80">
        <f t="shared" si="453"/>
        <v>-1436</v>
      </c>
      <c r="W153" s="80">
        <f t="shared" si="453"/>
        <v>1630</v>
      </c>
      <c r="X153" s="80">
        <f t="shared" si="453"/>
        <v>-390</v>
      </c>
      <c r="Z153" s="80">
        <v>11.0</v>
      </c>
      <c r="AA153" s="10">
        <v>43798.0</v>
      </c>
      <c r="AB153" s="80">
        <v>92.0</v>
      </c>
      <c r="AC153" s="80">
        <v>-1436.0</v>
      </c>
      <c r="AD153" s="80">
        <v>1630.0</v>
      </c>
      <c r="AE153" s="80">
        <v>-390.0</v>
      </c>
    </row>
    <row r="154">
      <c r="A154" s="28">
        <f>'SAMLET_alle regnskab'!B163</f>
        <v>4</v>
      </c>
      <c r="B154" s="80" t="str">
        <f>'SAMLET_alle regnskab'!A163</f>
        <v>12a</v>
      </c>
      <c r="C154" s="28">
        <f>'SAMLET_alle regnskab'!U163</f>
        <v>16</v>
      </c>
      <c r="D154" s="28">
        <f>'SAMLET_alle regnskab'!V163</f>
        <v>-16</v>
      </c>
      <c r="E154" s="28">
        <f>'SAMLET_alle regnskab'!W163</f>
        <v>16</v>
      </c>
      <c r="F154" s="28">
        <f>'SAMLET_alle regnskab'!X163</f>
        <v>-16</v>
      </c>
      <c r="H154" s="80" t="str">
        <f t="shared" si="7"/>
        <v>12a</v>
      </c>
      <c r="I154" s="28">
        <f t="shared" ref="I154:L154" si="454">I153+C154</f>
        <v>314</v>
      </c>
      <c r="J154" s="28">
        <f t="shared" si="454"/>
        <v>-514</v>
      </c>
      <c r="K154" s="28">
        <f t="shared" si="454"/>
        <v>-20</v>
      </c>
      <c r="L154" s="28">
        <f t="shared" si="454"/>
        <v>220</v>
      </c>
      <c r="N154" s="80">
        <f t="shared" si="25"/>
        <v>11</v>
      </c>
      <c r="O154" s="28">
        <f t="shared" ref="O154:R154" si="455">O153+I147</f>
        <v>-3542</v>
      </c>
      <c r="P154" s="28">
        <f t="shared" si="455"/>
        <v>-31094</v>
      </c>
      <c r="Q154" s="28">
        <f t="shared" si="455"/>
        <v>-3074</v>
      </c>
      <c r="R154" s="28">
        <f t="shared" si="455"/>
        <v>37710</v>
      </c>
      <c r="T154" s="80">
        <v>11.0</v>
      </c>
      <c r="U154" s="80">
        <f t="shared" ref="U154:X154" si="456">U153+C147</f>
        <v>140</v>
      </c>
      <c r="V154" s="80">
        <f t="shared" si="456"/>
        <v>-1484</v>
      </c>
      <c r="W154" s="80">
        <f t="shared" si="456"/>
        <v>1678</v>
      </c>
      <c r="X154" s="80">
        <f t="shared" si="456"/>
        <v>-438</v>
      </c>
      <c r="Z154" s="80">
        <v>11.0</v>
      </c>
      <c r="AA154" s="10">
        <v>43798.0</v>
      </c>
      <c r="AB154" s="80">
        <v>140.0</v>
      </c>
      <c r="AC154" s="80">
        <v>-1484.0</v>
      </c>
      <c r="AD154" s="80">
        <v>1678.0</v>
      </c>
      <c r="AE154" s="80">
        <v>-438.0</v>
      </c>
    </row>
    <row r="155">
      <c r="A155" s="28">
        <f>'SAMLET_alle regnskab'!B164</f>
        <v>5</v>
      </c>
      <c r="B155" s="80" t="str">
        <f>'SAMLET_alle regnskab'!A164</f>
        <v>12a</v>
      </c>
      <c r="C155" s="28">
        <f>'SAMLET_alle regnskab'!U164</f>
        <v>-4</v>
      </c>
      <c r="D155" s="28">
        <f>'SAMLET_alle regnskab'!V164</f>
        <v>-4</v>
      </c>
      <c r="E155" s="28">
        <f>'SAMLET_alle regnskab'!W164</f>
        <v>-4</v>
      </c>
      <c r="F155" s="28">
        <f>'SAMLET_alle regnskab'!X164</f>
        <v>12</v>
      </c>
      <c r="H155" s="80" t="str">
        <f t="shared" si="7"/>
        <v>12a</v>
      </c>
      <c r="I155" s="28">
        <f t="shared" ref="I155:L155" si="457">I154+C155</f>
        <v>310</v>
      </c>
      <c r="J155" s="28">
        <f t="shared" si="457"/>
        <v>-518</v>
      </c>
      <c r="K155" s="28">
        <f t="shared" si="457"/>
        <v>-24</v>
      </c>
      <c r="L155" s="28">
        <f t="shared" si="457"/>
        <v>232</v>
      </c>
      <c r="N155" s="80">
        <f t="shared" si="25"/>
        <v>11</v>
      </c>
      <c r="O155" s="28">
        <f t="shared" ref="O155:R155" si="458">O154+I148</f>
        <v>-3260</v>
      </c>
      <c r="P155" s="28">
        <f t="shared" si="458"/>
        <v>-31632</v>
      </c>
      <c r="Q155" s="28">
        <f t="shared" si="458"/>
        <v>-3094</v>
      </c>
      <c r="R155" s="28">
        <f t="shared" si="458"/>
        <v>37986</v>
      </c>
      <c r="T155" s="80">
        <v>11.0</v>
      </c>
      <c r="U155" s="80">
        <f t="shared" ref="U155:X155" si="459">U154+C148</f>
        <v>124</v>
      </c>
      <c r="V155" s="80">
        <f t="shared" si="459"/>
        <v>-1500</v>
      </c>
      <c r="W155" s="80">
        <f t="shared" si="459"/>
        <v>1694</v>
      </c>
      <c r="X155" s="80">
        <f t="shared" si="459"/>
        <v>-422</v>
      </c>
      <c r="Z155" s="80">
        <v>11.0</v>
      </c>
      <c r="AA155" s="10">
        <v>43798.0</v>
      </c>
      <c r="AB155" s="80">
        <v>124.0</v>
      </c>
      <c r="AC155" s="80">
        <v>-1500.0</v>
      </c>
      <c r="AD155" s="80">
        <v>1694.0</v>
      </c>
      <c r="AE155" s="80">
        <v>-422.0</v>
      </c>
    </row>
    <row r="156">
      <c r="A156" s="28">
        <f>'SAMLET_alle regnskab'!B165</f>
        <v>6</v>
      </c>
      <c r="B156" s="80" t="str">
        <f>'SAMLET_alle regnskab'!A165</f>
        <v>12a</v>
      </c>
      <c r="C156" s="28">
        <f>'SAMLET_alle regnskab'!U165</f>
        <v>8</v>
      </c>
      <c r="D156" s="28">
        <f>'SAMLET_alle regnskab'!V165</f>
        <v>-8</v>
      </c>
      <c r="E156" s="28">
        <f>'SAMLET_alle regnskab'!W165</f>
        <v>8</v>
      </c>
      <c r="F156" s="28">
        <f>'SAMLET_alle regnskab'!X165</f>
        <v>-8</v>
      </c>
      <c r="H156" s="80" t="str">
        <f t="shared" si="7"/>
        <v>12a</v>
      </c>
      <c r="I156" s="28">
        <f t="shared" ref="I156:L156" si="460">I155+C156</f>
        <v>318</v>
      </c>
      <c r="J156" s="28">
        <f t="shared" si="460"/>
        <v>-526</v>
      </c>
      <c r="K156" s="28">
        <f t="shared" si="460"/>
        <v>-16</v>
      </c>
      <c r="L156" s="28">
        <f t="shared" si="460"/>
        <v>224</v>
      </c>
      <c r="N156" s="80">
        <f t="shared" si="25"/>
        <v>11</v>
      </c>
      <c r="O156" s="28">
        <f t="shared" ref="O156:R156" si="461">O155+I149</f>
        <v>-2962</v>
      </c>
      <c r="P156" s="28">
        <f t="shared" si="461"/>
        <v>-32154</v>
      </c>
      <c r="Q156" s="28">
        <f t="shared" si="461"/>
        <v>-3130</v>
      </c>
      <c r="R156" s="28">
        <f t="shared" si="461"/>
        <v>38246</v>
      </c>
      <c r="T156" s="80">
        <v>11.0</v>
      </c>
      <c r="U156" s="80">
        <f t="shared" ref="U156:X156" si="462">U155+C149</f>
        <v>140</v>
      </c>
      <c r="V156" s="80">
        <f t="shared" si="462"/>
        <v>-1484</v>
      </c>
      <c r="W156" s="80">
        <f t="shared" si="462"/>
        <v>1678</v>
      </c>
      <c r="X156" s="80">
        <f t="shared" si="462"/>
        <v>-438</v>
      </c>
      <c r="Z156" s="80">
        <v>11.0</v>
      </c>
      <c r="AA156" s="10">
        <v>43798.0</v>
      </c>
      <c r="AB156" s="80">
        <v>140.0</v>
      </c>
      <c r="AC156" s="80">
        <v>-1484.0</v>
      </c>
      <c r="AD156" s="80">
        <v>1678.0</v>
      </c>
      <c r="AE156" s="80">
        <v>-438.0</v>
      </c>
    </row>
    <row r="157">
      <c r="A157" s="28">
        <f>'SAMLET_alle regnskab'!B166</f>
        <v>7</v>
      </c>
      <c r="B157" s="80" t="str">
        <f>'SAMLET_alle regnskab'!A166</f>
        <v>12a</v>
      </c>
      <c r="C157" s="28">
        <f>'SAMLET_alle regnskab'!U166</f>
        <v>8</v>
      </c>
      <c r="D157" s="28">
        <f>'SAMLET_alle regnskab'!V166</f>
        <v>-8</v>
      </c>
      <c r="E157" s="28">
        <f>'SAMLET_alle regnskab'!W166</f>
        <v>8</v>
      </c>
      <c r="F157" s="28">
        <f>'SAMLET_alle regnskab'!X166</f>
        <v>-8</v>
      </c>
      <c r="H157" s="80" t="str">
        <f t="shared" si="7"/>
        <v>12a</v>
      </c>
      <c r="I157" s="28">
        <f t="shared" ref="I157:L157" si="463">I156+C157</f>
        <v>326</v>
      </c>
      <c r="J157" s="28">
        <f t="shared" si="463"/>
        <v>-534</v>
      </c>
      <c r="K157" s="28">
        <f t="shared" si="463"/>
        <v>-8</v>
      </c>
      <c r="L157" s="28">
        <f t="shared" si="463"/>
        <v>216</v>
      </c>
      <c r="N157" s="80">
        <f t="shared" si="25"/>
        <v>11</v>
      </c>
      <c r="O157" s="28">
        <f t="shared" ref="O157:R157" si="464">O156+I150</f>
        <v>-2640</v>
      </c>
      <c r="P157" s="28">
        <f t="shared" si="464"/>
        <v>-32684</v>
      </c>
      <c r="Q157" s="28">
        <f t="shared" si="464"/>
        <v>-3174</v>
      </c>
      <c r="R157" s="28">
        <f t="shared" si="464"/>
        <v>38498</v>
      </c>
      <c r="T157" s="80">
        <v>11.0</v>
      </c>
      <c r="U157" s="80">
        <f t="shared" ref="U157:X157" si="465">U156+C150</f>
        <v>164</v>
      </c>
      <c r="V157" s="80">
        <f t="shared" si="465"/>
        <v>-1492</v>
      </c>
      <c r="W157" s="80">
        <f t="shared" si="465"/>
        <v>1670</v>
      </c>
      <c r="X157" s="80">
        <f t="shared" si="465"/>
        <v>-446</v>
      </c>
      <c r="Z157" s="80">
        <v>11.0</v>
      </c>
      <c r="AA157" s="10">
        <v>43798.0</v>
      </c>
      <c r="AB157" s="80">
        <v>164.0</v>
      </c>
      <c r="AC157" s="80">
        <v>-1492.0</v>
      </c>
      <c r="AD157" s="80">
        <v>1670.0</v>
      </c>
      <c r="AE157" s="80">
        <v>-446.0</v>
      </c>
    </row>
    <row r="158">
      <c r="A158" s="28">
        <f>'SAMLET_alle regnskab'!B167</f>
        <v>8</v>
      </c>
      <c r="B158" s="80" t="str">
        <f>'SAMLET_alle regnskab'!A167</f>
        <v>12a</v>
      </c>
      <c r="C158" s="28">
        <f>'SAMLET_alle regnskab'!U167</f>
        <v>-4</v>
      </c>
      <c r="D158" s="28">
        <f>'SAMLET_alle regnskab'!V167</f>
        <v>-4</v>
      </c>
      <c r="E158" s="28">
        <f>'SAMLET_alle regnskab'!W167</f>
        <v>12</v>
      </c>
      <c r="F158" s="28">
        <f>'SAMLET_alle regnskab'!X167</f>
        <v>-4</v>
      </c>
      <c r="H158" s="80" t="str">
        <f t="shared" si="7"/>
        <v>12a</v>
      </c>
      <c r="I158" s="28">
        <f t="shared" ref="I158:L158" si="466">I157+C158</f>
        <v>322</v>
      </c>
      <c r="J158" s="28">
        <f t="shared" si="466"/>
        <v>-538</v>
      </c>
      <c r="K158" s="28">
        <f t="shared" si="466"/>
        <v>4</v>
      </c>
      <c r="L158" s="28">
        <f t="shared" si="466"/>
        <v>212</v>
      </c>
      <c r="N158" s="80" t="str">
        <f t="shared" si="25"/>
        <v>12a</v>
      </c>
      <c r="O158" s="28">
        <f t="shared" ref="O158:R158" si="467">O157+I151</f>
        <v>-2322</v>
      </c>
      <c r="P158" s="28">
        <f t="shared" si="467"/>
        <v>-33210</v>
      </c>
      <c r="Q158" s="28">
        <f t="shared" si="467"/>
        <v>-3222</v>
      </c>
      <c r="R158" s="28">
        <f t="shared" si="467"/>
        <v>38754</v>
      </c>
      <c r="T158" s="80" t="s">
        <v>33</v>
      </c>
      <c r="U158" s="80">
        <f t="shared" ref="U158:X158" si="468">U157+C151</f>
        <v>160</v>
      </c>
      <c r="V158" s="80">
        <f t="shared" si="468"/>
        <v>-1488</v>
      </c>
      <c r="W158" s="80">
        <f t="shared" si="468"/>
        <v>1666</v>
      </c>
      <c r="X158" s="80">
        <f t="shared" si="468"/>
        <v>-442</v>
      </c>
      <c r="Z158" s="80" t="s">
        <v>33</v>
      </c>
      <c r="AA158" s="10">
        <v>43882.0</v>
      </c>
      <c r="AB158" s="80">
        <v>160.0</v>
      </c>
      <c r="AC158" s="80">
        <v>-1488.0</v>
      </c>
      <c r="AD158" s="80">
        <v>1666.0</v>
      </c>
      <c r="AE158" s="80">
        <v>-442.0</v>
      </c>
    </row>
    <row r="159">
      <c r="A159" s="28">
        <f>'SAMLET_alle regnskab'!B168</f>
        <v>9</v>
      </c>
      <c r="B159" s="80" t="str">
        <f>'SAMLET_alle regnskab'!A168</f>
        <v>12b</v>
      </c>
      <c r="C159" s="28">
        <f>'SAMLET_alle regnskab'!U168</f>
        <v>-32</v>
      </c>
      <c r="D159" s="28">
        <f>'SAMLET_alle regnskab'!V168</f>
        <v>-32</v>
      </c>
      <c r="E159" s="28">
        <f>'SAMLET_alle regnskab'!W168</f>
        <v>32</v>
      </c>
      <c r="F159" s="28">
        <f>'SAMLET_alle regnskab'!X168</f>
        <v>32</v>
      </c>
      <c r="H159" s="80" t="str">
        <f t="shared" si="7"/>
        <v>12b</v>
      </c>
      <c r="I159" s="28">
        <f t="shared" ref="I159:L159" si="469">I158+C159</f>
        <v>290</v>
      </c>
      <c r="J159" s="28">
        <f t="shared" si="469"/>
        <v>-570</v>
      </c>
      <c r="K159" s="28">
        <f t="shared" si="469"/>
        <v>36</v>
      </c>
      <c r="L159" s="28">
        <f t="shared" si="469"/>
        <v>244</v>
      </c>
      <c r="N159" s="80" t="str">
        <f t="shared" si="25"/>
        <v>12a</v>
      </c>
      <c r="O159" s="28">
        <f t="shared" ref="O159:R159" si="470">O158+I152</f>
        <v>-2008</v>
      </c>
      <c r="P159" s="28">
        <f t="shared" si="470"/>
        <v>-33724</v>
      </c>
      <c r="Q159" s="28">
        <f t="shared" si="470"/>
        <v>-3274</v>
      </c>
      <c r="R159" s="28">
        <f t="shared" si="470"/>
        <v>39006</v>
      </c>
      <c r="T159" s="80" t="s">
        <v>33</v>
      </c>
      <c r="U159" s="80">
        <f t="shared" ref="U159:X159" si="471">U158+C152</f>
        <v>156</v>
      </c>
      <c r="V159" s="80">
        <f t="shared" si="471"/>
        <v>-1476</v>
      </c>
      <c r="W159" s="80">
        <f t="shared" si="471"/>
        <v>1662</v>
      </c>
      <c r="X159" s="80">
        <f t="shared" si="471"/>
        <v>-446</v>
      </c>
      <c r="Z159" s="80" t="s">
        <v>33</v>
      </c>
      <c r="AA159" s="10">
        <v>43882.0</v>
      </c>
      <c r="AB159" s="80">
        <v>156.0</v>
      </c>
      <c r="AC159" s="80">
        <v>-1476.0</v>
      </c>
      <c r="AD159" s="80">
        <v>1662.0</v>
      </c>
      <c r="AE159" s="80">
        <v>-446.0</v>
      </c>
    </row>
    <row r="160">
      <c r="A160" s="28">
        <f>'SAMLET_alle regnskab'!B169</f>
        <v>10</v>
      </c>
      <c r="B160" s="80" t="str">
        <f>'SAMLET_alle regnskab'!A169</f>
        <v>12b</v>
      </c>
      <c r="C160" s="28">
        <f>'SAMLET_alle regnskab'!U169</f>
        <v>-4</v>
      </c>
      <c r="D160" s="28">
        <f>'SAMLET_alle regnskab'!V169</f>
        <v>-4</v>
      </c>
      <c r="E160" s="28">
        <f>'SAMLET_alle regnskab'!W169</f>
        <v>12</v>
      </c>
      <c r="F160" s="28">
        <f>'SAMLET_alle regnskab'!X169</f>
        <v>-4</v>
      </c>
      <c r="H160" s="80" t="str">
        <f t="shared" si="7"/>
        <v>12b</v>
      </c>
      <c r="I160" s="28">
        <f t="shared" ref="I160:L160" si="472">I159+C160</f>
        <v>286</v>
      </c>
      <c r="J160" s="28">
        <f t="shared" si="472"/>
        <v>-574</v>
      </c>
      <c r="K160" s="28">
        <f t="shared" si="472"/>
        <v>48</v>
      </c>
      <c r="L160" s="28">
        <f t="shared" si="472"/>
        <v>240</v>
      </c>
      <c r="N160" s="80" t="str">
        <f t="shared" si="25"/>
        <v>12a</v>
      </c>
      <c r="O160" s="28">
        <f t="shared" ref="O160:R160" si="473">O159+I153</f>
        <v>-1710</v>
      </c>
      <c r="P160" s="28">
        <f t="shared" si="473"/>
        <v>-34222</v>
      </c>
      <c r="Q160" s="28">
        <f t="shared" si="473"/>
        <v>-3310</v>
      </c>
      <c r="R160" s="28">
        <f t="shared" si="473"/>
        <v>39242</v>
      </c>
      <c r="T160" s="80" t="s">
        <v>33</v>
      </c>
      <c r="U160" s="80">
        <f t="shared" ref="U160:X160" si="474">U159+C153</f>
        <v>140</v>
      </c>
      <c r="V160" s="80">
        <f t="shared" si="474"/>
        <v>-1460</v>
      </c>
      <c r="W160" s="80">
        <f t="shared" si="474"/>
        <v>1678</v>
      </c>
      <c r="X160" s="80">
        <f t="shared" si="474"/>
        <v>-462</v>
      </c>
      <c r="Z160" s="80" t="s">
        <v>33</v>
      </c>
      <c r="AA160" s="10">
        <v>43882.0</v>
      </c>
      <c r="AB160" s="80">
        <v>140.0</v>
      </c>
      <c r="AC160" s="80">
        <v>-1460.0</v>
      </c>
      <c r="AD160" s="80">
        <v>1678.0</v>
      </c>
      <c r="AE160" s="80">
        <v>-462.0</v>
      </c>
    </row>
    <row r="161">
      <c r="A161" s="28">
        <f>'SAMLET_alle regnskab'!B170</f>
        <v>11</v>
      </c>
      <c r="B161" s="80" t="str">
        <f>'SAMLET_alle regnskab'!A170</f>
        <v>12b</v>
      </c>
      <c r="C161" s="28">
        <f>'SAMLET_alle regnskab'!U170</f>
        <v>8</v>
      </c>
      <c r="D161" s="28">
        <f>'SAMLET_alle regnskab'!V170</f>
        <v>-8</v>
      </c>
      <c r="E161" s="28">
        <f>'SAMLET_alle regnskab'!W170</f>
        <v>-8</v>
      </c>
      <c r="F161" s="28">
        <f>'SAMLET_alle regnskab'!X170</f>
        <v>8</v>
      </c>
      <c r="H161" s="80" t="str">
        <f t="shared" si="7"/>
        <v>12b</v>
      </c>
      <c r="I161" s="28">
        <f t="shared" ref="I161:L161" si="475">I160+C161</f>
        <v>294</v>
      </c>
      <c r="J161" s="28">
        <f t="shared" si="475"/>
        <v>-582</v>
      </c>
      <c r="K161" s="28">
        <f t="shared" si="475"/>
        <v>40</v>
      </c>
      <c r="L161" s="28">
        <f t="shared" si="475"/>
        <v>248</v>
      </c>
      <c r="N161" s="80" t="str">
        <f t="shared" si="25"/>
        <v>12a</v>
      </c>
      <c r="O161" s="28">
        <f t="shared" ref="O161:R161" si="476">O160+I154</f>
        <v>-1396</v>
      </c>
      <c r="P161" s="28">
        <f t="shared" si="476"/>
        <v>-34736</v>
      </c>
      <c r="Q161" s="28">
        <f t="shared" si="476"/>
        <v>-3330</v>
      </c>
      <c r="R161" s="28">
        <f t="shared" si="476"/>
        <v>39462</v>
      </c>
      <c r="T161" s="80" t="s">
        <v>33</v>
      </c>
      <c r="U161" s="80">
        <f t="shared" ref="U161:X161" si="477">U160+C154</f>
        <v>156</v>
      </c>
      <c r="V161" s="80">
        <f t="shared" si="477"/>
        <v>-1476</v>
      </c>
      <c r="W161" s="80">
        <f t="shared" si="477"/>
        <v>1694</v>
      </c>
      <c r="X161" s="80">
        <f t="shared" si="477"/>
        <v>-478</v>
      </c>
      <c r="Z161" s="80" t="s">
        <v>33</v>
      </c>
      <c r="AA161" s="10">
        <v>43882.0</v>
      </c>
      <c r="AB161" s="80">
        <v>156.0</v>
      </c>
      <c r="AC161" s="80">
        <v>-1476.0</v>
      </c>
      <c r="AD161" s="80">
        <v>1694.0</v>
      </c>
      <c r="AE161" s="80">
        <v>-478.0</v>
      </c>
    </row>
    <row r="162">
      <c r="A162" s="28">
        <f>'SAMLET_alle regnskab'!B171</f>
        <v>12</v>
      </c>
      <c r="B162" s="80" t="str">
        <f>'SAMLET_alle regnskab'!A171</f>
        <v>12b</v>
      </c>
      <c r="C162" s="28">
        <f>'SAMLET_alle regnskab'!U171</f>
        <v>-8</v>
      </c>
      <c r="D162" s="28">
        <f>'SAMLET_alle regnskab'!V171</f>
        <v>8</v>
      </c>
      <c r="E162" s="28">
        <f>'SAMLET_alle regnskab'!W171</f>
        <v>-8</v>
      </c>
      <c r="F162" s="28">
        <f>'SAMLET_alle regnskab'!X171</f>
        <v>8</v>
      </c>
      <c r="H162" s="80" t="str">
        <f t="shared" si="7"/>
        <v>12b</v>
      </c>
      <c r="I162" s="28">
        <f t="shared" ref="I162:L162" si="478">I161+C162</f>
        <v>286</v>
      </c>
      <c r="J162" s="28">
        <f t="shared" si="478"/>
        <v>-574</v>
      </c>
      <c r="K162" s="28">
        <f t="shared" si="478"/>
        <v>32</v>
      </c>
      <c r="L162" s="28">
        <f t="shared" si="478"/>
        <v>256</v>
      </c>
      <c r="N162" s="80" t="str">
        <f t="shared" si="25"/>
        <v>12a</v>
      </c>
      <c r="O162" s="28">
        <f t="shared" ref="O162:R162" si="479">O161+I155</f>
        <v>-1086</v>
      </c>
      <c r="P162" s="28">
        <f t="shared" si="479"/>
        <v>-35254</v>
      </c>
      <c r="Q162" s="28">
        <f t="shared" si="479"/>
        <v>-3354</v>
      </c>
      <c r="R162" s="28">
        <f t="shared" si="479"/>
        <v>39694</v>
      </c>
      <c r="T162" s="80" t="s">
        <v>33</v>
      </c>
      <c r="U162" s="80">
        <f t="shared" ref="U162:X162" si="480">U161+C155</f>
        <v>152</v>
      </c>
      <c r="V162" s="80">
        <f t="shared" si="480"/>
        <v>-1480</v>
      </c>
      <c r="W162" s="80">
        <f t="shared" si="480"/>
        <v>1690</v>
      </c>
      <c r="X162" s="80">
        <f t="shared" si="480"/>
        <v>-466</v>
      </c>
      <c r="Z162" s="80" t="s">
        <v>33</v>
      </c>
      <c r="AA162" s="10">
        <v>43882.0</v>
      </c>
      <c r="AB162" s="80">
        <v>152.0</v>
      </c>
      <c r="AC162" s="80">
        <v>-1480.0</v>
      </c>
      <c r="AD162" s="80">
        <v>1690.0</v>
      </c>
      <c r="AE162" s="80">
        <v>-466.0</v>
      </c>
    </row>
    <row r="163">
      <c r="A163" s="28">
        <f>'SAMLET_alle regnskab'!B172</f>
        <v>13</v>
      </c>
      <c r="B163" s="80" t="str">
        <f>'SAMLET_alle regnskab'!A172</f>
        <v>12b</v>
      </c>
      <c r="C163" s="28">
        <f>'SAMLET_alle regnskab'!U172</f>
        <v>8</v>
      </c>
      <c r="D163" s="28">
        <f>'SAMLET_alle regnskab'!V172</f>
        <v>-8</v>
      </c>
      <c r="E163" s="28">
        <f>'SAMLET_alle regnskab'!W172</f>
        <v>8</v>
      </c>
      <c r="F163" s="28">
        <f>'SAMLET_alle regnskab'!X172</f>
        <v>-8</v>
      </c>
      <c r="H163" s="80" t="str">
        <f t="shared" si="7"/>
        <v>12b</v>
      </c>
      <c r="I163" s="28">
        <f t="shared" ref="I163:L163" si="481">I162+C163</f>
        <v>294</v>
      </c>
      <c r="J163" s="28">
        <f t="shared" si="481"/>
        <v>-582</v>
      </c>
      <c r="K163" s="28">
        <f t="shared" si="481"/>
        <v>40</v>
      </c>
      <c r="L163" s="28">
        <f t="shared" si="481"/>
        <v>248</v>
      </c>
      <c r="N163" s="80" t="str">
        <f t="shared" si="25"/>
        <v>12a</v>
      </c>
      <c r="O163" s="28">
        <f t="shared" ref="O163:R163" si="482">O162+I156</f>
        <v>-768</v>
      </c>
      <c r="P163" s="28">
        <f t="shared" si="482"/>
        <v>-35780</v>
      </c>
      <c r="Q163" s="28">
        <f t="shared" si="482"/>
        <v>-3370</v>
      </c>
      <c r="R163" s="28">
        <f t="shared" si="482"/>
        <v>39918</v>
      </c>
      <c r="T163" s="80" t="s">
        <v>33</v>
      </c>
      <c r="U163" s="80">
        <f t="shared" ref="U163:X163" si="483">U162+C156</f>
        <v>160</v>
      </c>
      <c r="V163" s="80">
        <f t="shared" si="483"/>
        <v>-1488</v>
      </c>
      <c r="W163" s="80">
        <f t="shared" si="483"/>
        <v>1698</v>
      </c>
      <c r="X163" s="80">
        <f t="shared" si="483"/>
        <v>-474</v>
      </c>
      <c r="Z163" s="80" t="s">
        <v>33</v>
      </c>
      <c r="AA163" s="10">
        <v>43882.0</v>
      </c>
      <c r="AB163" s="80">
        <v>160.0</v>
      </c>
      <c r="AC163" s="80">
        <v>-1488.0</v>
      </c>
      <c r="AD163" s="80">
        <v>1698.0</v>
      </c>
      <c r="AE163" s="80">
        <v>-474.0</v>
      </c>
    </row>
    <row r="164">
      <c r="A164" s="28">
        <f>'SAMLET_alle regnskab'!B173</f>
        <v>14</v>
      </c>
      <c r="B164" s="80" t="str">
        <f>'SAMLET_alle regnskab'!A173</f>
        <v>12b</v>
      </c>
      <c r="C164" s="28">
        <f>'SAMLET_alle regnskab'!U173</f>
        <v>-8</v>
      </c>
      <c r="D164" s="28">
        <f>'SAMLET_alle regnskab'!V173</f>
        <v>8</v>
      </c>
      <c r="E164" s="28">
        <f>'SAMLET_alle regnskab'!W173</f>
        <v>-8</v>
      </c>
      <c r="F164" s="28">
        <f>'SAMLET_alle regnskab'!X173</f>
        <v>8</v>
      </c>
      <c r="H164" s="80" t="str">
        <f t="shared" si="7"/>
        <v>12b</v>
      </c>
      <c r="I164" s="28">
        <f t="shared" ref="I164:L164" si="484">I163+C164</f>
        <v>286</v>
      </c>
      <c r="J164" s="28">
        <f t="shared" si="484"/>
        <v>-574</v>
      </c>
      <c r="K164" s="28">
        <f t="shared" si="484"/>
        <v>32</v>
      </c>
      <c r="L164" s="28">
        <f t="shared" si="484"/>
        <v>256</v>
      </c>
      <c r="N164" s="80" t="str">
        <f t="shared" si="25"/>
        <v>12a</v>
      </c>
      <c r="O164" s="28">
        <f t="shared" ref="O164:R164" si="485">O163+I157</f>
        <v>-442</v>
      </c>
      <c r="P164" s="28">
        <f t="shared" si="485"/>
        <v>-36314</v>
      </c>
      <c r="Q164" s="28">
        <f t="shared" si="485"/>
        <v>-3378</v>
      </c>
      <c r="R164" s="28">
        <f t="shared" si="485"/>
        <v>40134</v>
      </c>
      <c r="T164" s="80" t="s">
        <v>33</v>
      </c>
      <c r="U164" s="80">
        <f t="shared" ref="U164:X164" si="486">U163+C157</f>
        <v>168</v>
      </c>
      <c r="V164" s="80">
        <f t="shared" si="486"/>
        <v>-1496</v>
      </c>
      <c r="W164" s="80">
        <f t="shared" si="486"/>
        <v>1706</v>
      </c>
      <c r="X164" s="80">
        <f t="shared" si="486"/>
        <v>-482</v>
      </c>
      <c r="Z164" s="80" t="s">
        <v>33</v>
      </c>
      <c r="AA164" s="10">
        <v>43882.0</v>
      </c>
      <c r="AB164" s="80">
        <v>168.0</v>
      </c>
      <c r="AC164" s="80">
        <v>-1496.0</v>
      </c>
      <c r="AD164" s="80">
        <v>1706.0</v>
      </c>
      <c r="AE164" s="80">
        <v>-482.0</v>
      </c>
    </row>
    <row r="165">
      <c r="A165" s="28">
        <f>'SAMLET_alle regnskab'!B174</f>
        <v>15</v>
      </c>
      <c r="B165" s="80" t="str">
        <f>'SAMLET_alle regnskab'!A174</f>
        <v>12b</v>
      </c>
      <c r="C165" s="28">
        <f>'SAMLET_alle regnskab'!U174</f>
        <v>24</v>
      </c>
      <c r="D165" s="28">
        <f>'SAMLET_alle regnskab'!V174</f>
        <v>-24</v>
      </c>
      <c r="E165" s="28">
        <f>'SAMLET_alle regnskab'!W174</f>
        <v>24</v>
      </c>
      <c r="F165" s="28">
        <f>'SAMLET_alle regnskab'!X174</f>
        <v>-24</v>
      </c>
      <c r="H165" s="80" t="str">
        <f t="shared" si="7"/>
        <v>12b</v>
      </c>
      <c r="I165" s="28">
        <f t="shared" ref="I165:L165" si="487">I164+C165</f>
        <v>310</v>
      </c>
      <c r="J165" s="28">
        <f t="shared" si="487"/>
        <v>-598</v>
      </c>
      <c r="K165" s="28">
        <f t="shared" si="487"/>
        <v>56</v>
      </c>
      <c r="L165" s="28">
        <f t="shared" si="487"/>
        <v>232</v>
      </c>
      <c r="N165" s="80" t="str">
        <f t="shared" si="25"/>
        <v>12a</v>
      </c>
      <c r="O165" s="28">
        <f t="shared" ref="O165:R165" si="488">O164+I158</f>
        <v>-120</v>
      </c>
      <c r="P165" s="28">
        <f t="shared" si="488"/>
        <v>-36852</v>
      </c>
      <c r="Q165" s="28">
        <f t="shared" si="488"/>
        <v>-3374</v>
      </c>
      <c r="R165" s="28">
        <f t="shared" si="488"/>
        <v>40346</v>
      </c>
      <c r="T165" s="80" t="s">
        <v>33</v>
      </c>
      <c r="U165" s="80">
        <f t="shared" ref="U165:X165" si="489">U164+C158</f>
        <v>164</v>
      </c>
      <c r="V165" s="80">
        <f t="shared" si="489"/>
        <v>-1500</v>
      </c>
      <c r="W165" s="80">
        <f t="shared" si="489"/>
        <v>1718</v>
      </c>
      <c r="X165" s="80">
        <f t="shared" si="489"/>
        <v>-486</v>
      </c>
      <c r="Z165" s="80" t="s">
        <v>33</v>
      </c>
      <c r="AA165" s="10">
        <v>43882.0</v>
      </c>
      <c r="AB165" s="80">
        <v>164.0</v>
      </c>
      <c r="AC165" s="80">
        <v>-1500.0</v>
      </c>
      <c r="AD165" s="80">
        <v>1718.0</v>
      </c>
      <c r="AE165" s="80">
        <v>-486.0</v>
      </c>
    </row>
    <row r="166">
      <c r="A166" s="28">
        <f>'SAMLET_alle regnskab'!B175</f>
        <v>16</v>
      </c>
      <c r="B166" s="80" t="str">
        <f>'SAMLET_alle regnskab'!A175</f>
        <v>12b</v>
      </c>
      <c r="C166" s="28">
        <f>'SAMLET_alle regnskab'!U175</f>
        <v>12</v>
      </c>
      <c r="D166" s="28">
        <f>'SAMLET_alle regnskab'!V175</f>
        <v>-12</v>
      </c>
      <c r="E166" s="28">
        <f>'SAMLET_alle regnskab'!W175</f>
        <v>-12</v>
      </c>
      <c r="F166" s="28">
        <f>'SAMLET_alle regnskab'!X175</f>
        <v>12</v>
      </c>
      <c r="H166" s="80" t="str">
        <f t="shared" si="7"/>
        <v>12b</v>
      </c>
      <c r="I166" s="28">
        <f t="shared" ref="I166:L166" si="490">I165+C166</f>
        <v>322</v>
      </c>
      <c r="J166" s="28">
        <f t="shared" si="490"/>
        <v>-610</v>
      </c>
      <c r="K166" s="28">
        <f t="shared" si="490"/>
        <v>44</v>
      </c>
      <c r="L166" s="28">
        <f t="shared" si="490"/>
        <v>244</v>
      </c>
      <c r="N166" s="80" t="str">
        <f t="shared" si="25"/>
        <v>12b</v>
      </c>
      <c r="O166" s="28">
        <f t="shared" ref="O166:R166" si="491">O165+I159</f>
        <v>170</v>
      </c>
      <c r="P166" s="28">
        <f t="shared" si="491"/>
        <v>-37422</v>
      </c>
      <c r="Q166" s="28">
        <f t="shared" si="491"/>
        <v>-3338</v>
      </c>
      <c r="R166" s="28">
        <f t="shared" si="491"/>
        <v>40590</v>
      </c>
      <c r="T166" s="80" t="s">
        <v>36</v>
      </c>
      <c r="U166" s="80">
        <f t="shared" ref="U166:X166" si="492">U165+C159</f>
        <v>132</v>
      </c>
      <c r="V166" s="80">
        <f t="shared" si="492"/>
        <v>-1532</v>
      </c>
      <c r="W166" s="80">
        <f t="shared" si="492"/>
        <v>1750</v>
      </c>
      <c r="X166" s="80">
        <f t="shared" si="492"/>
        <v>-454</v>
      </c>
      <c r="Z166" s="80" t="s">
        <v>36</v>
      </c>
      <c r="AA166" s="10">
        <v>43882.0</v>
      </c>
      <c r="AB166" s="80">
        <v>132.0</v>
      </c>
      <c r="AC166" s="80">
        <v>-1532.0</v>
      </c>
      <c r="AD166" s="80">
        <v>1750.0</v>
      </c>
      <c r="AE166" s="80">
        <v>-454.0</v>
      </c>
    </row>
    <row r="167">
      <c r="A167" s="28">
        <f>'SAMLET_alle regnskab'!B176</f>
        <v>17</v>
      </c>
      <c r="B167" s="80" t="str">
        <f>'SAMLET_alle regnskab'!A176</f>
        <v>12b</v>
      </c>
      <c r="C167" s="28">
        <f>'SAMLET_alle regnskab'!U176</f>
        <v>-36</v>
      </c>
      <c r="D167" s="28">
        <f>'SAMLET_alle regnskab'!V176</f>
        <v>12</v>
      </c>
      <c r="E167" s="28">
        <f>'SAMLET_alle regnskab'!W176</f>
        <v>12</v>
      </c>
      <c r="F167" s="28">
        <f>'SAMLET_alle regnskab'!X176</f>
        <v>12</v>
      </c>
      <c r="H167" s="80" t="str">
        <f t="shared" si="7"/>
        <v>12b</v>
      </c>
      <c r="I167" s="28">
        <f t="shared" ref="I167:L167" si="493">I166+C167</f>
        <v>286</v>
      </c>
      <c r="J167" s="28">
        <f t="shared" si="493"/>
        <v>-598</v>
      </c>
      <c r="K167" s="28">
        <f t="shared" si="493"/>
        <v>56</v>
      </c>
      <c r="L167" s="28">
        <f t="shared" si="493"/>
        <v>256</v>
      </c>
      <c r="N167" s="80" t="str">
        <f t="shared" si="25"/>
        <v>12b</v>
      </c>
      <c r="O167" s="28">
        <f t="shared" ref="O167:R167" si="494">O166+I160</f>
        <v>456</v>
      </c>
      <c r="P167" s="28">
        <f t="shared" si="494"/>
        <v>-37996</v>
      </c>
      <c r="Q167" s="28">
        <f t="shared" si="494"/>
        <v>-3290</v>
      </c>
      <c r="R167" s="28">
        <f t="shared" si="494"/>
        <v>40830</v>
      </c>
      <c r="T167" s="80" t="s">
        <v>36</v>
      </c>
      <c r="U167" s="80">
        <f t="shared" ref="U167:X167" si="495">U166+C160</f>
        <v>128</v>
      </c>
      <c r="V167" s="80">
        <f t="shared" si="495"/>
        <v>-1536</v>
      </c>
      <c r="W167" s="80">
        <f t="shared" si="495"/>
        <v>1762</v>
      </c>
      <c r="X167" s="80">
        <f t="shared" si="495"/>
        <v>-458</v>
      </c>
      <c r="Z167" s="80" t="s">
        <v>36</v>
      </c>
      <c r="AA167" s="10">
        <v>43882.0</v>
      </c>
      <c r="AB167" s="80">
        <v>128.0</v>
      </c>
      <c r="AC167" s="80">
        <v>-1536.0</v>
      </c>
      <c r="AD167" s="80">
        <v>1762.0</v>
      </c>
      <c r="AE167" s="80">
        <v>-458.0</v>
      </c>
    </row>
    <row r="168">
      <c r="A168" s="28">
        <f>'SAMLET_alle regnskab'!B177</f>
        <v>18</v>
      </c>
      <c r="B168" s="80" t="str">
        <f>'SAMLET_alle regnskab'!A177</f>
        <v>12b</v>
      </c>
      <c r="C168" s="28">
        <f>'SAMLET_alle regnskab'!U177</f>
        <v>8</v>
      </c>
      <c r="D168" s="28">
        <f>'SAMLET_alle regnskab'!V177</f>
        <v>-8</v>
      </c>
      <c r="E168" s="28">
        <f>'SAMLET_alle regnskab'!W177</f>
        <v>8</v>
      </c>
      <c r="F168" s="28">
        <f>'SAMLET_alle regnskab'!X177</f>
        <v>-8</v>
      </c>
      <c r="H168" s="80" t="str">
        <f t="shared" si="7"/>
        <v>12b</v>
      </c>
      <c r="I168" s="28">
        <f t="shared" ref="I168:L168" si="496">I167+C168</f>
        <v>294</v>
      </c>
      <c r="J168" s="28">
        <f t="shared" si="496"/>
        <v>-606</v>
      </c>
      <c r="K168" s="28">
        <f t="shared" si="496"/>
        <v>64</v>
      </c>
      <c r="L168" s="28">
        <f t="shared" si="496"/>
        <v>248</v>
      </c>
      <c r="N168" s="80" t="str">
        <f t="shared" si="25"/>
        <v>12b</v>
      </c>
      <c r="O168" s="28">
        <f t="shared" ref="O168:R168" si="497">O167+I161</f>
        <v>750</v>
      </c>
      <c r="P168" s="28">
        <f t="shared" si="497"/>
        <v>-38578</v>
      </c>
      <c r="Q168" s="28">
        <f t="shared" si="497"/>
        <v>-3250</v>
      </c>
      <c r="R168" s="28">
        <f t="shared" si="497"/>
        <v>41078</v>
      </c>
      <c r="T168" s="80" t="s">
        <v>36</v>
      </c>
      <c r="U168" s="80">
        <f t="shared" ref="U168:X168" si="498">U167+C161</f>
        <v>136</v>
      </c>
      <c r="V168" s="80">
        <f t="shared" si="498"/>
        <v>-1544</v>
      </c>
      <c r="W168" s="80">
        <f t="shared" si="498"/>
        <v>1754</v>
      </c>
      <c r="X168" s="80">
        <f t="shared" si="498"/>
        <v>-450</v>
      </c>
      <c r="Z168" s="80" t="s">
        <v>36</v>
      </c>
      <c r="AA168" s="10">
        <v>43882.0</v>
      </c>
      <c r="AB168" s="80">
        <v>136.0</v>
      </c>
      <c r="AC168" s="80">
        <v>-1544.0</v>
      </c>
      <c r="AD168" s="80">
        <v>1754.0</v>
      </c>
      <c r="AE168" s="80">
        <v>-450.0</v>
      </c>
    </row>
    <row r="169">
      <c r="A169" s="28">
        <f>'SAMLET_alle regnskab'!B178</f>
        <v>19</v>
      </c>
      <c r="B169" s="80" t="str">
        <f>'SAMLET_alle regnskab'!A178</f>
        <v>12b</v>
      </c>
      <c r="C169" s="28">
        <f>'SAMLET_alle regnskab'!U178</f>
        <v>-8</v>
      </c>
      <c r="D169" s="28">
        <f>'SAMLET_alle regnskab'!V178</f>
        <v>8</v>
      </c>
      <c r="E169" s="28">
        <f>'SAMLET_alle regnskab'!W178</f>
        <v>-8</v>
      </c>
      <c r="F169" s="28">
        <f>'SAMLET_alle regnskab'!X178</f>
        <v>8</v>
      </c>
      <c r="H169" s="80" t="str">
        <f t="shared" si="7"/>
        <v>12b</v>
      </c>
      <c r="I169" s="28">
        <f t="shared" ref="I169:L169" si="499">I168+C169</f>
        <v>286</v>
      </c>
      <c r="J169" s="28">
        <f t="shared" si="499"/>
        <v>-598</v>
      </c>
      <c r="K169" s="28">
        <f t="shared" si="499"/>
        <v>56</v>
      </c>
      <c r="L169" s="28">
        <f t="shared" si="499"/>
        <v>256</v>
      </c>
      <c r="N169" s="80" t="str">
        <f t="shared" si="25"/>
        <v>12b</v>
      </c>
      <c r="O169" s="28">
        <f t="shared" ref="O169:R169" si="500">O168+I162</f>
        <v>1036</v>
      </c>
      <c r="P169" s="28">
        <f t="shared" si="500"/>
        <v>-39152</v>
      </c>
      <c r="Q169" s="28">
        <f t="shared" si="500"/>
        <v>-3218</v>
      </c>
      <c r="R169" s="28">
        <f t="shared" si="500"/>
        <v>41334</v>
      </c>
      <c r="T169" s="80" t="s">
        <v>36</v>
      </c>
      <c r="U169" s="80">
        <f t="shared" ref="U169:X169" si="501">U168+C162</f>
        <v>128</v>
      </c>
      <c r="V169" s="80">
        <f t="shared" si="501"/>
        <v>-1536</v>
      </c>
      <c r="W169" s="80">
        <f t="shared" si="501"/>
        <v>1746</v>
      </c>
      <c r="X169" s="80">
        <f t="shared" si="501"/>
        <v>-442</v>
      </c>
      <c r="Z169" s="80" t="s">
        <v>36</v>
      </c>
      <c r="AA169" s="10">
        <v>43882.0</v>
      </c>
      <c r="AB169" s="80">
        <v>128.0</v>
      </c>
      <c r="AC169" s="80">
        <v>-1536.0</v>
      </c>
      <c r="AD169" s="80">
        <v>1746.0</v>
      </c>
      <c r="AE169" s="80">
        <v>-442.0</v>
      </c>
    </row>
    <row r="170">
      <c r="A170" s="28">
        <f>'SAMLET_alle regnskab'!B179</f>
        <v>20</v>
      </c>
      <c r="B170" s="80" t="str">
        <f>'SAMLET_alle regnskab'!A179</f>
        <v>12b</v>
      </c>
      <c r="C170" s="28">
        <f>'SAMLET_alle regnskab'!U179</f>
        <v>144</v>
      </c>
      <c r="D170" s="28">
        <f>'SAMLET_alle regnskab'!V179</f>
        <v>-48</v>
      </c>
      <c r="E170" s="28">
        <f>'SAMLET_alle regnskab'!W179</f>
        <v>-48</v>
      </c>
      <c r="F170" s="28">
        <f>'SAMLET_alle regnskab'!X179</f>
        <v>-48</v>
      </c>
      <c r="H170" s="80" t="str">
        <f t="shared" si="7"/>
        <v>12b</v>
      </c>
      <c r="I170" s="28">
        <f t="shared" ref="I170:L170" si="502">I169+C170</f>
        <v>430</v>
      </c>
      <c r="J170" s="28">
        <f t="shared" si="502"/>
        <v>-646</v>
      </c>
      <c r="K170" s="28">
        <f t="shared" si="502"/>
        <v>8</v>
      </c>
      <c r="L170" s="28">
        <f t="shared" si="502"/>
        <v>208</v>
      </c>
      <c r="N170" s="80" t="str">
        <f t="shared" si="25"/>
        <v>12b</v>
      </c>
      <c r="O170" s="28">
        <f t="shared" ref="O170:R170" si="503">O169+I163</f>
        <v>1330</v>
      </c>
      <c r="P170" s="28">
        <f t="shared" si="503"/>
        <v>-39734</v>
      </c>
      <c r="Q170" s="28">
        <f t="shared" si="503"/>
        <v>-3178</v>
      </c>
      <c r="R170" s="28">
        <f t="shared" si="503"/>
        <v>41582</v>
      </c>
      <c r="T170" s="80" t="s">
        <v>36</v>
      </c>
      <c r="U170" s="80">
        <f t="shared" ref="U170:X170" si="504">U169+C163</f>
        <v>136</v>
      </c>
      <c r="V170" s="80">
        <f t="shared" si="504"/>
        <v>-1544</v>
      </c>
      <c r="W170" s="80">
        <f t="shared" si="504"/>
        <v>1754</v>
      </c>
      <c r="X170" s="80">
        <f t="shared" si="504"/>
        <v>-450</v>
      </c>
      <c r="Z170" s="80" t="s">
        <v>36</v>
      </c>
      <c r="AA170" s="10">
        <v>43882.0</v>
      </c>
      <c r="AB170" s="80">
        <v>136.0</v>
      </c>
      <c r="AC170" s="80">
        <v>-1544.0</v>
      </c>
      <c r="AD170" s="80">
        <v>1754.0</v>
      </c>
      <c r="AE170" s="80">
        <v>-450.0</v>
      </c>
    </row>
    <row r="171">
      <c r="A171" s="28">
        <f>'SAMLET_alle regnskab'!B180</f>
        <v>21</v>
      </c>
      <c r="B171" s="80" t="str">
        <f>'SAMLET_alle regnskab'!A180</f>
        <v>12b</v>
      </c>
      <c r="C171" s="28">
        <f>'SAMLET_alle regnskab'!U180</f>
        <v>-12</v>
      </c>
      <c r="D171" s="28">
        <f>'SAMLET_alle regnskab'!V180</f>
        <v>4</v>
      </c>
      <c r="E171" s="28">
        <f>'SAMLET_alle regnskab'!W180</f>
        <v>4</v>
      </c>
      <c r="F171" s="28">
        <f>'SAMLET_alle regnskab'!X180</f>
        <v>4</v>
      </c>
      <c r="H171" s="80" t="str">
        <f t="shared" si="7"/>
        <v>12b</v>
      </c>
      <c r="I171" s="28">
        <f t="shared" ref="I171:L171" si="505">I170+C171</f>
        <v>418</v>
      </c>
      <c r="J171" s="28">
        <f t="shared" si="505"/>
        <v>-642</v>
      </c>
      <c r="K171" s="28">
        <f t="shared" si="505"/>
        <v>12</v>
      </c>
      <c r="L171" s="28">
        <f t="shared" si="505"/>
        <v>212</v>
      </c>
      <c r="N171" s="80" t="str">
        <f t="shared" si="25"/>
        <v>12b</v>
      </c>
      <c r="O171" s="28">
        <f t="shared" ref="O171:R171" si="506">O170+I164</f>
        <v>1616</v>
      </c>
      <c r="P171" s="28">
        <f t="shared" si="506"/>
        <v>-40308</v>
      </c>
      <c r="Q171" s="28">
        <f t="shared" si="506"/>
        <v>-3146</v>
      </c>
      <c r="R171" s="28">
        <f t="shared" si="506"/>
        <v>41838</v>
      </c>
      <c r="T171" s="80" t="s">
        <v>36</v>
      </c>
      <c r="U171" s="80">
        <f t="shared" ref="U171:X171" si="507">U170+C164</f>
        <v>128</v>
      </c>
      <c r="V171" s="80">
        <f t="shared" si="507"/>
        <v>-1536</v>
      </c>
      <c r="W171" s="80">
        <f t="shared" si="507"/>
        <v>1746</v>
      </c>
      <c r="X171" s="80">
        <f t="shared" si="507"/>
        <v>-442</v>
      </c>
      <c r="Z171" s="80" t="s">
        <v>36</v>
      </c>
      <c r="AA171" s="10">
        <v>43882.0</v>
      </c>
      <c r="AB171" s="80">
        <v>128.0</v>
      </c>
      <c r="AC171" s="80">
        <v>-1536.0</v>
      </c>
      <c r="AD171" s="80">
        <v>1746.0</v>
      </c>
      <c r="AE171" s="80">
        <v>-442.0</v>
      </c>
    </row>
    <row r="172">
      <c r="A172" s="28">
        <f>'SAMLET_alle regnskab'!B181</f>
        <v>22</v>
      </c>
      <c r="B172" s="80" t="str">
        <f>'SAMLET_alle regnskab'!A181</f>
        <v>12b</v>
      </c>
      <c r="C172" s="28">
        <f>'SAMLET_alle regnskab'!U181</f>
        <v>-24</v>
      </c>
      <c r="D172" s="28">
        <f>'SAMLET_alle regnskab'!V181</f>
        <v>24</v>
      </c>
      <c r="E172" s="28">
        <f>'SAMLET_alle regnskab'!W181</f>
        <v>-24</v>
      </c>
      <c r="F172" s="28">
        <f>'SAMLET_alle regnskab'!X181</f>
        <v>24</v>
      </c>
      <c r="H172" s="80" t="str">
        <f t="shared" si="7"/>
        <v>12b</v>
      </c>
      <c r="I172" s="28">
        <f t="shared" ref="I172:L172" si="508">I171+C172</f>
        <v>394</v>
      </c>
      <c r="J172" s="28">
        <f t="shared" si="508"/>
        <v>-618</v>
      </c>
      <c r="K172" s="28">
        <f t="shared" si="508"/>
        <v>-12</v>
      </c>
      <c r="L172" s="28">
        <f t="shared" si="508"/>
        <v>236</v>
      </c>
      <c r="N172" s="80" t="str">
        <f t="shared" si="25"/>
        <v>12b</v>
      </c>
      <c r="O172" s="28">
        <f t="shared" ref="O172:R172" si="509">O171+I165</f>
        <v>1926</v>
      </c>
      <c r="P172" s="28">
        <f t="shared" si="509"/>
        <v>-40906</v>
      </c>
      <c r="Q172" s="28">
        <f t="shared" si="509"/>
        <v>-3090</v>
      </c>
      <c r="R172" s="28">
        <f t="shared" si="509"/>
        <v>42070</v>
      </c>
      <c r="T172" s="80" t="s">
        <v>36</v>
      </c>
      <c r="U172" s="80">
        <f t="shared" ref="U172:X172" si="510">U171+C165</f>
        <v>152</v>
      </c>
      <c r="V172" s="80">
        <f t="shared" si="510"/>
        <v>-1560</v>
      </c>
      <c r="W172" s="80">
        <f t="shared" si="510"/>
        <v>1770</v>
      </c>
      <c r="X172" s="80">
        <f t="shared" si="510"/>
        <v>-466</v>
      </c>
      <c r="Z172" s="80" t="s">
        <v>36</v>
      </c>
      <c r="AA172" s="10">
        <v>43882.0</v>
      </c>
      <c r="AB172" s="80">
        <v>152.0</v>
      </c>
      <c r="AC172" s="80">
        <v>-1560.0</v>
      </c>
      <c r="AD172" s="80">
        <v>1770.0</v>
      </c>
      <c r="AE172" s="80">
        <v>-466.0</v>
      </c>
    </row>
    <row r="173">
      <c r="A173" s="28">
        <f>'SAMLET_alle regnskab'!B182</f>
        <v>23</v>
      </c>
      <c r="B173" s="80" t="str">
        <f>'SAMLET_alle regnskab'!A182</f>
        <v>12b</v>
      </c>
      <c r="C173" s="28">
        <f>'SAMLET_alle regnskab'!U182</f>
        <v>-4</v>
      </c>
      <c r="D173" s="28">
        <f>'SAMLET_alle regnskab'!V182</f>
        <v>-4</v>
      </c>
      <c r="E173" s="28">
        <f>'SAMLET_alle regnskab'!W182</f>
        <v>-4</v>
      </c>
      <c r="F173" s="28">
        <f>'SAMLET_alle regnskab'!X182</f>
        <v>12</v>
      </c>
      <c r="H173" s="80" t="str">
        <f t="shared" si="7"/>
        <v>12b</v>
      </c>
      <c r="I173" s="28">
        <f t="shared" ref="I173:L173" si="511">I172+C173</f>
        <v>390</v>
      </c>
      <c r="J173" s="28">
        <f t="shared" si="511"/>
        <v>-622</v>
      </c>
      <c r="K173" s="28">
        <f t="shared" si="511"/>
        <v>-16</v>
      </c>
      <c r="L173" s="28">
        <f t="shared" si="511"/>
        <v>248</v>
      </c>
      <c r="N173" s="80" t="str">
        <f t="shared" si="25"/>
        <v>12b</v>
      </c>
      <c r="O173" s="28">
        <f t="shared" ref="O173:R173" si="512">O172+I166</f>
        <v>2248</v>
      </c>
      <c r="P173" s="28">
        <f t="shared" si="512"/>
        <v>-41516</v>
      </c>
      <c r="Q173" s="28">
        <f t="shared" si="512"/>
        <v>-3046</v>
      </c>
      <c r="R173" s="28">
        <f t="shared" si="512"/>
        <v>42314</v>
      </c>
      <c r="T173" s="80" t="s">
        <v>36</v>
      </c>
      <c r="U173" s="80">
        <f t="shared" ref="U173:X173" si="513">U172+C166</f>
        <v>164</v>
      </c>
      <c r="V173" s="80">
        <f t="shared" si="513"/>
        <v>-1572</v>
      </c>
      <c r="W173" s="80">
        <f t="shared" si="513"/>
        <v>1758</v>
      </c>
      <c r="X173" s="80">
        <f t="shared" si="513"/>
        <v>-454</v>
      </c>
      <c r="Z173" s="80" t="s">
        <v>36</v>
      </c>
      <c r="AA173" s="10">
        <v>43882.0</v>
      </c>
      <c r="AB173" s="80">
        <v>164.0</v>
      </c>
      <c r="AC173" s="80">
        <v>-1572.0</v>
      </c>
      <c r="AD173" s="80">
        <v>1758.0</v>
      </c>
      <c r="AE173" s="80">
        <v>-454.0</v>
      </c>
    </row>
    <row r="174">
      <c r="A174" s="28">
        <f>'SAMLET_alle regnskab'!B183</f>
        <v>24</v>
      </c>
      <c r="B174" s="80" t="str">
        <f>'SAMLET_alle regnskab'!A183</f>
        <v>12b</v>
      </c>
      <c r="C174" s="28">
        <f>'SAMLET_alle regnskab'!U183</f>
        <v>12</v>
      </c>
      <c r="D174" s="28">
        <f>'SAMLET_alle regnskab'!V183</f>
        <v>-12</v>
      </c>
      <c r="E174" s="28">
        <f>'SAMLET_alle regnskab'!W183</f>
        <v>12</v>
      </c>
      <c r="F174" s="28">
        <f>'SAMLET_alle regnskab'!X183</f>
        <v>-12</v>
      </c>
      <c r="H174" s="80" t="str">
        <f t="shared" si="7"/>
        <v>12b</v>
      </c>
      <c r="I174" s="28">
        <f t="shared" ref="I174:L174" si="514">I173+C174</f>
        <v>402</v>
      </c>
      <c r="J174" s="28">
        <f t="shared" si="514"/>
        <v>-634</v>
      </c>
      <c r="K174" s="28">
        <f t="shared" si="514"/>
        <v>-4</v>
      </c>
      <c r="L174" s="28">
        <f t="shared" si="514"/>
        <v>236</v>
      </c>
      <c r="N174" s="80" t="str">
        <f t="shared" si="25"/>
        <v>12b</v>
      </c>
      <c r="O174" s="28">
        <f t="shared" ref="O174:R174" si="515">O173+I167</f>
        <v>2534</v>
      </c>
      <c r="P174" s="28">
        <f t="shared" si="515"/>
        <v>-42114</v>
      </c>
      <c r="Q174" s="28">
        <f t="shared" si="515"/>
        <v>-2990</v>
      </c>
      <c r="R174" s="28">
        <f t="shared" si="515"/>
        <v>42570</v>
      </c>
      <c r="T174" s="80" t="s">
        <v>36</v>
      </c>
      <c r="U174" s="80">
        <f t="shared" ref="U174:X174" si="516">U173+C167</f>
        <v>128</v>
      </c>
      <c r="V174" s="80">
        <f t="shared" si="516"/>
        <v>-1560</v>
      </c>
      <c r="W174" s="80">
        <f t="shared" si="516"/>
        <v>1770</v>
      </c>
      <c r="X174" s="80">
        <f t="shared" si="516"/>
        <v>-442</v>
      </c>
      <c r="Z174" s="80" t="s">
        <v>36</v>
      </c>
      <c r="AA174" s="10">
        <v>43882.0</v>
      </c>
      <c r="AB174" s="80">
        <v>128.0</v>
      </c>
      <c r="AC174" s="80">
        <v>-1560.0</v>
      </c>
      <c r="AD174" s="80">
        <v>1770.0</v>
      </c>
      <c r="AE174" s="80">
        <v>-442.0</v>
      </c>
    </row>
    <row r="175">
      <c r="A175" s="28">
        <f>'SAMLET_alle regnskab'!B184</f>
        <v>25</v>
      </c>
      <c r="B175" s="80" t="str">
        <f>'SAMLET_alle regnskab'!A184</f>
        <v>12b</v>
      </c>
      <c r="C175" s="28">
        <f>'SAMLET_alle regnskab'!U184</f>
        <v>-4</v>
      </c>
      <c r="D175" s="28">
        <f>'SAMLET_alle regnskab'!V184</f>
        <v>-4</v>
      </c>
      <c r="E175" s="28">
        <f>'SAMLET_alle regnskab'!W184</f>
        <v>-4</v>
      </c>
      <c r="F175" s="28">
        <f>'SAMLET_alle regnskab'!X184</f>
        <v>12</v>
      </c>
      <c r="H175" s="80" t="str">
        <f t="shared" si="7"/>
        <v>12b</v>
      </c>
      <c r="I175" s="28">
        <f t="shared" ref="I175:L175" si="517">I174+C175</f>
        <v>398</v>
      </c>
      <c r="J175" s="28">
        <f t="shared" si="517"/>
        <v>-638</v>
      </c>
      <c r="K175" s="28">
        <f t="shared" si="517"/>
        <v>-8</v>
      </c>
      <c r="L175" s="28">
        <f t="shared" si="517"/>
        <v>248</v>
      </c>
      <c r="N175" s="80" t="str">
        <f t="shared" si="25"/>
        <v>12b</v>
      </c>
      <c r="O175" s="28">
        <f t="shared" ref="O175:R175" si="518">O174+I168</f>
        <v>2828</v>
      </c>
      <c r="P175" s="28">
        <f t="shared" si="518"/>
        <v>-42720</v>
      </c>
      <c r="Q175" s="28">
        <f t="shared" si="518"/>
        <v>-2926</v>
      </c>
      <c r="R175" s="28">
        <f t="shared" si="518"/>
        <v>42818</v>
      </c>
      <c r="T175" s="80" t="s">
        <v>36</v>
      </c>
      <c r="U175" s="80">
        <f t="shared" ref="U175:X175" si="519">U174+C168</f>
        <v>136</v>
      </c>
      <c r="V175" s="80">
        <f t="shared" si="519"/>
        <v>-1568</v>
      </c>
      <c r="W175" s="80">
        <f t="shared" si="519"/>
        <v>1778</v>
      </c>
      <c r="X175" s="80">
        <f t="shared" si="519"/>
        <v>-450</v>
      </c>
      <c r="Z175" s="80" t="s">
        <v>36</v>
      </c>
      <c r="AA175" s="10">
        <v>43882.0</v>
      </c>
      <c r="AB175" s="80">
        <v>136.0</v>
      </c>
      <c r="AC175" s="80">
        <v>-1568.0</v>
      </c>
      <c r="AD175" s="80">
        <v>1778.0</v>
      </c>
      <c r="AE175" s="80">
        <v>-450.0</v>
      </c>
    </row>
    <row r="176">
      <c r="A176" s="28">
        <f>'SAMLET_alle regnskab'!B185</f>
        <v>26</v>
      </c>
      <c r="B176" s="80" t="str">
        <f>'SAMLET_alle regnskab'!A185</f>
        <v>12b</v>
      </c>
      <c r="C176" s="28">
        <f>'SAMLET_alle regnskab'!U185</f>
        <v>-16</v>
      </c>
      <c r="D176" s="28">
        <f>'SAMLET_alle regnskab'!V185</f>
        <v>16</v>
      </c>
      <c r="E176" s="28">
        <f>'SAMLET_alle regnskab'!W185</f>
        <v>-16</v>
      </c>
      <c r="F176" s="28">
        <f>'SAMLET_alle regnskab'!X185</f>
        <v>16</v>
      </c>
      <c r="H176" s="80" t="str">
        <f t="shared" si="7"/>
        <v>12b</v>
      </c>
      <c r="I176" s="28">
        <f t="shared" ref="I176:L176" si="520">I175+C176</f>
        <v>382</v>
      </c>
      <c r="J176" s="28">
        <f t="shared" si="520"/>
        <v>-622</v>
      </c>
      <c r="K176" s="28">
        <f t="shared" si="520"/>
        <v>-24</v>
      </c>
      <c r="L176" s="28">
        <f t="shared" si="520"/>
        <v>264</v>
      </c>
      <c r="N176" s="80" t="str">
        <f t="shared" si="25"/>
        <v>12b</v>
      </c>
      <c r="O176" s="28">
        <f t="shared" ref="O176:R176" si="521">O175+I169</f>
        <v>3114</v>
      </c>
      <c r="P176" s="28">
        <f t="shared" si="521"/>
        <v>-43318</v>
      </c>
      <c r="Q176" s="28">
        <f t="shared" si="521"/>
        <v>-2870</v>
      </c>
      <c r="R176" s="28">
        <f t="shared" si="521"/>
        <v>43074</v>
      </c>
      <c r="T176" s="80" t="s">
        <v>36</v>
      </c>
      <c r="U176" s="80">
        <f t="shared" ref="U176:X176" si="522">U175+C169</f>
        <v>128</v>
      </c>
      <c r="V176" s="80">
        <f t="shared" si="522"/>
        <v>-1560</v>
      </c>
      <c r="W176" s="80">
        <f t="shared" si="522"/>
        <v>1770</v>
      </c>
      <c r="X176" s="80">
        <f t="shared" si="522"/>
        <v>-442</v>
      </c>
      <c r="Z176" s="80" t="s">
        <v>36</v>
      </c>
      <c r="AA176" s="10">
        <v>43882.0</v>
      </c>
      <c r="AB176" s="80">
        <v>128.0</v>
      </c>
      <c r="AC176" s="80">
        <v>-1560.0</v>
      </c>
      <c r="AD176" s="80">
        <v>1770.0</v>
      </c>
      <c r="AE176" s="80">
        <v>-442.0</v>
      </c>
    </row>
    <row r="177">
      <c r="A177" s="28">
        <f>'SAMLET_alle regnskab'!B186</f>
        <v>27</v>
      </c>
      <c r="B177" s="80" t="str">
        <f>'SAMLET_alle regnskab'!A186</f>
        <v>12b</v>
      </c>
      <c r="C177" s="28">
        <f>'SAMLET_alle regnskab'!U186</f>
        <v>-8</v>
      </c>
      <c r="D177" s="28">
        <f>'SAMLET_alle regnskab'!V186</f>
        <v>24</v>
      </c>
      <c r="E177" s="28">
        <f>'SAMLET_alle regnskab'!W186</f>
        <v>-8</v>
      </c>
      <c r="F177" s="28">
        <f>'SAMLET_alle regnskab'!X186</f>
        <v>-8</v>
      </c>
      <c r="H177" s="80" t="str">
        <f t="shared" si="7"/>
        <v>12b</v>
      </c>
      <c r="I177" s="28">
        <f t="shared" ref="I177:L177" si="523">I176+C177</f>
        <v>374</v>
      </c>
      <c r="J177" s="28">
        <f t="shared" si="523"/>
        <v>-598</v>
      </c>
      <c r="K177" s="28">
        <f t="shared" si="523"/>
        <v>-32</v>
      </c>
      <c r="L177" s="28">
        <f t="shared" si="523"/>
        <v>256</v>
      </c>
      <c r="N177" s="80" t="str">
        <f t="shared" si="25"/>
        <v>12b</v>
      </c>
      <c r="O177" s="28">
        <f t="shared" ref="O177:R177" si="524">O176+I170</f>
        <v>3544</v>
      </c>
      <c r="P177" s="28">
        <f t="shared" si="524"/>
        <v>-43964</v>
      </c>
      <c r="Q177" s="28">
        <f t="shared" si="524"/>
        <v>-2862</v>
      </c>
      <c r="R177" s="28">
        <f t="shared" si="524"/>
        <v>43282</v>
      </c>
      <c r="T177" s="80" t="s">
        <v>36</v>
      </c>
      <c r="U177" s="80">
        <f t="shared" ref="U177:X177" si="525">U176+C170</f>
        <v>272</v>
      </c>
      <c r="V177" s="80">
        <f t="shared" si="525"/>
        <v>-1608</v>
      </c>
      <c r="W177" s="80">
        <f t="shared" si="525"/>
        <v>1722</v>
      </c>
      <c r="X177" s="80">
        <f t="shared" si="525"/>
        <v>-490</v>
      </c>
      <c r="Z177" s="80" t="s">
        <v>36</v>
      </c>
      <c r="AA177" s="10">
        <v>43882.0</v>
      </c>
      <c r="AB177" s="80">
        <v>272.0</v>
      </c>
      <c r="AC177" s="80">
        <v>-1608.0</v>
      </c>
      <c r="AD177" s="80">
        <v>1722.0</v>
      </c>
      <c r="AE177" s="80">
        <v>-490.0</v>
      </c>
    </row>
    <row r="178">
      <c r="A178" s="28">
        <f>'SAMLET_alle regnskab'!B187</f>
        <v>28</v>
      </c>
      <c r="B178" s="80" t="str">
        <f>'SAMLET_alle regnskab'!A187</f>
        <v>12b</v>
      </c>
      <c r="C178" s="28">
        <f>'SAMLET_alle regnskab'!U187</f>
        <v>12</v>
      </c>
      <c r="D178" s="28">
        <f>'SAMLET_alle regnskab'!V187</f>
        <v>12</v>
      </c>
      <c r="E178" s="28">
        <f>'SAMLET_alle regnskab'!W187</f>
        <v>-12</v>
      </c>
      <c r="F178" s="28">
        <f>'SAMLET_alle regnskab'!X187</f>
        <v>-12</v>
      </c>
      <c r="H178" s="80" t="str">
        <f t="shared" si="7"/>
        <v>12b</v>
      </c>
      <c r="I178" s="28">
        <f t="shared" ref="I178:L178" si="526">I177+C178</f>
        <v>386</v>
      </c>
      <c r="J178" s="28">
        <f t="shared" si="526"/>
        <v>-586</v>
      </c>
      <c r="K178" s="28">
        <f t="shared" si="526"/>
        <v>-44</v>
      </c>
      <c r="L178" s="28">
        <f t="shared" si="526"/>
        <v>244</v>
      </c>
      <c r="N178" s="80" t="str">
        <f t="shared" si="25"/>
        <v>12b</v>
      </c>
      <c r="O178" s="28">
        <f t="shared" ref="O178:R178" si="527">O177+I171</f>
        <v>3962</v>
      </c>
      <c r="P178" s="28">
        <f t="shared" si="527"/>
        <v>-44606</v>
      </c>
      <c r="Q178" s="28">
        <f t="shared" si="527"/>
        <v>-2850</v>
      </c>
      <c r="R178" s="28">
        <f t="shared" si="527"/>
        <v>43494</v>
      </c>
      <c r="T178" s="80" t="s">
        <v>36</v>
      </c>
      <c r="U178" s="80">
        <f t="shared" ref="U178:X178" si="528">U177+C171</f>
        <v>260</v>
      </c>
      <c r="V178" s="80">
        <f t="shared" si="528"/>
        <v>-1604</v>
      </c>
      <c r="W178" s="80">
        <f t="shared" si="528"/>
        <v>1726</v>
      </c>
      <c r="X178" s="80">
        <f t="shared" si="528"/>
        <v>-486</v>
      </c>
      <c r="Z178" s="80" t="s">
        <v>36</v>
      </c>
      <c r="AA178" s="10">
        <v>43882.0</v>
      </c>
      <c r="AB178" s="80">
        <v>260.0</v>
      </c>
      <c r="AC178" s="80">
        <v>-1604.0</v>
      </c>
      <c r="AD178" s="80">
        <v>1726.0</v>
      </c>
      <c r="AE178" s="80">
        <v>-486.0</v>
      </c>
    </row>
    <row r="179">
      <c r="A179" s="28">
        <f>'SAMLET_alle regnskab'!B188</f>
        <v>29</v>
      </c>
      <c r="B179" s="80" t="str">
        <f>'SAMLET_alle regnskab'!A188</f>
        <v>12b</v>
      </c>
      <c r="C179" s="28">
        <f>'SAMLET_alle regnskab'!U188</f>
        <v>-8</v>
      </c>
      <c r="D179" s="28">
        <f>'SAMLET_alle regnskab'!V188</f>
        <v>-8</v>
      </c>
      <c r="E179" s="28">
        <f>'SAMLET_alle regnskab'!W188</f>
        <v>-8</v>
      </c>
      <c r="F179" s="28">
        <f>'SAMLET_alle regnskab'!X188</f>
        <v>24</v>
      </c>
      <c r="H179" s="80" t="str">
        <f t="shared" si="7"/>
        <v>12b</v>
      </c>
      <c r="I179" s="28">
        <f t="shared" ref="I179:L179" si="529">I178+C179</f>
        <v>378</v>
      </c>
      <c r="J179" s="28">
        <f t="shared" si="529"/>
        <v>-594</v>
      </c>
      <c r="K179" s="28">
        <f t="shared" si="529"/>
        <v>-52</v>
      </c>
      <c r="L179" s="28">
        <f t="shared" si="529"/>
        <v>268</v>
      </c>
      <c r="N179" s="80" t="str">
        <f t="shared" si="25"/>
        <v>12b</v>
      </c>
      <c r="O179" s="28">
        <f t="shared" ref="O179:R179" si="530">O178+I172</f>
        <v>4356</v>
      </c>
      <c r="P179" s="28">
        <f t="shared" si="530"/>
        <v>-45224</v>
      </c>
      <c r="Q179" s="28">
        <f t="shared" si="530"/>
        <v>-2862</v>
      </c>
      <c r="R179" s="28">
        <f t="shared" si="530"/>
        <v>43730</v>
      </c>
      <c r="T179" s="80" t="s">
        <v>36</v>
      </c>
      <c r="U179" s="80">
        <f t="shared" ref="U179:X179" si="531">U178+C172</f>
        <v>236</v>
      </c>
      <c r="V179" s="80">
        <f t="shared" si="531"/>
        <v>-1580</v>
      </c>
      <c r="W179" s="80">
        <f t="shared" si="531"/>
        <v>1702</v>
      </c>
      <c r="X179" s="80">
        <f t="shared" si="531"/>
        <v>-462</v>
      </c>
      <c r="Z179" s="80" t="s">
        <v>36</v>
      </c>
      <c r="AA179" s="10">
        <v>43882.0</v>
      </c>
      <c r="AB179" s="80">
        <v>236.0</v>
      </c>
      <c r="AC179" s="80">
        <v>-1580.0</v>
      </c>
      <c r="AD179" s="80">
        <v>1702.0</v>
      </c>
      <c r="AE179" s="80">
        <v>-462.0</v>
      </c>
    </row>
    <row r="180">
      <c r="A180" s="28">
        <f>'SAMLET_alle regnskab'!B189</f>
        <v>30</v>
      </c>
      <c r="B180" s="80" t="str">
        <f>'SAMLET_alle regnskab'!A189</f>
        <v>12b</v>
      </c>
      <c r="C180" s="28">
        <f>'SAMLET_alle regnskab'!U189</f>
        <v>-8</v>
      </c>
      <c r="D180" s="28">
        <f>'SAMLET_alle regnskab'!V189</f>
        <v>24</v>
      </c>
      <c r="E180" s="28">
        <f>'SAMLET_alle regnskab'!W189</f>
        <v>-8</v>
      </c>
      <c r="F180" s="28">
        <f>'SAMLET_alle regnskab'!X189</f>
        <v>-8</v>
      </c>
      <c r="H180" s="80" t="str">
        <f t="shared" si="7"/>
        <v>12b</v>
      </c>
      <c r="I180" s="28">
        <f t="shared" ref="I180:L180" si="532">I179+C180</f>
        <v>370</v>
      </c>
      <c r="J180" s="28">
        <f t="shared" si="532"/>
        <v>-570</v>
      </c>
      <c r="K180" s="28">
        <f t="shared" si="532"/>
        <v>-60</v>
      </c>
      <c r="L180" s="28">
        <f t="shared" si="532"/>
        <v>260</v>
      </c>
      <c r="N180" s="80" t="str">
        <f t="shared" si="25"/>
        <v>12b</v>
      </c>
      <c r="O180" s="28">
        <f t="shared" ref="O180:R180" si="533">O179+I173</f>
        <v>4746</v>
      </c>
      <c r="P180" s="28">
        <f t="shared" si="533"/>
        <v>-45846</v>
      </c>
      <c r="Q180" s="28">
        <f t="shared" si="533"/>
        <v>-2878</v>
      </c>
      <c r="R180" s="28">
        <f t="shared" si="533"/>
        <v>43978</v>
      </c>
      <c r="T180" s="80" t="s">
        <v>36</v>
      </c>
      <c r="U180" s="80">
        <f t="shared" ref="U180:X180" si="534">U179+C173</f>
        <v>232</v>
      </c>
      <c r="V180" s="80">
        <f t="shared" si="534"/>
        <v>-1584</v>
      </c>
      <c r="W180" s="80">
        <f t="shared" si="534"/>
        <v>1698</v>
      </c>
      <c r="X180" s="80">
        <f t="shared" si="534"/>
        <v>-450</v>
      </c>
      <c r="Z180" s="80" t="s">
        <v>36</v>
      </c>
      <c r="AA180" s="10">
        <v>43882.0</v>
      </c>
      <c r="AB180" s="80">
        <v>232.0</v>
      </c>
      <c r="AC180" s="80">
        <v>-1584.0</v>
      </c>
      <c r="AD180" s="80">
        <v>1698.0</v>
      </c>
      <c r="AE180" s="80">
        <v>-450.0</v>
      </c>
    </row>
    <row r="181">
      <c r="A181" s="28">
        <f>'SAMLET_alle regnskab'!B190</f>
        <v>31</v>
      </c>
      <c r="B181" s="80" t="str">
        <f>'SAMLET_alle regnskab'!A190</f>
        <v>12b</v>
      </c>
      <c r="C181" s="28">
        <f>'SAMLET_alle regnskab'!U190</f>
        <v>32</v>
      </c>
      <c r="D181" s="28">
        <f>'SAMLET_alle regnskab'!V190</f>
        <v>-32</v>
      </c>
      <c r="E181" s="28">
        <f>'SAMLET_alle regnskab'!W190</f>
        <v>32</v>
      </c>
      <c r="F181" s="28">
        <f>'SAMLET_alle regnskab'!X190</f>
        <v>-32</v>
      </c>
      <c r="H181" s="80" t="str">
        <f t="shared" si="7"/>
        <v>12b</v>
      </c>
      <c r="I181" s="28">
        <f t="shared" ref="I181:L181" si="535">I180+C181</f>
        <v>402</v>
      </c>
      <c r="J181" s="28">
        <f t="shared" si="535"/>
        <v>-602</v>
      </c>
      <c r="K181" s="28">
        <f t="shared" si="535"/>
        <v>-28</v>
      </c>
      <c r="L181" s="28">
        <f t="shared" si="535"/>
        <v>228</v>
      </c>
      <c r="N181" s="80" t="str">
        <f t="shared" si="25"/>
        <v>12b</v>
      </c>
      <c r="O181" s="28">
        <f t="shared" ref="O181:R181" si="536">O180+I174</f>
        <v>5148</v>
      </c>
      <c r="P181" s="28">
        <f t="shared" si="536"/>
        <v>-46480</v>
      </c>
      <c r="Q181" s="28">
        <f t="shared" si="536"/>
        <v>-2882</v>
      </c>
      <c r="R181" s="28">
        <f t="shared" si="536"/>
        <v>44214</v>
      </c>
      <c r="T181" s="80" t="s">
        <v>36</v>
      </c>
      <c r="U181" s="80">
        <f t="shared" ref="U181:X181" si="537">U180+C174</f>
        <v>244</v>
      </c>
      <c r="V181" s="80">
        <f t="shared" si="537"/>
        <v>-1596</v>
      </c>
      <c r="W181" s="80">
        <f t="shared" si="537"/>
        <v>1710</v>
      </c>
      <c r="X181" s="80">
        <f t="shared" si="537"/>
        <v>-462</v>
      </c>
      <c r="Z181" s="80" t="s">
        <v>36</v>
      </c>
      <c r="AA181" s="10">
        <v>43882.0</v>
      </c>
      <c r="AB181" s="80">
        <v>244.0</v>
      </c>
      <c r="AC181" s="80">
        <v>-1596.0</v>
      </c>
      <c r="AD181" s="80">
        <v>1710.0</v>
      </c>
      <c r="AE181" s="80">
        <v>-462.0</v>
      </c>
    </row>
    <row r="182">
      <c r="A182" s="28">
        <f>'SAMLET_alle regnskab'!B191</f>
        <v>32</v>
      </c>
      <c r="B182" s="80" t="str">
        <f>'SAMLET_alle regnskab'!A191</f>
        <v>12b</v>
      </c>
      <c r="C182" s="28">
        <f>'SAMLET_alle regnskab'!U191</f>
        <v>-8</v>
      </c>
      <c r="D182" s="28">
        <f>'SAMLET_alle regnskab'!V191</f>
        <v>24</v>
      </c>
      <c r="E182" s="28">
        <f>'SAMLET_alle regnskab'!W191</f>
        <v>-8</v>
      </c>
      <c r="F182" s="28">
        <f>'SAMLET_alle regnskab'!X191</f>
        <v>-8</v>
      </c>
      <c r="H182" s="80" t="str">
        <f t="shared" si="7"/>
        <v>12b</v>
      </c>
      <c r="I182" s="28">
        <f t="shared" ref="I182:L182" si="538">I181+C182</f>
        <v>394</v>
      </c>
      <c r="J182" s="28">
        <f t="shared" si="538"/>
        <v>-578</v>
      </c>
      <c r="K182" s="28">
        <f t="shared" si="538"/>
        <v>-36</v>
      </c>
      <c r="L182" s="28">
        <f t="shared" si="538"/>
        <v>220</v>
      </c>
      <c r="N182" s="80" t="str">
        <f t="shared" si="25"/>
        <v>12b</v>
      </c>
      <c r="O182" s="28">
        <f t="shared" ref="O182:R182" si="539">O181+I175</f>
        <v>5546</v>
      </c>
      <c r="P182" s="28">
        <f t="shared" si="539"/>
        <v>-47118</v>
      </c>
      <c r="Q182" s="28">
        <f t="shared" si="539"/>
        <v>-2890</v>
      </c>
      <c r="R182" s="28">
        <f t="shared" si="539"/>
        <v>44462</v>
      </c>
      <c r="T182" s="80" t="s">
        <v>36</v>
      </c>
      <c r="U182" s="80">
        <f t="shared" ref="U182:X182" si="540">U181+C175</f>
        <v>240</v>
      </c>
      <c r="V182" s="80">
        <f t="shared" si="540"/>
        <v>-1600</v>
      </c>
      <c r="W182" s="80">
        <f t="shared" si="540"/>
        <v>1706</v>
      </c>
      <c r="X182" s="80">
        <f t="shared" si="540"/>
        <v>-450</v>
      </c>
      <c r="Z182" s="80" t="s">
        <v>36</v>
      </c>
      <c r="AA182" s="10">
        <v>43882.0</v>
      </c>
      <c r="AB182" s="80">
        <v>240.0</v>
      </c>
      <c r="AC182" s="80">
        <v>-1600.0</v>
      </c>
      <c r="AD182" s="80">
        <v>1706.0</v>
      </c>
      <c r="AE182" s="80">
        <v>-450.0</v>
      </c>
    </row>
    <row r="183">
      <c r="A183" s="28">
        <f>'SAMLET_alle regnskab'!B192</f>
        <v>33</v>
      </c>
      <c r="B183" s="80" t="str">
        <f>'SAMLET_alle regnskab'!A192</f>
        <v>12b</v>
      </c>
      <c r="C183" s="28">
        <f>'SAMLET_alle regnskab'!U192</f>
        <v>12</v>
      </c>
      <c r="D183" s="28">
        <f>'SAMLET_alle regnskab'!V192</f>
        <v>-12</v>
      </c>
      <c r="E183" s="28">
        <f>'SAMLET_alle regnskab'!W192</f>
        <v>12</v>
      </c>
      <c r="F183" s="28">
        <f>'SAMLET_alle regnskab'!X192</f>
        <v>-12</v>
      </c>
      <c r="H183" s="80" t="str">
        <f t="shared" si="7"/>
        <v>12b</v>
      </c>
      <c r="I183" s="28">
        <f t="shared" ref="I183:L183" si="541">I182+C183</f>
        <v>406</v>
      </c>
      <c r="J183" s="28">
        <f t="shared" si="541"/>
        <v>-590</v>
      </c>
      <c r="K183" s="28">
        <f t="shared" si="541"/>
        <v>-24</v>
      </c>
      <c r="L183" s="28">
        <f t="shared" si="541"/>
        <v>208</v>
      </c>
      <c r="N183" s="80" t="str">
        <f t="shared" si="25"/>
        <v>12b</v>
      </c>
      <c r="O183" s="28">
        <f t="shared" ref="O183:R183" si="542">O182+I176</f>
        <v>5928</v>
      </c>
      <c r="P183" s="28">
        <f t="shared" si="542"/>
        <v>-47740</v>
      </c>
      <c r="Q183" s="28">
        <f t="shared" si="542"/>
        <v>-2914</v>
      </c>
      <c r="R183" s="28">
        <f t="shared" si="542"/>
        <v>44726</v>
      </c>
      <c r="T183" s="80" t="s">
        <v>36</v>
      </c>
      <c r="U183" s="80">
        <f t="shared" ref="U183:X183" si="543">U182+C176</f>
        <v>224</v>
      </c>
      <c r="V183" s="80">
        <f t="shared" si="543"/>
        <v>-1584</v>
      </c>
      <c r="W183" s="80">
        <f t="shared" si="543"/>
        <v>1690</v>
      </c>
      <c r="X183" s="80">
        <f t="shared" si="543"/>
        <v>-434</v>
      </c>
      <c r="Z183" s="80" t="s">
        <v>36</v>
      </c>
      <c r="AA183" s="10">
        <v>43882.0</v>
      </c>
      <c r="AB183" s="80">
        <v>224.0</v>
      </c>
      <c r="AC183" s="80">
        <v>-1584.0</v>
      </c>
      <c r="AD183" s="80">
        <v>1690.0</v>
      </c>
      <c r="AE183" s="80">
        <v>-434.0</v>
      </c>
    </row>
    <row r="184">
      <c r="A184" s="28">
        <f>'SAMLET_alle regnskab'!B193</f>
        <v>34</v>
      </c>
      <c r="B184" s="80" t="str">
        <f>'SAMLET_alle regnskab'!A193</f>
        <v>12b</v>
      </c>
      <c r="C184" s="28">
        <f>'SAMLET_alle regnskab'!U193</f>
        <v>8</v>
      </c>
      <c r="D184" s="28">
        <f>'SAMLET_alle regnskab'!V193</f>
        <v>-24</v>
      </c>
      <c r="E184" s="28">
        <f>'SAMLET_alle regnskab'!W193</f>
        <v>8</v>
      </c>
      <c r="F184" s="28">
        <f>'SAMLET_alle regnskab'!X193</f>
        <v>8</v>
      </c>
      <c r="H184" s="80" t="str">
        <f t="shared" si="7"/>
        <v>12b</v>
      </c>
      <c r="I184" s="28">
        <f t="shared" ref="I184:L184" si="544">I183+C184</f>
        <v>414</v>
      </c>
      <c r="J184" s="28">
        <f t="shared" si="544"/>
        <v>-614</v>
      </c>
      <c r="K184" s="28">
        <f t="shared" si="544"/>
        <v>-16</v>
      </c>
      <c r="L184" s="28">
        <f t="shared" si="544"/>
        <v>216</v>
      </c>
      <c r="N184" s="80" t="str">
        <f t="shared" si="25"/>
        <v>12b</v>
      </c>
      <c r="O184" s="28">
        <f t="shared" ref="O184:R184" si="545">O183+I177</f>
        <v>6302</v>
      </c>
      <c r="P184" s="28">
        <f t="shared" si="545"/>
        <v>-48338</v>
      </c>
      <c r="Q184" s="28">
        <f t="shared" si="545"/>
        <v>-2946</v>
      </c>
      <c r="R184" s="28">
        <f t="shared" si="545"/>
        <v>44982</v>
      </c>
      <c r="T184" s="80" t="s">
        <v>36</v>
      </c>
      <c r="U184" s="80">
        <f t="shared" ref="U184:X184" si="546">U183+C177</f>
        <v>216</v>
      </c>
      <c r="V184" s="80">
        <f t="shared" si="546"/>
        <v>-1560</v>
      </c>
      <c r="W184" s="80">
        <f t="shared" si="546"/>
        <v>1682</v>
      </c>
      <c r="X184" s="80">
        <f t="shared" si="546"/>
        <v>-442</v>
      </c>
      <c r="Z184" s="80" t="s">
        <v>36</v>
      </c>
      <c r="AA184" s="10">
        <v>43882.0</v>
      </c>
      <c r="AB184" s="80">
        <v>216.0</v>
      </c>
      <c r="AC184" s="80">
        <v>-1560.0</v>
      </c>
      <c r="AD184" s="80">
        <v>1682.0</v>
      </c>
      <c r="AE184" s="80">
        <v>-442.0</v>
      </c>
    </row>
    <row r="185">
      <c r="A185" s="28">
        <f>'SAMLET_alle regnskab'!B194</f>
        <v>35</v>
      </c>
      <c r="B185" s="80" t="str">
        <f>'SAMLET_alle regnskab'!A194</f>
        <v>12b</v>
      </c>
      <c r="C185" s="28">
        <f>'SAMLET_alle regnskab'!U194</f>
        <v>12</v>
      </c>
      <c r="D185" s="28">
        <f>'SAMLET_alle regnskab'!V194</f>
        <v>-12</v>
      </c>
      <c r="E185" s="28">
        <f>'SAMLET_alle regnskab'!W194</f>
        <v>-12</v>
      </c>
      <c r="F185" s="28">
        <f>'SAMLET_alle regnskab'!X194</f>
        <v>12</v>
      </c>
      <c r="H185" s="80" t="str">
        <f t="shared" si="7"/>
        <v>12b</v>
      </c>
      <c r="I185" s="28">
        <f t="shared" ref="I185:L185" si="547">I184+C185</f>
        <v>426</v>
      </c>
      <c r="J185" s="28">
        <f t="shared" si="547"/>
        <v>-626</v>
      </c>
      <c r="K185" s="28">
        <f t="shared" si="547"/>
        <v>-28</v>
      </c>
      <c r="L185" s="28">
        <f t="shared" si="547"/>
        <v>228</v>
      </c>
      <c r="N185" s="80" t="str">
        <f t="shared" si="25"/>
        <v>12b</v>
      </c>
      <c r="O185" s="28">
        <f t="shared" ref="O185:R185" si="548">O184+I178</f>
        <v>6688</v>
      </c>
      <c r="P185" s="28">
        <f t="shared" si="548"/>
        <v>-48924</v>
      </c>
      <c r="Q185" s="28">
        <f t="shared" si="548"/>
        <v>-2990</v>
      </c>
      <c r="R185" s="28">
        <f t="shared" si="548"/>
        <v>45226</v>
      </c>
      <c r="T185" s="80" t="s">
        <v>36</v>
      </c>
      <c r="U185" s="80">
        <f t="shared" ref="U185:X185" si="549">U184+C178</f>
        <v>228</v>
      </c>
      <c r="V185" s="80">
        <f t="shared" si="549"/>
        <v>-1548</v>
      </c>
      <c r="W185" s="80">
        <f t="shared" si="549"/>
        <v>1670</v>
      </c>
      <c r="X185" s="80">
        <f t="shared" si="549"/>
        <v>-454</v>
      </c>
      <c r="Z185" s="80" t="s">
        <v>36</v>
      </c>
      <c r="AA185" s="10">
        <v>43882.0</v>
      </c>
      <c r="AB185" s="80">
        <v>228.0</v>
      </c>
      <c r="AC185" s="80">
        <v>-1548.0</v>
      </c>
      <c r="AD185" s="80">
        <v>1670.0</v>
      </c>
      <c r="AE185" s="80">
        <v>-454.0</v>
      </c>
    </row>
    <row r="186">
      <c r="A186" s="28">
        <f>'SAMLET_alle regnskab'!B195</f>
        <v>1</v>
      </c>
      <c r="B186" s="80">
        <f>'SAMLET_alle regnskab'!A195</f>
        <v>13</v>
      </c>
      <c r="C186" s="28">
        <f>'SAMLET_alle regnskab'!U195</f>
        <v>0</v>
      </c>
      <c r="D186" s="28">
        <f>'SAMLET_alle regnskab'!V195</f>
        <v>-16</v>
      </c>
      <c r="E186" s="28">
        <f>'SAMLET_alle regnskab'!W195</f>
        <v>0</v>
      </c>
      <c r="F186" s="28">
        <f>'SAMLET_alle regnskab'!X195</f>
        <v>16</v>
      </c>
      <c r="H186" s="80">
        <f t="shared" si="7"/>
        <v>13</v>
      </c>
      <c r="I186" s="28">
        <f t="shared" ref="I186:L186" si="550">I185+C186</f>
        <v>426</v>
      </c>
      <c r="J186" s="28">
        <f t="shared" si="550"/>
        <v>-642</v>
      </c>
      <c r="K186" s="28">
        <f t="shared" si="550"/>
        <v>-28</v>
      </c>
      <c r="L186" s="28">
        <f t="shared" si="550"/>
        <v>244</v>
      </c>
      <c r="N186" s="80" t="str">
        <f t="shared" si="25"/>
        <v>12b</v>
      </c>
      <c r="O186" s="28">
        <f t="shared" ref="O186:R186" si="551">O185+I179</f>
        <v>7066</v>
      </c>
      <c r="P186" s="28">
        <f t="shared" si="551"/>
        <v>-49518</v>
      </c>
      <c r="Q186" s="28">
        <f t="shared" si="551"/>
        <v>-3042</v>
      </c>
      <c r="R186" s="28">
        <f t="shared" si="551"/>
        <v>45494</v>
      </c>
      <c r="T186" s="80" t="s">
        <v>36</v>
      </c>
      <c r="U186" s="80">
        <f t="shared" ref="U186:X186" si="552">U185+C179</f>
        <v>220</v>
      </c>
      <c r="V186" s="80">
        <f t="shared" si="552"/>
        <v>-1556</v>
      </c>
      <c r="W186" s="80">
        <f t="shared" si="552"/>
        <v>1662</v>
      </c>
      <c r="X186" s="80">
        <f t="shared" si="552"/>
        <v>-430</v>
      </c>
      <c r="Z186" s="80" t="s">
        <v>36</v>
      </c>
      <c r="AA186" s="10">
        <v>43882.0</v>
      </c>
      <c r="AB186" s="80">
        <v>220.0</v>
      </c>
      <c r="AC186" s="80">
        <v>-1556.0</v>
      </c>
      <c r="AD186" s="80">
        <v>1662.0</v>
      </c>
      <c r="AE186" s="80">
        <v>-430.0</v>
      </c>
    </row>
    <row r="187">
      <c r="A187" s="28">
        <f>'SAMLET_alle regnskab'!B196</f>
        <v>2</v>
      </c>
      <c r="B187" s="80">
        <f>'SAMLET_alle regnskab'!A196</f>
        <v>13</v>
      </c>
      <c r="C187" s="28">
        <f>'SAMLET_alle regnskab'!U196</f>
        <v>8</v>
      </c>
      <c r="D187" s="28">
        <f>'SAMLET_alle regnskab'!V196</f>
        <v>8</v>
      </c>
      <c r="E187" s="28">
        <f>'SAMLET_alle regnskab'!W196</f>
        <v>-8</v>
      </c>
      <c r="F187" s="28">
        <f>'SAMLET_alle regnskab'!X196</f>
        <v>-8</v>
      </c>
      <c r="H187" s="80">
        <f t="shared" si="7"/>
        <v>13</v>
      </c>
      <c r="I187" s="28">
        <f t="shared" ref="I187:L187" si="553">I186+C187</f>
        <v>434</v>
      </c>
      <c r="J187" s="28">
        <f t="shared" si="553"/>
        <v>-634</v>
      </c>
      <c r="K187" s="28">
        <f t="shared" si="553"/>
        <v>-36</v>
      </c>
      <c r="L187" s="28">
        <f t="shared" si="553"/>
        <v>236</v>
      </c>
      <c r="N187" s="80" t="str">
        <f t="shared" si="25"/>
        <v>12b</v>
      </c>
      <c r="O187" s="28">
        <f t="shared" ref="O187:R187" si="554">O186+I180</f>
        <v>7436</v>
      </c>
      <c r="P187" s="28">
        <f t="shared" si="554"/>
        <v>-50088</v>
      </c>
      <c r="Q187" s="28">
        <f t="shared" si="554"/>
        <v>-3102</v>
      </c>
      <c r="R187" s="28">
        <f t="shared" si="554"/>
        <v>45754</v>
      </c>
      <c r="T187" s="80" t="s">
        <v>36</v>
      </c>
      <c r="U187" s="80">
        <f t="shared" ref="U187:X187" si="555">U186+C180</f>
        <v>212</v>
      </c>
      <c r="V187" s="80">
        <f t="shared" si="555"/>
        <v>-1532</v>
      </c>
      <c r="W187" s="80">
        <f t="shared" si="555"/>
        <v>1654</v>
      </c>
      <c r="X187" s="80">
        <f t="shared" si="555"/>
        <v>-438</v>
      </c>
      <c r="Z187" s="80" t="s">
        <v>36</v>
      </c>
      <c r="AA187" s="10">
        <v>43882.0</v>
      </c>
      <c r="AB187" s="80">
        <v>212.0</v>
      </c>
      <c r="AC187" s="80">
        <v>-1532.0</v>
      </c>
      <c r="AD187" s="80">
        <v>1654.0</v>
      </c>
      <c r="AE187" s="80">
        <v>-438.0</v>
      </c>
    </row>
    <row r="188">
      <c r="A188" s="28">
        <f>'SAMLET_alle regnskab'!B197</f>
        <v>3</v>
      </c>
      <c r="B188" s="80">
        <f>'SAMLET_alle regnskab'!A197</f>
        <v>13</v>
      </c>
      <c r="C188" s="28">
        <f>'SAMLET_alle regnskab'!U197</f>
        <v>-4</v>
      </c>
      <c r="D188" s="28">
        <f>'SAMLET_alle regnskab'!V197</f>
        <v>-4</v>
      </c>
      <c r="E188" s="28">
        <f>'SAMLET_alle regnskab'!W197</f>
        <v>12</v>
      </c>
      <c r="F188" s="28">
        <f>'SAMLET_alle regnskab'!X197</f>
        <v>-4</v>
      </c>
      <c r="H188" s="80">
        <f t="shared" si="7"/>
        <v>13</v>
      </c>
      <c r="I188" s="28">
        <f t="shared" ref="I188:L188" si="556">I187+C188</f>
        <v>430</v>
      </c>
      <c r="J188" s="28">
        <f t="shared" si="556"/>
        <v>-638</v>
      </c>
      <c r="K188" s="28">
        <f t="shared" si="556"/>
        <v>-24</v>
      </c>
      <c r="L188" s="28">
        <f t="shared" si="556"/>
        <v>232</v>
      </c>
      <c r="N188" s="80" t="str">
        <f t="shared" si="25"/>
        <v>12b</v>
      </c>
      <c r="O188" s="28">
        <f t="shared" ref="O188:R188" si="557">O187+I181</f>
        <v>7838</v>
      </c>
      <c r="P188" s="28">
        <f t="shared" si="557"/>
        <v>-50690</v>
      </c>
      <c r="Q188" s="28">
        <f t="shared" si="557"/>
        <v>-3130</v>
      </c>
      <c r="R188" s="28">
        <f t="shared" si="557"/>
        <v>45982</v>
      </c>
      <c r="T188" s="80" t="s">
        <v>36</v>
      </c>
      <c r="U188" s="80">
        <f t="shared" ref="U188:X188" si="558">U187+C181</f>
        <v>244</v>
      </c>
      <c r="V188" s="80">
        <f t="shared" si="558"/>
        <v>-1564</v>
      </c>
      <c r="W188" s="80">
        <f t="shared" si="558"/>
        <v>1686</v>
      </c>
      <c r="X188" s="80">
        <f t="shared" si="558"/>
        <v>-470</v>
      </c>
      <c r="Z188" s="80" t="s">
        <v>36</v>
      </c>
      <c r="AA188" s="10">
        <v>43882.0</v>
      </c>
      <c r="AB188" s="80">
        <v>244.0</v>
      </c>
      <c r="AC188" s="80">
        <v>-1564.0</v>
      </c>
      <c r="AD188" s="80">
        <v>1686.0</v>
      </c>
      <c r="AE188" s="80">
        <v>-470.0</v>
      </c>
    </row>
    <row r="189">
      <c r="A189" s="28">
        <f>'SAMLET_alle regnskab'!B198</f>
        <v>4</v>
      </c>
      <c r="B189" s="80">
        <f>'SAMLET_alle regnskab'!A198</f>
        <v>13</v>
      </c>
      <c r="C189" s="28">
        <f>'SAMLET_alle regnskab'!U198</f>
        <v>8</v>
      </c>
      <c r="D189" s="28">
        <f>'SAMLET_alle regnskab'!V198</f>
        <v>8</v>
      </c>
      <c r="E189" s="28">
        <f>'SAMLET_alle regnskab'!W198</f>
        <v>-8</v>
      </c>
      <c r="F189" s="28">
        <f>'SAMLET_alle regnskab'!X198</f>
        <v>-8</v>
      </c>
      <c r="H189" s="80">
        <f t="shared" si="7"/>
        <v>13</v>
      </c>
      <c r="I189" s="28">
        <f t="shared" ref="I189:L189" si="559">I188+C189</f>
        <v>438</v>
      </c>
      <c r="J189" s="28">
        <f t="shared" si="559"/>
        <v>-630</v>
      </c>
      <c r="K189" s="28">
        <f t="shared" si="559"/>
        <v>-32</v>
      </c>
      <c r="L189" s="28">
        <f t="shared" si="559"/>
        <v>224</v>
      </c>
      <c r="N189" s="80" t="str">
        <f t="shared" si="25"/>
        <v>12b</v>
      </c>
      <c r="O189" s="28">
        <f t="shared" ref="O189:R189" si="560">O188+I182</f>
        <v>8232</v>
      </c>
      <c r="P189" s="28">
        <f t="shared" si="560"/>
        <v>-51268</v>
      </c>
      <c r="Q189" s="28">
        <f t="shared" si="560"/>
        <v>-3166</v>
      </c>
      <c r="R189" s="28">
        <f t="shared" si="560"/>
        <v>46202</v>
      </c>
      <c r="T189" s="80" t="s">
        <v>36</v>
      </c>
      <c r="U189" s="80">
        <f t="shared" ref="U189:X189" si="561">U188+C182</f>
        <v>236</v>
      </c>
      <c r="V189" s="80">
        <f t="shared" si="561"/>
        <v>-1540</v>
      </c>
      <c r="W189" s="80">
        <f t="shared" si="561"/>
        <v>1678</v>
      </c>
      <c r="X189" s="80">
        <f t="shared" si="561"/>
        <v>-478</v>
      </c>
      <c r="Z189" s="80" t="s">
        <v>36</v>
      </c>
      <c r="AA189" s="10">
        <v>43882.0</v>
      </c>
      <c r="AB189" s="80">
        <v>236.0</v>
      </c>
      <c r="AC189" s="80">
        <v>-1540.0</v>
      </c>
      <c r="AD189" s="80">
        <v>1678.0</v>
      </c>
      <c r="AE189" s="80">
        <v>-478.0</v>
      </c>
    </row>
    <row r="190">
      <c r="A190" s="28">
        <f>'SAMLET_alle regnskab'!B199</f>
        <v>5</v>
      </c>
      <c r="B190" s="80">
        <f>'SAMLET_alle regnskab'!A199</f>
        <v>13</v>
      </c>
      <c r="C190" s="28">
        <f>'SAMLET_alle regnskab'!U199</f>
        <v>-12</v>
      </c>
      <c r="D190" s="28">
        <f>'SAMLET_alle regnskab'!V199</f>
        <v>36</v>
      </c>
      <c r="E190" s="28">
        <f>'SAMLET_alle regnskab'!W199</f>
        <v>-12</v>
      </c>
      <c r="F190" s="28">
        <f>'SAMLET_alle regnskab'!X199</f>
        <v>-12</v>
      </c>
      <c r="H190" s="80">
        <f t="shared" si="7"/>
        <v>13</v>
      </c>
      <c r="I190" s="28">
        <f t="shared" ref="I190:L190" si="562">I189+C190</f>
        <v>426</v>
      </c>
      <c r="J190" s="28">
        <f t="shared" si="562"/>
        <v>-594</v>
      </c>
      <c r="K190" s="28">
        <f t="shared" si="562"/>
        <v>-44</v>
      </c>
      <c r="L190" s="28">
        <f t="shared" si="562"/>
        <v>212</v>
      </c>
      <c r="N190" s="80" t="str">
        <f t="shared" si="25"/>
        <v>12b</v>
      </c>
      <c r="O190" s="28">
        <f t="shared" ref="O190:R190" si="563">O189+I183</f>
        <v>8638</v>
      </c>
      <c r="P190" s="28">
        <f t="shared" si="563"/>
        <v>-51858</v>
      </c>
      <c r="Q190" s="28">
        <f t="shared" si="563"/>
        <v>-3190</v>
      </c>
      <c r="R190" s="28">
        <f t="shared" si="563"/>
        <v>46410</v>
      </c>
      <c r="T190" s="80" t="s">
        <v>36</v>
      </c>
      <c r="U190" s="80">
        <f t="shared" ref="U190:X190" si="564">U189+C183</f>
        <v>248</v>
      </c>
      <c r="V190" s="80">
        <f t="shared" si="564"/>
        <v>-1552</v>
      </c>
      <c r="W190" s="80">
        <f t="shared" si="564"/>
        <v>1690</v>
      </c>
      <c r="X190" s="80">
        <f t="shared" si="564"/>
        <v>-490</v>
      </c>
      <c r="Z190" s="80" t="s">
        <v>36</v>
      </c>
      <c r="AA190" s="10">
        <v>43882.0</v>
      </c>
      <c r="AB190" s="80">
        <v>248.0</v>
      </c>
      <c r="AC190" s="80">
        <v>-1552.0</v>
      </c>
      <c r="AD190" s="80">
        <v>1690.0</v>
      </c>
      <c r="AE190" s="80">
        <v>-490.0</v>
      </c>
    </row>
    <row r="191">
      <c r="A191" s="28">
        <f>'SAMLET_alle regnskab'!B200</f>
        <v>6</v>
      </c>
      <c r="B191" s="80">
        <f>'SAMLET_alle regnskab'!A200</f>
        <v>13</v>
      </c>
      <c r="C191" s="28">
        <f>'SAMLET_alle regnskab'!U200</f>
        <v>20</v>
      </c>
      <c r="D191" s="28">
        <f>'SAMLET_alle regnskab'!V200</f>
        <v>-20</v>
      </c>
      <c r="E191" s="28">
        <f>'SAMLET_alle regnskab'!W200</f>
        <v>-20</v>
      </c>
      <c r="F191" s="28">
        <f>'SAMLET_alle regnskab'!X200</f>
        <v>20</v>
      </c>
      <c r="H191" s="80">
        <f t="shared" si="7"/>
        <v>13</v>
      </c>
      <c r="I191" s="28">
        <f t="shared" ref="I191:L191" si="565">I190+C191</f>
        <v>446</v>
      </c>
      <c r="J191" s="28">
        <f t="shared" si="565"/>
        <v>-614</v>
      </c>
      <c r="K191" s="28">
        <f t="shared" si="565"/>
        <v>-64</v>
      </c>
      <c r="L191" s="28">
        <f t="shared" si="565"/>
        <v>232</v>
      </c>
      <c r="N191" s="80" t="str">
        <f t="shared" si="25"/>
        <v>12b</v>
      </c>
      <c r="O191" s="28">
        <f t="shared" ref="O191:R191" si="566">O190+I184</f>
        <v>9052</v>
      </c>
      <c r="P191" s="28">
        <f t="shared" si="566"/>
        <v>-52472</v>
      </c>
      <c r="Q191" s="28">
        <f t="shared" si="566"/>
        <v>-3206</v>
      </c>
      <c r="R191" s="28">
        <f t="shared" si="566"/>
        <v>46626</v>
      </c>
      <c r="T191" s="80" t="s">
        <v>36</v>
      </c>
      <c r="U191" s="80">
        <f t="shared" ref="U191:X191" si="567">U190+C184</f>
        <v>256</v>
      </c>
      <c r="V191" s="80">
        <f t="shared" si="567"/>
        <v>-1576</v>
      </c>
      <c r="W191" s="80">
        <f t="shared" si="567"/>
        <v>1698</v>
      </c>
      <c r="X191" s="80">
        <f t="shared" si="567"/>
        <v>-482</v>
      </c>
      <c r="Z191" s="80" t="s">
        <v>36</v>
      </c>
      <c r="AA191" s="10">
        <v>43882.0</v>
      </c>
      <c r="AB191" s="80">
        <v>256.0</v>
      </c>
      <c r="AC191" s="80">
        <v>-1576.0</v>
      </c>
      <c r="AD191" s="80">
        <v>1698.0</v>
      </c>
      <c r="AE191" s="80">
        <v>-482.0</v>
      </c>
    </row>
    <row r="192">
      <c r="A192" s="28">
        <f>'SAMLET_alle regnskab'!B201</f>
        <v>7</v>
      </c>
      <c r="B192" s="80">
        <f>'SAMLET_alle regnskab'!A201</f>
        <v>13</v>
      </c>
      <c r="C192" s="28">
        <f>'SAMLET_alle regnskab'!U201</f>
        <v>8</v>
      </c>
      <c r="D192" s="28">
        <f>'SAMLET_alle regnskab'!V201</f>
        <v>-8</v>
      </c>
      <c r="E192" s="28">
        <f>'SAMLET_alle regnskab'!W201</f>
        <v>-8</v>
      </c>
      <c r="F192" s="28">
        <f>'SAMLET_alle regnskab'!X201</f>
        <v>8</v>
      </c>
      <c r="H192" s="80">
        <f t="shared" si="7"/>
        <v>13</v>
      </c>
      <c r="I192" s="28">
        <f t="shared" ref="I192:L192" si="568">I191+C192</f>
        <v>454</v>
      </c>
      <c r="J192" s="28">
        <f t="shared" si="568"/>
        <v>-622</v>
      </c>
      <c r="K192" s="28">
        <f t="shared" si="568"/>
        <v>-72</v>
      </c>
      <c r="L192" s="28">
        <f t="shared" si="568"/>
        <v>240</v>
      </c>
      <c r="N192" s="80" t="str">
        <f t="shared" si="25"/>
        <v>12b</v>
      </c>
      <c r="O192" s="28">
        <f t="shared" ref="O192:R192" si="569">O191+I185</f>
        <v>9478</v>
      </c>
      <c r="P192" s="28">
        <f t="shared" si="569"/>
        <v>-53098</v>
      </c>
      <c r="Q192" s="28">
        <f t="shared" si="569"/>
        <v>-3234</v>
      </c>
      <c r="R192" s="28">
        <f t="shared" si="569"/>
        <v>46854</v>
      </c>
      <c r="T192" s="80" t="s">
        <v>36</v>
      </c>
      <c r="U192" s="80">
        <f t="shared" ref="U192:X192" si="570">U191+C185</f>
        <v>268</v>
      </c>
      <c r="V192" s="80">
        <f t="shared" si="570"/>
        <v>-1588</v>
      </c>
      <c r="W192" s="80">
        <f t="shared" si="570"/>
        <v>1686</v>
      </c>
      <c r="X192" s="80">
        <f t="shared" si="570"/>
        <v>-470</v>
      </c>
      <c r="Z192" s="80" t="s">
        <v>36</v>
      </c>
      <c r="AA192" s="10">
        <v>43882.0</v>
      </c>
      <c r="AB192" s="80">
        <v>268.0</v>
      </c>
      <c r="AC192" s="80">
        <v>-1588.0</v>
      </c>
      <c r="AD192" s="80">
        <v>1686.0</v>
      </c>
      <c r="AE192" s="80">
        <v>-470.0</v>
      </c>
    </row>
    <row r="193">
      <c r="A193" s="28">
        <f>'SAMLET_alle regnskab'!B202</f>
        <v>8</v>
      </c>
      <c r="B193" s="80">
        <f>'SAMLET_alle regnskab'!A202</f>
        <v>13</v>
      </c>
      <c r="C193" s="28">
        <f>'SAMLET_alle regnskab'!U202</f>
        <v>16</v>
      </c>
      <c r="D193" s="28">
        <f>'SAMLET_alle regnskab'!V202</f>
        <v>-16</v>
      </c>
      <c r="E193" s="28">
        <f>'SAMLET_alle regnskab'!W202</f>
        <v>-16</v>
      </c>
      <c r="F193" s="28">
        <f>'SAMLET_alle regnskab'!X202</f>
        <v>16</v>
      </c>
      <c r="H193" s="80">
        <f t="shared" si="7"/>
        <v>13</v>
      </c>
      <c r="I193" s="28">
        <f t="shared" ref="I193:L193" si="571">I192+C193</f>
        <v>470</v>
      </c>
      <c r="J193" s="28">
        <f t="shared" si="571"/>
        <v>-638</v>
      </c>
      <c r="K193" s="28">
        <f t="shared" si="571"/>
        <v>-88</v>
      </c>
      <c r="L193" s="28">
        <f t="shared" si="571"/>
        <v>256</v>
      </c>
      <c r="N193" s="80">
        <f t="shared" si="25"/>
        <v>13</v>
      </c>
      <c r="O193" s="28">
        <f t="shared" ref="O193:R193" si="572">O192+I186</f>
        <v>9904</v>
      </c>
      <c r="P193" s="28">
        <f t="shared" si="572"/>
        <v>-53740</v>
      </c>
      <c r="Q193" s="28">
        <f t="shared" si="572"/>
        <v>-3262</v>
      </c>
      <c r="R193" s="28">
        <f t="shared" si="572"/>
        <v>47098</v>
      </c>
      <c r="T193" s="80">
        <v>13.0</v>
      </c>
      <c r="U193" s="80">
        <f t="shared" ref="U193:X193" si="573">U192+C186</f>
        <v>268</v>
      </c>
      <c r="V193" s="80">
        <f t="shared" si="573"/>
        <v>-1604</v>
      </c>
      <c r="W193" s="80">
        <f t="shared" si="573"/>
        <v>1686</v>
      </c>
      <c r="X193" s="80">
        <f t="shared" si="573"/>
        <v>-454</v>
      </c>
      <c r="Z193" s="80">
        <v>13.0</v>
      </c>
      <c r="AA193" s="10">
        <v>43883.0</v>
      </c>
      <c r="AB193" s="80">
        <v>268.0</v>
      </c>
      <c r="AC193" s="80">
        <v>-1604.0</v>
      </c>
      <c r="AD193" s="80">
        <v>1686.0</v>
      </c>
      <c r="AE193" s="80">
        <v>-454.0</v>
      </c>
    </row>
    <row r="194">
      <c r="A194" s="28">
        <f>'SAMLET_alle regnskab'!B203</f>
        <v>9</v>
      </c>
      <c r="B194" s="80">
        <f>'SAMLET_alle regnskab'!A203</f>
        <v>13</v>
      </c>
      <c r="C194" s="28">
        <f>'SAMLET_alle regnskab'!U203</f>
        <v>-64</v>
      </c>
      <c r="D194" s="28">
        <f>'SAMLET_alle regnskab'!V203</f>
        <v>64</v>
      </c>
      <c r="E194" s="28">
        <f>'SAMLET_alle regnskab'!W203</f>
        <v>64</v>
      </c>
      <c r="F194" s="28">
        <f>'SAMLET_alle regnskab'!X203</f>
        <v>-64</v>
      </c>
      <c r="H194" s="80">
        <f t="shared" si="7"/>
        <v>13</v>
      </c>
      <c r="I194" s="28">
        <f t="shared" ref="I194:L194" si="574">I193+C194</f>
        <v>406</v>
      </c>
      <c r="J194" s="28">
        <f t="shared" si="574"/>
        <v>-574</v>
      </c>
      <c r="K194" s="28">
        <f t="shared" si="574"/>
        <v>-24</v>
      </c>
      <c r="L194" s="28">
        <f t="shared" si="574"/>
        <v>192</v>
      </c>
      <c r="N194" s="80">
        <f t="shared" si="25"/>
        <v>13</v>
      </c>
      <c r="O194" s="28">
        <f t="shared" ref="O194:R194" si="575">O193+I187</f>
        <v>10338</v>
      </c>
      <c r="P194" s="28">
        <f t="shared" si="575"/>
        <v>-54374</v>
      </c>
      <c r="Q194" s="28">
        <f t="shared" si="575"/>
        <v>-3298</v>
      </c>
      <c r="R194" s="28">
        <f t="shared" si="575"/>
        <v>47334</v>
      </c>
      <c r="T194" s="80">
        <v>13.0</v>
      </c>
      <c r="U194" s="80">
        <f t="shared" ref="U194:X194" si="576">U193+C187</f>
        <v>276</v>
      </c>
      <c r="V194" s="80">
        <f t="shared" si="576"/>
        <v>-1596</v>
      </c>
      <c r="W194" s="80">
        <f t="shared" si="576"/>
        <v>1678</v>
      </c>
      <c r="X194" s="80">
        <f t="shared" si="576"/>
        <v>-462</v>
      </c>
      <c r="Z194" s="80">
        <v>13.0</v>
      </c>
      <c r="AA194" s="10">
        <v>43883.0</v>
      </c>
      <c r="AB194" s="80">
        <v>276.0</v>
      </c>
      <c r="AC194" s="80">
        <v>-1596.0</v>
      </c>
      <c r="AD194" s="80">
        <v>1678.0</v>
      </c>
      <c r="AE194" s="80">
        <v>-462.0</v>
      </c>
    </row>
    <row r="195">
      <c r="A195" s="28">
        <f>'SAMLET_alle regnskab'!B204</f>
        <v>10</v>
      </c>
      <c r="B195" s="80">
        <f>'SAMLET_alle regnskab'!A204</f>
        <v>13</v>
      </c>
      <c r="C195" s="28">
        <f>'SAMLET_alle regnskab'!U204</f>
        <v>8</v>
      </c>
      <c r="D195" s="28">
        <f>'SAMLET_alle regnskab'!V204</f>
        <v>-24</v>
      </c>
      <c r="E195" s="28">
        <f>'SAMLET_alle regnskab'!W204</f>
        <v>8</v>
      </c>
      <c r="F195" s="28">
        <f>'SAMLET_alle regnskab'!X204</f>
        <v>8</v>
      </c>
      <c r="H195" s="80">
        <f t="shared" si="7"/>
        <v>13</v>
      </c>
      <c r="I195" s="28">
        <f t="shared" ref="I195:L195" si="577">I194+C195</f>
        <v>414</v>
      </c>
      <c r="J195" s="28">
        <f t="shared" si="577"/>
        <v>-598</v>
      </c>
      <c r="K195" s="28">
        <f t="shared" si="577"/>
        <v>-16</v>
      </c>
      <c r="L195" s="28">
        <f t="shared" si="577"/>
        <v>200</v>
      </c>
      <c r="N195" s="80">
        <f t="shared" si="25"/>
        <v>13</v>
      </c>
      <c r="O195" s="28">
        <f t="shared" ref="O195:R195" si="578">O194+I188</f>
        <v>10768</v>
      </c>
      <c r="P195" s="28">
        <f t="shared" si="578"/>
        <v>-55012</v>
      </c>
      <c r="Q195" s="28">
        <f t="shared" si="578"/>
        <v>-3322</v>
      </c>
      <c r="R195" s="28">
        <f t="shared" si="578"/>
        <v>47566</v>
      </c>
      <c r="T195" s="80">
        <v>13.0</v>
      </c>
      <c r="U195" s="80">
        <f t="shared" ref="U195:X195" si="579">U194+C188</f>
        <v>272</v>
      </c>
      <c r="V195" s="80">
        <f t="shared" si="579"/>
        <v>-1600</v>
      </c>
      <c r="W195" s="80">
        <f t="shared" si="579"/>
        <v>1690</v>
      </c>
      <c r="X195" s="80">
        <f t="shared" si="579"/>
        <v>-466</v>
      </c>
      <c r="Z195" s="80">
        <v>13.0</v>
      </c>
      <c r="AA195" s="10">
        <v>43883.0</v>
      </c>
      <c r="AB195" s="80">
        <v>272.0</v>
      </c>
      <c r="AC195" s="80">
        <v>-1600.0</v>
      </c>
      <c r="AD195" s="80">
        <v>1690.0</v>
      </c>
      <c r="AE195" s="80">
        <v>-466.0</v>
      </c>
    </row>
    <row r="196">
      <c r="A196" s="28">
        <f>'SAMLET_alle regnskab'!B205</f>
        <v>11</v>
      </c>
      <c r="B196" s="80">
        <f>'SAMLET_alle regnskab'!A205</f>
        <v>13</v>
      </c>
      <c r="C196" s="28">
        <f>'SAMLET_alle regnskab'!U205</f>
        <v>-4</v>
      </c>
      <c r="D196" s="28">
        <f>'SAMLET_alle regnskab'!V205</f>
        <v>4</v>
      </c>
      <c r="E196" s="28">
        <f>'SAMLET_alle regnskab'!W205</f>
        <v>4</v>
      </c>
      <c r="F196" s="28">
        <f>'SAMLET_alle regnskab'!X205</f>
        <v>-4</v>
      </c>
      <c r="H196" s="80">
        <f t="shared" si="7"/>
        <v>13</v>
      </c>
      <c r="I196" s="28">
        <f t="shared" ref="I196:L196" si="580">I195+C196</f>
        <v>410</v>
      </c>
      <c r="J196" s="28">
        <f t="shared" si="580"/>
        <v>-594</v>
      </c>
      <c r="K196" s="28">
        <f t="shared" si="580"/>
        <v>-12</v>
      </c>
      <c r="L196" s="28">
        <f t="shared" si="580"/>
        <v>196</v>
      </c>
      <c r="N196" s="80">
        <f t="shared" si="25"/>
        <v>13</v>
      </c>
      <c r="O196" s="28">
        <f t="shared" ref="O196:R196" si="581">O195+I189</f>
        <v>11206</v>
      </c>
      <c r="P196" s="28">
        <f t="shared" si="581"/>
        <v>-55642</v>
      </c>
      <c r="Q196" s="28">
        <f t="shared" si="581"/>
        <v>-3354</v>
      </c>
      <c r="R196" s="28">
        <f t="shared" si="581"/>
        <v>47790</v>
      </c>
      <c r="T196" s="80">
        <v>13.0</v>
      </c>
      <c r="U196" s="80">
        <f t="shared" ref="U196:X196" si="582">U195+C189</f>
        <v>280</v>
      </c>
      <c r="V196" s="80">
        <f t="shared" si="582"/>
        <v>-1592</v>
      </c>
      <c r="W196" s="80">
        <f t="shared" si="582"/>
        <v>1682</v>
      </c>
      <c r="X196" s="80">
        <f t="shared" si="582"/>
        <v>-474</v>
      </c>
      <c r="Z196" s="80">
        <v>13.0</v>
      </c>
      <c r="AA196" s="10">
        <v>43883.0</v>
      </c>
      <c r="AB196" s="80">
        <v>280.0</v>
      </c>
      <c r="AC196" s="80">
        <v>-1592.0</v>
      </c>
      <c r="AD196" s="80">
        <v>1682.0</v>
      </c>
      <c r="AE196" s="80">
        <v>-474.0</v>
      </c>
    </row>
    <row r="197">
      <c r="A197" s="28">
        <f>'SAMLET_alle regnskab'!B206</f>
        <v>12</v>
      </c>
      <c r="B197" s="80">
        <f>'SAMLET_alle regnskab'!A206</f>
        <v>13</v>
      </c>
      <c r="C197" s="28">
        <f>'SAMLET_alle regnskab'!U206</f>
        <v>8</v>
      </c>
      <c r="D197" s="28">
        <f>'SAMLET_alle regnskab'!V206</f>
        <v>-24</v>
      </c>
      <c r="E197" s="28">
        <f>'SAMLET_alle regnskab'!W206</f>
        <v>8</v>
      </c>
      <c r="F197" s="28">
        <f>'SAMLET_alle regnskab'!X206</f>
        <v>8</v>
      </c>
      <c r="H197" s="80">
        <f t="shared" si="7"/>
        <v>13</v>
      </c>
      <c r="I197" s="28">
        <f t="shared" ref="I197:L197" si="583">I196+C197</f>
        <v>418</v>
      </c>
      <c r="J197" s="28">
        <f t="shared" si="583"/>
        <v>-618</v>
      </c>
      <c r="K197" s="28">
        <f t="shared" si="583"/>
        <v>-4</v>
      </c>
      <c r="L197" s="28">
        <f t="shared" si="583"/>
        <v>204</v>
      </c>
      <c r="N197" s="80">
        <f t="shared" si="25"/>
        <v>13</v>
      </c>
      <c r="O197" s="28">
        <f t="shared" ref="O197:R197" si="584">O196+I190</f>
        <v>11632</v>
      </c>
      <c r="P197" s="28">
        <f t="shared" si="584"/>
        <v>-56236</v>
      </c>
      <c r="Q197" s="28">
        <f t="shared" si="584"/>
        <v>-3398</v>
      </c>
      <c r="R197" s="28">
        <f t="shared" si="584"/>
        <v>48002</v>
      </c>
      <c r="T197" s="80">
        <v>13.0</v>
      </c>
      <c r="U197" s="80">
        <f t="shared" ref="U197:X197" si="585">U196+C190</f>
        <v>268</v>
      </c>
      <c r="V197" s="80">
        <f t="shared" si="585"/>
        <v>-1556</v>
      </c>
      <c r="W197" s="80">
        <f t="shared" si="585"/>
        <v>1670</v>
      </c>
      <c r="X197" s="80">
        <f t="shared" si="585"/>
        <v>-486</v>
      </c>
      <c r="Z197" s="80">
        <v>13.0</v>
      </c>
      <c r="AA197" s="10">
        <v>43883.0</v>
      </c>
      <c r="AB197" s="80">
        <v>268.0</v>
      </c>
      <c r="AC197" s="80">
        <v>-1556.0</v>
      </c>
      <c r="AD197" s="80">
        <v>1670.0</v>
      </c>
      <c r="AE197" s="80">
        <v>-486.0</v>
      </c>
    </row>
    <row r="198">
      <c r="A198" s="28">
        <f>'SAMLET_alle regnskab'!B207</f>
        <v>13</v>
      </c>
      <c r="B198" s="80">
        <f>'SAMLET_alle regnskab'!A207</f>
        <v>13</v>
      </c>
      <c r="C198" s="28">
        <f>'SAMLET_alle regnskab'!U207</f>
        <v>8</v>
      </c>
      <c r="D198" s="28">
        <f>'SAMLET_alle regnskab'!V207</f>
        <v>-24</v>
      </c>
      <c r="E198" s="28">
        <f>'SAMLET_alle regnskab'!W207</f>
        <v>8</v>
      </c>
      <c r="F198" s="28">
        <f>'SAMLET_alle regnskab'!X207</f>
        <v>8</v>
      </c>
      <c r="H198" s="80">
        <f t="shared" si="7"/>
        <v>13</v>
      </c>
      <c r="I198" s="28">
        <f t="shared" ref="I198:L198" si="586">I197+C198</f>
        <v>426</v>
      </c>
      <c r="J198" s="28">
        <f t="shared" si="586"/>
        <v>-642</v>
      </c>
      <c r="K198" s="28">
        <f t="shared" si="586"/>
        <v>4</v>
      </c>
      <c r="L198" s="28">
        <f t="shared" si="586"/>
        <v>212</v>
      </c>
      <c r="N198" s="80">
        <f t="shared" si="25"/>
        <v>13</v>
      </c>
      <c r="O198" s="28">
        <f t="shared" ref="O198:R198" si="587">O197+I191</f>
        <v>12078</v>
      </c>
      <c r="P198" s="28">
        <f t="shared" si="587"/>
        <v>-56850</v>
      </c>
      <c r="Q198" s="28">
        <f t="shared" si="587"/>
        <v>-3462</v>
      </c>
      <c r="R198" s="28">
        <f t="shared" si="587"/>
        <v>48234</v>
      </c>
      <c r="T198" s="80">
        <v>13.0</v>
      </c>
      <c r="U198" s="80">
        <f t="shared" ref="U198:X198" si="588">U197+C191</f>
        <v>288</v>
      </c>
      <c r="V198" s="80">
        <f t="shared" si="588"/>
        <v>-1576</v>
      </c>
      <c r="W198" s="80">
        <f t="shared" si="588"/>
        <v>1650</v>
      </c>
      <c r="X198" s="80">
        <f t="shared" si="588"/>
        <v>-466</v>
      </c>
      <c r="Z198" s="80">
        <v>13.0</v>
      </c>
      <c r="AA198" s="10">
        <v>43883.0</v>
      </c>
      <c r="AB198" s="80">
        <v>288.0</v>
      </c>
      <c r="AC198" s="80">
        <v>-1576.0</v>
      </c>
      <c r="AD198" s="80">
        <v>1650.0</v>
      </c>
      <c r="AE198" s="80">
        <v>-466.0</v>
      </c>
    </row>
    <row r="199">
      <c r="A199" s="28">
        <f>'SAMLET_alle regnskab'!B208</f>
        <v>14</v>
      </c>
      <c r="B199" s="80">
        <f>'SAMLET_alle regnskab'!A208</f>
        <v>13</v>
      </c>
      <c r="C199" s="28">
        <f>'SAMLET_alle regnskab'!U208</f>
        <v>16</v>
      </c>
      <c r="D199" s="28">
        <f>'SAMLET_alle regnskab'!V208</f>
        <v>-16</v>
      </c>
      <c r="E199" s="28">
        <f>'SAMLET_alle regnskab'!W208</f>
        <v>16</v>
      </c>
      <c r="F199" s="28">
        <f>'SAMLET_alle regnskab'!X208</f>
        <v>-16</v>
      </c>
      <c r="H199" s="80">
        <f t="shared" si="7"/>
        <v>13</v>
      </c>
      <c r="I199" s="28">
        <f t="shared" ref="I199:L199" si="589">I198+C199</f>
        <v>442</v>
      </c>
      <c r="J199" s="28">
        <f t="shared" si="589"/>
        <v>-658</v>
      </c>
      <c r="K199" s="28">
        <f t="shared" si="589"/>
        <v>20</v>
      </c>
      <c r="L199" s="28">
        <f t="shared" si="589"/>
        <v>196</v>
      </c>
      <c r="N199" s="80">
        <f t="shared" si="25"/>
        <v>13</v>
      </c>
      <c r="O199" s="28">
        <f t="shared" ref="O199:R199" si="590">O198+I192</f>
        <v>12532</v>
      </c>
      <c r="P199" s="28">
        <f t="shared" si="590"/>
        <v>-57472</v>
      </c>
      <c r="Q199" s="28">
        <f t="shared" si="590"/>
        <v>-3534</v>
      </c>
      <c r="R199" s="28">
        <f t="shared" si="590"/>
        <v>48474</v>
      </c>
      <c r="T199" s="80">
        <v>13.0</v>
      </c>
      <c r="U199" s="80">
        <f t="shared" ref="U199:X199" si="591">U198+C192</f>
        <v>296</v>
      </c>
      <c r="V199" s="80">
        <f t="shared" si="591"/>
        <v>-1584</v>
      </c>
      <c r="W199" s="80">
        <f t="shared" si="591"/>
        <v>1642</v>
      </c>
      <c r="X199" s="80">
        <f t="shared" si="591"/>
        <v>-458</v>
      </c>
      <c r="Z199" s="80">
        <v>13.0</v>
      </c>
      <c r="AA199" s="10">
        <v>43883.0</v>
      </c>
      <c r="AB199" s="80">
        <v>296.0</v>
      </c>
      <c r="AC199" s="80">
        <v>-1584.0</v>
      </c>
      <c r="AD199" s="80">
        <v>1642.0</v>
      </c>
      <c r="AE199" s="80">
        <v>-458.0</v>
      </c>
    </row>
    <row r="200">
      <c r="A200" s="28">
        <f>'SAMLET_alle regnskab'!B209</f>
        <v>15</v>
      </c>
      <c r="B200" s="80">
        <f>'SAMLET_alle regnskab'!A209</f>
        <v>13</v>
      </c>
      <c r="C200" s="28">
        <f>'SAMLET_alle regnskab'!U209</f>
        <v>16</v>
      </c>
      <c r="D200" s="28">
        <f>'SAMLET_alle regnskab'!V209</f>
        <v>-16</v>
      </c>
      <c r="E200" s="28">
        <f>'SAMLET_alle regnskab'!W209</f>
        <v>-16</v>
      </c>
      <c r="F200" s="28">
        <f>'SAMLET_alle regnskab'!X209</f>
        <v>16</v>
      </c>
      <c r="H200" s="80">
        <f t="shared" si="7"/>
        <v>13</v>
      </c>
      <c r="I200" s="28">
        <f t="shared" ref="I200:L200" si="592">I199+C200</f>
        <v>458</v>
      </c>
      <c r="J200" s="28">
        <f t="shared" si="592"/>
        <v>-674</v>
      </c>
      <c r="K200" s="28">
        <f t="shared" si="592"/>
        <v>4</v>
      </c>
      <c r="L200" s="28">
        <f t="shared" si="592"/>
        <v>212</v>
      </c>
      <c r="N200" s="80">
        <f t="shared" si="25"/>
        <v>13</v>
      </c>
      <c r="O200" s="28">
        <f t="shared" ref="O200:R200" si="593">O199+I193</f>
        <v>13002</v>
      </c>
      <c r="P200" s="28">
        <f t="shared" si="593"/>
        <v>-58110</v>
      </c>
      <c r="Q200" s="28">
        <f t="shared" si="593"/>
        <v>-3622</v>
      </c>
      <c r="R200" s="28">
        <f t="shared" si="593"/>
        <v>48730</v>
      </c>
      <c r="T200" s="80">
        <v>13.0</v>
      </c>
      <c r="U200" s="80">
        <f t="shared" ref="U200:X200" si="594">U199+C193</f>
        <v>312</v>
      </c>
      <c r="V200" s="80">
        <f t="shared" si="594"/>
        <v>-1600</v>
      </c>
      <c r="W200" s="80">
        <f t="shared" si="594"/>
        <v>1626</v>
      </c>
      <c r="X200" s="80">
        <f t="shared" si="594"/>
        <v>-442</v>
      </c>
      <c r="Z200" s="80">
        <v>13.0</v>
      </c>
      <c r="AA200" s="10">
        <v>43883.0</v>
      </c>
      <c r="AB200" s="80">
        <v>312.0</v>
      </c>
      <c r="AC200" s="80">
        <v>-1600.0</v>
      </c>
      <c r="AD200" s="80">
        <v>1626.0</v>
      </c>
      <c r="AE200" s="80">
        <v>-442.0</v>
      </c>
    </row>
    <row r="201">
      <c r="A201" s="28">
        <f>'SAMLET_alle regnskab'!B210</f>
        <v>16</v>
      </c>
      <c r="B201" s="80">
        <f>'SAMLET_alle regnskab'!A210</f>
        <v>13</v>
      </c>
      <c r="C201" s="28">
        <f>'SAMLET_alle regnskab'!U210</f>
        <v>8</v>
      </c>
      <c r="D201" s="28">
        <f>'SAMLET_alle regnskab'!V210</f>
        <v>-8</v>
      </c>
      <c r="E201" s="28">
        <f>'SAMLET_alle regnskab'!W210</f>
        <v>8</v>
      </c>
      <c r="F201" s="28">
        <f>'SAMLET_alle regnskab'!X210</f>
        <v>-8</v>
      </c>
      <c r="H201" s="80">
        <f t="shared" si="7"/>
        <v>13</v>
      </c>
      <c r="I201" s="28">
        <f t="shared" ref="I201:L201" si="595">I200+C201</f>
        <v>466</v>
      </c>
      <c r="J201" s="28">
        <f t="shared" si="595"/>
        <v>-682</v>
      </c>
      <c r="K201" s="28">
        <f t="shared" si="595"/>
        <v>12</v>
      </c>
      <c r="L201" s="28">
        <f t="shared" si="595"/>
        <v>204</v>
      </c>
      <c r="N201" s="80">
        <f t="shared" si="25"/>
        <v>13</v>
      </c>
      <c r="O201" s="28">
        <f t="shared" ref="O201:R201" si="596">O200+I194</f>
        <v>13408</v>
      </c>
      <c r="P201" s="28">
        <f t="shared" si="596"/>
        <v>-58684</v>
      </c>
      <c r="Q201" s="28">
        <f t="shared" si="596"/>
        <v>-3646</v>
      </c>
      <c r="R201" s="28">
        <f t="shared" si="596"/>
        <v>48922</v>
      </c>
      <c r="T201" s="80">
        <v>13.0</v>
      </c>
      <c r="U201" s="80">
        <f t="shared" ref="U201:X201" si="597">U200+C194</f>
        <v>248</v>
      </c>
      <c r="V201" s="80">
        <f t="shared" si="597"/>
        <v>-1536</v>
      </c>
      <c r="W201" s="80">
        <f t="shared" si="597"/>
        <v>1690</v>
      </c>
      <c r="X201" s="80">
        <f t="shared" si="597"/>
        <v>-506</v>
      </c>
      <c r="Z201" s="80">
        <v>13.0</v>
      </c>
      <c r="AA201" s="10">
        <v>43883.0</v>
      </c>
      <c r="AB201" s="80">
        <v>248.0</v>
      </c>
      <c r="AC201" s="80">
        <v>-1536.0</v>
      </c>
      <c r="AD201" s="80">
        <v>1690.0</v>
      </c>
      <c r="AE201" s="80">
        <v>-506.0</v>
      </c>
    </row>
    <row r="202">
      <c r="A202" s="28">
        <f>'SAMLET_alle regnskab'!B211</f>
        <v>17</v>
      </c>
      <c r="B202" s="80">
        <f>'SAMLET_alle regnskab'!A211</f>
        <v>13</v>
      </c>
      <c r="C202" s="28">
        <f>'SAMLET_alle regnskab'!U211</f>
        <v>20</v>
      </c>
      <c r="D202" s="28">
        <f>'SAMLET_alle regnskab'!V211</f>
        <v>-60</v>
      </c>
      <c r="E202" s="28">
        <f>'SAMLET_alle regnskab'!W211</f>
        <v>20</v>
      </c>
      <c r="F202" s="28">
        <f>'SAMLET_alle regnskab'!X211</f>
        <v>20</v>
      </c>
      <c r="H202" s="80">
        <f t="shared" si="7"/>
        <v>13</v>
      </c>
      <c r="I202" s="28">
        <f t="shared" ref="I202:L202" si="598">I201+C202</f>
        <v>486</v>
      </c>
      <c r="J202" s="28">
        <f t="shared" si="598"/>
        <v>-742</v>
      </c>
      <c r="K202" s="28">
        <f t="shared" si="598"/>
        <v>32</v>
      </c>
      <c r="L202" s="28">
        <f t="shared" si="598"/>
        <v>224</v>
      </c>
      <c r="N202" s="80">
        <f t="shared" si="25"/>
        <v>13</v>
      </c>
      <c r="O202" s="28">
        <f t="shared" ref="O202:R202" si="599">O201+I195</f>
        <v>13822</v>
      </c>
      <c r="P202" s="28">
        <f t="shared" si="599"/>
        <v>-59282</v>
      </c>
      <c r="Q202" s="28">
        <f t="shared" si="599"/>
        <v>-3662</v>
      </c>
      <c r="R202" s="28">
        <f t="shared" si="599"/>
        <v>49122</v>
      </c>
      <c r="T202" s="80">
        <v>13.0</v>
      </c>
      <c r="U202" s="80">
        <f t="shared" ref="U202:X202" si="600">U201+C195</f>
        <v>256</v>
      </c>
      <c r="V202" s="80">
        <f t="shared" si="600"/>
        <v>-1560</v>
      </c>
      <c r="W202" s="80">
        <f t="shared" si="600"/>
        <v>1698</v>
      </c>
      <c r="X202" s="80">
        <f t="shared" si="600"/>
        <v>-498</v>
      </c>
      <c r="Z202" s="80">
        <v>13.0</v>
      </c>
      <c r="AA202" s="10">
        <v>43883.0</v>
      </c>
      <c r="AB202" s="80">
        <v>256.0</v>
      </c>
      <c r="AC202" s="80">
        <v>-1560.0</v>
      </c>
      <c r="AD202" s="80">
        <v>1698.0</v>
      </c>
      <c r="AE202" s="80">
        <v>-498.0</v>
      </c>
    </row>
    <row r="203">
      <c r="A203" s="28">
        <f>'SAMLET_alle regnskab'!B212</f>
        <v>18</v>
      </c>
      <c r="B203" s="80">
        <f>'SAMLET_alle regnskab'!A212</f>
        <v>13</v>
      </c>
      <c r="C203" s="28">
        <f>'SAMLET_alle regnskab'!U212</f>
        <v>36</v>
      </c>
      <c r="D203" s="28">
        <f>'SAMLET_alle regnskab'!V212</f>
        <v>36</v>
      </c>
      <c r="E203" s="28">
        <f>'SAMLET_alle regnskab'!W212</f>
        <v>-36</v>
      </c>
      <c r="F203" s="28">
        <f>'SAMLET_alle regnskab'!X212</f>
        <v>-36</v>
      </c>
      <c r="H203" s="80">
        <f t="shared" si="7"/>
        <v>13</v>
      </c>
      <c r="I203" s="28">
        <f t="shared" ref="I203:L203" si="601">I202+C203</f>
        <v>522</v>
      </c>
      <c r="J203" s="28">
        <f t="shared" si="601"/>
        <v>-706</v>
      </c>
      <c r="K203" s="28">
        <f t="shared" si="601"/>
        <v>-4</v>
      </c>
      <c r="L203" s="28">
        <f t="shared" si="601"/>
        <v>188</v>
      </c>
      <c r="N203" s="80">
        <f t="shared" si="25"/>
        <v>13</v>
      </c>
      <c r="O203" s="28">
        <f t="shared" ref="O203:R203" si="602">O202+I196</f>
        <v>14232</v>
      </c>
      <c r="P203" s="28">
        <f t="shared" si="602"/>
        <v>-59876</v>
      </c>
      <c r="Q203" s="28">
        <f t="shared" si="602"/>
        <v>-3674</v>
      </c>
      <c r="R203" s="28">
        <f t="shared" si="602"/>
        <v>49318</v>
      </c>
      <c r="T203" s="80">
        <v>13.0</v>
      </c>
      <c r="U203" s="80">
        <f t="shared" ref="U203:X203" si="603">U202+C196</f>
        <v>252</v>
      </c>
      <c r="V203" s="80">
        <f t="shared" si="603"/>
        <v>-1556</v>
      </c>
      <c r="W203" s="80">
        <f t="shared" si="603"/>
        <v>1702</v>
      </c>
      <c r="X203" s="80">
        <f t="shared" si="603"/>
        <v>-502</v>
      </c>
      <c r="Z203" s="80">
        <v>13.0</v>
      </c>
      <c r="AA203" s="10">
        <v>43883.0</v>
      </c>
      <c r="AB203" s="80">
        <v>252.0</v>
      </c>
      <c r="AC203" s="80">
        <v>-1556.0</v>
      </c>
      <c r="AD203" s="80">
        <v>1702.0</v>
      </c>
      <c r="AE203" s="80">
        <v>-502.0</v>
      </c>
    </row>
    <row r="204">
      <c r="A204" s="28">
        <f>'SAMLET_alle regnskab'!B213</f>
        <v>19</v>
      </c>
      <c r="B204" s="80">
        <f>'SAMLET_alle regnskab'!A213</f>
        <v>13</v>
      </c>
      <c r="C204" s="28">
        <f>'SAMLET_alle regnskab'!U213</f>
        <v>-4</v>
      </c>
      <c r="D204" s="28">
        <f>'SAMLET_alle regnskab'!V213</f>
        <v>-4</v>
      </c>
      <c r="E204" s="28">
        <f>'SAMLET_alle regnskab'!W213</f>
        <v>-4</v>
      </c>
      <c r="F204" s="28">
        <f>'SAMLET_alle regnskab'!X213</f>
        <v>12</v>
      </c>
      <c r="H204" s="80">
        <f t="shared" si="7"/>
        <v>13</v>
      </c>
      <c r="I204" s="28">
        <f t="shared" ref="I204:L204" si="604">I203+C204</f>
        <v>518</v>
      </c>
      <c r="J204" s="28">
        <f t="shared" si="604"/>
        <v>-710</v>
      </c>
      <c r="K204" s="28">
        <f t="shared" si="604"/>
        <v>-8</v>
      </c>
      <c r="L204" s="28">
        <f t="shared" si="604"/>
        <v>200</v>
      </c>
      <c r="N204" s="80">
        <f t="shared" si="25"/>
        <v>13</v>
      </c>
      <c r="O204" s="28">
        <f t="shared" ref="O204:R204" si="605">O203+I197</f>
        <v>14650</v>
      </c>
      <c r="P204" s="28">
        <f t="shared" si="605"/>
        <v>-60494</v>
      </c>
      <c r="Q204" s="28">
        <f t="shared" si="605"/>
        <v>-3678</v>
      </c>
      <c r="R204" s="28">
        <f t="shared" si="605"/>
        <v>49522</v>
      </c>
      <c r="T204" s="80">
        <v>13.0</v>
      </c>
      <c r="U204" s="80">
        <f t="shared" ref="U204:X204" si="606">U203+C197</f>
        <v>260</v>
      </c>
      <c r="V204" s="80">
        <f t="shared" si="606"/>
        <v>-1580</v>
      </c>
      <c r="W204" s="80">
        <f t="shared" si="606"/>
        <v>1710</v>
      </c>
      <c r="X204" s="80">
        <f t="shared" si="606"/>
        <v>-494</v>
      </c>
      <c r="Z204" s="80">
        <v>13.0</v>
      </c>
      <c r="AA204" s="10">
        <v>43883.0</v>
      </c>
      <c r="AB204" s="80">
        <v>260.0</v>
      </c>
      <c r="AC204" s="80">
        <v>-1580.0</v>
      </c>
      <c r="AD204" s="80">
        <v>1710.0</v>
      </c>
      <c r="AE204" s="80">
        <v>-494.0</v>
      </c>
    </row>
    <row r="205">
      <c r="A205" s="28">
        <f>'SAMLET_alle regnskab'!B214</f>
        <v>20</v>
      </c>
      <c r="B205" s="80">
        <f>'SAMLET_alle regnskab'!A214</f>
        <v>13</v>
      </c>
      <c r="C205" s="28">
        <f>'SAMLET_alle regnskab'!U214</f>
        <v>-32</v>
      </c>
      <c r="D205" s="28">
        <f>'SAMLET_alle regnskab'!V214</f>
        <v>32</v>
      </c>
      <c r="E205" s="28">
        <f>'SAMLET_alle regnskab'!W214</f>
        <v>32</v>
      </c>
      <c r="F205" s="28">
        <f>'SAMLET_alle regnskab'!X214</f>
        <v>-32</v>
      </c>
      <c r="H205" s="80">
        <f t="shared" si="7"/>
        <v>13</v>
      </c>
      <c r="I205" s="28">
        <f t="shared" ref="I205:L205" si="607">I204+C205</f>
        <v>486</v>
      </c>
      <c r="J205" s="28">
        <f t="shared" si="607"/>
        <v>-678</v>
      </c>
      <c r="K205" s="28">
        <f t="shared" si="607"/>
        <v>24</v>
      </c>
      <c r="L205" s="28">
        <f t="shared" si="607"/>
        <v>168</v>
      </c>
      <c r="N205" s="80">
        <f t="shared" si="25"/>
        <v>13</v>
      </c>
      <c r="O205" s="28">
        <f t="shared" ref="O205:R205" si="608">O204+I198</f>
        <v>15076</v>
      </c>
      <c r="P205" s="28">
        <f t="shared" si="608"/>
        <v>-61136</v>
      </c>
      <c r="Q205" s="28">
        <f t="shared" si="608"/>
        <v>-3674</v>
      </c>
      <c r="R205" s="28">
        <f t="shared" si="608"/>
        <v>49734</v>
      </c>
      <c r="T205" s="80">
        <v>13.0</v>
      </c>
      <c r="U205" s="80">
        <f t="shared" ref="U205:X205" si="609">U204+C198</f>
        <v>268</v>
      </c>
      <c r="V205" s="80">
        <f t="shared" si="609"/>
        <v>-1604</v>
      </c>
      <c r="W205" s="80">
        <f t="shared" si="609"/>
        <v>1718</v>
      </c>
      <c r="X205" s="80">
        <f t="shared" si="609"/>
        <v>-486</v>
      </c>
      <c r="Z205" s="80">
        <v>13.0</v>
      </c>
      <c r="AA205" s="10">
        <v>43883.0</v>
      </c>
      <c r="AB205" s="80">
        <v>268.0</v>
      </c>
      <c r="AC205" s="80">
        <v>-1604.0</v>
      </c>
      <c r="AD205" s="80">
        <v>1718.0</v>
      </c>
      <c r="AE205" s="80">
        <v>-486.0</v>
      </c>
    </row>
    <row r="206">
      <c r="A206" s="28">
        <f>'SAMLET_alle regnskab'!B215</f>
        <v>21</v>
      </c>
      <c r="B206" s="80">
        <f>'SAMLET_alle regnskab'!A215</f>
        <v>13</v>
      </c>
      <c r="C206" s="28">
        <f>'SAMLET_alle regnskab'!U215</f>
        <v>12</v>
      </c>
      <c r="D206" s="28">
        <f>'SAMLET_alle regnskab'!V215</f>
        <v>-12</v>
      </c>
      <c r="E206" s="28">
        <f>'SAMLET_alle regnskab'!W215</f>
        <v>12</v>
      </c>
      <c r="F206" s="28">
        <f>'SAMLET_alle regnskab'!X215</f>
        <v>-12</v>
      </c>
      <c r="H206" s="80">
        <f t="shared" si="7"/>
        <v>13</v>
      </c>
      <c r="I206" s="28">
        <f t="shared" ref="I206:L206" si="610">I205+C206</f>
        <v>498</v>
      </c>
      <c r="J206" s="28">
        <f t="shared" si="610"/>
        <v>-690</v>
      </c>
      <c r="K206" s="28">
        <f t="shared" si="610"/>
        <v>36</v>
      </c>
      <c r="L206" s="28">
        <f t="shared" si="610"/>
        <v>156</v>
      </c>
      <c r="N206" s="80">
        <f t="shared" si="25"/>
        <v>13</v>
      </c>
      <c r="O206" s="28">
        <f t="shared" ref="O206:R206" si="611">O205+I199</f>
        <v>15518</v>
      </c>
      <c r="P206" s="28">
        <f t="shared" si="611"/>
        <v>-61794</v>
      </c>
      <c r="Q206" s="28">
        <f t="shared" si="611"/>
        <v>-3654</v>
      </c>
      <c r="R206" s="28">
        <f t="shared" si="611"/>
        <v>49930</v>
      </c>
      <c r="T206" s="80">
        <v>13.0</v>
      </c>
      <c r="U206" s="80">
        <f t="shared" ref="U206:X206" si="612">U205+C199</f>
        <v>284</v>
      </c>
      <c r="V206" s="80">
        <f t="shared" si="612"/>
        <v>-1620</v>
      </c>
      <c r="W206" s="80">
        <f t="shared" si="612"/>
        <v>1734</v>
      </c>
      <c r="X206" s="80">
        <f t="shared" si="612"/>
        <v>-502</v>
      </c>
      <c r="Z206" s="80">
        <v>13.0</v>
      </c>
      <c r="AA206" s="10">
        <v>43883.0</v>
      </c>
      <c r="AB206" s="80">
        <v>284.0</v>
      </c>
      <c r="AC206" s="80">
        <v>-1620.0</v>
      </c>
      <c r="AD206" s="80">
        <v>1734.0</v>
      </c>
      <c r="AE206" s="80">
        <v>-502.0</v>
      </c>
    </row>
    <row r="207">
      <c r="A207" s="28">
        <f>'SAMLET_alle regnskab'!B216</f>
        <v>22</v>
      </c>
      <c r="B207" s="80">
        <f>'SAMLET_alle regnskab'!A216</f>
        <v>13</v>
      </c>
      <c r="C207" s="28">
        <f>'SAMLET_alle regnskab'!U216</f>
        <v>48</v>
      </c>
      <c r="D207" s="28">
        <f>'SAMLET_alle regnskab'!V216</f>
        <v>-144</v>
      </c>
      <c r="E207" s="28">
        <f>'SAMLET_alle regnskab'!W216</f>
        <v>48</v>
      </c>
      <c r="F207" s="28">
        <f>'SAMLET_alle regnskab'!X216</f>
        <v>48</v>
      </c>
      <c r="H207" s="80">
        <f t="shared" si="7"/>
        <v>13</v>
      </c>
      <c r="I207" s="28">
        <f t="shared" ref="I207:L207" si="613">I206+C207</f>
        <v>546</v>
      </c>
      <c r="J207" s="28">
        <f t="shared" si="613"/>
        <v>-834</v>
      </c>
      <c r="K207" s="28">
        <f t="shared" si="613"/>
        <v>84</v>
      </c>
      <c r="L207" s="28">
        <f t="shared" si="613"/>
        <v>204</v>
      </c>
      <c r="N207" s="80">
        <f t="shared" si="25"/>
        <v>13</v>
      </c>
      <c r="O207" s="28">
        <f t="shared" ref="O207:R207" si="614">O206+I200</f>
        <v>15976</v>
      </c>
      <c r="P207" s="28">
        <f t="shared" si="614"/>
        <v>-62468</v>
      </c>
      <c r="Q207" s="28">
        <f t="shared" si="614"/>
        <v>-3650</v>
      </c>
      <c r="R207" s="28">
        <f t="shared" si="614"/>
        <v>50142</v>
      </c>
      <c r="T207" s="80">
        <v>13.0</v>
      </c>
      <c r="U207" s="80">
        <f t="shared" ref="U207:X207" si="615">U206+C200</f>
        <v>300</v>
      </c>
      <c r="V207" s="80">
        <f t="shared" si="615"/>
        <v>-1636</v>
      </c>
      <c r="W207" s="80">
        <f t="shared" si="615"/>
        <v>1718</v>
      </c>
      <c r="X207" s="80">
        <f t="shared" si="615"/>
        <v>-486</v>
      </c>
      <c r="Z207" s="80">
        <v>13.0</v>
      </c>
      <c r="AA207" s="10">
        <v>43883.0</v>
      </c>
      <c r="AB207" s="80">
        <v>300.0</v>
      </c>
      <c r="AC207" s="80">
        <v>-1636.0</v>
      </c>
      <c r="AD207" s="80">
        <v>1718.0</v>
      </c>
      <c r="AE207" s="80">
        <v>-486.0</v>
      </c>
    </row>
    <row r="208">
      <c r="A208" s="28">
        <f>'SAMLET_alle regnskab'!B217</f>
        <v>23</v>
      </c>
      <c r="B208" s="80">
        <f>'SAMLET_alle regnskab'!A217</f>
        <v>13</v>
      </c>
      <c r="C208" s="28">
        <f>'SAMLET_alle regnskab'!U217</f>
        <v>64</v>
      </c>
      <c r="D208" s="28">
        <f>'SAMLET_alle regnskab'!V217</f>
        <v>64</v>
      </c>
      <c r="E208" s="28">
        <f>'SAMLET_alle regnskab'!W217</f>
        <v>-64</v>
      </c>
      <c r="F208" s="28">
        <f>'SAMLET_alle regnskab'!X217</f>
        <v>-64</v>
      </c>
      <c r="H208" s="80">
        <f t="shared" si="7"/>
        <v>13</v>
      </c>
      <c r="I208" s="28">
        <f t="shared" ref="I208:L208" si="616">I207+C208</f>
        <v>610</v>
      </c>
      <c r="J208" s="28">
        <f t="shared" si="616"/>
        <v>-770</v>
      </c>
      <c r="K208" s="28">
        <f t="shared" si="616"/>
        <v>20</v>
      </c>
      <c r="L208" s="28">
        <f t="shared" si="616"/>
        <v>140</v>
      </c>
      <c r="N208" s="80">
        <f t="shared" si="25"/>
        <v>13</v>
      </c>
      <c r="O208" s="28">
        <f t="shared" ref="O208:R208" si="617">O207+I201</f>
        <v>16442</v>
      </c>
      <c r="P208" s="28">
        <f t="shared" si="617"/>
        <v>-63150</v>
      </c>
      <c r="Q208" s="28">
        <f t="shared" si="617"/>
        <v>-3638</v>
      </c>
      <c r="R208" s="28">
        <f t="shared" si="617"/>
        <v>50346</v>
      </c>
      <c r="T208" s="80">
        <v>13.0</v>
      </c>
      <c r="U208" s="80">
        <f t="shared" ref="U208:X208" si="618">U207+C201</f>
        <v>308</v>
      </c>
      <c r="V208" s="80">
        <f t="shared" si="618"/>
        <v>-1644</v>
      </c>
      <c r="W208" s="80">
        <f t="shared" si="618"/>
        <v>1726</v>
      </c>
      <c r="X208" s="80">
        <f t="shared" si="618"/>
        <v>-494</v>
      </c>
      <c r="Z208" s="80">
        <v>13.0</v>
      </c>
      <c r="AA208" s="10">
        <v>43883.0</v>
      </c>
      <c r="AB208" s="80">
        <v>308.0</v>
      </c>
      <c r="AC208" s="80">
        <v>-1644.0</v>
      </c>
      <c r="AD208" s="80">
        <v>1726.0</v>
      </c>
      <c r="AE208" s="80">
        <v>-494.0</v>
      </c>
    </row>
    <row r="209">
      <c r="A209" s="28">
        <f>'SAMLET_alle regnskab'!B218</f>
        <v>24</v>
      </c>
      <c r="B209" s="80">
        <f>'SAMLET_alle regnskab'!A218</f>
        <v>13</v>
      </c>
      <c r="C209" s="28">
        <f>'SAMLET_alle regnskab'!U218</f>
        <v>-16</v>
      </c>
      <c r="D209" s="28">
        <f>'SAMLET_alle regnskab'!V218</f>
        <v>16</v>
      </c>
      <c r="E209" s="28">
        <f>'SAMLET_alle regnskab'!W218</f>
        <v>16</v>
      </c>
      <c r="F209" s="28">
        <f>'SAMLET_alle regnskab'!X218</f>
        <v>-16</v>
      </c>
      <c r="H209" s="80">
        <f t="shared" si="7"/>
        <v>13</v>
      </c>
      <c r="I209" s="28">
        <f t="shared" ref="I209:L209" si="619">I208+C209</f>
        <v>594</v>
      </c>
      <c r="J209" s="28">
        <f t="shared" si="619"/>
        <v>-754</v>
      </c>
      <c r="K209" s="28">
        <f t="shared" si="619"/>
        <v>36</v>
      </c>
      <c r="L209" s="28">
        <f t="shared" si="619"/>
        <v>124</v>
      </c>
      <c r="N209" s="80">
        <f t="shared" si="25"/>
        <v>13</v>
      </c>
      <c r="O209" s="28">
        <f t="shared" ref="O209:R209" si="620">O208+I202</f>
        <v>16928</v>
      </c>
      <c r="P209" s="28">
        <f t="shared" si="620"/>
        <v>-63892</v>
      </c>
      <c r="Q209" s="28">
        <f t="shared" si="620"/>
        <v>-3606</v>
      </c>
      <c r="R209" s="28">
        <f t="shared" si="620"/>
        <v>50570</v>
      </c>
      <c r="T209" s="80">
        <v>13.0</v>
      </c>
      <c r="U209" s="80">
        <f t="shared" ref="U209:X209" si="621">U208+C202</f>
        <v>328</v>
      </c>
      <c r="V209" s="80">
        <f t="shared" si="621"/>
        <v>-1704</v>
      </c>
      <c r="W209" s="80">
        <f t="shared" si="621"/>
        <v>1746</v>
      </c>
      <c r="X209" s="80">
        <f t="shared" si="621"/>
        <v>-474</v>
      </c>
      <c r="Z209" s="80">
        <v>13.0</v>
      </c>
      <c r="AA209" s="10">
        <v>43883.0</v>
      </c>
      <c r="AB209" s="80">
        <v>328.0</v>
      </c>
      <c r="AC209" s="80">
        <v>-1704.0</v>
      </c>
      <c r="AD209" s="80">
        <v>1746.0</v>
      </c>
      <c r="AE209" s="80">
        <v>-474.0</v>
      </c>
    </row>
    <row r="210">
      <c r="A210" s="28">
        <f>'SAMLET_alle regnskab'!B219</f>
        <v>25</v>
      </c>
      <c r="B210" s="80">
        <f>'SAMLET_alle regnskab'!A219</f>
        <v>13</v>
      </c>
      <c r="C210" s="28">
        <f>'SAMLET_alle regnskab'!U219</f>
        <v>24</v>
      </c>
      <c r="D210" s="28">
        <f>'SAMLET_alle regnskab'!V219</f>
        <v>24</v>
      </c>
      <c r="E210" s="28">
        <f>'SAMLET_alle regnskab'!W219</f>
        <v>-24</v>
      </c>
      <c r="F210" s="28">
        <f>'SAMLET_alle regnskab'!X219</f>
        <v>-24</v>
      </c>
      <c r="H210" s="80">
        <f t="shared" si="7"/>
        <v>13</v>
      </c>
      <c r="I210" s="28">
        <f t="shared" ref="I210:L210" si="622">I209+C210</f>
        <v>618</v>
      </c>
      <c r="J210" s="28">
        <f t="shared" si="622"/>
        <v>-730</v>
      </c>
      <c r="K210" s="28">
        <f t="shared" si="622"/>
        <v>12</v>
      </c>
      <c r="L210" s="28">
        <f t="shared" si="622"/>
        <v>100</v>
      </c>
      <c r="N210" s="80">
        <f t="shared" si="25"/>
        <v>13</v>
      </c>
      <c r="O210" s="28">
        <f t="shared" ref="O210:R210" si="623">O209+I203</f>
        <v>17450</v>
      </c>
      <c r="P210" s="28">
        <f t="shared" si="623"/>
        <v>-64598</v>
      </c>
      <c r="Q210" s="28">
        <f t="shared" si="623"/>
        <v>-3610</v>
      </c>
      <c r="R210" s="28">
        <f t="shared" si="623"/>
        <v>50758</v>
      </c>
      <c r="T210" s="80">
        <v>13.0</v>
      </c>
      <c r="U210" s="80">
        <f t="shared" ref="U210:X210" si="624">U209+C203</f>
        <v>364</v>
      </c>
      <c r="V210" s="80">
        <f t="shared" si="624"/>
        <v>-1668</v>
      </c>
      <c r="W210" s="80">
        <f t="shared" si="624"/>
        <v>1710</v>
      </c>
      <c r="X210" s="80">
        <f t="shared" si="624"/>
        <v>-510</v>
      </c>
      <c r="Z210" s="80">
        <v>13.0</v>
      </c>
      <c r="AA210" s="10">
        <v>43883.0</v>
      </c>
      <c r="AB210" s="80">
        <v>364.0</v>
      </c>
      <c r="AC210" s="80">
        <v>-1668.0</v>
      </c>
      <c r="AD210" s="80">
        <v>1710.0</v>
      </c>
      <c r="AE210" s="80">
        <v>-510.0</v>
      </c>
    </row>
    <row r="211">
      <c r="A211" s="28">
        <f>'SAMLET_alle regnskab'!B220</f>
        <v>26</v>
      </c>
      <c r="B211" s="80">
        <f>'SAMLET_alle regnskab'!A220</f>
        <v>13</v>
      </c>
      <c r="C211" s="28">
        <f>'SAMLET_alle regnskab'!U220</f>
        <v>6</v>
      </c>
      <c r="D211" s="28">
        <f>'SAMLET_alle regnskab'!V220</f>
        <v>6</v>
      </c>
      <c r="E211" s="28">
        <f>'SAMLET_alle regnskab'!W220</f>
        <v>-6</v>
      </c>
      <c r="F211" s="28">
        <f>'SAMLET_alle regnskab'!X220</f>
        <v>-6</v>
      </c>
      <c r="H211" s="80">
        <f t="shared" si="7"/>
        <v>13</v>
      </c>
      <c r="I211" s="28">
        <f t="shared" ref="I211:L211" si="625">I210+C211</f>
        <v>624</v>
      </c>
      <c r="J211" s="28">
        <f t="shared" si="625"/>
        <v>-724</v>
      </c>
      <c r="K211" s="28">
        <f t="shared" si="625"/>
        <v>6</v>
      </c>
      <c r="L211" s="28">
        <f t="shared" si="625"/>
        <v>94</v>
      </c>
      <c r="N211" s="80">
        <f t="shared" si="25"/>
        <v>13</v>
      </c>
      <c r="O211" s="28">
        <f t="shared" ref="O211:R211" si="626">O210+I204</f>
        <v>17968</v>
      </c>
      <c r="P211" s="28">
        <f t="shared" si="626"/>
        <v>-65308</v>
      </c>
      <c r="Q211" s="28">
        <f t="shared" si="626"/>
        <v>-3618</v>
      </c>
      <c r="R211" s="28">
        <f t="shared" si="626"/>
        <v>50958</v>
      </c>
      <c r="T211" s="80">
        <v>13.0</v>
      </c>
      <c r="U211" s="80">
        <f t="shared" ref="U211:X211" si="627">U210+C204</f>
        <v>360</v>
      </c>
      <c r="V211" s="80">
        <f t="shared" si="627"/>
        <v>-1672</v>
      </c>
      <c r="W211" s="80">
        <f t="shared" si="627"/>
        <v>1706</v>
      </c>
      <c r="X211" s="80">
        <f t="shared" si="627"/>
        <v>-498</v>
      </c>
      <c r="Z211" s="80">
        <v>13.0</v>
      </c>
      <c r="AA211" s="10">
        <v>43883.0</v>
      </c>
      <c r="AB211" s="80">
        <v>360.0</v>
      </c>
      <c r="AC211" s="80">
        <v>-1672.0</v>
      </c>
      <c r="AD211" s="80">
        <v>1706.0</v>
      </c>
      <c r="AE211" s="80">
        <v>-498.0</v>
      </c>
    </row>
    <row r="212">
      <c r="A212" s="28">
        <f>'SAMLET_alle regnskab'!B221</f>
        <v>27</v>
      </c>
      <c r="B212" s="80">
        <f>'SAMLET_alle regnskab'!A221</f>
        <v>13</v>
      </c>
      <c r="C212" s="28">
        <f>'SAMLET_alle regnskab'!U221</f>
        <v>-32</v>
      </c>
      <c r="D212" s="28">
        <f>'SAMLET_alle regnskab'!V221</f>
        <v>32</v>
      </c>
      <c r="E212" s="28">
        <f>'SAMLET_alle regnskab'!W221</f>
        <v>32</v>
      </c>
      <c r="F212" s="28">
        <f>'SAMLET_alle regnskab'!X221</f>
        <v>-32</v>
      </c>
      <c r="H212" s="80">
        <f t="shared" si="7"/>
        <v>13</v>
      </c>
      <c r="I212" s="28">
        <f t="shared" ref="I212:L212" si="628">I211+C212</f>
        <v>592</v>
      </c>
      <c r="J212" s="28">
        <f t="shared" si="628"/>
        <v>-692</v>
      </c>
      <c r="K212" s="28">
        <f t="shared" si="628"/>
        <v>38</v>
      </c>
      <c r="L212" s="28">
        <f t="shared" si="628"/>
        <v>62</v>
      </c>
      <c r="N212" s="80">
        <f t="shared" si="25"/>
        <v>13</v>
      </c>
      <c r="O212" s="28">
        <f t="shared" ref="O212:R212" si="629">O211+I205</f>
        <v>18454</v>
      </c>
      <c r="P212" s="28">
        <f t="shared" si="629"/>
        <v>-65986</v>
      </c>
      <c r="Q212" s="28">
        <f t="shared" si="629"/>
        <v>-3594</v>
      </c>
      <c r="R212" s="28">
        <f t="shared" si="629"/>
        <v>51126</v>
      </c>
      <c r="T212" s="80">
        <v>13.0</v>
      </c>
      <c r="U212" s="80">
        <f t="shared" ref="U212:X212" si="630">U211+C205</f>
        <v>328</v>
      </c>
      <c r="V212" s="80">
        <f t="shared" si="630"/>
        <v>-1640</v>
      </c>
      <c r="W212" s="80">
        <f t="shared" si="630"/>
        <v>1738</v>
      </c>
      <c r="X212" s="80">
        <f t="shared" si="630"/>
        <v>-530</v>
      </c>
      <c r="Z212" s="80">
        <v>13.0</v>
      </c>
      <c r="AA212" s="10">
        <v>43883.0</v>
      </c>
      <c r="AB212" s="80">
        <v>328.0</v>
      </c>
      <c r="AC212" s="80">
        <v>-1640.0</v>
      </c>
      <c r="AD212" s="80">
        <v>1738.0</v>
      </c>
      <c r="AE212" s="80">
        <v>-530.0</v>
      </c>
    </row>
    <row r="213">
      <c r="A213" s="28">
        <f>'SAMLET_alle regnskab'!B222</f>
        <v>28</v>
      </c>
      <c r="B213" s="80">
        <f>'SAMLET_alle regnskab'!A222</f>
        <v>13</v>
      </c>
      <c r="C213" s="28">
        <f>'SAMLET_alle regnskab'!U222</f>
        <v>-16</v>
      </c>
      <c r="D213" s="28">
        <f>'SAMLET_alle regnskab'!V222</f>
        <v>-16</v>
      </c>
      <c r="E213" s="28">
        <f>'SAMLET_alle regnskab'!W222</f>
        <v>16</v>
      </c>
      <c r="F213" s="28">
        <f>'SAMLET_alle regnskab'!X222</f>
        <v>16</v>
      </c>
      <c r="H213" s="80">
        <f t="shared" si="7"/>
        <v>13</v>
      </c>
      <c r="I213" s="28">
        <f t="shared" ref="I213:L213" si="631">I212+C213</f>
        <v>576</v>
      </c>
      <c r="J213" s="28">
        <f t="shared" si="631"/>
        <v>-708</v>
      </c>
      <c r="K213" s="28">
        <f t="shared" si="631"/>
        <v>54</v>
      </c>
      <c r="L213" s="28">
        <f t="shared" si="631"/>
        <v>78</v>
      </c>
      <c r="N213" s="80">
        <f t="shared" si="25"/>
        <v>13</v>
      </c>
      <c r="O213" s="28">
        <f t="shared" ref="O213:R213" si="632">O212+I206</f>
        <v>18952</v>
      </c>
      <c r="P213" s="28">
        <f t="shared" si="632"/>
        <v>-66676</v>
      </c>
      <c r="Q213" s="28">
        <f t="shared" si="632"/>
        <v>-3558</v>
      </c>
      <c r="R213" s="28">
        <f t="shared" si="632"/>
        <v>51282</v>
      </c>
      <c r="T213" s="80">
        <v>13.0</v>
      </c>
      <c r="U213" s="80">
        <f t="shared" ref="U213:X213" si="633">U212+C206</f>
        <v>340</v>
      </c>
      <c r="V213" s="80">
        <f t="shared" si="633"/>
        <v>-1652</v>
      </c>
      <c r="W213" s="80">
        <f t="shared" si="633"/>
        <v>1750</v>
      </c>
      <c r="X213" s="80">
        <f t="shared" si="633"/>
        <v>-542</v>
      </c>
      <c r="Z213" s="80">
        <v>13.0</v>
      </c>
      <c r="AA213" s="10">
        <v>43883.0</v>
      </c>
      <c r="AB213" s="80">
        <v>340.0</v>
      </c>
      <c r="AC213" s="80">
        <v>-1652.0</v>
      </c>
      <c r="AD213" s="80">
        <v>1750.0</v>
      </c>
      <c r="AE213" s="80">
        <v>-542.0</v>
      </c>
    </row>
    <row r="214">
      <c r="A214" s="28">
        <f>'SAMLET_alle regnskab'!B223</f>
        <v>29</v>
      </c>
      <c r="B214" s="80">
        <f>'SAMLET_alle regnskab'!A223</f>
        <v>13</v>
      </c>
      <c r="C214" s="28">
        <f>'SAMLET_alle regnskab'!U223</f>
        <v>-4</v>
      </c>
      <c r="D214" s="28">
        <f>'SAMLET_alle regnskab'!V223</f>
        <v>12</v>
      </c>
      <c r="E214" s="28">
        <f>'SAMLET_alle regnskab'!W223</f>
        <v>-4</v>
      </c>
      <c r="F214" s="28">
        <f>'SAMLET_alle regnskab'!X223</f>
        <v>-4</v>
      </c>
      <c r="H214" s="80">
        <f t="shared" si="7"/>
        <v>13</v>
      </c>
      <c r="I214" s="28">
        <f t="shared" ref="I214:L214" si="634">I213+C214</f>
        <v>572</v>
      </c>
      <c r="J214" s="28">
        <f t="shared" si="634"/>
        <v>-696</v>
      </c>
      <c r="K214" s="28">
        <f t="shared" si="634"/>
        <v>50</v>
      </c>
      <c r="L214" s="28">
        <f t="shared" si="634"/>
        <v>74</v>
      </c>
      <c r="N214" s="80">
        <f t="shared" si="25"/>
        <v>13</v>
      </c>
      <c r="O214" s="28">
        <f t="shared" ref="O214:R214" si="635">O213+I207</f>
        <v>19498</v>
      </c>
      <c r="P214" s="28">
        <f t="shared" si="635"/>
        <v>-67510</v>
      </c>
      <c r="Q214" s="28">
        <f t="shared" si="635"/>
        <v>-3474</v>
      </c>
      <c r="R214" s="28">
        <f t="shared" si="635"/>
        <v>51486</v>
      </c>
      <c r="T214" s="80">
        <v>13.0</v>
      </c>
      <c r="U214" s="80">
        <f t="shared" ref="U214:X214" si="636">U213+C207</f>
        <v>388</v>
      </c>
      <c r="V214" s="80">
        <f t="shared" si="636"/>
        <v>-1796</v>
      </c>
      <c r="W214" s="80">
        <f t="shared" si="636"/>
        <v>1798</v>
      </c>
      <c r="X214" s="80">
        <f t="shared" si="636"/>
        <v>-494</v>
      </c>
      <c r="Z214" s="80">
        <v>13.0</v>
      </c>
      <c r="AA214" s="10">
        <v>43883.0</v>
      </c>
      <c r="AB214" s="80">
        <v>388.0</v>
      </c>
      <c r="AC214" s="80">
        <v>-1796.0</v>
      </c>
      <c r="AD214" s="80">
        <v>1798.0</v>
      </c>
      <c r="AE214" s="80">
        <v>-494.0</v>
      </c>
    </row>
    <row r="215">
      <c r="A215" s="28">
        <f>'SAMLET_alle regnskab'!B224</f>
        <v>30</v>
      </c>
      <c r="B215" s="80">
        <f>'SAMLET_alle regnskab'!A224</f>
        <v>13</v>
      </c>
      <c r="C215" s="28">
        <f>'SAMLET_alle regnskab'!U224</f>
        <v>-16</v>
      </c>
      <c r="D215" s="28">
        <f>'SAMLET_alle regnskab'!V224</f>
        <v>-16</v>
      </c>
      <c r="E215" s="28">
        <f>'SAMLET_alle regnskab'!W224</f>
        <v>16</v>
      </c>
      <c r="F215" s="28">
        <f>'SAMLET_alle regnskab'!X224</f>
        <v>16</v>
      </c>
      <c r="H215" s="80">
        <f t="shared" si="7"/>
        <v>13</v>
      </c>
      <c r="I215" s="28">
        <f t="shared" ref="I215:L215" si="637">I214+C215</f>
        <v>556</v>
      </c>
      <c r="J215" s="28">
        <f t="shared" si="637"/>
        <v>-712</v>
      </c>
      <c r="K215" s="28">
        <f t="shared" si="637"/>
        <v>66</v>
      </c>
      <c r="L215" s="28">
        <f t="shared" si="637"/>
        <v>90</v>
      </c>
      <c r="N215" s="80">
        <f t="shared" si="25"/>
        <v>13</v>
      </c>
      <c r="O215" s="28">
        <f t="shared" ref="O215:R215" si="638">O214+I208</f>
        <v>20108</v>
      </c>
      <c r="P215" s="28">
        <f t="shared" si="638"/>
        <v>-68280</v>
      </c>
      <c r="Q215" s="28">
        <f t="shared" si="638"/>
        <v>-3454</v>
      </c>
      <c r="R215" s="28">
        <f t="shared" si="638"/>
        <v>51626</v>
      </c>
      <c r="T215" s="80">
        <v>13.0</v>
      </c>
      <c r="U215" s="80">
        <f t="shared" ref="U215:X215" si="639">U214+C208</f>
        <v>452</v>
      </c>
      <c r="V215" s="80">
        <f t="shared" si="639"/>
        <v>-1732</v>
      </c>
      <c r="W215" s="80">
        <f t="shared" si="639"/>
        <v>1734</v>
      </c>
      <c r="X215" s="80">
        <f t="shared" si="639"/>
        <v>-558</v>
      </c>
      <c r="Z215" s="80">
        <v>13.0</v>
      </c>
      <c r="AA215" s="10">
        <v>43883.0</v>
      </c>
      <c r="AB215" s="80">
        <v>452.0</v>
      </c>
      <c r="AC215" s="80">
        <v>-1732.0</v>
      </c>
      <c r="AD215" s="80">
        <v>1734.0</v>
      </c>
      <c r="AE215" s="80">
        <v>-558.0</v>
      </c>
    </row>
    <row r="216">
      <c r="A216" s="28">
        <f>'SAMLET_alle regnskab'!B225</f>
        <v>31</v>
      </c>
      <c r="B216" s="80">
        <f>'SAMLET_alle regnskab'!A225</f>
        <v>13</v>
      </c>
      <c r="C216" s="28">
        <f>'SAMLET_alle regnskab'!U225</f>
        <v>48</v>
      </c>
      <c r="D216" s="28">
        <f>'SAMLET_alle regnskab'!V225</f>
        <v>-48</v>
      </c>
      <c r="E216" s="28">
        <f>'SAMLET_alle regnskab'!W225</f>
        <v>48</v>
      </c>
      <c r="F216" s="28">
        <f>'SAMLET_alle regnskab'!X225</f>
        <v>-48</v>
      </c>
      <c r="H216" s="80">
        <f t="shared" si="7"/>
        <v>13</v>
      </c>
      <c r="I216" s="28">
        <f t="shared" ref="I216:L216" si="640">I215+C216</f>
        <v>604</v>
      </c>
      <c r="J216" s="28">
        <f t="shared" si="640"/>
        <v>-760</v>
      </c>
      <c r="K216" s="28">
        <f t="shared" si="640"/>
        <v>114</v>
      </c>
      <c r="L216" s="28">
        <f t="shared" si="640"/>
        <v>42</v>
      </c>
      <c r="N216" s="80">
        <f t="shared" si="25"/>
        <v>13</v>
      </c>
      <c r="O216" s="28">
        <f t="shared" ref="O216:R216" si="641">O215+I209</f>
        <v>20702</v>
      </c>
      <c r="P216" s="28">
        <f t="shared" si="641"/>
        <v>-69034</v>
      </c>
      <c r="Q216" s="28">
        <f t="shared" si="641"/>
        <v>-3418</v>
      </c>
      <c r="R216" s="28">
        <f t="shared" si="641"/>
        <v>51750</v>
      </c>
      <c r="T216" s="80">
        <v>13.0</v>
      </c>
      <c r="U216" s="80">
        <f t="shared" ref="U216:X216" si="642">U215+C209</f>
        <v>436</v>
      </c>
      <c r="V216" s="80">
        <f t="shared" si="642"/>
        <v>-1716</v>
      </c>
      <c r="W216" s="80">
        <f t="shared" si="642"/>
        <v>1750</v>
      </c>
      <c r="X216" s="80">
        <f t="shared" si="642"/>
        <v>-574</v>
      </c>
      <c r="Z216" s="80">
        <v>13.0</v>
      </c>
      <c r="AA216" s="10">
        <v>43883.0</v>
      </c>
      <c r="AB216" s="80">
        <v>436.0</v>
      </c>
      <c r="AC216" s="80">
        <v>-1716.0</v>
      </c>
      <c r="AD216" s="80">
        <v>1750.0</v>
      </c>
      <c r="AE216" s="80">
        <v>-574.0</v>
      </c>
    </row>
    <row r="217">
      <c r="A217" s="28">
        <f>'SAMLET_alle regnskab'!B226</f>
        <v>1</v>
      </c>
      <c r="B217" s="80">
        <f>'SAMLET_alle regnskab'!A226</f>
        <v>14</v>
      </c>
      <c r="C217" s="28">
        <f>'SAMLET_alle regnskab'!U226</f>
        <v>-24</v>
      </c>
      <c r="D217" s="28">
        <f>'SAMLET_alle regnskab'!V226</f>
        <v>8</v>
      </c>
      <c r="E217" s="28">
        <f>'SAMLET_alle regnskab'!W226</f>
        <v>8</v>
      </c>
      <c r="F217" s="28">
        <f>'SAMLET_alle regnskab'!X226</f>
        <v>8</v>
      </c>
      <c r="H217" s="80">
        <f t="shared" si="7"/>
        <v>14</v>
      </c>
      <c r="I217" s="28">
        <f t="shared" ref="I217:L217" si="643">I216+C217</f>
        <v>580</v>
      </c>
      <c r="J217" s="28">
        <f t="shared" si="643"/>
        <v>-752</v>
      </c>
      <c r="K217" s="28">
        <f t="shared" si="643"/>
        <v>122</v>
      </c>
      <c r="L217" s="28">
        <f t="shared" si="643"/>
        <v>50</v>
      </c>
      <c r="N217" s="80">
        <f t="shared" si="25"/>
        <v>13</v>
      </c>
      <c r="O217" s="28">
        <f t="shared" ref="O217:R217" si="644">O216+I210</f>
        <v>21320</v>
      </c>
      <c r="P217" s="28">
        <f t="shared" si="644"/>
        <v>-69764</v>
      </c>
      <c r="Q217" s="28">
        <f t="shared" si="644"/>
        <v>-3406</v>
      </c>
      <c r="R217" s="28">
        <f t="shared" si="644"/>
        <v>51850</v>
      </c>
      <c r="T217" s="80">
        <v>13.0</v>
      </c>
      <c r="U217" s="80">
        <f t="shared" ref="U217:X217" si="645">U216+C210</f>
        <v>460</v>
      </c>
      <c r="V217" s="80">
        <f t="shared" si="645"/>
        <v>-1692</v>
      </c>
      <c r="W217" s="80">
        <f t="shared" si="645"/>
        <v>1726</v>
      </c>
      <c r="X217" s="80">
        <f t="shared" si="645"/>
        <v>-598</v>
      </c>
      <c r="Z217" s="80">
        <v>13.0</v>
      </c>
      <c r="AA217" s="10">
        <v>43883.0</v>
      </c>
      <c r="AB217" s="80">
        <v>460.0</v>
      </c>
      <c r="AC217" s="80">
        <v>-1692.0</v>
      </c>
      <c r="AD217" s="80">
        <v>1726.0</v>
      </c>
      <c r="AE217" s="80">
        <v>-598.0</v>
      </c>
    </row>
    <row r="218">
      <c r="A218" s="28">
        <f>'SAMLET_alle regnskab'!B227</f>
        <v>2</v>
      </c>
      <c r="B218" s="80">
        <f>'SAMLET_alle regnskab'!A227</f>
        <v>14</v>
      </c>
      <c r="C218" s="28">
        <f>'SAMLET_alle regnskab'!U227</f>
        <v>-96</v>
      </c>
      <c r="D218" s="28">
        <f>'SAMLET_alle regnskab'!V227</f>
        <v>96</v>
      </c>
      <c r="E218" s="28">
        <f>'SAMLET_alle regnskab'!W227</f>
        <v>96</v>
      </c>
      <c r="F218" s="28">
        <f>'SAMLET_alle regnskab'!X227</f>
        <v>-96</v>
      </c>
      <c r="H218" s="80">
        <f t="shared" si="7"/>
        <v>14</v>
      </c>
      <c r="I218" s="28">
        <f t="shared" ref="I218:L218" si="646">I217+C218</f>
        <v>484</v>
      </c>
      <c r="J218" s="28">
        <f t="shared" si="646"/>
        <v>-656</v>
      </c>
      <c r="K218" s="28">
        <f t="shared" si="646"/>
        <v>218</v>
      </c>
      <c r="L218" s="28">
        <f t="shared" si="646"/>
        <v>-46</v>
      </c>
      <c r="N218" s="80">
        <f t="shared" si="25"/>
        <v>13</v>
      </c>
      <c r="O218" s="28">
        <f t="shared" ref="O218:R218" si="647">O217+I211</f>
        <v>21944</v>
      </c>
      <c r="P218" s="28">
        <f t="shared" si="647"/>
        <v>-70488</v>
      </c>
      <c r="Q218" s="28">
        <f t="shared" si="647"/>
        <v>-3400</v>
      </c>
      <c r="R218" s="28">
        <f t="shared" si="647"/>
        <v>51944</v>
      </c>
      <c r="T218" s="80">
        <v>13.0</v>
      </c>
      <c r="U218" s="80">
        <f t="shared" ref="U218:X218" si="648">U217+C211</f>
        <v>466</v>
      </c>
      <c r="V218" s="80">
        <f t="shared" si="648"/>
        <v>-1686</v>
      </c>
      <c r="W218" s="80">
        <f t="shared" si="648"/>
        <v>1720</v>
      </c>
      <c r="X218" s="80">
        <f t="shared" si="648"/>
        <v>-604</v>
      </c>
      <c r="Z218" s="80">
        <v>13.0</v>
      </c>
      <c r="AA218" s="10">
        <v>43883.0</v>
      </c>
      <c r="AB218" s="80">
        <v>466.0</v>
      </c>
      <c r="AC218" s="80">
        <v>-1686.0</v>
      </c>
      <c r="AD218" s="80">
        <v>1720.0</v>
      </c>
      <c r="AE218" s="80">
        <v>-604.0</v>
      </c>
    </row>
    <row r="219">
      <c r="A219" s="28">
        <f>'SAMLET_alle regnskab'!B228</f>
        <v>3</v>
      </c>
      <c r="B219" s="80">
        <f>'SAMLET_alle regnskab'!A228</f>
        <v>14</v>
      </c>
      <c r="C219" s="28">
        <f>'SAMLET_alle regnskab'!U228</f>
        <v>16</v>
      </c>
      <c r="D219" s="28">
        <f>'SAMLET_alle regnskab'!V228</f>
        <v>16</v>
      </c>
      <c r="E219" s="28">
        <f>'SAMLET_alle regnskab'!W228</f>
        <v>-16</v>
      </c>
      <c r="F219" s="28">
        <f>'SAMLET_alle regnskab'!X228</f>
        <v>-16</v>
      </c>
      <c r="H219" s="80">
        <f t="shared" si="7"/>
        <v>14</v>
      </c>
      <c r="I219" s="28">
        <f t="shared" ref="I219:L219" si="649">I218+C219</f>
        <v>500</v>
      </c>
      <c r="J219" s="28">
        <f t="shared" si="649"/>
        <v>-640</v>
      </c>
      <c r="K219" s="28">
        <f t="shared" si="649"/>
        <v>202</v>
      </c>
      <c r="L219" s="28">
        <f t="shared" si="649"/>
        <v>-62</v>
      </c>
      <c r="N219" s="80">
        <f t="shared" si="25"/>
        <v>13</v>
      </c>
      <c r="O219" s="28">
        <f t="shared" ref="O219:R219" si="650">O218+I212</f>
        <v>22536</v>
      </c>
      <c r="P219" s="28">
        <f t="shared" si="650"/>
        <v>-71180</v>
      </c>
      <c r="Q219" s="28">
        <f t="shared" si="650"/>
        <v>-3362</v>
      </c>
      <c r="R219" s="28">
        <f t="shared" si="650"/>
        <v>52006</v>
      </c>
      <c r="T219" s="80">
        <v>13.0</v>
      </c>
      <c r="U219" s="80">
        <f t="shared" ref="U219:X219" si="651">U218+C212</f>
        <v>434</v>
      </c>
      <c r="V219" s="80">
        <f t="shared" si="651"/>
        <v>-1654</v>
      </c>
      <c r="W219" s="80">
        <f t="shared" si="651"/>
        <v>1752</v>
      </c>
      <c r="X219" s="80">
        <f t="shared" si="651"/>
        <v>-636</v>
      </c>
      <c r="Z219" s="80">
        <v>13.0</v>
      </c>
      <c r="AA219" s="10">
        <v>43883.0</v>
      </c>
      <c r="AB219" s="80">
        <v>434.0</v>
      </c>
      <c r="AC219" s="80">
        <v>-1654.0</v>
      </c>
      <c r="AD219" s="80">
        <v>1752.0</v>
      </c>
      <c r="AE219" s="80">
        <v>-636.0</v>
      </c>
    </row>
    <row r="220">
      <c r="A220" s="28">
        <f>'SAMLET_alle regnskab'!B229</f>
        <v>4</v>
      </c>
      <c r="B220" s="80">
        <f>'SAMLET_alle regnskab'!A229</f>
        <v>14</v>
      </c>
      <c r="C220" s="28">
        <f>'SAMLET_alle regnskab'!U229</f>
        <v>-32</v>
      </c>
      <c r="D220" s="28">
        <f>'SAMLET_alle regnskab'!V229</f>
        <v>-32</v>
      </c>
      <c r="E220" s="28">
        <f>'SAMLET_alle regnskab'!W229</f>
        <v>32</v>
      </c>
      <c r="F220" s="28">
        <f>'SAMLET_alle regnskab'!X229</f>
        <v>32</v>
      </c>
      <c r="H220" s="80">
        <f t="shared" si="7"/>
        <v>14</v>
      </c>
      <c r="I220" s="28">
        <f t="shared" ref="I220:L220" si="652">I219+C220</f>
        <v>468</v>
      </c>
      <c r="J220" s="28">
        <f t="shared" si="652"/>
        <v>-672</v>
      </c>
      <c r="K220" s="28">
        <f t="shared" si="652"/>
        <v>234</v>
      </c>
      <c r="L220" s="28">
        <f t="shared" si="652"/>
        <v>-30</v>
      </c>
      <c r="N220" s="80">
        <f t="shared" si="25"/>
        <v>13</v>
      </c>
      <c r="O220" s="28">
        <f t="shared" ref="O220:R220" si="653">O219+I213</f>
        <v>23112</v>
      </c>
      <c r="P220" s="28">
        <f t="shared" si="653"/>
        <v>-71888</v>
      </c>
      <c r="Q220" s="28">
        <f t="shared" si="653"/>
        <v>-3308</v>
      </c>
      <c r="R220" s="28">
        <f t="shared" si="653"/>
        <v>52084</v>
      </c>
      <c r="T220" s="80">
        <v>13.0</v>
      </c>
      <c r="U220" s="80">
        <f t="shared" ref="U220:X220" si="654">U219+C213</f>
        <v>418</v>
      </c>
      <c r="V220" s="80">
        <f t="shared" si="654"/>
        <v>-1670</v>
      </c>
      <c r="W220" s="80">
        <f t="shared" si="654"/>
        <v>1768</v>
      </c>
      <c r="X220" s="80">
        <f t="shared" si="654"/>
        <v>-620</v>
      </c>
      <c r="Z220" s="80">
        <v>13.0</v>
      </c>
      <c r="AA220" s="10">
        <v>43883.0</v>
      </c>
      <c r="AB220" s="80">
        <v>418.0</v>
      </c>
      <c r="AC220" s="80">
        <v>-1670.0</v>
      </c>
      <c r="AD220" s="80">
        <v>1768.0</v>
      </c>
      <c r="AE220" s="80">
        <v>-620.0</v>
      </c>
    </row>
    <row r="221">
      <c r="A221" s="28">
        <f>'SAMLET_alle regnskab'!B230</f>
        <v>5</v>
      </c>
      <c r="B221" s="80">
        <f>'SAMLET_alle regnskab'!A230</f>
        <v>14</v>
      </c>
      <c r="C221" s="28">
        <f>'SAMLET_alle regnskab'!U230</f>
        <v>-4</v>
      </c>
      <c r="D221" s="28">
        <f>'SAMLET_alle regnskab'!V230</f>
        <v>-4</v>
      </c>
      <c r="E221" s="28">
        <f>'SAMLET_alle regnskab'!W230</f>
        <v>-4</v>
      </c>
      <c r="F221" s="28">
        <f>'SAMLET_alle regnskab'!X230</f>
        <v>12</v>
      </c>
      <c r="H221" s="80">
        <f t="shared" si="7"/>
        <v>14</v>
      </c>
      <c r="I221" s="28">
        <f t="shared" ref="I221:L221" si="655">I220+C221</f>
        <v>464</v>
      </c>
      <c r="J221" s="28">
        <f t="shared" si="655"/>
        <v>-676</v>
      </c>
      <c r="K221" s="28">
        <f t="shared" si="655"/>
        <v>230</v>
      </c>
      <c r="L221" s="28">
        <f t="shared" si="655"/>
        <v>-18</v>
      </c>
      <c r="N221" s="80">
        <f t="shared" si="25"/>
        <v>13</v>
      </c>
      <c r="O221" s="28">
        <f t="shared" ref="O221:R221" si="656">O220+I214</f>
        <v>23684</v>
      </c>
      <c r="P221" s="28">
        <f t="shared" si="656"/>
        <v>-72584</v>
      </c>
      <c r="Q221" s="28">
        <f t="shared" si="656"/>
        <v>-3258</v>
      </c>
      <c r="R221" s="28">
        <f t="shared" si="656"/>
        <v>52158</v>
      </c>
      <c r="T221" s="80">
        <v>13.0</v>
      </c>
      <c r="U221" s="80">
        <f t="shared" ref="U221:X221" si="657">U220+C214</f>
        <v>414</v>
      </c>
      <c r="V221" s="80">
        <f t="shared" si="657"/>
        <v>-1658</v>
      </c>
      <c r="W221" s="80">
        <f t="shared" si="657"/>
        <v>1764</v>
      </c>
      <c r="X221" s="80">
        <f t="shared" si="657"/>
        <v>-624</v>
      </c>
      <c r="Z221" s="80">
        <v>13.0</v>
      </c>
      <c r="AA221" s="10">
        <v>43883.0</v>
      </c>
      <c r="AB221" s="80">
        <v>414.0</v>
      </c>
      <c r="AC221" s="80">
        <v>-1658.0</v>
      </c>
      <c r="AD221" s="80">
        <v>1764.0</v>
      </c>
      <c r="AE221" s="80">
        <v>-624.0</v>
      </c>
    </row>
    <row r="222">
      <c r="A222" s="28">
        <f>'SAMLET_alle regnskab'!B231</f>
        <v>6</v>
      </c>
      <c r="B222" s="80">
        <f>'SAMLET_alle regnskab'!A231</f>
        <v>14</v>
      </c>
      <c r="C222" s="28">
        <f>'SAMLET_alle regnskab'!U231</f>
        <v>-32</v>
      </c>
      <c r="D222" s="28">
        <f>'SAMLET_alle regnskab'!V231</f>
        <v>32</v>
      </c>
      <c r="E222" s="28">
        <f>'SAMLET_alle regnskab'!W231</f>
        <v>32</v>
      </c>
      <c r="F222" s="28">
        <f>'SAMLET_alle regnskab'!X231</f>
        <v>-32</v>
      </c>
      <c r="H222" s="80">
        <f t="shared" si="7"/>
        <v>14</v>
      </c>
      <c r="I222" s="28">
        <f t="shared" ref="I222:L222" si="658">I221+C222</f>
        <v>432</v>
      </c>
      <c r="J222" s="28">
        <f t="shared" si="658"/>
        <v>-644</v>
      </c>
      <c r="K222" s="28">
        <f t="shared" si="658"/>
        <v>262</v>
      </c>
      <c r="L222" s="28">
        <f t="shared" si="658"/>
        <v>-50</v>
      </c>
      <c r="N222" s="80">
        <f t="shared" si="25"/>
        <v>13</v>
      </c>
      <c r="O222" s="28">
        <f t="shared" ref="O222:R222" si="659">O221+I215</f>
        <v>24240</v>
      </c>
      <c r="P222" s="28">
        <f t="shared" si="659"/>
        <v>-73296</v>
      </c>
      <c r="Q222" s="28">
        <f t="shared" si="659"/>
        <v>-3192</v>
      </c>
      <c r="R222" s="28">
        <f t="shared" si="659"/>
        <v>52248</v>
      </c>
      <c r="T222" s="80">
        <v>13.0</v>
      </c>
      <c r="U222" s="80">
        <f t="shared" ref="U222:X222" si="660">U221+C215</f>
        <v>398</v>
      </c>
      <c r="V222" s="80">
        <f t="shared" si="660"/>
        <v>-1674</v>
      </c>
      <c r="W222" s="80">
        <f t="shared" si="660"/>
        <v>1780</v>
      </c>
      <c r="X222" s="80">
        <f t="shared" si="660"/>
        <v>-608</v>
      </c>
      <c r="Z222" s="80">
        <v>13.0</v>
      </c>
      <c r="AA222" s="10">
        <v>43883.0</v>
      </c>
      <c r="AB222" s="80">
        <v>398.0</v>
      </c>
      <c r="AC222" s="80">
        <v>-1674.0</v>
      </c>
      <c r="AD222" s="80">
        <v>1780.0</v>
      </c>
      <c r="AE222" s="80">
        <v>-608.0</v>
      </c>
    </row>
    <row r="223">
      <c r="A223" s="28">
        <f>'SAMLET_alle regnskab'!B232</f>
        <v>7</v>
      </c>
      <c r="B223" s="80">
        <f>'SAMLET_alle regnskab'!A232</f>
        <v>14</v>
      </c>
      <c r="C223" s="28">
        <f>'SAMLET_alle regnskab'!U232</f>
        <v>-4</v>
      </c>
      <c r="D223" s="28">
        <f>'SAMLET_alle regnskab'!V232</f>
        <v>-4</v>
      </c>
      <c r="E223" s="28">
        <f>'SAMLET_alle regnskab'!W232</f>
        <v>12</v>
      </c>
      <c r="F223" s="28">
        <f>'SAMLET_alle regnskab'!X232</f>
        <v>-4</v>
      </c>
      <c r="H223" s="80">
        <f t="shared" si="7"/>
        <v>14</v>
      </c>
      <c r="I223" s="28">
        <f t="shared" ref="I223:L223" si="661">I222+C223</f>
        <v>428</v>
      </c>
      <c r="J223" s="28">
        <f t="shared" si="661"/>
        <v>-648</v>
      </c>
      <c r="K223" s="28">
        <f t="shared" si="661"/>
        <v>274</v>
      </c>
      <c r="L223" s="28">
        <f t="shared" si="661"/>
        <v>-54</v>
      </c>
      <c r="N223" s="80">
        <f t="shared" si="25"/>
        <v>13</v>
      </c>
      <c r="O223" s="28">
        <f t="shared" ref="O223:R223" si="662">O222+I216</f>
        <v>24844</v>
      </c>
      <c r="P223" s="28">
        <f t="shared" si="662"/>
        <v>-74056</v>
      </c>
      <c r="Q223" s="28">
        <f t="shared" si="662"/>
        <v>-3078</v>
      </c>
      <c r="R223" s="28">
        <f t="shared" si="662"/>
        <v>52290</v>
      </c>
      <c r="T223" s="80">
        <v>13.0</v>
      </c>
      <c r="U223" s="80">
        <f t="shared" ref="U223:X223" si="663">U222+C216</f>
        <v>446</v>
      </c>
      <c r="V223" s="80">
        <f t="shared" si="663"/>
        <v>-1722</v>
      </c>
      <c r="W223" s="80">
        <f t="shared" si="663"/>
        <v>1828</v>
      </c>
      <c r="X223" s="80">
        <f t="shared" si="663"/>
        <v>-656</v>
      </c>
      <c r="Z223" s="80">
        <v>13.0</v>
      </c>
      <c r="AA223" s="10">
        <v>43883.0</v>
      </c>
      <c r="AB223" s="80">
        <v>446.0</v>
      </c>
      <c r="AC223" s="80">
        <v>-1722.0</v>
      </c>
      <c r="AD223" s="80">
        <v>1828.0</v>
      </c>
      <c r="AE223" s="80">
        <v>-656.0</v>
      </c>
    </row>
    <row r="224">
      <c r="A224" s="28">
        <f>'SAMLET_alle regnskab'!B233</f>
        <v>8</v>
      </c>
      <c r="B224" s="80">
        <f>'SAMLET_alle regnskab'!A233</f>
        <v>14</v>
      </c>
      <c r="C224" s="28">
        <f>'SAMLET_alle regnskab'!U233</f>
        <v>8</v>
      </c>
      <c r="D224" s="28">
        <f>'SAMLET_alle regnskab'!V233</f>
        <v>-24</v>
      </c>
      <c r="E224" s="28">
        <f>'SAMLET_alle regnskab'!W233</f>
        <v>8</v>
      </c>
      <c r="F224" s="28">
        <f>'SAMLET_alle regnskab'!X233</f>
        <v>8</v>
      </c>
      <c r="H224" s="80">
        <f t="shared" si="7"/>
        <v>14</v>
      </c>
      <c r="I224" s="28">
        <f t="shared" ref="I224:L224" si="664">I223+C224</f>
        <v>436</v>
      </c>
      <c r="J224" s="28">
        <f t="shared" si="664"/>
        <v>-672</v>
      </c>
      <c r="K224" s="28">
        <f t="shared" si="664"/>
        <v>282</v>
      </c>
      <c r="L224" s="28">
        <f t="shared" si="664"/>
        <v>-46</v>
      </c>
      <c r="N224" s="80">
        <f t="shared" si="25"/>
        <v>14</v>
      </c>
      <c r="O224" s="28">
        <f t="shared" ref="O224:R224" si="665">O223+I217</f>
        <v>25424</v>
      </c>
      <c r="P224" s="28">
        <f t="shared" si="665"/>
        <v>-74808</v>
      </c>
      <c r="Q224" s="28">
        <f t="shared" si="665"/>
        <v>-2956</v>
      </c>
      <c r="R224" s="28">
        <f t="shared" si="665"/>
        <v>52340</v>
      </c>
      <c r="T224" s="80">
        <v>14.0</v>
      </c>
      <c r="U224" s="80">
        <f t="shared" ref="U224:X224" si="666">U223+C217</f>
        <v>422</v>
      </c>
      <c r="V224" s="80">
        <f t="shared" si="666"/>
        <v>-1714</v>
      </c>
      <c r="W224" s="80">
        <f t="shared" si="666"/>
        <v>1836</v>
      </c>
      <c r="X224" s="80">
        <f t="shared" si="666"/>
        <v>-648</v>
      </c>
      <c r="Z224" s="80">
        <v>14.0</v>
      </c>
      <c r="AA224" s="10">
        <v>44106.0</v>
      </c>
      <c r="AB224" s="80">
        <v>422.0</v>
      </c>
      <c r="AC224" s="80">
        <v>-1714.0</v>
      </c>
      <c r="AD224" s="80">
        <v>1836.0</v>
      </c>
      <c r="AE224" s="80">
        <v>-648.0</v>
      </c>
    </row>
    <row r="225">
      <c r="A225" s="28">
        <f>'SAMLET_alle regnskab'!B234</f>
        <v>9</v>
      </c>
      <c r="B225" s="80">
        <f>'SAMLET_alle regnskab'!A234</f>
        <v>14</v>
      </c>
      <c r="C225" s="28">
        <f>'SAMLET_alle regnskab'!U234</f>
        <v>32</v>
      </c>
      <c r="D225" s="28">
        <f>'SAMLET_alle regnskab'!V234</f>
        <v>-32</v>
      </c>
      <c r="E225" s="28">
        <f>'SAMLET_alle regnskab'!W234</f>
        <v>-32</v>
      </c>
      <c r="F225" s="28">
        <f>'SAMLET_alle regnskab'!X234</f>
        <v>32</v>
      </c>
      <c r="H225" s="80">
        <f t="shared" si="7"/>
        <v>14</v>
      </c>
      <c r="I225" s="28">
        <f t="shared" ref="I225:L225" si="667">I224+C225</f>
        <v>468</v>
      </c>
      <c r="J225" s="28">
        <f t="shared" si="667"/>
        <v>-704</v>
      </c>
      <c r="K225" s="28">
        <f t="shared" si="667"/>
        <v>250</v>
      </c>
      <c r="L225" s="28">
        <f t="shared" si="667"/>
        <v>-14</v>
      </c>
      <c r="N225" s="80">
        <f t="shared" si="25"/>
        <v>14</v>
      </c>
      <c r="O225" s="28">
        <f t="shared" ref="O225:R225" si="668">O224+I218</f>
        <v>25908</v>
      </c>
      <c r="P225" s="28">
        <f t="shared" si="668"/>
        <v>-75464</v>
      </c>
      <c r="Q225" s="28">
        <f t="shared" si="668"/>
        <v>-2738</v>
      </c>
      <c r="R225" s="28">
        <f t="shared" si="668"/>
        <v>52294</v>
      </c>
      <c r="T225" s="80">
        <v>14.0</v>
      </c>
      <c r="U225" s="80">
        <f t="shared" ref="U225:X225" si="669">U224+C218</f>
        <v>326</v>
      </c>
      <c r="V225" s="80">
        <f t="shared" si="669"/>
        <v>-1618</v>
      </c>
      <c r="W225" s="80">
        <f t="shared" si="669"/>
        <v>1932</v>
      </c>
      <c r="X225" s="80">
        <f t="shared" si="669"/>
        <v>-744</v>
      </c>
      <c r="Z225" s="80">
        <v>14.0</v>
      </c>
      <c r="AA225" s="10">
        <v>44106.0</v>
      </c>
      <c r="AB225" s="80">
        <v>326.0</v>
      </c>
      <c r="AC225" s="80">
        <v>-1618.0</v>
      </c>
      <c r="AD225" s="80">
        <v>1932.0</v>
      </c>
      <c r="AE225" s="80">
        <v>-744.0</v>
      </c>
    </row>
    <row r="226">
      <c r="A226" s="28">
        <f>'SAMLET_alle regnskab'!B235</f>
        <v>10</v>
      </c>
      <c r="B226" s="80">
        <f>'SAMLET_alle regnskab'!A235</f>
        <v>14</v>
      </c>
      <c r="C226" s="28">
        <f>'SAMLET_alle regnskab'!U235</f>
        <v>20</v>
      </c>
      <c r="D226" s="28">
        <f>'SAMLET_alle regnskab'!V235</f>
        <v>-20</v>
      </c>
      <c r="E226" s="28">
        <f>'SAMLET_alle regnskab'!W235</f>
        <v>20</v>
      </c>
      <c r="F226" s="28">
        <f>'SAMLET_alle regnskab'!X235</f>
        <v>-20</v>
      </c>
      <c r="H226" s="80">
        <f t="shared" si="7"/>
        <v>14</v>
      </c>
      <c r="I226" s="28">
        <f t="shared" ref="I226:L226" si="670">I225+C226</f>
        <v>488</v>
      </c>
      <c r="J226" s="28">
        <f t="shared" si="670"/>
        <v>-724</v>
      </c>
      <c r="K226" s="28">
        <f t="shared" si="670"/>
        <v>270</v>
      </c>
      <c r="L226" s="28">
        <f t="shared" si="670"/>
        <v>-34</v>
      </c>
      <c r="N226" s="80">
        <f t="shared" si="25"/>
        <v>14</v>
      </c>
      <c r="O226" s="28">
        <f t="shared" ref="O226:R226" si="671">O225+I219</f>
        <v>26408</v>
      </c>
      <c r="P226" s="28">
        <f t="shared" si="671"/>
        <v>-76104</v>
      </c>
      <c r="Q226" s="28">
        <f t="shared" si="671"/>
        <v>-2536</v>
      </c>
      <c r="R226" s="28">
        <f t="shared" si="671"/>
        <v>52232</v>
      </c>
      <c r="T226" s="80">
        <v>14.0</v>
      </c>
      <c r="U226" s="80">
        <f t="shared" ref="U226:X226" si="672">U225+C219</f>
        <v>342</v>
      </c>
      <c r="V226" s="80">
        <f t="shared" si="672"/>
        <v>-1602</v>
      </c>
      <c r="W226" s="80">
        <f t="shared" si="672"/>
        <v>1916</v>
      </c>
      <c r="X226" s="80">
        <f t="shared" si="672"/>
        <v>-760</v>
      </c>
      <c r="Z226" s="80">
        <v>14.0</v>
      </c>
      <c r="AA226" s="10">
        <v>44106.0</v>
      </c>
      <c r="AB226" s="80">
        <v>342.0</v>
      </c>
      <c r="AC226" s="80">
        <v>-1602.0</v>
      </c>
      <c r="AD226" s="80">
        <v>1916.0</v>
      </c>
      <c r="AE226" s="80">
        <v>-760.0</v>
      </c>
    </row>
    <row r="227">
      <c r="A227" s="28">
        <f>'SAMLET_alle regnskab'!B236</f>
        <v>11</v>
      </c>
      <c r="B227" s="80">
        <f>'SAMLET_alle regnskab'!A236</f>
        <v>14</v>
      </c>
      <c r="C227" s="28">
        <f>'SAMLET_alle regnskab'!U236</f>
        <v>-16</v>
      </c>
      <c r="D227" s="28">
        <f>'SAMLET_alle regnskab'!V236</f>
        <v>16</v>
      </c>
      <c r="E227" s="28">
        <f>'SAMLET_alle regnskab'!W236</f>
        <v>16</v>
      </c>
      <c r="F227" s="28">
        <f>'SAMLET_alle regnskab'!X236</f>
        <v>-16</v>
      </c>
      <c r="H227" s="80">
        <f t="shared" si="7"/>
        <v>14</v>
      </c>
      <c r="I227" s="28">
        <f t="shared" ref="I227:L227" si="673">I226+C227</f>
        <v>472</v>
      </c>
      <c r="J227" s="28">
        <f t="shared" si="673"/>
        <v>-708</v>
      </c>
      <c r="K227" s="28">
        <f t="shared" si="673"/>
        <v>286</v>
      </c>
      <c r="L227" s="28">
        <f t="shared" si="673"/>
        <v>-50</v>
      </c>
      <c r="N227" s="80">
        <f t="shared" si="25"/>
        <v>14</v>
      </c>
      <c r="O227" s="28">
        <f t="shared" ref="O227:R227" si="674">O226+I220</f>
        <v>26876</v>
      </c>
      <c r="P227" s="28">
        <f t="shared" si="674"/>
        <v>-76776</v>
      </c>
      <c r="Q227" s="28">
        <f t="shared" si="674"/>
        <v>-2302</v>
      </c>
      <c r="R227" s="28">
        <f t="shared" si="674"/>
        <v>52202</v>
      </c>
      <c r="T227" s="80">
        <v>14.0</v>
      </c>
      <c r="U227" s="80">
        <f t="shared" ref="U227:X227" si="675">U226+C220</f>
        <v>310</v>
      </c>
      <c r="V227" s="80">
        <f t="shared" si="675"/>
        <v>-1634</v>
      </c>
      <c r="W227" s="80">
        <f t="shared" si="675"/>
        <v>1948</v>
      </c>
      <c r="X227" s="80">
        <f t="shared" si="675"/>
        <v>-728</v>
      </c>
      <c r="Z227" s="80">
        <v>14.0</v>
      </c>
      <c r="AA227" s="10">
        <v>44106.0</v>
      </c>
      <c r="AB227" s="80">
        <v>310.0</v>
      </c>
      <c r="AC227" s="80">
        <v>-1634.0</v>
      </c>
      <c r="AD227" s="80">
        <v>1948.0</v>
      </c>
      <c r="AE227" s="80">
        <v>-728.0</v>
      </c>
    </row>
    <row r="228">
      <c r="A228" s="28">
        <f>'SAMLET_alle regnskab'!B237</f>
        <v>12</v>
      </c>
      <c r="B228" s="80">
        <f>'SAMLET_alle regnskab'!A237</f>
        <v>14</v>
      </c>
      <c r="C228" s="28">
        <f>'SAMLET_alle regnskab'!U237</f>
        <v>16</v>
      </c>
      <c r="D228" s="28">
        <f>'SAMLET_alle regnskab'!V237</f>
        <v>16</v>
      </c>
      <c r="E228" s="28">
        <f>'SAMLET_alle regnskab'!W237</f>
        <v>16</v>
      </c>
      <c r="F228" s="28">
        <f>'SAMLET_alle regnskab'!X237</f>
        <v>-48</v>
      </c>
      <c r="H228" s="80">
        <f t="shared" si="7"/>
        <v>14</v>
      </c>
      <c r="I228" s="28">
        <f t="shared" ref="I228:L228" si="676">I227+C228</f>
        <v>488</v>
      </c>
      <c r="J228" s="28">
        <f t="shared" si="676"/>
        <v>-692</v>
      </c>
      <c r="K228" s="28">
        <f t="shared" si="676"/>
        <v>302</v>
      </c>
      <c r="L228" s="28">
        <f t="shared" si="676"/>
        <v>-98</v>
      </c>
      <c r="N228" s="80">
        <f t="shared" si="25"/>
        <v>14</v>
      </c>
      <c r="O228" s="28">
        <f t="shared" ref="O228:R228" si="677">O227+I221</f>
        <v>27340</v>
      </c>
      <c r="P228" s="28">
        <f t="shared" si="677"/>
        <v>-77452</v>
      </c>
      <c r="Q228" s="28">
        <f t="shared" si="677"/>
        <v>-2072</v>
      </c>
      <c r="R228" s="28">
        <f t="shared" si="677"/>
        <v>52184</v>
      </c>
      <c r="T228" s="80">
        <v>14.0</v>
      </c>
      <c r="U228" s="80">
        <f t="shared" ref="U228:X228" si="678">U227+C221</f>
        <v>306</v>
      </c>
      <c r="V228" s="80">
        <f t="shared" si="678"/>
        <v>-1638</v>
      </c>
      <c r="W228" s="80">
        <f t="shared" si="678"/>
        <v>1944</v>
      </c>
      <c r="X228" s="80">
        <f t="shared" si="678"/>
        <v>-716</v>
      </c>
      <c r="Z228" s="80">
        <v>14.0</v>
      </c>
      <c r="AA228" s="10">
        <v>44106.0</v>
      </c>
      <c r="AB228" s="80">
        <v>306.0</v>
      </c>
      <c r="AC228" s="80">
        <v>-1638.0</v>
      </c>
      <c r="AD228" s="80">
        <v>1944.0</v>
      </c>
      <c r="AE228" s="80">
        <v>-716.0</v>
      </c>
    </row>
    <row r="229">
      <c r="A229" s="28">
        <f>'SAMLET_alle regnskab'!B238</f>
        <v>13</v>
      </c>
      <c r="B229" s="80">
        <f>'SAMLET_alle regnskab'!A238</f>
        <v>14</v>
      </c>
      <c r="C229" s="28">
        <f>'SAMLET_alle regnskab'!U238</f>
        <v>-24</v>
      </c>
      <c r="D229" s="28">
        <f>'SAMLET_alle regnskab'!V238</f>
        <v>8</v>
      </c>
      <c r="E229" s="28">
        <f>'SAMLET_alle regnskab'!W238</f>
        <v>8</v>
      </c>
      <c r="F229" s="28">
        <f>'SAMLET_alle regnskab'!X238</f>
        <v>8</v>
      </c>
      <c r="H229" s="80">
        <f t="shared" si="7"/>
        <v>14</v>
      </c>
      <c r="I229" s="28">
        <f t="shared" ref="I229:L229" si="679">I228+C229</f>
        <v>464</v>
      </c>
      <c r="J229" s="28">
        <f t="shared" si="679"/>
        <v>-684</v>
      </c>
      <c r="K229" s="28">
        <f t="shared" si="679"/>
        <v>310</v>
      </c>
      <c r="L229" s="28">
        <f t="shared" si="679"/>
        <v>-90</v>
      </c>
      <c r="N229" s="80">
        <f t="shared" si="25"/>
        <v>14</v>
      </c>
      <c r="O229" s="28">
        <f t="shared" ref="O229:R229" si="680">O228+I222</f>
        <v>27772</v>
      </c>
      <c r="P229" s="28">
        <f t="shared" si="680"/>
        <v>-78096</v>
      </c>
      <c r="Q229" s="28">
        <f t="shared" si="680"/>
        <v>-1810</v>
      </c>
      <c r="R229" s="28">
        <f t="shared" si="680"/>
        <v>52134</v>
      </c>
      <c r="T229" s="80">
        <v>14.0</v>
      </c>
      <c r="U229" s="80">
        <f t="shared" ref="U229:X229" si="681">U228+C222</f>
        <v>274</v>
      </c>
      <c r="V229" s="80">
        <f t="shared" si="681"/>
        <v>-1606</v>
      </c>
      <c r="W229" s="80">
        <f t="shared" si="681"/>
        <v>1976</v>
      </c>
      <c r="X229" s="80">
        <f t="shared" si="681"/>
        <v>-748</v>
      </c>
      <c r="Z229" s="80">
        <v>14.0</v>
      </c>
      <c r="AA229" s="10">
        <v>44106.0</v>
      </c>
      <c r="AB229" s="80">
        <v>274.0</v>
      </c>
      <c r="AC229" s="80">
        <v>-1606.0</v>
      </c>
      <c r="AD229" s="80">
        <v>1976.0</v>
      </c>
      <c r="AE229" s="80">
        <v>-748.0</v>
      </c>
    </row>
    <row r="230">
      <c r="A230" s="28">
        <f>'SAMLET_alle regnskab'!B239</f>
        <v>14</v>
      </c>
      <c r="B230" s="80">
        <f>'SAMLET_alle regnskab'!A239</f>
        <v>14</v>
      </c>
      <c r="C230" s="28">
        <f>'SAMLET_alle regnskab'!U239</f>
        <v>8</v>
      </c>
      <c r="D230" s="28">
        <f>'SAMLET_alle regnskab'!V239</f>
        <v>-8</v>
      </c>
      <c r="E230" s="28">
        <f>'SAMLET_alle regnskab'!W239</f>
        <v>8</v>
      </c>
      <c r="F230" s="28">
        <f>'SAMLET_alle regnskab'!X239</f>
        <v>-8</v>
      </c>
      <c r="H230" s="80">
        <f t="shared" si="7"/>
        <v>14</v>
      </c>
      <c r="I230" s="28">
        <f t="shared" ref="I230:L230" si="682">I229+C230</f>
        <v>472</v>
      </c>
      <c r="J230" s="28">
        <f t="shared" si="682"/>
        <v>-692</v>
      </c>
      <c r="K230" s="28">
        <f t="shared" si="682"/>
        <v>318</v>
      </c>
      <c r="L230" s="28">
        <f t="shared" si="682"/>
        <v>-98</v>
      </c>
      <c r="N230" s="80">
        <f t="shared" si="25"/>
        <v>14</v>
      </c>
      <c r="O230" s="28">
        <f t="shared" ref="O230:R230" si="683">O229+I223</f>
        <v>28200</v>
      </c>
      <c r="P230" s="28">
        <f t="shared" si="683"/>
        <v>-78744</v>
      </c>
      <c r="Q230" s="28">
        <f t="shared" si="683"/>
        <v>-1536</v>
      </c>
      <c r="R230" s="28">
        <f t="shared" si="683"/>
        <v>52080</v>
      </c>
      <c r="T230" s="80">
        <v>14.0</v>
      </c>
      <c r="U230" s="80">
        <f t="shared" ref="U230:X230" si="684">U229+C223</f>
        <v>270</v>
      </c>
      <c r="V230" s="80">
        <f t="shared" si="684"/>
        <v>-1610</v>
      </c>
      <c r="W230" s="80">
        <f t="shared" si="684"/>
        <v>1988</v>
      </c>
      <c r="X230" s="80">
        <f t="shared" si="684"/>
        <v>-752</v>
      </c>
      <c r="Z230" s="80">
        <v>14.0</v>
      </c>
      <c r="AA230" s="10">
        <v>44106.0</v>
      </c>
      <c r="AB230" s="80">
        <v>270.0</v>
      </c>
      <c r="AC230" s="80">
        <v>-1610.0</v>
      </c>
      <c r="AD230" s="80">
        <v>1988.0</v>
      </c>
      <c r="AE230" s="80">
        <v>-752.0</v>
      </c>
    </row>
    <row r="231">
      <c r="A231" s="28">
        <f>'SAMLET_alle regnskab'!B240</f>
        <v>15</v>
      </c>
      <c r="B231" s="80">
        <f>'SAMLET_alle regnskab'!A240</f>
        <v>14</v>
      </c>
      <c r="C231" s="28">
        <f>'SAMLET_alle regnskab'!U240</f>
        <v>8</v>
      </c>
      <c r="D231" s="28">
        <f>'SAMLET_alle regnskab'!V240</f>
        <v>-8</v>
      </c>
      <c r="E231" s="28">
        <f>'SAMLET_alle regnskab'!W240</f>
        <v>-8</v>
      </c>
      <c r="F231" s="28">
        <f>'SAMLET_alle regnskab'!X240</f>
        <v>8</v>
      </c>
      <c r="H231" s="80">
        <f t="shared" si="7"/>
        <v>14</v>
      </c>
      <c r="I231" s="28">
        <f t="shared" ref="I231:L231" si="685">I230+C231</f>
        <v>480</v>
      </c>
      <c r="J231" s="28">
        <f t="shared" si="685"/>
        <v>-700</v>
      </c>
      <c r="K231" s="28">
        <f t="shared" si="685"/>
        <v>310</v>
      </c>
      <c r="L231" s="28">
        <f t="shared" si="685"/>
        <v>-90</v>
      </c>
      <c r="N231" s="80">
        <f t="shared" si="25"/>
        <v>14</v>
      </c>
      <c r="O231" s="28">
        <f t="shared" ref="O231:R231" si="686">O230+I224</f>
        <v>28636</v>
      </c>
      <c r="P231" s="28">
        <f t="shared" si="686"/>
        <v>-79416</v>
      </c>
      <c r="Q231" s="28">
        <f t="shared" si="686"/>
        <v>-1254</v>
      </c>
      <c r="R231" s="28">
        <f t="shared" si="686"/>
        <v>52034</v>
      </c>
      <c r="T231" s="80">
        <v>14.0</v>
      </c>
      <c r="U231" s="80">
        <f t="shared" ref="U231:X231" si="687">U230+C224</f>
        <v>278</v>
      </c>
      <c r="V231" s="80">
        <f t="shared" si="687"/>
        <v>-1634</v>
      </c>
      <c r="W231" s="80">
        <f t="shared" si="687"/>
        <v>1996</v>
      </c>
      <c r="X231" s="80">
        <f t="shared" si="687"/>
        <v>-744</v>
      </c>
      <c r="Z231" s="80">
        <v>14.0</v>
      </c>
      <c r="AA231" s="10">
        <v>44106.0</v>
      </c>
      <c r="AB231" s="80">
        <v>278.0</v>
      </c>
      <c r="AC231" s="80">
        <v>-1634.0</v>
      </c>
      <c r="AD231" s="80">
        <v>1996.0</v>
      </c>
      <c r="AE231" s="80">
        <v>-744.0</v>
      </c>
    </row>
    <row r="232">
      <c r="A232" s="28">
        <f>'SAMLET_alle regnskab'!B241</f>
        <v>16</v>
      </c>
      <c r="B232" s="80">
        <f>'SAMLET_alle regnskab'!A241</f>
        <v>14</v>
      </c>
      <c r="C232" s="28">
        <f>'SAMLET_alle regnskab'!U241</f>
        <v>-8</v>
      </c>
      <c r="D232" s="28">
        <f>'SAMLET_alle regnskab'!V241</f>
        <v>-8</v>
      </c>
      <c r="E232" s="28">
        <f>'SAMLET_alle regnskab'!W241</f>
        <v>8</v>
      </c>
      <c r="F232" s="28">
        <f>'SAMLET_alle regnskab'!X241</f>
        <v>8</v>
      </c>
      <c r="H232" s="80">
        <f t="shared" si="7"/>
        <v>14</v>
      </c>
      <c r="I232" s="28">
        <f t="shared" ref="I232:L232" si="688">I231+C232</f>
        <v>472</v>
      </c>
      <c r="J232" s="28">
        <f t="shared" si="688"/>
        <v>-708</v>
      </c>
      <c r="K232" s="28">
        <f t="shared" si="688"/>
        <v>318</v>
      </c>
      <c r="L232" s="28">
        <f t="shared" si="688"/>
        <v>-82</v>
      </c>
      <c r="N232" s="80">
        <f t="shared" si="25"/>
        <v>14</v>
      </c>
      <c r="O232" s="28">
        <f t="shared" ref="O232:R232" si="689">O231+I225</f>
        <v>29104</v>
      </c>
      <c r="P232" s="28">
        <f t="shared" si="689"/>
        <v>-80120</v>
      </c>
      <c r="Q232" s="28">
        <f t="shared" si="689"/>
        <v>-1004</v>
      </c>
      <c r="R232" s="28">
        <f t="shared" si="689"/>
        <v>52020</v>
      </c>
      <c r="T232" s="80">
        <v>14.0</v>
      </c>
      <c r="U232" s="80">
        <f t="shared" ref="U232:X232" si="690">U231+C225</f>
        <v>310</v>
      </c>
      <c r="V232" s="80">
        <f t="shared" si="690"/>
        <v>-1666</v>
      </c>
      <c r="W232" s="80">
        <f t="shared" si="690"/>
        <v>1964</v>
      </c>
      <c r="X232" s="80">
        <f t="shared" si="690"/>
        <v>-712</v>
      </c>
      <c r="Z232" s="80">
        <v>14.0</v>
      </c>
      <c r="AA232" s="10">
        <v>44106.0</v>
      </c>
      <c r="AB232" s="80">
        <v>310.0</v>
      </c>
      <c r="AC232" s="80">
        <v>-1666.0</v>
      </c>
      <c r="AD232" s="80">
        <v>1964.0</v>
      </c>
      <c r="AE232" s="80">
        <v>-712.0</v>
      </c>
    </row>
    <row r="233">
      <c r="A233" s="28">
        <f>'SAMLET_alle regnskab'!B242</f>
        <v>17</v>
      </c>
      <c r="B233" s="80">
        <f>'SAMLET_alle regnskab'!A242</f>
        <v>14</v>
      </c>
      <c r="C233" s="28">
        <f>'SAMLET_alle regnskab'!U242</f>
        <v>8</v>
      </c>
      <c r="D233" s="28">
        <f>'SAMLET_alle regnskab'!V242</f>
        <v>-24</v>
      </c>
      <c r="E233" s="28">
        <f>'SAMLET_alle regnskab'!W242</f>
        <v>8</v>
      </c>
      <c r="F233" s="28">
        <f>'SAMLET_alle regnskab'!X242</f>
        <v>8</v>
      </c>
      <c r="H233" s="80">
        <f t="shared" si="7"/>
        <v>14</v>
      </c>
      <c r="I233" s="28">
        <f t="shared" ref="I233:L233" si="691">I232+C233</f>
        <v>480</v>
      </c>
      <c r="J233" s="28">
        <f t="shared" si="691"/>
        <v>-732</v>
      </c>
      <c r="K233" s="28">
        <f t="shared" si="691"/>
        <v>326</v>
      </c>
      <c r="L233" s="28">
        <f t="shared" si="691"/>
        <v>-74</v>
      </c>
      <c r="N233" s="80">
        <f t="shared" si="25"/>
        <v>14</v>
      </c>
      <c r="O233" s="28">
        <f t="shared" ref="O233:R233" si="692">O232+I226</f>
        <v>29592</v>
      </c>
      <c r="P233" s="28">
        <f t="shared" si="692"/>
        <v>-80844</v>
      </c>
      <c r="Q233" s="28">
        <f t="shared" si="692"/>
        <v>-734</v>
      </c>
      <c r="R233" s="28">
        <f t="shared" si="692"/>
        <v>51986</v>
      </c>
      <c r="T233" s="80">
        <v>14.0</v>
      </c>
      <c r="U233" s="80">
        <f t="shared" ref="U233:X233" si="693">U232+C226</f>
        <v>330</v>
      </c>
      <c r="V233" s="80">
        <f t="shared" si="693"/>
        <v>-1686</v>
      </c>
      <c r="W233" s="80">
        <f t="shared" si="693"/>
        <v>1984</v>
      </c>
      <c r="X233" s="80">
        <f t="shared" si="693"/>
        <v>-732</v>
      </c>
      <c r="Z233" s="80">
        <v>14.0</v>
      </c>
      <c r="AA233" s="10">
        <v>44106.0</v>
      </c>
      <c r="AB233" s="80">
        <v>330.0</v>
      </c>
      <c r="AC233" s="80">
        <v>-1686.0</v>
      </c>
      <c r="AD233" s="80">
        <v>1984.0</v>
      </c>
      <c r="AE233" s="80">
        <v>-732.0</v>
      </c>
    </row>
    <row r="234">
      <c r="A234" s="28">
        <f>'SAMLET_alle regnskab'!B243</f>
        <v>18</v>
      </c>
      <c r="B234" s="80">
        <f>'SAMLET_alle regnskab'!A243</f>
        <v>14</v>
      </c>
      <c r="C234" s="28">
        <f>'SAMLET_alle regnskab'!U243</f>
        <v>32</v>
      </c>
      <c r="D234" s="28">
        <f>'SAMLET_alle regnskab'!V243</f>
        <v>-32</v>
      </c>
      <c r="E234" s="28">
        <f>'SAMLET_alle regnskab'!W243</f>
        <v>32</v>
      </c>
      <c r="F234" s="28">
        <f>'SAMLET_alle regnskab'!X243</f>
        <v>-32</v>
      </c>
      <c r="H234" s="80">
        <f t="shared" si="7"/>
        <v>14</v>
      </c>
      <c r="I234" s="28">
        <f t="shared" ref="I234:L234" si="694">I233+C234</f>
        <v>512</v>
      </c>
      <c r="J234" s="28">
        <f t="shared" si="694"/>
        <v>-764</v>
      </c>
      <c r="K234" s="28">
        <f t="shared" si="694"/>
        <v>358</v>
      </c>
      <c r="L234" s="28">
        <f t="shared" si="694"/>
        <v>-106</v>
      </c>
      <c r="N234" s="80">
        <f t="shared" si="25"/>
        <v>14</v>
      </c>
      <c r="O234" s="28">
        <f t="shared" ref="O234:R234" si="695">O233+I227</f>
        <v>30064</v>
      </c>
      <c r="P234" s="28">
        <f t="shared" si="695"/>
        <v>-81552</v>
      </c>
      <c r="Q234" s="28">
        <f t="shared" si="695"/>
        <v>-448</v>
      </c>
      <c r="R234" s="28">
        <f t="shared" si="695"/>
        <v>51936</v>
      </c>
      <c r="T234" s="80">
        <v>14.0</v>
      </c>
      <c r="U234" s="80">
        <f t="shared" ref="U234:X234" si="696">U233+C227</f>
        <v>314</v>
      </c>
      <c r="V234" s="80">
        <f t="shared" si="696"/>
        <v>-1670</v>
      </c>
      <c r="W234" s="80">
        <f t="shared" si="696"/>
        <v>2000</v>
      </c>
      <c r="X234" s="80">
        <f t="shared" si="696"/>
        <v>-748</v>
      </c>
      <c r="Z234" s="80">
        <v>14.0</v>
      </c>
      <c r="AA234" s="10">
        <v>44106.0</v>
      </c>
      <c r="AB234" s="80">
        <v>314.0</v>
      </c>
      <c r="AC234" s="80">
        <v>-1670.0</v>
      </c>
      <c r="AD234" s="80">
        <v>2000.0</v>
      </c>
      <c r="AE234" s="80">
        <v>-748.0</v>
      </c>
    </row>
    <row r="235">
      <c r="A235" s="28">
        <f>'SAMLET_alle regnskab'!B244</f>
        <v>19</v>
      </c>
      <c r="B235" s="80">
        <f>'SAMLET_alle regnskab'!A244</f>
        <v>14</v>
      </c>
      <c r="C235" s="28">
        <f>'SAMLET_alle regnskab'!U244</f>
        <v>12</v>
      </c>
      <c r="D235" s="28">
        <f>'SAMLET_alle regnskab'!V244</f>
        <v>-12</v>
      </c>
      <c r="E235" s="28">
        <f>'SAMLET_alle regnskab'!W244</f>
        <v>-12</v>
      </c>
      <c r="F235" s="28">
        <f>'SAMLET_alle regnskab'!X244</f>
        <v>12</v>
      </c>
      <c r="H235" s="80">
        <f t="shared" si="7"/>
        <v>14</v>
      </c>
      <c r="I235" s="28">
        <f t="shared" ref="I235:L235" si="697">I234+C235</f>
        <v>524</v>
      </c>
      <c r="J235" s="28">
        <f t="shared" si="697"/>
        <v>-776</v>
      </c>
      <c r="K235" s="28">
        <f t="shared" si="697"/>
        <v>346</v>
      </c>
      <c r="L235" s="28">
        <f t="shared" si="697"/>
        <v>-94</v>
      </c>
      <c r="N235" s="80">
        <f t="shared" si="25"/>
        <v>14</v>
      </c>
      <c r="O235" s="28">
        <f t="shared" ref="O235:R235" si="698">O234+I228</f>
        <v>30552</v>
      </c>
      <c r="P235" s="28">
        <f t="shared" si="698"/>
        <v>-82244</v>
      </c>
      <c r="Q235" s="28">
        <f t="shared" si="698"/>
        <v>-146</v>
      </c>
      <c r="R235" s="28">
        <f t="shared" si="698"/>
        <v>51838</v>
      </c>
      <c r="T235" s="80">
        <v>14.0</v>
      </c>
      <c r="U235" s="80">
        <f t="shared" ref="U235:X235" si="699">U234+C228</f>
        <v>330</v>
      </c>
      <c r="V235" s="80">
        <f t="shared" si="699"/>
        <v>-1654</v>
      </c>
      <c r="W235" s="80">
        <f t="shared" si="699"/>
        <v>2016</v>
      </c>
      <c r="X235" s="80">
        <f t="shared" si="699"/>
        <v>-796</v>
      </c>
      <c r="Z235" s="80">
        <v>14.0</v>
      </c>
      <c r="AA235" s="10">
        <v>44106.0</v>
      </c>
      <c r="AB235" s="80">
        <v>330.0</v>
      </c>
      <c r="AC235" s="80">
        <v>-1654.0</v>
      </c>
      <c r="AD235" s="80">
        <v>2016.0</v>
      </c>
      <c r="AE235" s="80">
        <v>-796.0</v>
      </c>
    </row>
    <row r="236">
      <c r="A236" s="28">
        <f>'SAMLET_alle regnskab'!B245</f>
        <v>20</v>
      </c>
      <c r="B236" s="80">
        <f>'SAMLET_alle regnskab'!A245</f>
        <v>14</v>
      </c>
      <c r="C236" s="28">
        <f>'SAMLET_alle regnskab'!U245</f>
        <v>24</v>
      </c>
      <c r="D236" s="28">
        <f>'SAMLET_alle regnskab'!V245</f>
        <v>-8</v>
      </c>
      <c r="E236" s="28">
        <f>'SAMLET_alle regnskab'!W245</f>
        <v>-8</v>
      </c>
      <c r="F236" s="28">
        <f>'SAMLET_alle regnskab'!X245</f>
        <v>-8</v>
      </c>
      <c r="H236" s="80">
        <f t="shared" si="7"/>
        <v>14</v>
      </c>
      <c r="I236" s="28">
        <f t="shared" ref="I236:L236" si="700">I235+C236</f>
        <v>548</v>
      </c>
      <c r="J236" s="28">
        <f t="shared" si="700"/>
        <v>-784</v>
      </c>
      <c r="K236" s="28">
        <f t="shared" si="700"/>
        <v>338</v>
      </c>
      <c r="L236" s="28">
        <f t="shared" si="700"/>
        <v>-102</v>
      </c>
      <c r="N236" s="80">
        <f t="shared" si="25"/>
        <v>14</v>
      </c>
      <c r="O236" s="28">
        <f t="shared" ref="O236:R236" si="701">O235+I229</f>
        <v>31016</v>
      </c>
      <c r="P236" s="28">
        <f t="shared" si="701"/>
        <v>-82928</v>
      </c>
      <c r="Q236" s="28">
        <f t="shared" si="701"/>
        <v>164</v>
      </c>
      <c r="R236" s="28">
        <f t="shared" si="701"/>
        <v>51748</v>
      </c>
      <c r="T236" s="80">
        <v>14.0</v>
      </c>
      <c r="U236" s="80">
        <f t="shared" ref="U236:X236" si="702">U235+C229</f>
        <v>306</v>
      </c>
      <c r="V236" s="80">
        <f t="shared" si="702"/>
        <v>-1646</v>
      </c>
      <c r="W236" s="80">
        <f t="shared" si="702"/>
        <v>2024</v>
      </c>
      <c r="X236" s="80">
        <f t="shared" si="702"/>
        <v>-788</v>
      </c>
      <c r="Z236" s="80">
        <v>14.0</v>
      </c>
      <c r="AA236" s="10">
        <v>44106.0</v>
      </c>
      <c r="AB236" s="80">
        <v>306.0</v>
      </c>
      <c r="AC236" s="80">
        <v>-1646.0</v>
      </c>
      <c r="AD236" s="80">
        <v>2024.0</v>
      </c>
      <c r="AE236" s="80">
        <v>-788.0</v>
      </c>
    </row>
    <row r="237">
      <c r="A237" s="28">
        <f>'SAMLET_alle regnskab'!B246</f>
        <v>21</v>
      </c>
      <c r="B237" s="80">
        <f>'SAMLET_alle regnskab'!A246</f>
        <v>14</v>
      </c>
      <c r="C237" s="28">
        <f>'SAMLET_alle regnskab'!U246</f>
        <v>-4</v>
      </c>
      <c r="D237" s="28">
        <f>'SAMLET_alle regnskab'!V246</f>
        <v>-4</v>
      </c>
      <c r="E237" s="28">
        <f>'SAMLET_alle regnskab'!W246</f>
        <v>12</v>
      </c>
      <c r="F237" s="28">
        <f>'SAMLET_alle regnskab'!X246</f>
        <v>-4</v>
      </c>
      <c r="H237" s="80">
        <f t="shared" si="7"/>
        <v>14</v>
      </c>
      <c r="I237" s="28">
        <f t="shared" ref="I237:L237" si="703">I236+C237</f>
        <v>544</v>
      </c>
      <c r="J237" s="28">
        <f t="shared" si="703"/>
        <v>-788</v>
      </c>
      <c r="K237" s="28">
        <f t="shared" si="703"/>
        <v>350</v>
      </c>
      <c r="L237" s="28">
        <f t="shared" si="703"/>
        <v>-106</v>
      </c>
      <c r="N237" s="80">
        <f t="shared" si="25"/>
        <v>14</v>
      </c>
      <c r="O237" s="28">
        <f t="shared" ref="O237:R237" si="704">O236+I230</f>
        <v>31488</v>
      </c>
      <c r="P237" s="28">
        <f t="shared" si="704"/>
        <v>-83620</v>
      </c>
      <c r="Q237" s="28">
        <f t="shared" si="704"/>
        <v>482</v>
      </c>
      <c r="R237" s="28">
        <f t="shared" si="704"/>
        <v>51650</v>
      </c>
      <c r="T237" s="80">
        <v>14.0</v>
      </c>
      <c r="U237" s="80">
        <f t="shared" ref="U237:X237" si="705">U236+C230</f>
        <v>314</v>
      </c>
      <c r="V237" s="80">
        <f t="shared" si="705"/>
        <v>-1654</v>
      </c>
      <c r="W237" s="80">
        <f t="shared" si="705"/>
        <v>2032</v>
      </c>
      <c r="X237" s="80">
        <f t="shared" si="705"/>
        <v>-796</v>
      </c>
      <c r="Z237" s="80">
        <v>14.0</v>
      </c>
      <c r="AA237" s="10">
        <v>44106.0</v>
      </c>
      <c r="AB237" s="80">
        <v>314.0</v>
      </c>
      <c r="AC237" s="80">
        <v>-1654.0</v>
      </c>
      <c r="AD237" s="80">
        <v>2032.0</v>
      </c>
      <c r="AE237" s="80">
        <v>-796.0</v>
      </c>
    </row>
    <row r="238">
      <c r="A238" s="28">
        <f>'SAMLET_alle regnskab'!B247</f>
        <v>22</v>
      </c>
      <c r="B238" s="80">
        <f>'SAMLET_alle regnskab'!A247</f>
        <v>14</v>
      </c>
      <c r="C238" s="28">
        <f>'SAMLET_alle regnskab'!U247</f>
        <v>-4</v>
      </c>
      <c r="D238" s="28">
        <f>'SAMLET_alle regnskab'!V247</f>
        <v>-4</v>
      </c>
      <c r="E238" s="28">
        <f>'SAMLET_alle regnskab'!W247</f>
        <v>-4</v>
      </c>
      <c r="F238" s="28">
        <f>'SAMLET_alle regnskab'!X247</f>
        <v>12</v>
      </c>
      <c r="H238" s="80">
        <f t="shared" si="7"/>
        <v>14</v>
      </c>
      <c r="I238" s="28">
        <f t="shared" ref="I238:L238" si="706">I237+C238</f>
        <v>540</v>
      </c>
      <c r="J238" s="28">
        <f t="shared" si="706"/>
        <v>-792</v>
      </c>
      <c r="K238" s="28">
        <f t="shared" si="706"/>
        <v>346</v>
      </c>
      <c r="L238" s="28">
        <f t="shared" si="706"/>
        <v>-94</v>
      </c>
      <c r="N238" s="80">
        <f t="shared" si="25"/>
        <v>14</v>
      </c>
      <c r="O238" s="28">
        <f t="shared" ref="O238:R238" si="707">O237+I231</f>
        <v>31968</v>
      </c>
      <c r="P238" s="28">
        <f t="shared" si="707"/>
        <v>-84320</v>
      </c>
      <c r="Q238" s="28">
        <f t="shared" si="707"/>
        <v>792</v>
      </c>
      <c r="R238" s="28">
        <f t="shared" si="707"/>
        <v>51560</v>
      </c>
      <c r="T238" s="80">
        <v>14.0</v>
      </c>
      <c r="U238" s="80">
        <f t="shared" ref="U238:X238" si="708">U237+C231</f>
        <v>322</v>
      </c>
      <c r="V238" s="80">
        <f t="shared" si="708"/>
        <v>-1662</v>
      </c>
      <c r="W238" s="80">
        <f t="shared" si="708"/>
        <v>2024</v>
      </c>
      <c r="X238" s="80">
        <f t="shared" si="708"/>
        <v>-788</v>
      </c>
      <c r="Z238" s="80">
        <v>14.0</v>
      </c>
      <c r="AA238" s="10">
        <v>44106.0</v>
      </c>
      <c r="AB238" s="80">
        <v>322.0</v>
      </c>
      <c r="AC238" s="80">
        <v>-1662.0</v>
      </c>
      <c r="AD238" s="80">
        <v>2024.0</v>
      </c>
      <c r="AE238" s="80">
        <v>-788.0</v>
      </c>
    </row>
    <row r="239">
      <c r="A239" s="28">
        <f>'SAMLET_alle regnskab'!B248</f>
        <v>23</v>
      </c>
      <c r="B239" s="80">
        <f>'SAMLET_alle regnskab'!A248</f>
        <v>14</v>
      </c>
      <c r="C239" s="28">
        <f>'SAMLET_alle regnskab'!U248</f>
        <v>-8</v>
      </c>
      <c r="D239" s="28">
        <f>'SAMLET_alle regnskab'!V248</f>
        <v>-8</v>
      </c>
      <c r="E239" s="28">
        <f>'SAMLET_alle regnskab'!W248</f>
        <v>8</v>
      </c>
      <c r="F239" s="28">
        <f>'SAMLET_alle regnskab'!X248</f>
        <v>8</v>
      </c>
      <c r="H239" s="80">
        <f t="shared" si="7"/>
        <v>14</v>
      </c>
      <c r="I239" s="28">
        <f t="shared" ref="I239:L239" si="709">I238+C239</f>
        <v>532</v>
      </c>
      <c r="J239" s="28">
        <f t="shared" si="709"/>
        <v>-800</v>
      </c>
      <c r="K239" s="28">
        <f t="shared" si="709"/>
        <v>354</v>
      </c>
      <c r="L239" s="28">
        <f t="shared" si="709"/>
        <v>-86</v>
      </c>
      <c r="N239" s="80">
        <f t="shared" si="25"/>
        <v>14</v>
      </c>
      <c r="O239" s="28">
        <f t="shared" ref="O239:R239" si="710">O238+I232</f>
        <v>32440</v>
      </c>
      <c r="P239" s="28">
        <f t="shared" si="710"/>
        <v>-85028</v>
      </c>
      <c r="Q239" s="28">
        <f t="shared" si="710"/>
        <v>1110</v>
      </c>
      <c r="R239" s="28">
        <f t="shared" si="710"/>
        <v>51478</v>
      </c>
      <c r="T239" s="80">
        <v>14.0</v>
      </c>
      <c r="U239" s="80">
        <f t="shared" ref="U239:X239" si="711">U238+C232</f>
        <v>314</v>
      </c>
      <c r="V239" s="80">
        <f t="shared" si="711"/>
        <v>-1670</v>
      </c>
      <c r="W239" s="80">
        <f t="shared" si="711"/>
        <v>2032</v>
      </c>
      <c r="X239" s="80">
        <f t="shared" si="711"/>
        <v>-780</v>
      </c>
      <c r="Z239" s="80">
        <v>14.0</v>
      </c>
      <c r="AA239" s="10">
        <v>44106.0</v>
      </c>
      <c r="AB239" s="80">
        <v>314.0</v>
      </c>
      <c r="AC239" s="80">
        <v>-1670.0</v>
      </c>
      <c r="AD239" s="80">
        <v>2032.0</v>
      </c>
      <c r="AE239" s="80">
        <v>-780.0</v>
      </c>
    </row>
    <row r="240">
      <c r="A240" s="28">
        <f>'SAMLET_alle regnskab'!B249</f>
        <v>24</v>
      </c>
      <c r="B240" s="80">
        <f>'SAMLET_alle regnskab'!A249</f>
        <v>14</v>
      </c>
      <c r="C240" s="28">
        <f>'SAMLET_alle regnskab'!U249</f>
        <v>12</v>
      </c>
      <c r="D240" s="28">
        <f>'SAMLET_alle regnskab'!V249</f>
        <v>-12</v>
      </c>
      <c r="E240" s="28">
        <f>'SAMLET_alle regnskab'!W249</f>
        <v>-12</v>
      </c>
      <c r="F240" s="28">
        <f>'SAMLET_alle regnskab'!X249</f>
        <v>12</v>
      </c>
      <c r="H240" s="80">
        <f t="shared" si="7"/>
        <v>14</v>
      </c>
      <c r="I240" s="28">
        <f t="shared" ref="I240:L240" si="712">I239+C240</f>
        <v>544</v>
      </c>
      <c r="J240" s="28">
        <f t="shared" si="712"/>
        <v>-812</v>
      </c>
      <c r="K240" s="28">
        <f t="shared" si="712"/>
        <v>342</v>
      </c>
      <c r="L240" s="28">
        <f t="shared" si="712"/>
        <v>-74</v>
      </c>
      <c r="N240" s="80">
        <f t="shared" si="25"/>
        <v>14</v>
      </c>
      <c r="O240" s="28">
        <f t="shared" ref="O240:R240" si="713">O239+I233</f>
        <v>32920</v>
      </c>
      <c r="P240" s="28">
        <f t="shared" si="713"/>
        <v>-85760</v>
      </c>
      <c r="Q240" s="28">
        <f t="shared" si="713"/>
        <v>1436</v>
      </c>
      <c r="R240" s="28">
        <f t="shared" si="713"/>
        <v>51404</v>
      </c>
      <c r="T240" s="80">
        <v>14.0</v>
      </c>
      <c r="U240" s="80">
        <f t="shared" ref="U240:X240" si="714">U239+C233</f>
        <v>322</v>
      </c>
      <c r="V240" s="80">
        <f t="shared" si="714"/>
        <v>-1694</v>
      </c>
      <c r="W240" s="80">
        <f t="shared" si="714"/>
        <v>2040</v>
      </c>
      <c r="X240" s="80">
        <f t="shared" si="714"/>
        <v>-772</v>
      </c>
      <c r="Z240" s="80">
        <v>14.0</v>
      </c>
      <c r="AA240" s="10">
        <v>44106.0</v>
      </c>
      <c r="AB240" s="80">
        <v>322.0</v>
      </c>
      <c r="AC240" s="80">
        <v>-1694.0</v>
      </c>
      <c r="AD240" s="80">
        <v>2040.0</v>
      </c>
      <c r="AE240" s="80">
        <v>-772.0</v>
      </c>
    </row>
    <row r="241">
      <c r="A241" s="28">
        <f>'SAMLET_alle regnskab'!B250</f>
        <v>25</v>
      </c>
      <c r="B241" s="80">
        <f>'SAMLET_alle regnskab'!A250</f>
        <v>14</v>
      </c>
      <c r="C241" s="28">
        <f>'SAMLET_alle regnskab'!U250</f>
        <v>-8</v>
      </c>
      <c r="D241" s="28">
        <f>'SAMLET_alle regnskab'!V250</f>
        <v>-8</v>
      </c>
      <c r="E241" s="28">
        <f>'SAMLET_alle regnskab'!W250</f>
        <v>-8</v>
      </c>
      <c r="F241" s="28">
        <f>'SAMLET_alle regnskab'!X250</f>
        <v>24</v>
      </c>
      <c r="H241" s="80">
        <f t="shared" si="7"/>
        <v>14</v>
      </c>
      <c r="I241" s="28">
        <f t="shared" ref="I241:L241" si="715">I240+C241</f>
        <v>536</v>
      </c>
      <c r="J241" s="28">
        <f t="shared" si="715"/>
        <v>-820</v>
      </c>
      <c r="K241" s="28">
        <f t="shared" si="715"/>
        <v>334</v>
      </c>
      <c r="L241" s="28">
        <f t="shared" si="715"/>
        <v>-50</v>
      </c>
      <c r="N241" s="80">
        <f t="shared" si="25"/>
        <v>14</v>
      </c>
      <c r="O241" s="28">
        <f t="shared" ref="O241:R241" si="716">O240+I234</f>
        <v>33432</v>
      </c>
      <c r="P241" s="28">
        <f t="shared" si="716"/>
        <v>-86524</v>
      </c>
      <c r="Q241" s="28">
        <f t="shared" si="716"/>
        <v>1794</v>
      </c>
      <c r="R241" s="28">
        <f t="shared" si="716"/>
        <v>51298</v>
      </c>
      <c r="T241" s="80">
        <v>14.0</v>
      </c>
      <c r="U241" s="80">
        <f t="shared" ref="U241:X241" si="717">U240+C234</f>
        <v>354</v>
      </c>
      <c r="V241" s="80">
        <f t="shared" si="717"/>
        <v>-1726</v>
      </c>
      <c r="W241" s="80">
        <f t="shared" si="717"/>
        <v>2072</v>
      </c>
      <c r="X241" s="80">
        <f t="shared" si="717"/>
        <v>-804</v>
      </c>
      <c r="Z241" s="80">
        <v>14.0</v>
      </c>
      <c r="AA241" s="10">
        <v>44106.0</v>
      </c>
      <c r="AB241" s="80">
        <v>354.0</v>
      </c>
      <c r="AC241" s="80">
        <v>-1726.0</v>
      </c>
      <c r="AD241" s="80">
        <v>2072.0</v>
      </c>
      <c r="AE241" s="80">
        <v>-804.0</v>
      </c>
    </row>
    <row r="242">
      <c r="A242" s="28">
        <f>'SAMLET_alle regnskab'!B251</f>
        <v>26</v>
      </c>
      <c r="B242" s="80">
        <f>'SAMLET_alle regnskab'!A251</f>
        <v>14</v>
      </c>
      <c r="C242" s="28">
        <f>'SAMLET_alle regnskab'!U251</f>
        <v>-12</v>
      </c>
      <c r="D242" s="28">
        <f>'SAMLET_alle regnskab'!V251</f>
        <v>12</v>
      </c>
      <c r="E242" s="28">
        <f>'SAMLET_alle regnskab'!W251</f>
        <v>12</v>
      </c>
      <c r="F242" s="28">
        <f>'SAMLET_alle regnskab'!X251</f>
        <v>-12</v>
      </c>
      <c r="H242" s="80">
        <f t="shared" si="7"/>
        <v>14</v>
      </c>
      <c r="I242" s="28">
        <f t="shared" ref="I242:L242" si="718">I241+C242</f>
        <v>524</v>
      </c>
      <c r="J242" s="28">
        <f t="shared" si="718"/>
        <v>-808</v>
      </c>
      <c r="K242" s="28">
        <f t="shared" si="718"/>
        <v>346</v>
      </c>
      <c r="L242" s="28">
        <f t="shared" si="718"/>
        <v>-62</v>
      </c>
      <c r="N242" s="80">
        <f t="shared" si="25"/>
        <v>14</v>
      </c>
      <c r="O242" s="28">
        <f t="shared" ref="O242:R242" si="719">O241+I235</f>
        <v>33956</v>
      </c>
      <c r="P242" s="28">
        <f t="shared" si="719"/>
        <v>-87300</v>
      </c>
      <c r="Q242" s="28">
        <f t="shared" si="719"/>
        <v>2140</v>
      </c>
      <c r="R242" s="28">
        <f t="shared" si="719"/>
        <v>51204</v>
      </c>
      <c r="T242" s="80">
        <v>14.0</v>
      </c>
      <c r="U242" s="80">
        <f t="shared" ref="U242:X242" si="720">U241+C235</f>
        <v>366</v>
      </c>
      <c r="V242" s="80">
        <f t="shared" si="720"/>
        <v>-1738</v>
      </c>
      <c r="W242" s="80">
        <f t="shared" si="720"/>
        <v>2060</v>
      </c>
      <c r="X242" s="80">
        <f t="shared" si="720"/>
        <v>-792</v>
      </c>
      <c r="Z242" s="80">
        <v>14.0</v>
      </c>
      <c r="AA242" s="10">
        <v>44106.0</v>
      </c>
      <c r="AB242" s="80">
        <v>366.0</v>
      </c>
      <c r="AC242" s="80">
        <v>-1738.0</v>
      </c>
      <c r="AD242" s="80">
        <v>2060.0</v>
      </c>
      <c r="AE242" s="80">
        <v>-792.0</v>
      </c>
    </row>
    <row r="243">
      <c r="A243" s="28">
        <f>'SAMLET_alle regnskab'!B252</f>
        <v>27</v>
      </c>
      <c r="B243" s="80">
        <f>'SAMLET_alle regnskab'!A252</f>
        <v>14</v>
      </c>
      <c r="C243" s="28">
        <f>'SAMLET_alle regnskab'!U252</f>
        <v>8</v>
      </c>
      <c r="D243" s="28">
        <f>'SAMLET_alle regnskab'!V252</f>
        <v>8</v>
      </c>
      <c r="E243" s="28">
        <f>'SAMLET_alle regnskab'!W252</f>
        <v>-8</v>
      </c>
      <c r="F243" s="28">
        <f>'SAMLET_alle regnskab'!X252</f>
        <v>-8</v>
      </c>
      <c r="H243" s="80">
        <f t="shared" si="7"/>
        <v>14</v>
      </c>
      <c r="I243" s="28">
        <f t="shared" ref="I243:L243" si="721">I242+C243</f>
        <v>532</v>
      </c>
      <c r="J243" s="28">
        <f t="shared" si="721"/>
        <v>-800</v>
      </c>
      <c r="K243" s="28">
        <f t="shared" si="721"/>
        <v>338</v>
      </c>
      <c r="L243" s="28">
        <f t="shared" si="721"/>
        <v>-70</v>
      </c>
      <c r="N243" s="80">
        <f t="shared" si="25"/>
        <v>14</v>
      </c>
      <c r="O243" s="28">
        <f t="shared" ref="O243:R243" si="722">O242+I236</f>
        <v>34504</v>
      </c>
      <c r="P243" s="28">
        <f t="shared" si="722"/>
        <v>-88084</v>
      </c>
      <c r="Q243" s="28">
        <f t="shared" si="722"/>
        <v>2478</v>
      </c>
      <c r="R243" s="28">
        <f t="shared" si="722"/>
        <v>51102</v>
      </c>
      <c r="T243" s="80">
        <v>14.0</v>
      </c>
      <c r="U243" s="80">
        <f t="shared" ref="U243:X243" si="723">U242+C236</f>
        <v>390</v>
      </c>
      <c r="V243" s="80">
        <f t="shared" si="723"/>
        <v>-1746</v>
      </c>
      <c r="W243" s="80">
        <f t="shared" si="723"/>
        <v>2052</v>
      </c>
      <c r="X243" s="80">
        <f t="shared" si="723"/>
        <v>-800</v>
      </c>
      <c r="Z243" s="80">
        <v>14.0</v>
      </c>
      <c r="AA243" s="10">
        <v>44106.0</v>
      </c>
      <c r="AB243" s="80">
        <v>390.0</v>
      </c>
      <c r="AC243" s="80">
        <v>-1746.0</v>
      </c>
      <c r="AD243" s="80">
        <v>2052.0</v>
      </c>
      <c r="AE243" s="80">
        <v>-800.0</v>
      </c>
    </row>
    <row r="244">
      <c r="A244" s="28">
        <f>'SAMLET_alle regnskab'!B253</f>
        <v>1</v>
      </c>
      <c r="B244" s="80">
        <f>'SAMLET_alle regnskab'!A253</f>
        <v>15</v>
      </c>
      <c r="C244" s="28">
        <f>'SAMLET_alle regnskab'!U253</f>
        <v>-8</v>
      </c>
      <c r="D244" s="28">
        <f>'SAMLET_alle regnskab'!V253</f>
        <v>24</v>
      </c>
      <c r="E244" s="28">
        <f>'SAMLET_alle regnskab'!W253</f>
        <v>-8</v>
      </c>
      <c r="F244" s="28">
        <f>'SAMLET_alle regnskab'!X253</f>
        <v>-8</v>
      </c>
      <c r="H244" s="80">
        <f t="shared" si="7"/>
        <v>15</v>
      </c>
      <c r="I244" s="28">
        <f t="shared" ref="I244:L244" si="724">I243+C244</f>
        <v>524</v>
      </c>
      <c r="J244" s="28">
        <f t="shared" si="724"/>
        <v>-776</v>
      </c>
      <c r="K244" s="28">
        <f t="shared" si="724"/>
        <v>330</v>
      </c>
      <c r="L244" s="28">
        <f t="shared" si="724"/>
        <v>-78</v>
      </c>
      <c r="N244" s="80">
        <f t="shared" si="25"/>
        <v>14</v>
      </c>
      <c r="O244" s="28">
        <f t="shared" ref="O244:R244" si="725">O243+I237</f>
        <v>35048</v>
      </c>
      <c r="P244" s="28">
        <f t="shared" si="725"/>
        <v>-88872</v>
      </c>
      <c r="Q244" s="28">
        <f t="shared" si="725"/>
        <v>2828</v>
      </c>
      <c r="R244" s="28">
        <f t="shared" si="725"/>
        <v>50996</v>
      </c>
      <c r="T244" s="80">
        <v>14.0</v>
      </c>
      <c r="U244" s="80">
        <f t="shared" ref="U244:X244" si="726">U243+C237</f>
        <v>386</v>
      </c>
      <c r="V244" s="80">
        <f t="shared" si="726"/>
        <v>-1750</v>
      </c>
      <c r="W244" s="80">
        <f t="shared" si="726"/>
        <v>2064</v>
      </c>
      <c r="X244" s="80">
        <f t="shared" si="726"/>
        <v>-804</v>
      </c>
      <c r="Z244" s="80">
        <v>14.0</v>
      </c>
      <c r="AA244" s="10">
        <v>44106.0</v>
      </c>
      <c r="AB244" s="80">
        <v>386.0</v>
      </c>
      <c r="AC244" s="80">
        <v>-1750.0</v>
      </c>
      <c r="AD244" s="80">
        <v>2064.0</v>
      </c>
      <c r="AE244" s="80">
        <v>-804.0</v>
      </c>
    </row>
    <row r="245">
      <c r="A245" s="28">
        <f>'SAMLET_alle regnskab'!B254</f>
        <v>2</v>
      </c>
      <c r="B245" s="80">
        <f>'SAMLET_alle regnskab'!A254</f>
        <v>15</v>
      </c>
      <c r="C245" s="28">
        <f>'SAMLET_alle regnskab'!U254</f>
        <v>-4</v>
      </c>
      <c r="D245" s="28">
        <f>'SAMLET_alle regnskab'!V254</f>
        <v>12</v>
      </c>
      <c r="E245" s="28">
        <f>'SAMLET_alle regnskab'!W254</f>
        <v>-4</v>
      </c>
      <c r="F245" s="28">
        <f>'SAMLET_alle regnskab'!X254</f>
        <v>-4</v>
      </c>
      <c r="H245" s="80">
        <f t="shared" si="7"/>
        <v>15</v>
      </c>
      <c r="I245" s="28">
        <f t="shared" ref="I245:L245" si="727">I244+C245</f>
        <v>520</v>
      </c>
      <c r="J245" s="28">
        <f t="shared" si="727"/>
        <v>-764</v>
      </c>
      <c r="K245" s="28">
        <f t="shared" si="727"/>
        <v>326</v>
      </c>
      <c r="L245" s="28">
        <f t="shared" si="727"/>
        <v>-82</v>
      </c>
      <c r="N245" s="80">
        <f t="shared" si="25"/>
        <v>14</v>
      </c>
      <c r="O245" s="28">
        <f t="shared" ref="O245:R245" si="728">O244+I238</f>
        <v>35588</v>
      </c>
      <c r="P245" s="28">
        <f t="shared" si="728"/>
        <v>-89664</v>
      </c>
      <c r="Q245" s="28">
        <f t="shared" si="728"/>
        <v>3174</v>
      </c>
      <c r="R245" s="28">
        <f t="shared" si="728"/>
        <v>50902</v>
      </c>
      <c r="T245" s="80">
        <v>14.0</v>
      </c>
      <c r="U245" s="80">
        <f t="shared" ref="U245:X245" si="729">U244+C238</f>
        <v>382</v>
      </c>
      <c r="V245" s="80">
        <f t="shared" si="729"/>
        <v>-1754</v>
      </c>
      <c r="W245" s="80">
        <f t="shared" si="729"/>
        <v>2060</v>
      </c>
      <c r="X245" s="80">
        <f t="shared" si="729"/>
        <v>-792</v>
      </c>
      <c r="Z245" s="80">
        <v>14.0</v>
      </c>
      <c r="AA245" s="10">
        <v>44106.0</v>
      </c>
      <c r="AB245" s="80">
        <v>382.0</v>
      </c>
      <c r="AC245" s="80">
        <v>-1754.0</v>
      </c>
      <c r="AD245" s="80">
        <v>2060.0</v>
      </c>
      <c r="AE245" s="80">
        <v>-792.0</v>
      </c>
    </row>
    <row r="246">
      <c r="A246" s="28">
        <f>'SAMLET_alle regnskab'!B255</f>
        <v>3</v>
      </c>
      <c r="B246" s="80">
        <f>'SAMLET_alle regnskab'!A255</f>
        <v>15</v>
      </c>
      <c r="C246" s="28">
        <f>'SAMLET_alle regnskab'!U255</f>
        <v>32</v>
      </c>
      <c r="D246" s="28">
        <f>'SAMLET_alle regnskab'!V255</f>
        <v>32</v>
      </c>
      <c r="E246" s="28">
        <f>'SAMLET_alle regnskab'!W255</f>
        <v>-32</v>
      </c>
      <c r="F246" s="28">
        <f>'SAMLET_alle regnskab'!X255</f>
        <v>-32</v>
      </c>
      <c r="H246" s="80">
        <f t="shared" si="7"/>
        <v>15</v>
      </c>
      <c r="I246" s="28">
        <f t="shared" ref="I246:L246" si="730">I245+C246</f>
        <v>552</v>
      </c>
      <c r="J246" s="28">
        <f t="shared" si="730"/>
        <v>-732</v>
      </c>
      <c r="K246" s="28">
        <f t="shared" si="730"/>
        <v>294</v>
      </c>
      <c r="L246" s="28">
        <f t="shared" si="730"/>
        <v>-114</v>
      </c>
      <c r="N246" s="80">
        <f t="shared" si="25"/>
        <v>14</v>
      </c>
      <c r="O246" s="28">
        <f t="shared" ref="O246:R246" si="731">O245+I239</f>
        <v>36120</v>
      </c>
      <c r="P246" s="28">
        <f t="shared" si="731"/>
        <v>-90464</v>
      </c>
      <c r="Q246" s="28">
        <f t="shared" si="731"/>
        <v>3528</v>
      </c>
      <c r="R246" s="28">
        <f t="shared" si="731"/>
        <v>50816</v>
      </c>
      <c r="T246" s="80">
        <v>14.0</v>
      </c>
      <c r="U246" s="80">
        <f t="shared" ref="U246:X246" si="732">U245+C239</f>
        <v>374</v>
      </c>
      <c r="V246" s="80">
        <f t="shared" si="732"/>
        <v>-1762</v>
      </c>
      <c r="W246" s="80">
        <f t="shared" si="732"/>
        <v>2068</v>
      </c>
      <c r="X246" s="80">
        <f t="shared" si="732"/>
        <v>-784</v>
      </c>
      <c r="Z246" s="80">
        <v>14.0</v>
      </c>
      <c r="AA246" s="10">
        <v>44106.0</v>
      </c>
      <c r="AB246" s="80">
        <v>374.0</v>
      </c>
      <c r="AC246" s="80">
        <v>-1762.0</v>
      </c>
      <c r="AD246" s="80">
        <v>2068.0</v>
      </c>
      <c r="AE246" s="80">
        <v>-784.0</v>
      </c>
    </row>
    <row r="247">
      <c r="A247" s="28">
        <f>'SAMLET_alle regnskab'!B256</f>
        <v>4</v>
      </c>
      <c r="B247" s="80">
        <f>'SAMLET_alle regnskab'!A256</f>
        <v>15</v>
      </c>
      <c r="C247" s="28">
        <f>'SAMLET_alle regnskab'!U256</f>
        <v>12</v>
      </c>
      <c r="D247" s="28">
        <f>'SAMLET_alle regnskab'!V256</f>
        <v>-12</v>
      </c>
      <c r="E247" s="28">
        <f>'SAMLET_alle regnskab'!W256</f>
        <v>12</v>
      </c>
      <c r="F247" s="28">
        <f>'SAMLET_alle regnskab'!X256</f>
        <v>-12</v>
      </c>
      <c r="H247" s="80">
        <f t="shared" si="7"/>
        <v>15</v>
      </c>
      <c r="I247" s="28">
        <f t="shared" ref="I247:L247" si="733">I246+C247</f>
        <v>564</v>
      </c>
      <c r="J247" s="28">
        <f t="shared" si="733"/>
        <v>-744</v>
      </c>
      <c r="K247" s="28">
        <f t="shared" si="733"/>
        <v>306</v>
      </c>
      <c r="L247" s="28">
        <f t="shared" si="733"/>
        <v>-126</v>
      </c>
      <c r="N247" s="80">
        <f t="shared" si="25"/>
        <v>14</v>
      </c>
      <c r="O247" s="28">
        <f t="shared" ref="O247:R247" si="734">O246+I240</f>
        <v>36664</v>
      </c>
      <c r="P247" s="28">
        <f t="shared" si="734"/>
        <v>-91276</v>
      </c>
      <c r="Q247" s="28">
        <f t="shared" si="734"/>
        <v>3870</v>
      </c>
      <c r="R247" s="28">
        <f t="shared" si="734"/>
        <v>50742</v>
      </c>
      <c r="T247" s="80">
        <v>14.0</v>
      </c>
      <c r="U247" s="80">
        <f t="shared" ref="U247:X247" si="735">U246+C240</f>
        <v>386</v>
      </c>
      <c r="V247" s="80">
        <f t="shared" si="735"/>
        <v>-1774</v>
      </c>
      <c r="W247" s="80">
        <f t="shared" si="735"/>
        <v>2056</v>
      </c>
      <c r="X247" s="80">
        <f t="shared" si="735"/>
        <v>-772</v>
      </c>
      <c r="Z247" s="80">
        <v>14.0</v>
      </c>
      <c r="AA247" s="10">
        <v>44106.0</v>
      </c>
      <c r="AB247" s="80">
        <v>386.0</v>
      </c>
      <c r="AC247" s="80">
        <v>-1774.0</v>
      </c>
      <c r="AD247" s="80">
        <v>2056.0</v>
      </c>
      <c r="AE247" s="80">
        <v>-772.0</v>
      </c>
    </row>
    <row r="248">
      <c r="A248" s="28">
        <f>'SAMLET_alle regnskab'!B257</f>
        <v>5</v>
      </c>
      <c r="B248" s="80">
        <f>'SAMLET_alle regnskab'!A257</f>
        <v>15</v>
      </c>
      <c r="C248" s="28">
        <f>'SAMLET_alle regnskab'!U257</f>
        <v>-8</v>
      </c>
      <c r="D248" s="28">
        <f>'SAMLET_alle regnskab'!V257</f>
        <v>24</v>
      </c>
      <c r="E248" s="28">
        <f>'SAMLET_alle regnskab'!W257</f>
        <v>-8</v>
      </c>
      <c r="F248" s="28">
        <f>'SAMLET_alle regnskab'!X257</f>
        <v>-8</v>
      </c>
      <c r="H248" s="80">
        <f t="shared" si="7"/>
        <v>15</v>
      </c>
      <c r="I248" s="28">
        <f t="shared" ref="I248:L248" si="736">I247+C248</f>
        <v>556</v>
      </c>
      <c r="J248" s="28">
        <f t="shared" si="736"/>
        <v>-720</v>
      </c>
      <c r="K248" s="28">
        <f t="shared" si="736"/>
        <v>298</v>
      </c>
      <c r="L248" s="28">
        <f t="shared" si="736"/>
        <v>-134</v>
      </c>
      <c r="N248" s="80">
        <f t="shared" si="25"/>
        <v>14</v>
      </c>
      <c r="O248" s="28">
        <f t="shared" ref="O248:R248" si="737">O247+I241</f>
        <v>37200</v>
      </c>
      <c r="P248" s="28">
        <f t="shared" si="737"/>
        <v>-92096</v>
      </c>
      <c r="Q248" s="28">
        <f t="shared" si="737"/>
        <v>4204</v>
      </c>
      <c r="R248" s="28">
        <f t="shared" si="737"/>
        <v>50692</v>
      </c>
      <c r="T248" s="80">
        <v>14.0</v>
      </c>
      <c r="U248" s="80">
        <f t="shared" ref="U248:X248" si="738">U247+C241</f>
        <v>378</v>
      </c>
      <c r="V248" s="80">
        <f t="shared" si="738"/>
        <v>-1782</v>
      </c>
      <c r="W248" s="80">
        <f t="shared" si="738"/>
        <v>2048</v>
      </c>
      <c r="X248" s="80">
        <f t="shared" si="738"/>
        <v>-748</v>
      </c>
      <c r="Z248" s="80">
        <v>14.0</v>
      </c>
      <c r="AA248" s="10">
        <v>44106.0</v>
      </c>
      <c r="AB248" s="80">
        <v>378.0</v>
      </c>
      <c r="AC248" s="80">
        <v>-1782.0</v>
      </c>
      <c r="AD248" s="80">
        <v>2048.0</v>
      </c>
      <c r="AE248" s="80">
        <v>-748.0</v>
      </c>
    </row>
    <row r="249">
      <c r="A249" s="28">
        <f>'SAMLET_alle regnskab'!B258</f>
        <v>6</v>
      </c>
      <c r="B249" s="80">
        <f>'SAMLET_alle regnskab'!A258</f>
        <v>15</v>
      </c>
      <c r="C249" s="28">
        <f>'SAMLET_alle regnskab'!U258</f>
        <v>12</v>
      </c>
      <c r="D249" s="28">
        <f>'SAMLET_alle regnskab'!V258</f>
        <v>-12</v>
      </c>
      <c r="E249" s="28">
        <f>'SAMLET_alle regnskab'!W258</f>
        <v>-12</v>
      </c>
      <c r="F249" s="28">
        <f>'SAMLET_alle regnskab'!X258</f>
        <v>12</v>
      </c>
      <c r="H249" s="80">
        <f t="shared" si="7"/>
        <v>15</v>
      </c>
      <c r="I249" s="28">
        <f t="shared" ref="I249:L249" si="739">I248+C249</f>
        <v>568</v>
      </c>
      <c r="J249" s="28">
        <f t="shared" si="739"/>
        <v>-732</v>
      </c>
      <c r="K249" s="28">
        <f t="shared" si="739"/>
        <v>286</v>
      </c>
      <c r="L249" s="28">
        <f t="shared" si="739"/>
        <v>-122</v>
      </c>
      <c r="N249" s="80">
        <f t="shared" si="25"/>
        <v>14</v>
      </c>
      <c r="O249" s="28">
        <f t="shared" ref="O249:R249" si="740">O248+I242</f>
        <v>37724</v>
      </c>
      <c r="P249" s="28">
        <f t="shared" si="740"/>
        <v>-92904</v>
      </c>
      <c r="Q249" s="28">
        <f t="shared" si="740"/>
        <v>4550</v>
      </c>
      <c r="R249" s="28">
        <f t="shared" si="740"/>
        <v>50630</v>
      </c>
      <c r="T249" s="80">
        <v>14.0</v>
      </c>
      <c r="U249" s="80">
        <f t="shared" ref="U249:X249" si="741">U248+C242</f>
        <v>366</v>
      </c>
      <c r="V249" s="80">
        <f t="shared" si="741"/>
        <v>-1770</v>
      </c>
      <c r="W249" s="80">
        <f t="shared" si="741"/>
        <v>2060</v>
      </c>
      <c r="X249" s="80">
        <f t="shared" si="741"/>
        <v>-760</v>
      </c>
      <c r="Z249" s="80">
        <v>14.0</v>
      </c>
      <c r="AA249" s="10">
        <v>44106.0</v>
      </c>
      <c r="AB249" s="80">
        <v>366.0</v>
      </c>
      <c r="AC249" s="80">
        <v>-1770.0</v>
      </c>
      <c r="AD249" s="80">
        <v>2060.0</v>
      </c>
      <c r="AE249" s="80">
        <v>-760.0</v>
      </c>
    </row>
    <row r="250">
      <c r="A250" s="28">
        <f>'SAMLET_alle regnskab'!B259</f>
        <v>7</v>
      </c>
      <c r="B250" s="80">
        <f>'SAMLET_alle regnskab'!A259</f>
        <v>15</v>
      </c>
      <c r="C250" s="28">
        <f>'SAMLET_alle regnskab'!U259</f>
        <v>16</v>
      </c>
      <c r="D250" s="28">
        <f>'SAMLET_alle regnskab'!V259</f>
        <v>16</v>
      </c>
      <c r="E250" s="28">
        <f>'SAMLET_alle regnskab'!W259</f>
        <v>-16</v>
      </c>
      <c r="F250" s="28">
        <f>'SAMLET_alle regnskab'!X259</f>
        <v>-16</v>
      </c>
      <c r="H250" s="80">
        <f t="shared" si="7"/>
        <v>15</v>
      </c>
      <c r="I250" s="28">
        <f t="shared" ref="I250:L250" si="742">I249+C250</f>
        <v>584</v>
      </c>
      <c r="J250" s="28">
        <f t="shared" si="742"/>
        <v>-716</v>
      </c>
      <c r="K250" s="28">
        <f t="shared" si="742"/>
        <v>270</v>
      </c>
      <c r="L250" s="28">
        <f t="shared" si="742"/>
        <v>-138</v>
      </c>
      <c r="N250" s="80">
        <f t="shared" si="25"/>
        <v>14</v>
      </c>
      <c r="O250" s="28">
        <f t="shared" ref="O250:R250" si="743">O249+I243</f>
        <v>38256</v>
      </c>
      <c r="P250" s="28">
        <f t="shared" si="743"/>
        <v>-93704</v>
      </c>
      <c r="Q250" s="28">
        <f t="shared" si="743"/>
        <v>4888</v>
      </c>
      <c r="R250" s="28">
        <f t="shared" si="743"/>
        <v>50560</v>
      </c>
      <c r="T250" s="80">
        <v>14.0</v>
      </c>
      <c r="U250" s="80">
        <f t="shared" ref="U250:X250" si="744">U249+C243</f>
        <v>374</v>
      </c>
      <c r="V250" s="80">
        <f t="shared" si="744"/>
        <v>-1762</v>
      </c>
      <c r="W250" s="80">
        <f t="shared" si="744"/>
        <v>2052</v>
      </c>
      <c r="X250" s="80">
        <f t="shared" si="744"/>
        <v>-768</v>
      </c>
      <c r="Z250" s="80">
        <v>14.0</v>
      </c>
      <c r="AA250" s="10">
        <v>44106.0</v>
      </c>
      <c r="AB250" s="80">
        <v>374.0</v>
      </c>
      <c r="AC250" s="80">
        <v>-1762.0</v>
      </c>
      <c r="AD250" s="80">
        <v>2052.0</v>
      </c>
      <c r="AE250" s="80">
        <v>-768.0</v>
      </c>
    </row>
    <row r="251">
      <c r="A251" s="28">
        <f>'SAMLET_alle regnskab'!B260</f>
        <v>8</v>
      </c>
      <c r="B251" s="80">
        <f>'SAMLET_alle regnskab'!A260</f>
        <v>15</v>
      </c>
      <c r="C251" s="28">
        <f>'SAMLET_alle regnskab'!U260</f>
        <v>-12</v>
      </c>
      <c r="D251" s="28">
        <f>'SAMLET_alle regnskab'!V260</f>
        <v>12</v>
      </c>
      <c r="E251" s="28">
        <f>'SAMLET_alle regnskab'!W260</f>
        <v>-12</v>
      </c>
      <c r="F251" s="28">
        <f>'SAMLET_alle regnskab'!X260</f>
        <v>12</v>
      </c>
      <c r="H251" s="80">
        <f t="shared" si="7"/>
        <v>15</v>
      </c>
      <c r="I251" s="28">
        <f t="shared" ref="I251:L251" si="745">I250+C251</f>
        <v>572</v>
      </c>
      <c r="J251" s="28">
        <f t="shared" si="745"/>
        <v>-704</v>
      </c>
      <c r="K251" s="28">
        <f t="shared" si="745"/>
        <v>258</v>
      </c>
      <c r="L251" s="28">
        <f t="shared" si="745"/>
        <v>-126</v>
      </c>
      <c r="N251" s="80">
        <f t="shared" si="25"/>
        <v>15</v>
      </c>
      <c r="O251" s="28">
        <f t="shared" ref="O251:R251" si="746">O250+I244</f>
        <v>38780</v>
      </c>
      <c r="P251" s="28">
        <f t="shared" si="746"/>
        <v>-94480</v>
      </c>
      <c r="Q251" s="28">
        <f t="shared" si="746"/>
        <v>5218</v>
      </c>
      <c r="R251" s="28">
        <f t="shared" si="746"/>
        <v>50482</v>
      </c>
      <c r="T251" s="80">
        <v>15.0</v>
      </c>
      <c r="U251" s="80">
        <f t="shared" ref="U251:X251" si="747">U250+C244</f>
        <v>366</v>
      </c>
      <c r="V251" s="80">
        <f t="shared" si="747"/>
        <v>-1738</v>
      </c>
      <c r="W251" s="80">
        <f t="shared" si="747"/>
        <v>2044</v>
      </c>
      <c r="X251" s="80">
        <f t="shared" si="747"/>
        <v>-776</v>
      </c>
      <c r="Z251" s="80">
        <v>15.0</v>
      </c>
      <c r="AA251" s="10">
        <v>44365.0</v>
      </c>
      <c r="AB251" s="80">
        <v>366.0</v>
      </c>
      <c r="AC251" s="80">
        <v>-1738.0</v>
      </c>
      <c r="AD251" s="80">
        <v>2044.0</v>
      </c>
      <c r="AE251" s="80">
        <v>-776.0</v>
      </c>
    </row>
    <row r="252">
      <c r="A252" s="28">
        <f>'SAMLET_alle regnskab'!B261</f>
        <v>9</v>
      </c>
      <c r="B252" s="80">
        <f>'SAMLET_alle regnskab'!A261</f>
        <v>15</v>
      </c>
      <c r="C252" s="28">
        <f>'SAMLET_alle regnskab'!U261</f>
        <v>-48</v>
      </c>
      <c r="D252" s="28">
        <f>'SAMLET_alle regnskab'!V261</f>
        <v>48</v>
      </c>
      <c r="E252" s="28">
        <f>'SAMLET_alle regnskab'!W261</f>
        <v>-48</v>
      </c>
      <c r="F252" s="28">
        <f>'SAMLET_alle regnskab'!X261</f>
        <v>48</v>
      </c>
      <c r="H252" s="80">
        <f t="shared" si="7"/>
        <v>15</v>
      </c>
      <c r="I252" s="28">
        <f t="shared" ref="I252:L252" si="748">I251+C252</f>
        <v>524</v>
      </c>
      <c r="J252" s="28">
        <f t="shared" si="748"/>
        <v>-656</v>
      </c>
      <c r="K252" s="28">
        <f t="shared" si="748"/>
        <v>210</v>
      </c>
      <c r="L252" s="28">
        <f t="shared" si="748"/>
        <v>-78</v>
      </c>
      <c r="N252" s="80">
        <f t="shared" si="25"/>
        <v>15</v>
      </c>
      <c r="O252" s="28">
        <f t="shared" ref="O252:R252" si="749">O251+I245</f>
        <v>39300</v>
      </c>
      <c r="P252" s="28">
        <f t="shared" si="749"/>
        <v>-95244</v>
      </c>
      <c r="Q252" s="28">
        <f t="shared" si="749"/>
        <v>5544</v>
      </c>
      <c r="R252" s="28">
        <f t="shared" si="749"/>
        <v>50400</v>
      </c>
      <c r="T252" s="80">
        <v>15.0</v>
      </c>
      <c r="U252" s="80">
        <f t="shared" ref="U252:X252" si="750">U251+C245</f>
        <v>362</v>
      </c>
      <c r="V252" s="80">
        <f t="shared" si="750"/>
        <v>-1726</v>
      </c>
      <c r="W252" s="80">
        <f t="shared" si="750"/>
        <v>2040</v>
      </c>
      <c r="X252" s="80">
        <f t="shared" si="750"/>
        <v>-780</v>
      </c>
      <c r="Z252" s="80">
        <v>15.0</v>
      </c>
      <c r="AA252" s="10">
        <v>44365.0</v>
      </c>
      <c r="AB252" s="80">
        <v>362.0</v>
      </c>
      <c r="AC252" s="80">
        <v>-1726.0</v>
      </c>
      <c r="AD252" s="80">
        <v>2040.0</v>
      </c>
      <c r="AE252" s="80">
        <v>-780.0</v>
      </c>
    </row>
    <row r="253">
      <c r="A253" s="28">
        <f>'SAMLET_alle regnskab'!B262</f>
        <v>10</v>
      </c>
      <c r="B253" s="80">
        <f>'SAMLET_alle regnskab'!A262</f>
        <v>15</v>
      </c>
      <c r="C253" s="28">
        <f>'SAMLET_alle regnskab'!U262</f>
        <v>-8</v>
      </c>
      <c r="D253" s="28">
        <f>'SAMLET_alle regnskab'!V262</f>
        <v>-8</v>
      </c>
      <c r="E253" s="28">
        <f>'SAMLET_alle regnskab'!W262</f>
        <v>8</v>
      </c>
      <c r="F253" s="28">
        <f>'SAMLET_alle regnskab'!X262</f>
        <v>8</v>
      </c>
      <c r="H253" s="80">
        <f t="shared" si="7"/>
        <v>15</v>
      </c>
      <c r="I253" s="28">
        <f t="shared" ref="I253:L253" si="751">I252+C253</f>
        <v>516</v>
      </c>
      <c r="J253" s="28">
        <f t="shared" si="751"/>
        <v>-664</v>
      </c>
      <c r="K253" s="28">
        <f t="shared" si="751"/>
        <v>218</v>
      </c>
      <c r="L253" s="28">
        <f t="shared" si="751"/>
        <v>-70</v>
      </c>
      <c r="N253" s="80">
        <f t="shared" si="25"/>
        <v>15</v>
      </c>
      <c r="O253" s="28">
        <f t="shared" ref="O253:R253" si="752">O252+I246</f>
        <v>39852</v>
      </c>
      <c r="P253" s="28">
        <f t="shared" si="752"/>
        <v>-95976</v>
      </c>
      <c r="Q253" s="28">
        <f t="shared" si="752"/>
        <v>5838</v>
      </c>
      <c r="R253" s="28">
        <f t="shared" si="752"/>
        <v>50286</v>
      </c>
      <c r="T253" s="80">
        <v>15.0</v>
      </c>
      <c r="U253" s="80">
        <f t="shared" ref="U253:X253" si="753">U252+C246</f>
        <v>394</v>
      </c>
      <c r="V253" s="80">
        <f t="shared" si="753"/>
        <v>-1694</v>
      </c>
      <c r="W253" s="80">
        <f t="shared" si="753"/>
        <v>2008</v>
      </c>
      <c r="X253" s="80">
        <f t="shared" si="753"/>
        <v>-812</v>
      </c>
      <c r="Z253" s="80">
        <v>15.0</v>
      </c>
      <c r="AA253" s="10">
        <v>44365.0</v>
      </c>
      <c r="AB253" s="80">
        <v>394.0</v>
      </c>
      <c r="AC253" s="80">
        <v>-1694.0</v>
      </c>
      <c r="AD253" s="80">
        <v>2008.0</v>
      </c>
      <c r="AE253" s="80">
        <v>-812.0</v>
      </c>
    </row>
    <row r="254">
      <c r="A254" s="28">
        <f>'SAMLET_alle regnskab'!B263</f>
        <v>11</v>
      </c>
      <c r="B254" s="80">
        <f>'SAMLET_alle regnskab'!A263</f>
        <v>15</v>
      </c>
      <c r="C254" s="28">
        <f>'SAMLET_alle regnskab'!U263</f>
        <v>32</v>
      </c>
      <c r="D254" s="28">
        <f>'SAMLET_alle regnskab'!V263</f>
        <v>32</v>
      </c>
      <c r="E254" s="28">
        <f>'SAMLET_alle regnskab'!W263</f>
        <v>-32</v>
      </c>
      <c r="F254" s="28">
        <f>'SAMLET_alle regnskab'!X263</f>
        <v>-32</v>
      </c>
      <c r="H254" s="80">
        <f t="shared" si="7"/>
        <v>15</v>
      </c>
      <c r="I254" s="28">
        <f t="shared" ref="I254:L254" si="754">I253+C254</f>
        <v>548</v>
      </c>
      <c r="J254" s="28">
        <f t="shared" si="754"/>
        <v>-632</v>
      </c>
      <c r="K254" s="28">
        <f t="shared" si="754"/>
        <v>186</v>
      </c>
      <c r="L254" s="28">
        <f t="shared" si="754"/>
        <v>-102</v>
      </c>
      <c r="N254" s="80">
        <f t="shared" si="25"/>
        <v>15</v>
      </c>
      <c r="O254" s="28">
        <f t="shared" ref="O254:R254" si="755">O253+I247</f>
        <v>40416</v>
      </c>
      <c r="P254" s="28">
        <f t="shared" si="755"/>
        <v>-96720</v>
      </c>
      <c r="Q254" s="28">
        <f t="shared" si="755"/>
        <v>6144</v>
      </c>
      <c r="R254" s="28">
        <f t="shared" si="755"/>
        <v>50160</v>
      </c>
      <c r="T254" s="80">
        <v>15.0</v>
      </c>
      <c r="U254" s="80">
        <f t="shared" ref="U254:X254" si="756">U253+C247</f>
        <v>406</v>
      </c>
      <c r="V254" s="80">
        <f t="shared" si="756"/>
        <v>-1706</v>
      </c>
      <c r="W254" s="80">
        <f t="shared" si="756"/>
        <v>2020</v>
      </c>
      <c r="X254" s="80">
        <f t="shared" si="756"/>
        <v>-824</v>
      </c>
      <c r="Z254" s="80">
        <v>15.0</v>
      </c>
      <c r="AA254" s="10">
        <v>44365.0</v>
      </c>
      <c r="AB254" s="80">
        <v>406.0</v>
      </c>
      <c r="AC254" s="80">
        <v>-1706.0</v>
      </c>
      <c r="AD254" s="80">
        <v>2020.0</v>
      </c>
      <c r="AE254" s="80">
        <v>-824.0</v>
      </c>
    </row>
    <row r="255">
      <c r="A255" s="28">
        <f>'SAMLET_alle regnskab'!B264</f>
        <v>12</v>
      </c>
      <c r="B255" s="80">
        <f>'SAMLET_alle regnskab'!A264</f>
        <v>15</v>
      </c>
      <c r="C255" s="28">
        <f>'SAMLET_alle regnskab'!U264</f>
        <v>32</v>
      </c>
      <c r="D255" s="28">
        <f>'SAMLET_alle regnskab'!V264</f>
        <v>-32</v>
      </c>
      <c r="E255" s="28">
        <f>'SAMLET_alle regnskab'!W264</f>
        <v>-32</v>
      </c>
      <c r="F255" s="28">
        <f>'SAMLET_alle regnskab'!X264</f>
        <v>32</v>
      </c>
      <c r="H255" s="80">
        <f t="shared" si="7"/>
        <v>15</v>
      </c>
      <c r="I255" s="28">
        <f t="shared" ref="I255:L255" si="757">I254+C255</f>
        <v>580</v>
      </c>
      <c r="J255" s="28">
        <f t="shared" si="757"/>
        <v>-664</v>
      </c>
      <c r="K255" s="28">
        <f t="shared" si="757"/>
        <v>154</v>
      </c>
      <c r="L255" s="28">
        <f t="shared" si="757"/>
        <v>-70</v>
      </c>
      <c r="N255" s="80">
        <f t="shared" si="25"/>
        <v>15</v>
      </c>
      <c r="O255" s="28">
        <f t="shared" ref="O255:R255" si="758">O254+I248</f>
        <v>40972</v>
      </c>
      <c r="P255" s="28">
        <f t="shared" si="758"/>
        <v>-97440</v>
      </c>
      <c r="Q255" s="28">
        <f t="shared" si="758"/>
        <v>6442</v>
      </c>
      <c r="R255" s="28">
        <f t="shared" si="758"/>
        <v>50026</v>
      </c>
      <c r="T255" s="80">
        <v>15.0</v>
      </c>
      <c r="U255" s="80">
        <f t="shared" ref="U255:X255" si="759">U254+C248</f>
        <v>398</v>
      </c>
      <c r="V255" s="80">
        <f t="shared" si="759"/>
        <v>-1682</v>
      </c>
      <c r="W255" s="80">
        <f t="shared" si="759"/>
        <v>2012</v>
      </c>
      <c r="X255" s="80">
        <f t="shared" si="759"/>
        <v>-832</v>
      </c>
      <c r="Z255" s="80">
        <v>15.0</v>
      </c>
      <c r="AA255" s="10">
        <v>44365.0</v>
      </c>
      <c r="AB255" s="80">
        <v>398.0</v>
      </c>
      <c r="AC255" s="80">
        <v>-1682.0</v>
      </c>
      <c r="AD255" s="80">
        <v>2012.0</v>
      </c>
      <c r="AE255" s="80">
        <v>-832.0</v>
      </c>
    </row>
    <row r="256">
      <c r="A256" s="28">
        <f>'SAMLET_alle regnskab'!B265</f>
        <v>13</v>
      </c>
      <c r="B256" s="80">
        <f>'SAMLET_alle regnskab'!A265</f>
        <v>15</v>
      </c>
      <c r="C256" s="28">
        <f>'SAMLET_alle regnskab'!U265</f>
        <v>-24</v>
      </c>
      <c r="D256" s="28">
        <f>'SAMLET_alle regnskab'!V265</f>
        <v>24</v>
      </c>
      <c r="E256" s="28">
        <f>'SAMLET_alle regnskab'!W265</f>
        <v>-24</v>
      </c>
      <c r="F256" s="28">
        <f>'SAMLET_alle regnskab'!X265</f>
        <v>24</v>
      </c>
      <c r="H256" s="80">
        <f t="shared" si="7"/>
        <v>15</v>
      </c>
      <c r="I256" s="28">
        <f t="shared" ref="I256:L256" si="760">I255+C256</f>
        <v>556</v>
      </c>
      <c r="J256" s="28">
        <f t="shared" si="760"/>
        <v>-640</v>
      </c>
      <c r="K256" s="28">
        <f t="shared" si="760"/>
        <v>130</v>
      </c>
      <c r="L256" s="28">
        <f t="shared" si="760"/>
        <v>-46</v>
      </c>
      <c r="N256" s="80">
        <f t="shared" si="25"/>
        <v>15</v>
      </c>
      <c r="O256" s="28">
        <f t="shared" ref="O256:R256" si="761">O255+I249</f>
        <v>41540</v>
      </c>
      <c r="P256" s="28">
        <f t="shared" si="761"/>
        <v>-98172</v>
      </c>
      <c r="Q256" s="28">
        <f t="shared" si="761"/>
        <v>6728</v>
      </c>
      <c r="R256" s="28">
        <f t="shared" si="761"/>
        <v>49904</v>
      </c>
      <c r="T256" s="80">
        <v>15.0</v>
      </c>
      <c r="U256" s="80">
        <f t="shared" ref="U256:X256" si="762">U255+C249</f>
        <v>410</v>
      </c>
      <c r="V256" s="80">
        <f t="shared" si="762"/>
        <v>-1694</v>
      </c>
      <c r="W256" s="80">
        <f t="shared" si="762"/>
        <v>2000</v>
      </c>
      <c r="X256" s="80">
        <f t="shared" si="762"/>
        <v>-820</v>
      </c>
      <c r="Z256" s="80">
        <v>15.0</v>
      </c>
      <c r="AA256" s="10">
        <v>44365.0</v>
      </c>
      <c r="AB256" s="80">
        <v>410.0</v>
      </c>
      <c r="AC256" s="80">
        <v>-1694.0</v>
      </c>
      <c r="AD256" s="80">
        <v>2000.0</v>
      </c>
      <c r="AE256" s="80">
        <v>-820.0</v>
      </c>
    </row>
    <row r="257">
      <c r="A257" s="28">
        <f>'SAMLET_alle regnskab'!B266</f>
        <v>14</v>
      </c>
      <c r="B257" s="80">
        <f>'SAMLET_alle regnskab'!A266</f>
        <v>15</v>
      </c>
      <c r="C257" s="28">
        <f>'SAMLET_alle regnskab'!U266</f>
        <v>-4</v>
      </c>
      <c r="D257" s="28">
        <f>'SAMLET_alle regnskab'!V266</f>
        <v>-4</v>
      </c>
      <c r="E257" s="28">
        <f>'SAMLET_alle regnskab'!W266</f>
        <v>12</v>
      </c>
      <c r="F257" s="28">
        <f>'SAMLET_alle regnskab'!X266</f>
        <v>-4</v>
      </c>
      <c r="H257" s="80">
        <f t="shared" si="7"/>
        <v>15</v>
      </c>
      <c r="I257" s="28">
        <f t="shared" ref="I257:L257" si="763">I256+C257</f>
        <v>552</v>
      </c>
      <c r="J257" s="28">
        <f t="shared" si="763"/>
        <v>-644</v>
      </c>
      <c r="K257" s="28">
        <f t="shared" si="763"/>
        <v>142</v>
      </c>
      <c r="L257" s="28">
        <f t="shared" si="763"/>
        <v>-50</v>
      </c>
      <c r="N257" s="80">
        <f t="shared" si="25"/>
        <v>15</v>
      </c>
      <c r="O257" s="28">
        <f t="shared" ref="O257:R257" si="764">O256+I250</f>
        <v>42124</v>
      </c>
      <c r="P257" s="28">
        <f t="shared" si="764"/>
        <v>-98888</v>
      </c>
      <c r="Q257" s="28">
        <f t="shared" si="764"/>
        <v>6998</v>
      </c>
      <c r="R257" s="28">
        <f t="shared" si="764"/>
        <v>49766</v>
      </c>
      <c r="T257" s="80">
        <v>15.0</v>
      </c>
      <c r="U257" s="80">
        <f t="shared" ref="U257:X257" si="765">U256+C250</f>
        <v>426</v>
      </c>
      <c r="V257" s="80">
        <f t="shared" si="765"/>
        <v>-1678</v>
      </c>
      <c r="W257" s="80">
        <f t="shared" si="765"/>
        <v>1984</v>
      </c>
      <c r="X257" s="80">
        <f t="shared" si="765"/>
        <v>-836</v>
      </c>
      <c r="Z257" s="80">
        <v>15.0</v>
      </c>
      <c r="AA257" s="10">
        <v>44365.0</v>
      </c>
      <c r="AB257" s="80">
        <v>426.0</v>
      </c>
      <c r="AC257" s="80">
        <v>-1678.0</v>
      </c>
      <c r="AD257" s="80">
        <v>1984.0</v>
      </c>
      <c r="AE257" s="80">
        <v>-836.0</v>
      </c>
    </row>
    <row r="258">
      <c r="A258" s="28">
        <f>'SAMLET_alle regnskab'!B267</f>
        <v>15</v>
      </c>
      <c r="B258" s="80">
        <f>'SAMLET_alle regnskab'!A267</f>
        <v>15</v>
      </c>
      <c r="C258" s="28">
        <f>'SAMLET_alle regnskab'!U267</f>
        <v>-4</v>
      </c>
      <c r="D258" s="28">
        <f>'SAMLET_alle regnskab'!V267</f>
        <v>-4</v>
      </c>
      <c r="E258" s="28">
        <f>'SAMLET_alle regnskab'!W267</f>
        <v>-4</v>
      </c>
      <c r="F258" s="28">
        <f>'SAMLET_alle regnskab'!X267</f>
        <v>12</v>
      </c>
      <c r="H258" s="80">
        <f t="shared" si="7"/>
        <v>15</v>
      </c>
      <c r="I258" s="28">
        <f t="shared" ref="I258:L258" si="766">I257+C258</f>
        <v>548</v>
      </c>
      <c r="J258" s="28">
        <f t="shared" si="766"/>
        <v>-648</v>
      </c>
      <c r="K258" s="28">
        <f t="shared" si="766"/>
        <v>138</v>
      </c>
      <c r="L258" s="28">
        <f t="shared" si="766"/>
        <v>-38</v>
      </c>
      <c r="N258" s="80">
        <f t="shared" si="25"/>
        <v>15</v>
      </c>
      <c r="O258" s="28">
        <f t="shared" ref="O258:R258" si="767">O257+I251</f>
        <v>42696</v>
      </c>
      <c r="P258" s="28">
        <f t="shared" si="767"/>
        <v>-99592</v>
      </c>
      <c r="Q258" s="28">
        <f t="shared" si="767"/>
        <v>7256</v>
      </c>
      <c r="R258" s="28">
        <f t="shared" si="767"/>
        <v>49640</v>
      </c>
      <c r="T258" s="80">
        <v>15.0</v>
      </c>
      <c r="U258" s="80">
        <f t="shared" ref="U258:X258" si="768">U257+C251</f>
        <v>414</v>
      </c>
      <c r="V258" s="80">
        <f t="shared" si="768"/>
        <v>-1666</v>
      </c>
      <c r="W258" s="80">
        <f t="shared" si="768"/>
        <v>1972</v>
      </c>
      <c r="X258" s="80">
        <f t="shared" si="768"/>
        <v>-824</v>
      </c>
      <c r="Z258" s="80">
        <v>15.0</v>
      </c>
      <c r="AA258" s="10">
        <v>44365.0</v>
      </c>
      <c r="AB258" s="80">
        <v>414.0</v>
      </c>
      <c r="AC258" s="80">
        <v>-1666.0</v>
      </c>
      <c r="AD258" s="80">
        <v>1972.0</v>
      </c>
      <c r="AE258" s="80">
        <v>-824.0</v>
      </c>
    </row>
    <row r="259">
      <c r="A259" s="28">
        <f>'SAMLET_alle regnskab'!B268</f>
        <v>16</v>
      </c>
      <c r="B259" s="80">
        <f>'SAMLET_alle regnskab'!A268</f>
        <v>15</v>
      </c>
      <c r="C259" s="28">
        <f>'SAMLET_alle regnskab'!U268</f>
        <v>8</v>
      </c>
      <c r="D259" s="28">
        <f>'SAMLET_alle regnskab'!V268</f>
        <v>-8</v>
      </c>
      <c r="E259" s="28">
        <f>'SAMLET_alle regnskab'!W268</f>
        <v>8</v>
      </c>
      <c r="F259" s="28">
        <f>'SAMLET_alle regnskab'!X268</f>
        <v>-8</v>
      </c>
      <c r="H259" s="80">
        <f t="shared" si="7"/>
        <v>15</v>
      </c>
      <c r="I259" s="28">
        <f t="shared" ref="I259:L259" si="769">I258+C259</f>
        <v>556</v>
      </c>
      <c r="J259" s="28">
        <f t="shared" si="769"/>
        <v>-656</v>
      </c>
      <c r="K259" s="28">
        <f t="shared" si="769"/>
        <v>146</v>
      </c>
      <c r="L259" s="28">
        <f t="shared" si="769"/>
        <v>-46</v>
      </c>
      <c r="N259" s="80">
        <f t="shared" si="25"/>
        <v>15</v>
      </c>
      <c r="O259" s="28">
        <f t="shared" ref="O259:R259" si="770">O258+I252</f>
        <v>43220</v>
      </c>
      <c r="P259" s="28">
        <f t="shared" si="770"/>
        <v>-100248</v>
      </c>
      <c r="Q259" s="28">
        <f t="shared" si="770"/>
        <v>7466</v>
      </c>
      <c r="R259" s="28">
        <f t="shared" si="770"/>
        <v>49562</v>
      </c>
      <c r="T259" s="80">
        <v>15.0</v>
      </c>
      <c r="U259" s="80">
        <f t="shared" ref="U259:X259" si="771">U258+C252</f>
        <v>366</v>
      </c>
      <c r="V259" s="80">
        <f t="shared" si="771"/>
        <v>-1618</v>
      </c>
      <c r="W259" s="80">
        <f t="shared" si="771"/>
        <v>1924</v>
      </c>
      <c r="X259" s="80">
        <f t="shared" si="771"/>
        <v>-776</v>
      </c>
      <c r="Z259" s="80">
        <v>15.0</v>
      </c>
      <c r="AA259" s="10">
        <v>44365.0</v>
      </c>
      <c r="AB259" s="80">
        <v>366.0</v>
      </c>
      <c r="AC259" s="80">
        <v>-1618.0</v>
      </c>
      <c r="AD259" s="80">
        <v>1924.0</v>
      </c>
      <c r="AE259" s="80">
        <v>-776.0</v>
      </c>
    </row>
    <row r="260">
      <c r="A260" s="28">
        <f>'SAMLET_alle regnskab'!B269</f>
        <v>17</v>
      </c>
      <c r="B260" s="80">
        <f>'SAMLET_alle regnskab'!A269</f>
        <v>15</v>
      </c>
      <c r="C260" s="28">
        <f>'SAMLET_alle regnskab'!U269</f>
        <v>-16</v>
      </c>
      <c r="D260" s="28">
        <f>'SAMLET_alle regnskab'!V269</f>
        <v>-16</v>
      </c>
      <c r="E260" s="28">
        <f>'SAMLET_alle regnskab'!W269</f>
        <v>16</v>
      </c>
      <c r="F260" s="28">
        <f>'SAMLET_alle regnskab'!X269</f>
        <v>16</v>
      </c>
      <c r="H260" s="80">
        <f t="shared" si="7"/>
        <v>15</v>
      </c>
      <c r="I260" s="28">
        <f t="shared" ref="I260:L260" si="772">I259+C260</f>
        <v>540</v>
      </c>
      <c r="J260" s="28">
        <f t="shared" si="772"/>
        <v>-672</v>
      </c>
      <c r="K260" s="28">
        <f t="shared" si="772"/>
        <v>162</v>
      </c>
      <c r="L260" s="28">
        <f t="shared" si="772"/>
        <v>-30</v>
      </c>
      <c r="N260" s="80">
        <f t="shared" si="25"/>
        <v>15</v>
      </c>
      <c r="O260" s="28">
        <f t="shared" ref="O260:R260" si="773">O259+I253</f>
        <v>43736</v>
      </c>
      <c r="P260" s="28">
        <f t="shared" si="773"/>
        <v>-100912</v>
      </c>
      <c r="Q260" s="28">
        <f t="shared" si="773"/>
        <v>7684</v>
      </c>
      <c r="R260" s="28">
        <f t="shared" si="773"/>
        <v>49492</v>
      </c>
      <c r="T260" s="80">
        <v>15.0</v>
      </c>
      <c r="U260" s="80">
        <f t="shared" ref="U260:X260" si="774">U259+C253</f>
        <v>358</v>
      </c>
      <c r="V260" s="80">
        <f t="shared" si="774"/>
        <v>-1626</v>
      </c>
      <c r="W260" s="80">
        <f t="shared" si="774"/>
        <v>1932</v>
      </c>
      <c r="X260" s="80">
        <f t="shared" si="774"/>
        <v>-768</v>
      </c>
      <c r="Z260" s="80">
        <v>15.0</v>
      </c>
      <c r="AA260" s="10">
        <v>44365.0</v>
      </c>
      <c r="AB260" s="80">
        <v>358.0</v>
      </c>
      <c r="AC260" s="80">
        <v>-1626.0</v>
      </c>
      <c r="AD260" s="80">
        <v>1932.0</v>
      </c>
      <c r="AE260" s="80">
        <v>-768.0</v>
      </c>
    </row>
    <row r="261">
      <c r="A261" s="28">
        <f>'SAMLET_alle regnskab'!B270</f>
        <v>18</v>
      </c>
      <c r="B261" s="80">
        <f>'SAMLET_alle regnskab'!A270</f>
        <v>15</v>
      </c>
      <c r="C261" s="28">
        <f>'SAMLET_alle regnskab'!U270</f>
        <v>0</v>
      </c>
      <c r="D261" s="28">
        <f>'SAMLET_alle regnskab'!V270</f>
        <v>0</v>
      </c>
      <c r="E261" s="28">
        <f>'SAMLET_alle regnskab'!W270</f>
        <v>0</v>
      </c>
      <c r="F261" s="28">
        <f>'SAMLET_alle regnskab'!X270</f>
        <v>0</v>
      </c>
      <c r="H261" s="80">
        <f t="shared" si="7"/>
        <v>15</v>
      </c>
      <c r="I261" s="28">
        <f t="shared" ref="I261:L261" si="775">I260+C261</f>
        <v>540</v>
      </c>
      <c r="J261" s="28">
        <f t="shared" si="775"/>
        <v>-672</v>
      </c>
      <c r="K261" s="28">
        <f t="shared" si="775"/>
        <v>162</v>
      </c>
      <c r="L261" s="28">
        <f t="shared" si="775"/>
        <v>-30</v>
      </c>
      <c r="N261" s="80">
        <f t="shared" si="25"/>
        <v>15</v>
      </c>
      <c r="O261" s="28">
        <f t="shared" ref="O261:R261" si="776">O260+I254</f>
        <v>44284</v>
      </c>
      <c r="P261" s="28">
        <f t="shared" si="776"/>
        <v>-101544</v>
      </c>
      <c r="Q261" s="28">
        <f t="shared" si="776"/>
        <v>7870</v>
      </c>
      <c r="R261" s="28">
        <f t="shared" si="776"/>
        <v>49390</v>
      </c>
      <c r="T261" s="80">
        <v>15.0</v>
      </c>
      <c r="U261" s="80">
        <f t="shared" ref="U261:X261" si="777">U260+C254</f>
        <v>390</v>
      </c>
      <c r="V261" s="80">
        <f t="shared" si="777"/>
        <v>-1594</v>
      </c>
      <c r="W261" s="80">
        <f t="shared" si="777"/>
        <v>1900</v>
      </c>
      <c r="X261" s="80">
        <f t="shared" si="777"/>
        <v>-800</v>
      </c>
      <c r="Z261" s="80">
        <v>15.0</v>
      </c>
      <c r="AA261" s="10">
        <v>44365.0</v>
      </c>
      <c r="AB261" s="80">
        <v>390.0</v>
      </c>
      <c r="AC261" s="80">
        <v>-1594.0</v>
      </c>
      <c r="AD261" s="80">
        <v>1900.0</v>
      </c>
      <c r="AE261" s="80">
        <v>-800.0</v>
      </c>
    </row>
    <row r="262">
      <c r="A262" s="28">
        <f>'SAMLET_alle regnskab'!B271</f>
        <v>1</v>
      </c>
      <c r="B262" s="80">
        <f>'SAMLET_alle regnskab'!A271</f>
        <v>16</v>
      </c>
      <c r="C262" s="28">
        <f>'SAMLET_alle regnskab'!U271</f>
        <v>-8</v>
      </c>
      <c r="D262" s="28">
        <f>'SAMLET_alle regnskab'!V271</f>
        <v>8</v>
      </c>
      <c r="E262" s="28">
        <f>'SAMLET_alle regnskab'!W271</f>
        <v>8</v>
      </c>
      <c r="F262" s="28">
        <f>'SAMLET_alle regnskab'!X271</f>
        <v>-8</v>
      </c>
      <c r="H262" s="80">
        <f t="shared" si="7"/>
        <v>16</v>
      </c>
      <c r="I262" s="28">
        <f t="shared" ref="I262:L262" si="778">I261+C262</f>
        <v>532</v>
      </c>
      <c r="J262" s="28">
        <f t="shared" si="778"/>
        <v>-664</v>
      </c>
      <c r="K262" s="28">
        <f t="shared" si="778"/>
        <v>170</v>
      </c>
      <c r="L262" s="28">
        <f t="shared" si="778"/>
        <v>-38</v>
      </c>
      <c r="N262" s="80">
        <f t="shared" si="25"/>
        <v>15</v>
      </c>
      <c r="O262" s="28">
        <f t="shared" ref="O262:R262" si="779">O261+I255</f>
        <v>44864</v>
      </c>
      <c r="P262" s="28">
        <f t="shared" si="779"/>
        <v>-102208</v>
      </c>
      <c r="Q262" s="28">
        <f t="shared" si="779"/>
        <v>8024</v>
      </c>
      <c r="R262" s="28">
        <f t="shared" si="779"/>
        <v>49320</v>
      </c>
      <c r="T262" s="80">
        <v>15.0</v>
      </c>
      <c r="U262" s="80">
        <f t="shared" ref="U262:X262" si="780">U261+C255</f>
        <v>422</v>
      </c>
      <c r="V262" s="80">
        <f t="shared" si="780"/>
        <v>-1626</v>
      </c>
      <c r="W262" s="80">
        <f t="shared" si="780"/>
        <v>1868</v>
      </c>
      <c r="X262" s="80">
        <f t="shared" si="780"/>
        <v>-768</v>
      </c>
      <c r="Z262" s="80">
        <v>15.0</v>
      </c>
      <c r="AA262" s="10">
        <v>44365.0</v>
      </c>
      <c r="AB262" s="80">
        <v>422.0</v>
      </c>
      <c r="AC262" s="80">
        <v>-1626.0</v>
      </c>
      <c r="AD262" s="80">
        <v>1868.0</v>
      </c>
      <c r="AE262" s="80">
        <v>-768.0</v>
      </c>
    </row>
    <row r="263">
      <c r="A263" s="28">
        <f>'SAMLET_alle regnskab'!B272</f>
        <v>2</v>
      </c>
      <c r="B263" s="80">
        <f>'SAMLET_alle regnskab'!A272</f>
        <v>16</v>
      </c>
      <c r="C263" s="28">
        <f>'SAMLET_alle regnskab'!U272</f>
        <v>-4</v>
      </c>
      <c r="D263" s="28">
        <f>'SAMLET_alle regnskab'!V272</f>
        <v>12</v>
      </c>
      <c r="E263" s="28">
        <f>'SAMLET_alle regnskab'!W272</f>
        <v>-4</v>
      </c>
      <c r="F263" s="28">
        <f>'SAMLET_alle regnskab'!X272</f>
        <v>-4</v>
      </c>
      <c r="H263" s="80">
        <f t="shared" si="7"/>
        <v>16</v>
      </c>
      <c r="I263" s="28">
        <f t="shared" ref="I263:L263" si="781">I262+C263</f>
        <v>528</v>
      </c>
      <c r="J263" s="28">
        <f t="shared" si="781"/>
        <v>-652</v>
      </c>
      <c r="K263" s="28">
        <f t="shared" si="781"/>
        <v>166</v>
      </c>
      <c r="L263" s="28">
        <f t="shared" si="781"/>
        <v>-42</v>
      </c>
      <c r="N263" s="80">
        <f t="shared" si="25"/>
        <v>15</v>
      </c>
      <c r="O263" s="28">
        <f t="shared" ref="O263:R263" si="782">O262+I256</f>
        <v>45420</v>
      </c>
      <c r="P263" s="28">
        <f t="shared" si="782"/>
        <v>-102848</v>
      </c>
      <c r="Q263" s="28">
        <f t="shared" si="782"/>
        <v>8154</v>
      </c>
      <c r="R263" s="28">
        <f t="shared" si="782"/>
        <v>49274</v>
      </c>
      <c r="T263" s="80">
        <v>15.0</v>
      </c>
      <c r="U263" s="80">
        <f t="shared" ref="U263:X263" si="783">U262+C256</f>
        <v>398</v>
      </c>
      <c r="V263" s="80">
        <f t="shared" si="783"/>
        <v>-1602</v>
      </c>
      <c r="W263" s="80">
        <f t="shared" si="783"/>
        <v>1844</v>
      </c>
      <c r="X263" s="80">
        <f t="shared" si="783"/>
        <v>-744</v>
      </c>
      <c r="Z263" s="80">
        <v>15.0</v>
      </c>
      <c r="AA263" s="10">
        <v>44365.0</v>
      </c>
      <c r="AB263" s="80">
        <v>398.0</v>
      </c>
      <c r="AC263" s="80">
        <v>-1602.0</v>
      </c>
      <c r="AD263" s="80">
        <v>1844.0</v>
      </c>
      <c r="AE263" s="80">
        <v>-744.0</v>
      </c>
    </row>
    <row r="264">
      <c r="A264" s="28">
        <f>'SAMLET_alle regnskab'!B273</f>
        <v>3</v>
      </c>
      <c r="B264" s="80">
        <f>'SAMLET_alle regnskab'!A273</f>
        <v>16</v>
      </c>
      <c r="C264" s="28">
        <f>'SAMLET_alle regnskab'!U273</f>
        <v>0</v>
      </c>
      <c r="D264" s="28">
        <f>'SAMLET_alle regnskab'!V273</f>
        <v>0</v>
      </c>
      <c r="E264" s="28">
        <f>'SAMLET_alle regnskab'!W273</f>
        <v>-32</v>
      </c>
      <c r="F264" s="28">
        <f>'SAMLET_alle regnskab'!X273</f>
        <v>32</v>
      </c>
      <c r="H264" s="80">
        <f t="shared" si="7"/>
        <v>16</v>
      </c>
      <c r="I264" s="28">
        <f t="shared" ref="I264:L264" si="784">I263+C264</f>
        <v>528</v>
      </c>
      <c r="J264" s="28">
        <f t="shared" si="784"/>
        <v>-652</v>
      </c>
      <c r="K264" s="28">
        <f t="shared" si="784"/>
        <v>134</v>
      </c>
      <c r="L264" s="28">
        <f t="shared" si="784"/>
        <v>-10</v>
      </c>
      <c r="N264" s="80">
        <f t="shared" si="25"/>
        <v>15</v>
      </c>
      <c r="O264" s="28">
        <f t="shared" ref="O264:R264" si="785">O263+I257</f>
        <v>45972</v>
      </c>
      <c r="P264" s="28">
        <f t="shared" si="785"/>
        <v>-103492</v>
      </c>
      <c r="Q264" s="28">
        <f t="shared" si="785"/>
        <v>8296</v>
      </c>
      <c r="R264" s="28">
        <f t="shared" si="785"/>
        <v>49224</v>
      </c>
      <c r="T264" s="80">
        <v>15.0</v>
      </c>
      <c r="U264" s="80">
        <f t="shared" ref="U264:X264" si="786">U263+C257</f>
        <v>394</v>
      </c>
      <c r="V264" s="80">
        <f t="shared" si="786"/>
        <v>-1606</v>
      </c>
      <c r="W264" s="80">
        <f t="shared" si="786"/>
        <v>1856</v>
      </c>
      <c r="X264" s="80">
        <f t="shared" si="786"/>
        <v>-748</v>
      </c>
      <c r="Z264" s="80">
        <v>15.0</v>
      </c>
      <c r="AA264" s="10">
        <v>44365.0</v>
      </c>
      <c r="AB264" s="80">
        <v>394.0</v>
      </c>
      <c r="AC264" s="80">
        <v>-1606.0</v>
      </c>
      <c r="AD264" s="80">
        <v>1856.0</v>
      </c>
      <c r="AE264" s="80">
        <v>-748.0</v>
      </c>
    </row>
    <row r="265">
      <c r="A265" s="28">
        <f>'SAMLET_alle regnskab'!B274</f>
        <v>4</v>
      </c>
      <c r="B265" s="80">
        <f>'SAMLET_alle regnskab'!A274</f>
        <v>16</v>
      </c>
      <c r="C265" s="28">
        <f>'SAMLET_alle regnskab'!U274</f>
        <v>24</v>
      </c>
      <c r="D265" s="28">
        <f>'SAMLET_alle regnskab'!V274</f>
        <v>24</v>
      </c>
      <c r="E265" s="28">
        <f>'SAMLET_alle regnskab'!W274</f>
        <v>24</v>
      </c>
      <c r="F265" s="28">
        <f>'SAMLET_alle regnskab'!X274</f>
        <v>-72</v>
      </c>
      <c r="H265" s="80">
        <f t="shared" si="7"/>
        <v>16</v>
      </c>
      <c r="I265" s="28">
        <f t="shared" ref="I265:L265" si="787">I264+C265</f>
        <v>552</v>
      </c>
      <c r="J265" s="28">
        <f t="shared" si="787"/>
        <v>-628</v>
      </c>
      <c r="K265" s="28">
        <f t="shared" si="787"/>
        <v>158</v>
      </c>
      <c r="L265" s="28">
        <f t="shared" si="787"/>
        <v>-82</v>
      </c>
      <c r="N265" s="80">
        <f t="shared" si="25"/>
        <v>15</v>
      </c>
      <c r="O265" s="28">
        <f t="shared" ref="O265:R265" si="788">O264+I258</f>
        <v>46520</v>
      </c>
      <c r="P265" s="28">
        <f t="shared" si="788"/>
        <v>-104140</v>
      </c>
      <c r="Q265" s="28">
        <f t="shared" si="788"/>
        <v>8434</v>
      </c>
      <c r="R265" s="28">
        <f t="shared" si="788"/>
        <v>49186</v>
      </c>
      <c r="T265" s="80">
        <v>15.0</v>
      </c>
      <c r="U265" s="80">
        <f t="shared" ref="U265:X265" si="789">U264+C258</f>
        <v>390</v>
      </c>
      <c r="V265" s="80">
        <f t="shared" si="789"/>
        <v>-1610</v>
      </c>
      <c r="W265" s="80">
        <f t="shared" si="789"/>
        <v>1852</v>
      </c>
      <c r="X265" s="80">
        <f t="shared" si="789"/>
        <v>-736</v>
      </c>
      <c r="Z265" s="80">
        <v>15.0</v>
      </c>
      <c r="AA265" s="10">
        <v>44365.0</v>
      </c>
      <c r="AB265" s="80">
        <v>390.0</v>
      </c>
      <c r="AC265" s="80">
        <v>-1610.0</v>
      </c>
      <c r="AD265" s="80">
        <v>1852.0</v>
      </c>
      <c r="AE265" s="80">
        <v>-736.0</v>
      </c>
    </row>
    <row r="266">
      <c r="A266" s="28">
        <f>'SAMLET_alle regnskab'!B275</f>
        <v>5</v>
      </c>
      <c r="B266" s="80">
        <f>'SAMLET_alle regnskab'!A275</f>
        <v>16</v>
      </c>
      <c r="C266" s="28">
        <f>'SAMLET_alle regnskab'!U275</f>
        <v>12</v>
      </c>
      <c r="D266" s="28">
        <f>'SAMLET_alle regnskab'!V275</f>
        <v>-12</v>
      </c>
      <c r="E266" s="28">
        <f>'SAMLET_alle regnskab'!W275</f>
        <v>12</v>
      </c>
      <c r="F266" s="28">
        <f>'SAMLET_alle regnskab'!X275</f>
        <v>-12</v>
      </c>
      <c r="H266" s="80">
        <f t="shared" si="7"/>
        <v>16</v>
      </c>
      <c r="I266" s="28">
        <f t="shared" ref="I266:L266" si="790">I265+C266</f>
        <v>564</v>
      </c>
      <c r="J266" s="28">
        <f t="shared" si="790"/>
        <v>-640</v>
      </c>
      <c r="K266" s="28">
        <f t="shared" si="790"/>
        <v>170</v>
      </c>
      <c r="L266" s="28">
        <f t="shared" si="790"/>
        <v>-94</v>
      </c>
      <c r="N266" s="80">
        <f t="shared" si="25"/>
        <v>15</v>
      </c>
      <c r="O266" s="28">
        <f t="shared" ref="O266:R266" si="791">O265+I259</f>
        <v>47076</v>
      </c>
      <c r="P266" s="28">
        <f t="shared" si="791"/>
        <v>-104796</v>
      </c>
      <c r="Q266" s="28">
        <f t="shared" si="791"/>
        <v>8580</v>
      </c>
      <c r="R266" s="28">
        <f t="shared" si="791"/>
        <v>49140</v>
      </c>
      <c r="T266" s="80">
        <v>15.0</v>
      </c>
      <c r="U266" s="80">
        <f t="shared" ref="U266:X266" si="792">U265+C259</f>
        <v>398</v>
      </c>
      <c r="V266" s="80">
        <f t="shared" si="792"/>
        <v>-1618</v>
      </c>
      <c r="W266" s="80">
        <f t="shared" si="792"/>
        <v>1860</v>
      </c>
      <c r="X266" s="80">
        <f t="shared" si="792"/>
        <v>-744</v>
      </c>
      <c r="Z266" s="80">
        <v>15.0</v>
      </c>
      <c r="AA266" s="10">
        <v>44365.0</v>
      </c>
      <c r="AB266" s="80">
        <v>398.0</v>
      </c>
      <c r="AC266" s="80">
        <v>-1618.0</v>
      </c>
      <c r="AD266" s="80">
        <v>1860.0</v>
      </c>
      <c r="AE266" s="80">
        <v>-744.0</v>
      </c>
    </row>
    <row r="267">
      <c r="A267" s="28">
        <f>'SAMLET_alle regnskab'!B276</f>
        <v>6</v>
      </c>
      <c r="B267" s="80">
        <f>'SAMLET_alle regnskab'!A276</f>
        <v>16</v>
      </c>
      <c r="C267" s="28">
        <f>'SAMLET_alle regnskab'!U276</f>
        <v>-24</v>
      </c>
      <c r="D267" s="28">
        <f>'SAMLET_alle regnskab'!V276</f>
        <v>8</v>
      </c>
      <c r="E267" s="28">
        <f>'SAMLET_alle regnskab'!W276</f>
        <v>8</v>
      </c>
      <c r="F267" s="28">
        <f>'SAMLET_alle regnskab'!X276</f>
        <v>8</v>
      </c>
      <c r="H267" s="80">
        <f t="shared" si="7"/>
        <v>16</v>
      </c>
      <c r="I267" s="28">
        <f t="shared" ref="I267:L267" si="793">I266+C267</f>
        <v>540</v>
      </c>
      <c r="J267" s="28">
        <f t="shared" si="793"/>
        <v>-632</v>
      </c>
      <c r="K267" s="28">
        <f t="shared" si="793"/>
        <v>178</v>
      </c>
      <c r="L267" s="28">
        <f t="shared" si="793"/>
        <v>-86</v>
      </c>
      <c r="N267" s="80">
        <f t="shared" si="25"/>
        <v>15</v>
      </c>
      <c r="O267" s="28">
        <f t="shared" ref="O267:R267" si="794">O266+I260</f>
        <v>47616</v>
      </c>
      <c r="P267" s="28">
        <f t="shared" si="794"/>
        <v>-105468</v>
      </c>
      <c r="Q267" s="28">
        <f t="shared" si="794"/>
        <v>8742</v>
      </c>
      <c r="R267" s="28">
        <f t="shared" si="794"/>
        <v>49110</v>
      </c>
      <c r="T267" s="80">
        <v>15.0</v>
      </c>
      <c r="U267" s="80">
        <f t="shared" ref="U267:X267" si="795">U266+C260</f>
        <v>382</v>
      </c>
      <c r="V267" s="80">
        <f t="shared" si="795"/>
        <v>-1634</v>
      </c>
      <c r="W267" s="80">
        <f t="shared" si="795"/>
        <v>1876</v>
      </c>
      <c r="X267" s="80">
        <f t="shared" si="795"/>
        <v>-728</v>
      </c>
      <c r="Z267" s="80">
        <v>15.0</v>
      </c>
      <c r="AA267" s="10">
        <v>44365.0</v>
      </c>
      <c r="AB267" s="80">
        <v>382.0</v>
      </c>
      <c r="AC267" s="80">
        <v>-1634.0</v>
      </c>
      <c r="AD267" s="80">
        <v>1876.0</v>
      </c>
      <c r="AE267" s="80">
        <v>-728.0</v>
      </c>
    </row>
    <row r="268">
      <c r="A268" s="28">
        <f>'SAMLET_alle regnskab'!B277</f>
        <v>7</v>
      </c>
      <c r="B268" s="80">
        <f>'SAMLET_alle regnskab'!A277</f>
        <v>16</v>
      </c>
      <c r="C268" s="28">
        <f>'SAMLET_alle regnskab'!U277</f>
        <v>24</v>
      </c>
      <c r="D268" s="28">
        <f>'SAMLET_alle regnskab'!V277</f>
        <v>-8</v>
      </c>
      <c r="E268" s="28">
        <f>'SAMLET_alle regnskab'!W277</f>
        <v>-8</v>
      </c>
      <c r="F268" s="28">
        <f>'SAMLET_alle regnskab'!X277</f>
        <v>-8</v>
      </c>
      <c r="H268" s="80">
        <f t="shared" si="7"/>
        <v>16</v>
      </c>
      <c r="I268" s="28">
        <f t="shared" ref="I268:L268" si="796">I267+C268</f>
        <v>564</v>
      </c>
      <c r="J268" s="28">
        <f t="shared" si="796"/>
        <v>-640</v>
      </c>
      <c r="K268" s="28">
        <f t="shared" si="796"/>
        <v>170</v>
      </c>
      <c r="L268" s="28">
        <f t="shared" si="796"/>
        <v>-94</v>
      </c>
      <c r="N268" s="80">
        <f t="shared" si="25"/>
        <v>15</v>
      </c>
      <c r="O268" s="28">
        <f t="shared" ref="O268:R268" si="797">O267+I261</f>
        <v>48156</v>
      </c>
      <c r="P268" s="28">
        <f t="shared" si="797"/>
        <v>-106140</v>
      </c>
      <c r="Q268" s="28">
        <f t="shared" si="797"/>
        <v>8904</v>
      </c>
      <c r="R268" s="28">
        <f t="shared" si="797"/>
        <v>49080</v>
      </c>
      <c r="T268" s="80">
        <v>15.0</v>
      </c>
      <c r="U268" s="80">
        <f t="shared" ref="U268:X268" si="798">U267+C261</f>
        <v>382</v>
      </c>
      <c r="V268" s="80">
        <f t="shared" si="798"/>
        <v>-1634</v>
      </c>
      <c r="W268" s="80">
        <f t="shared" si="798"/>
        <v>1876</v>
      </c>
      <c r="X268" s="80">
        <f t="shared" si="798"/>
        <v>-728</v>
      </c>
      <c r="Z268" s="80">
        <v>15.0</v>
      </c>
      <c r="AA268" s="10">
        <v>44365.0</v>
      </c>
      <c r="AB268" s="80">
        <v>382.0</v>
      </c>
      <c r="AC268" s="80">
        <v>-1634.0</v>
      </c>
      <c r="AD268" s="80">
        <v>1876.0</v>
      </c>
      <c r="AE268" s="80">
        <v>-728.0</v>
      </c>
    </row>
    <row r="269">
      <c r="A269" s="28">
        <f>'SAMLET_alle regnskab'!B278</f>
        <v>8</v>
      </c>
      <c r="B269" s="80">
        <f>'SAMLET_alle regnskab'!A278</f>
        <v>16</v>
      </c>
      <c r="C269" s="28">
        <f>'SAMLET_alle regnskab'!U278</f>
        <v>-16</v>
      </c>
      <c r="D269" s="28">
        <f>'SAMLET_alle regnskab'!V278</f>
        <v>48</v>
      </c>
      <c r="E269" s="28">
        <f>'SAMLET_alle regnskab'!W278</f>
        <v>-16</v>
      </c>
      <c r="F269" s="28">
        <f>'SAMLET_alle regnskab'!X278</f>
        <v>-16</v>
      </c>
      <c r="H269" s="80">
        <f t="shared" si="7"/>
        <v>16</v>
      </c>
      <c r="I269" s="28">
        <f t="shared" ref="I269:L269" si="799">I268+C269</f>
        <v>548</v>
      </c>
      <c r="J269" s="28">
        <f t="shared" si="799"/>
        <v>-592</v>
      </c>
      <c r="K269" s="28">
        <f t="shared" si="799"/>
        <v>154</v>
      </c>
      <c r="L269" s="28">
        <f t="shared" si="799"/>
        <v>-110</v>
      </c>
      <c r="N269" s="80">
        <f t="shared" si="25"/>
        <v>16</v>
      </c>
      <c r="O269" s="28">
        <f t="shared" ref="O269:R269" si="800">O268+I262</f>
        <v>48688</v>
      </c>
      <c r="P269" s="28">
        <f t="shared" si="800"/>
        <v>-106804</v>
      </c>
      <c r="Q269" s="28">
        <f t="shared" si="800"/>
        <v>9074</v>
      </c>
      <c r="R269" s="28">
        <f t="shared" si="800"/>
        <v>49042</v>
      </c>
      <c r="T269" s="80">
        <v>16.0</v>
      </c>
      <c r="U269" s="80">
        <f t="shared" ref="U269:X269" si="801">U268+C262</f>
        <v>374</v>
      </c>
      <c r="V269" s="80">
        <f t="shared" si="801"/>
        <v>-1626</v>
      </c>
      <c r="W269" s="80">
        <f t="shared" si="801"/>
        <v>1884</v>
      </c>
      <c r="X269" s="80">
        <f t="shared" si="801"/>
        <v>-736</v>
      </c>
      <c r="Z269" s="80">
        <v>16.0</v>
      </c>
      <c r="AA269" s="10">
        <v>44518.0</v>
      </c>
      <c r="AB269" s="80">
        <v>374.0</v>
      </c>
      <c r="AC269" s="80">
        <v>-1626.0</v>
      </c>
      <c r="AD269" s="80">
        <v>1884.0</v>
      </c>
      <c r="AE269" s="80">
        <v>-736.0</v>
      </c>
    </row>
    <row r="270">
      <c r="A270" s="28">
        <f>'SAMLET_alle regnskab'!B279</f>
        <v>9</v>
      </c>
      <c r="B270" s="80">
        <f>'SAMLET_alle regnskab'!A279</f>
        <v>16</v>
      </c>
      <c r="C270" s="28">
        <f>'SAMLET_alle regnskab'!U279</f>
        <v>16</v>
      </c>
      <c r="D270" s="28">
        <f>'SAMLET_alle regnskab'!V279</f>
        <v>16</v>
      </c>
      <c r="E270" s="28">
        <f>'SAMLET_alle regnskab'!W279</f>
        <v>-16</v>
      </c>
      <c r="F270" s="28">
        <f>'SAMLET_alle regnskab'!X279</f>
        <v>-16</v>
      </c>
      <c r="H270" s="80">
        <f t="shared" si="7"/>
        <v>16</v>
      </c>
      <c r="I270" s="28">
        <f t="shared" ref="I270:L270" si="802">I269+C270</f>
        <v>564</v>
      </c>
      <c r="J270" s="28">
        <f t="shared" si="802"/>
        <v>-576</v>
      </c>
      <c r="K270" s="28">
        <f t="shared" si="802"/>
        <v>138</v>
      </c>
      <c r="L270" s="28">
        <f t="shared" si="802"/>
        <v>-126</v>
      </c>
      <c r="N270" s="80">
        <f t="shared" si="25"/>
        <v>16</v>
      </c>
      <c r="O270" s="28">
        <f t="shared" ref="O270:R270" si="803">O269+I263</f>
        <v>49216</v>
      </c>
      <c r="P270" s="28">
        <f t="shared" si="803"/>
        <v>-107456</v>
      </c>
      <c r="Q270" s="28">
        <f t="shared" si="803"/>
        <v>9240</v>
      </c>
      <c r="R270" s="28">
        <f t="shared" si="803"/>
        <v>49000</v>
      </c>
      <c r="T270" s="80">
        <v>16.0</v>
      </c>
      <c r="U270" s="80">
        <f t="shared" ref="U270:X270" si="804">U269+C263</f>
        <v>370</v>
      </c>
      <c r="V270" s="80">
        <f t="shared" si="804"/>
        <v>-1614</v>
      </c>
      <c r="W270" s="80">
        <f t="shared" si="804"/>
        <v>1880</v>
      </c>
      <c r="X270" s="80">
        <f t="shared" si="804"/>
        <v>-740</v>
      </c>
      <c r="Z270" s="80">
        <v>16.0</v>
      </c>
      <c r="AA270" s="10">
        <v>44518.0</v>
      </c>
      <c r="AB270" s="80">
        <v>370.0</v>
      </c>
      <c r="AC270" s="80">
        <v>-1614.0</v>
      </c>
      <c r="AD270" s="80">
        <v>1880.0</v>
      </c>
      <c r="AE270" s="80">
        <v>-740.0</v>
      </c>
    </row>
    <row r="271">
      <c r="A271" s="28">
        <f>'SAMLET_alle regnskab'!B280</f>
        <v>10</v>
      </c>
      <c r="B271" s="80">
        <f>'SAMLET_alle regnskab'!A280</f>
        <v>16</v>
      </c>
      <c r="C271" s="28">
        <f>'SAMLET_alle regnskab'!U280</f>
        <v>48</v>
      </c>
      <c r="D271" s="28">
        <f>'SAMLET_alle regnskab'!V280</f>
        <v>-48</v>
      </c>
      <c r="E271" s="28">
        <f>'SAMLET_alle regnskab'!W280</f>
        <v>-48</v>
      </c>
      <c r="F271" s="28">
        <f>'SAMLET_alle regnskab'!X280</f>
        <v>48</v>
      </c>
      <c r="H271" s="80">
        <f t="shared" si="7"/>
        <v>16</v>
      </c>
      <c r="I271" s="28">
        <f t="shared" ref="I271:L271" si="805">I270+C271</f>
        <v>612</v>
      </c>
      <c r="J271" s="28">
        <f t="shared" si="805"/>
        <v>-624</v>
      </c>
      <c r="K271" s="28">
        <f t="shared" si="805"/>
        <v>90</v>
      </c>
      <c r="L271" s="28">
        <f t="shared" si="805"/>
        <v>-78</v>
      </c>
      <c r="N271" s="80">
        <f t="shared" si="25"/>
        <v>16</v>
      </c>
      <c r="O271" s="28">
        <f t="shared" ref="O271:R271" si="806">O270+I264</f>
        <v>49744</v>
      </c>
      <c r="P271" s="28">
        <f t="shared" si="806"/>
        <v>-108108</v>
      </c>
      <c r="Q271" s="28">
        <f t="shared" si="806"/>
        <v>9374</v>
      </c>
      <c r="R271" s="28">
        <f t="shared" si="806"/>
        <v>48990</v>
      </c>
      <c r="T271" s="80">
        <v>16.0</v>
      </c>
      <c r="U271" s="80">
        <f t="shared" ref="U271:X271" si="807">U270+C264</f>
        <v>370</v>
      </c>
      <c r="V271" s="80">
        <f t="shared" si="807"/>
        <v>-1614</v>
      </c>
      <c r="W271" s="80">
        <f t="shared" si="807"/>
        <v>1848</v>
      </c>
      <c r="X271" s="80">
        <f t="shared" si="807"/>
        <v>-708</v>
      </c>
      <c r="Z271" s="80">
        <v>16.0</v>
      </c>
      <c r="AA271" s="10">
        <v>44518.0</v>
      </c>
      <c r="AB271" s="80">
        <v>370.0</v>
      </c>
      <c r="AC271" s="80">
        <v>-1614.0</v>
      </c>
      <c r="AD271" s="80">
        <v>1848.0</v>
      </c>
      <c r="AE271" s="80">
        <v>-708.0</v>
      </c>
    </row>
    <row r="272">
      <c r="A272" s="28">
        <f>'SAMLET_alle regnskab'!B281</f>
        <v>11</v>
      </c>
      <c r="B272" s="80">
        <f>'SAMLET_alle regnskab'!A281</f>
        <v>16</v>
      </c>
      <c r="C272" s="28">
        <f>'SAMLET_alle regnskab'!U281</f>
        <v>-240</v>
      </c>
      <c r="D272" s="28">
        <f>'SAMLET_alle regnskab'!V281</f>
        <v>80</v>
      </c>
      <c r="E272" s="28">
        <f>'SAMLET_alle regnskab'!W281</f>
        <v>80</v>
      </c>
      <c r="F272" s="28">
        <f>'SAMLET_alle regnskab'!X281</f>
        <v>80</v>
      </c>
      <c r="H272" s="80">
        <f t="shared" si="7"/>
        <v>16</v>
      </c>
      <c r="I272" s="28">
        <f t="shared" ref="I272:L272" si="808">I271+C272</f>
        <v>372</v>
      </c>
      <c r="J272" s="28">
        <f t="shared" si="808"/>
        <v>-544</v>
      </c>
      <c r="K272" s="28">
        <f t="shared" si="808"/>
        <v>170</v>
      </c>
      <c r="L272" s="28">
        <f t="shared" si="808"/>
        <v>2</v>
      </c>
      <c r="N272" s="80">
        <f t="shared" si="25"/>
        <v>16</v>
      </c>
      <c r="O272" s="28">
        <f t="shared" ref="O272:R272" si="809">O271+I265</f>
        <v>50296</v>
      </c>
      <c r="P272" s="28">
        <f t="shared" si="809"/>
        <v>-108736</v>
      </c>
      <c r="Q272" s="28">
        <f t="shared" si="809"/>
        <v>9532</v>
      </c>
      <c r="R272" s="28">
        <f t="shared" si="809"/>
        <v>48908</v>
      </c>
      <c r="T272" s="80">
        <v>16.0</v>
      </c>
      <c r="U272" s="80">
        <f t="shared" ref="U272:X272" si="810">U271+C265</f>
        <v>394</v>
      </c>
      <c r="V272" s="80">
        <f t="shared" si="810"/>
        <v>-1590</v>
      </c>
      <c r="W272" s="80">
        <f t="shared" si="810"/>
        <v>1872</v>
      </c>
      <c r="X272" s="80">
        <f t="shared" si="810"/>
        <v>-780</v>
      </c>
      <c r="Z272" s="80">
        <v>16.0</v>
      </c>
      <c r="AA272" s="10">
        <v>44518.0</v>
      </c>
      <c r="AB272" s="80">
        <v>394.0</v>
      </c>
      <c r="AC272" s="80">
        <v>-1590.0</v>
      </c>
      <c r="AD272" s="80">
        <v>1872.0</v>
      </c>
      <c r="AE272" s="80">
        <v>-780.0</v>
      </c>
    </row>
    <row r="273">
      <c r="A273" s="28">
        <f>'SAMLET_alle regnskab'!B282</f>
        <v>12</v>
      </c>
      <c r="B273" s="80">
        <f>'SAMLET_alle regnskab'!A282</f>
        <v>16</v>
      </c>
      <c r="C273" s="28">
        <f>'SAMLET_alle regnskab'!U282</f>
        <v>-8</v>
      </c>
      <c r="D273" s="28">
        <f>'SAMLET_alle regnskab'!V282</f>
        <v>24</v>
      </c>
      <c r="E273" s="28">
        <f>'SAMLET_alle regnskab'!W282</f>
        <v>-8</v>
      </c>
      <c r="F273" s="28">
        <f>'SAMLET_alle regnskab'!X282</f>
        <v>-8</v>
      </c>
      <c r="H273" s="80">
        <f t="shared" si="7"/>
        <v>16</v>
      </c>
      <c r="I273" s="28">
        <f t="shared" ref="I273:L273" si="811">I272+C273</f>
        <v>364</v>
      </c>
      <c r="J273" s="28">
        <f t="shared" si="811"/>
        <v>-520</v>
      </c>
      <c r="K273" s="28">
        <f t="shared" si="811"/>
        <v>162</v>
      </c>
      <c r="L273" s="28">
        <f t="shared" si="811"/>
        <v>-6</v>
      </c>
      <c r="N273" s="80">
        <f t="shared" si="25"/>
        <v>16</v>
      </c>
      <c r="O273" s="28">
        <f t="shared" ref="O273:R273" si="812">O272+I266</f>
        <v>50860</v>
      </c>
      <c r="P273" s="28">
        <f t="shared" si="812"/>
        <v>-109376</v>
      </c>
      <c r="Q273" s="28">
        <f t="shared" si="812"/>
        <v>9702</v>
      </c>
      <c r="R273" s="28">
        <f t="shared" si="812"/>
        <v>48814</v>
      </c>
      <c r="T273" s="80">
        <v>16.0</v>
      </c>
      <c r="U273" s="80">
        <f t="shared" ref="U273:X273" si="813">U272+C266</f>
        <v>406</v>
      </c>
      <c r="V273" s="80">
        <f t="shared" si="813"/>
        <v>-1602</v>
      </c>
      <c r="W273" s="80">
        <f t="shared" si="813"/>
        <v>1884</v>
      </c>
      <c r="X273" s="80">
        <f t="shared" si="813"/>
        <v>-792</v>
      </c>
      <c r="Z273" s="80">
        <v>16.0</v>
      </c>
      <c r="AA273" s="10">
        <v>44518.0</v>
      </c>
      <c r="AB273" s="80">
        <v>406.0</v>
      </c>
      <c r="AC273" s="80">
        <v>-1602.0</v>
      </c>
      <c r="AD273" s="80">
        <v>1884.0</v>
      </c>
      <c r="AE273" s="80">
        <v>-792.0</v>
      </c>
    </row>
    <row r="274">
      <c r="A274" s="28">
        <f>'SAMLET_alle regnskab'!B283</f>
        <v>13</v>
      </c>
      <c r="B274" s="80">
        <f>'SAMLET_alle regnskab'!A283</f>
        <v>16</v>
      </c>
      <c r="C274" s="28">
        <f>'SAMLET_alle regnskab'!U283</f>
        <v>-4</v>
      </c>
      <c r="D274" s="28">
        <f>'SAMLET_alle regnskab'!V283</f>
        <v>4</v>
      </c>
      <c r="E274" s="28">
        <f>'SAMLET_alle regnskab'!W283</f>
        <v>4</v>
      </c>
      <c r="F274" s="28">
        <f>'SAMLET_alle regnskab'!X283</f>
        <v>-4</v>
      </c>
      <c r="H274" s="80">
        <f t="shared" si="7"/>
        <v>16</v>
      </c>
      <c r="I274" s="28">
        <f t="shared" ref="I274:L274" si="814">I273+C274</f>
        <v>360</v>
      </c>
      <c r="J274" s="28">
        <f t="shared" si="814"/>
        <v>-516</v>
      </c>
      <c r="K274" s="28">
        <f t="shared" si="814"/>
        <v>166</v>
      </c>
      <c r="L274" s="28">
        <f t="shared" si="814"/>
        <v>-10</v>
      </c>
      <c r="N274" s="80">
        <f t="shared" si="25"/>
        <v>16</v>
      </c>
      <c r="O274" s="28">
        <f t="shared" ref="O274:R274" si="815">O273+I267</f>
        <v>51400</v>
      </c>
      <c r="P274" s="28">
        <f t="shared" si="815"/>
        <v>-110008</v>
      </c>
      <c r="Q274" s="28">
        <f t="shared" si="815"/>
        <v>9880</v>
      </c>
      <c r="R274" s="28">
        <f t="shared" si="815"/>
        <v>48728</v>
      </c>
      <c r="T274" s="80">
        <v>16.0</v>
      </c>
      <c r="U274" s="80">
        <f t="shared" ref="U274:X274" si="816">U273+C267</f>
        <v>382</v>
      </c>
      <c r="V274" s="80">
        <f t="shared" si="816"/>
        <v>-1594</v>
      </c>
      <c r="W274" s="80">
        <f t="shared" si="816"/>
        <v>1892</v>
      </c>
      <c r="X274" s="80">
        <f t="shared" si="816"/>
        <v>-784</v>
      </c>
      <c r="Z274" s="80">
        <v>16.0</v>
      </c>
      <c r="AA274" s="10">
        <v>44518.0</v>
      </c>
      <c r="AB274" s="80">
        <v>382.0</v>
      </c>
      <c r="AC274" s="80">
        <v>-1594.0</v>
      </c>
      <c r="AD274" s="80">
        <v>1892.0</v>
      </c>
      <c r="AE274" s="80">
        <v>-784.0</v>
      </c>
    </row>
    <row r="275">
      <c r="A275" s="28">
        <f>'SAMLET_alle regnskab'!B284</f>
        <v>14</v>
      </c>
      <c r="B275" s="80">
        <f>'SAMLET_alle regnskab'!A284</f>
        <v>16</v>
      </c>
      <c r="C275" s="28">
        <f>'SAMLET_alle regnskab'!U284</f>
        <v>-32</v>
      </c>
      <c r="D275" s="28">
        <f>'SAMLET_alle regnskab'!V284</f>
        <v>32</v>
      </c>
      <c r="E275" s="28">
        <f>'SAMLET_alle regnskab'!W284</f>
        <v>-32</v>
      </c>
      <c r="F275" s="28">
        <f>'SAMLET_alle regnskab'!X284</f>
        <v>32</v>
      </c>
      <c r="H275" s="80">
        <f t="shared" si="7"/>
        <v>16</v>
      </c>
      <c r="I275" s="28">
        <f t="shared" ref="I275:L275" si="817">I274+C275</f>
        <v>328</v>
      </c>
      <c r="J275" s="28">
        <f t="shared" si="817"/>
        <v>-484</v>
      </c>
      <c r="K275" s="28">
        <f t="shared" si="817"/>
        <v>134</v>
      </c>
      <c r="L275" s="28">
        <f t="shared" si="817"/>
        <v>22</v>
      </c>
      <c r="N275" s="80">
        <f t="shared" si="25"/>
        <v>16</v>
      </c>
      <c r="O275" s="28">
        <f t="shared" ref="O275:R275" si="818">O274+I268</f>
        <v>51964</v>
      </c>
      <c r="P275" s="28">
        <f t="shared" si="818"/>
        <v>-110648</v>
      </c>
      <c r="Q275" s="28">
        <f t="shared" si="818"/>
        <v>10050</v>
      </c>
      <c r="R275" s="28">
        <f t="shared" si="818"/>
        <v>48634</v>
      </c>
      <c r="T275" s="80">
        <v>16.0</v>
      </c>
      <c r="U275" s="80">
        <f t="shared" ref="U275:X275" si="819">U274+C268</f>
        <v>406</v>
      </c>
      <c r="V275" s="80">
        <f t="shared" si="819"/>
        <v>-1602</v>
      </c>
      <c r="W275" s="80">
        <f t="shared" si="819"/>
        <v>1884</v>
      </c>
      <c r="X275" s="80">
        <f t="shared" si="819"/>
        <v>-792</v>
      </c>
      <c r="Z275" s="80">
        <v>16.0</v>
      </c>
      <c r="AA275" s="10">
        <v>44518.0</v>
      </c>
      <c r="AB275" s="80">
        <v>406.0</v>
      </c>
      <c r="AC275" s="80">
        <v>-1602.0</v>
      </c>
      <c r="AD275" s="80">
        <v>1884.0</v>
      </c>
      <c r="AE275" s="80">
        <v>-792.0</v>
      </c>
    </row>
    <row r="276">
      <c r="A276" s="28">
        <f>'SAMLET_alle regnskab'!B285</f>
        <v>15</v>
      </c>
      <c r="B276" s="80">
        <f>'SAMLET_alle regnskab'!A285</f>
        <v>16</v>
      </c>
      <c r="C276" s="28">
        <f>'SAMLET_alle regnskab'!U285</f>
        <v>32</v>
      </c>
      <c r="D276" s="28">
        <f>'SAMLET_alle regnskab'!V285</f>
        <v>-32</v>
      </c>
      <c r="E276" s="28">
        <f>'SAMLET_alle regnskab'!W285</f>
        <v>-32</v>
      </c>
      <c r="F276" s="28">
        <f>'SAMLET_alle regnskab'!X285</f>
        <v>32</v>
      </c>
      <c r="H276" s="80">
        <f t="shared" si="7"/>
        <v>16</v>
      </c>
      <c r="I276" s="28">
        <f t="shared" ref="I276:L276" si="820">I275+C276</f>
        <v>360</v>
      </c>
      <c r="J276" s="28">
        <f t="shared" si="820"/>
        <v>-516</v>
      </c>
      <c r="K276" s="28">
        <f t="shared" si="820"/>
        <v>102</v>
      </c>
      <c r="L276" s="28">
        <f t="shared" si="820"/>
        <v>54</v>
      </c>
      <c r="N276" s="80">
        <f t="shared" si="25"/>
        <v>16</v>
      </c>
      <c r="O276" s="28">
        <f t="shared" ref="O276:R276" si="821">O275+I269</f>
        <v>52512</v>
      </c>
      <c r="P276" s="28">
        <f t="shared" si="821"/>
        <v>-111240</v>
      </c>
      <c r="Q276" s="28">
        <f t="shared" si="821"/>
        <v>10204</v>
      </c>
      <c r="R276" s="28">
        <f t="shared" si="821"/>
        <v>48524</v>
      </c>
      <c r="T276" s="80">
        <v>16.0</v>
      </c>
      <c r="U276" s="80">
        <f t="shared" ref="U276:X276" si="822">U275+C269</f>
        <v>390</v>
      </c>
      <c r="V276" s="80">
        <f t="shared" si="822"/>
        <v>-1554</v>
      </c>
      <c r="W276" s="80">
        <f t="shared" si="822"/>
        <v>1868</v>
      </c>
      <c r="X276" s="80">
        <f t="shared" si="822"/>
        <v>-808</v>
      </c>
      <c r="Z276" s="80">
        <v>16.0</v>
      </c>
      <c r="AA276" s="10">
        <v>44518.0</v>
      </c>
      <c r="AB276" s="80">
        <v>390.0</v>
      </c>
      <c r="AC276" s="80">
        <v>-1554.0</v>
      </c>
      <c r="AD276" s="80">
        <v>1868.0</v>
      </c>
      <c r="AE276" s="80">
        <v>-808.0</v>
      </c>
    </row>
    <row r="277">
      <c r="A277" s="28">
        <f>'SAMLET_alle regnskab'!B286</f>
        <v>16</v>
      </c>
      <c r="B277" s="80">
        <f>'SAMLET_alle regnskab'!A286</f>
        <v>16</v>
      </c>
      <c r="C277" s="28">
        <f>'SAMLET_alle regnskab'!U286</f>
        <v>32</v>
      </c>
      <c r="D277" s="28">
        <f>'SAMLET_alle regnskab'!V286</f>
        <v>32</v>
      </c>
      <c r="E277" s="28">
        <f>'SAMLET_alle regnskab'!W286</f>
        <v>-96</v>
      </c>
      <c r="F277" s="28">
        <f>'SAMLET_alle regnskab'!X286</f>
        <v>32</v>
      </c>
      <c r="H277" s="80">
        <f t="shared" si="7"/>
        <v>16</v>
      </c>
      <c r="I277" s="28">
        <f t="shared" ref="I277:L277" si="823">I276+C277</f>
        <v>392</v>
      </c>
      <c r="J277" s="28">
        <f t="shared" si="823"/>
        <v>-484</v>
      </c>
      <c r="K277" s="28">
        <f t="shared" si="823"/>
        <v>6</v>
      </c>
      <c r="L277" s="28">
        <f t="shared" si="823"/>
        <v>86</v>
      </c>
      <c r="N277" s="80">
        <f t="shared" si="25"/>
        <v>16</v>
      </c>
      <c r="O277" s="28">
        <f t="shared" ref="O277:R277" si="824">O276+I270</f>
        <v>53076</v>
      </c>
      <c r="P277" s="28">
        <f t="shared" si="824"/>
        <v>-111816</v>
      </c>
      <c r="Q277" s="28">
        <f t="shared" si="824"/>
        <v>10342</v>
      </c>
      <c r="R277" s="28">
        <f t="shared" si="824"/>
        <v>48398</v>
      </c>
      <c r="T277" s="80">
        <v>16.0</v>
      </c>
      <c r="U277" s="80">
        <f t="shared" ref="U277:X277" si="825">U276+C270</f>
        <v>406</v>
      </c>
      <c r="V277" s="80">
        <f t="shared" si="825"/>
        <v>-1538</v>
      </c>
      <c r="W277" s="80">
        <f t="shared" si="825"/>
        <v>1852</v>
      </c>
      <c r="X277" s="80">
        <f t="shared" si="825"/>
        <v>-824</v>
      </c>
      <c r="Z277" s="80">
        <v>16.0</v>
      </c>
      <c r="AA277" s="10">
        <v>44518.0</v>
      </c>
      <c r="AB277" s="80">
        <v>406.0</v>
      </c>
      <c r="AC277" s="80">
        <v>-1538.0</v>
      </c>
      <c r="AD277" s="80">
        <v>1852.0</v>
      </c>
      <c r="AE277" s="80">
        <v>-824.0</v>
      </c>
    </row>
    <row r="278">
      <c r="A278" s="28">
        <f>'SAMLET_alle regnskab'!B287</f>
        <v>17</v>
      </c>
      <c r="B278" s="80">
        <f>'SAMLET_alle regnskab'!A287</f>
        <v>16</v>
      </c>
      <c r="C278" s="28">
        <f>'SAMLET_alle regnskab'!U287</f>
        <v>4</v>
      </c>
      <c r="D278" s="28">
        <f>'SAMLET_alle regnskab'!V287</f>
        <v>4</v>
      </c>
      <c r="E278" s="28">
        <f>'SAMLET_alle regnskab'!W287</f>
        <v>-4</v>
      </c>
      <c r="F278" s="28">
        <f>'SAMLET_alle regnskab'!X287</f>
        <v>-4</v>
      </c>
      <c r="H278" s="80">
        <f t="shared" si="7"/>
        <v>16</v>
      </c>
      <c r="I278" s="28">
        <f t="shared" ref="I278:L278" si="826">I277+C278</f>
        <v>396</v>
      </c>
      <c r="J278" s="28">
        <f t="shared" si="826"/>
        <v>-480</v>
      </c>
      <c r="K278" s="28">
        <f t="shared" si="826"/>
        <v>2</v>
      </c>
      <c r="L278" s="28">
        <f t="shared" si="826"/>
        <v>82</v>
      </c>
      <c r="N278" s="80">
        <f t="shared" si="25"/>
        <v>16</v>
      </c>
      <c r="O278" s="28">
        <f t="shared" ref="O278:R278" si="827">O277+I271</f>
        <v>53688</v>
      </c>
      <c r="P278" s="28">
        <f t="shared" si="827"/>
        <v>-112440</v>
      </c>
      <c r="Q278" s="28">
        <f t="shared" si="827"/>
        <v>10432</v>
      </c>
      <c r="R278" s="28">
        <f t="shared" si="827"/>
        <v>48320</v>
      </c>
      <c r="T278" s="80">
        <v>16.0</v>
      </c>
      <c r="U278" s="80">
        <f t="shared" ref="U278:X278" si="828">U277+C271</f>
        <v>454</v>
      </c>
      <c r="V278" s="80">
        <f t="shared" si="828"/>
        <v>-1586</v>
      </c>
      <c r="W278" s="80">
        <f t="shared" si="828"/>
        <v>1804</v>
      </c>
      <c r="X278" s="80">
        <f t="shared" si="828"/>
        <v>-776</v>
      </c>
      <c r="Z278" s="80">
        <v>16.0</v>
      </c>
      <c r="AA278" s="10">
        <v>44518.0</v>
      </c>
      <c r="AB278" s="80">
        <v>454.0</v>
      </c>
      <c r="AC278" s="80">
        <v>-1586.0</v>
      </c>
      <c r="AD278" s="80">
        <v>1804.0</v>
      </c>
      <c r="AE278" s="80">
        <v>-776.0</v>
      </c>
    </row>
    <row r="279">
      <c r="A279" s="28">
        <f>'SAMLET_alle regnskab'!B288</f>
        <v>18</v>
      </c>
      <c r="B279" s="80">
        <f>'SAMLET_alle regnskab'!A288</f>
        <v>16</v>
      </c>
      <c r="C279" s="28">
        <f>'SAMLET_alle regnskab'!U288</f>
        <v>8</v>
      </c>
      <c r="D279" s="28">
        <f>'SAMLET_alle regnskab'!V288</f>
        <v>8</v>
      </c>
      <c r="E279" s="28">
        <f>'SAMLET_alle regnskab'!W288</f>
        <v>8</v>
      </c>
      <c r="F279" s="28">
        <f>'SAMLET_alle regnskab'!X288</f>
        <v>-24</v>
      </c>
      <c r="H279" s="80">
        <f t="shared" si="7"/>
        <v>16</v>
      </c>
      <c r="I279" s="28">
        <f t="shared" ref="I279:L279" si="829">I278+C279</f>
        <v>404</v>
      </c>
      <c r="J279" s="28">
        <f t="shared" si="829"/>
        <v>-472</v>
      </c>
      <c r="K279" s="28">
        <f t="shared" si="829"/>
        <v>10</v>
      </c>
      <c r="L279" s="28">
        <f t="shared" si="829"/>
        <v>58</v>
      </c>
      <c r="N279" s="80">
        <f t="shared" si="25"/>
        <v>16</v>
      </c>
      <c r="O279" s="28">
        <f t="shared" ref="O279:R279" si="830">O278+I272</f>
        <v>54060</v>
      </c>
      <c r="P279" s="28">
        <f t="shared" si="830"/>
        <v>-112984</v>
      </c>
      <c r="Q279" s="28">
        <f t="shared" si="830"/>
        <v>10602</v>
      </c>
      <c r="R279" s="28">
        <f t="shared" si="830"/>
        <v>48322</v>
      </c>
      <c r="T279" s="80">
        <v>16.0</v>
      </c>
      <c r="U279" s="80">
        <f t="shared" ref="U279:X279" si="831">U278+C272</f>
        <v>214</v>
      </c>
      <c r="V279" s="80">
        <f t="shared" si="831"/>
        <v>-1506</v>
      </c>
      <c r="W279" s="80">
        <f t="shared" si="831"/>
        <v>1884</v>
      </c>
      <c r="X279" s="80">
        <f t="shared" si="831"/>
        <v>-696</v>
      </c>
      <c r="Z279" s="80">
        <v>16.0</v>
      </c>
      <c r="AA279" s="10">
        <v>44518.0</v>
      </c>
      <c r="AB279" s="80">
        <v>214.0</v>
      </c>
      <c r="AC279" s="80">
        <v>-1506.0</v>
      </c>
      <c r="AD279" s="80">
        <v>1884.0</v>
      </c>
      <c r="AE279" s="80">
        <v>-696.0</v>
      </c>
    </row>
    <row r="280">
      <c r="A280" s="28">
        <f>'SAMLET_alle regnskab'!B289</f>
        <v>19</v>
      </c>
      <c r="B280" s="80">
        <f>'SAMLET_alle regnskab'!A289</f>
        <v>16</v>
      </c>
      <c r="C280" s="28">
        <f>'SAMLET_alle regnskab'!U289</f>
        <v>8</v>
      </c>
      <c r="D280" s="28">
        <f>'SAMLET_alle regnskab'!V289</f>
        <v>8</v>
      </c>
      <c r="E280" s="28">
        <f>'SAMLET_alle regnskab'!W289</f>
        <v>-24</v>
      </c>
      <c r="F280" s="28">
        <f>'SAMLET_alle regnskab'!X289</f>
        <v>8</v>
      </c>
      <c r="H280" s="80">
        <f t="shared" si="7"/>
        <v>16</v>
      </c>
      <c r="I280" s="28">
        <f t="shared" ref="I280:L280" si="832">I279+C280</f>
        <v>412</v>
      </c>
      <c r="J280" s="28">
        <f t="shared" si="832"/>
        <v>-464</v>
      </c>
      <c r="K280" s="28">
        <f t="shared" si="832"/>
        <v>-14</v>
      </c>
      <c r="L280" s="28">
        <f t="shared" si="832"/>
        <v>66</v>
      </c>
      <c r="N280" s="80">
        <f t="shared" si="25"/>
        <v>16</v>
      </c>
      <c r="O280" s="28">
        <f t="shared" ref="O280:R280" si="833">O279+I273</f>
        <v>54424</v>
      </c>
      <c r="P280" s="28">
        <f t="shared" si="833"/>
        <v>-113504</v>
      </c>
      <c r="Q280" s="28">
        <f t="shared" si="833"/>
        <v>10764</v>
      </c>
      <c r="R280" s="28">
        <f t="shared" si="833"/>
        <v>48316</v>
      </c>
      <c r="T280" s="80">
        <v>16.0</v>
      </c>
      <c r="U280" s="80">
        <f t="shared" ref="U280:X280" si="834">U279+C273</f>
        <v>206</v>
      </c>
      <c r="V280" s="80">
        <f t="shared" si="834"/>
        <v>-1482</v>
      </c>
      <c r="W280" s="80">
        <f t="shared" si="834"/>
        <v>1876</v>
      </c>
      <c r="X280" s="80">
        <f t="shared" si="834"/>
        <v>-704</v>
      </c>
      <c r="Z280" s="80">
        <v>16.0</v>
      </c>
      <c r="AA280" s="10">
        <v>44518.0</v>
      </c>
      <c r="AB280" s="80">
        <v>206.0</v>
      </c>
      <c r="AC280" s="80">
        <v>-1482.0</v>
      </c>
      <c r="AD280" s="80">
        <v>1876.0</v>
      </c>
      <c r="AE280" s="80">
        <v>-704.0</v>
      </c>
    </row>
    <row r="281">
      <c r="A281" s="28">
        <f>'SAMLET_alle regnskab'!B290</f>
        <v>20</v>
      </c>
      <c r="B281" s="80">
        <f>'SAMLET_alle regnskab'!A290</f>
        <v>16</v>
      </c>
      <c r="C281" s="28">
        <f>'SAMLET_alle regnskab'!U290</f>
        <v>-16</v>
      </c>
      <c r="D281" s="28">
        <f>'SAMLET_alle regnskab'!V290</f>
        <v>16</v>
      </c>
      <c r="E281" s="28">
        <f>'SAMLET_alle regnskab'!W290</f>
        <v>16</v>
      </c>
      <c r="F281" s="28">
        <f>'SAMLET_alle regnskab'!X290</f>
        <v>-16</v>
      </c>
      <c r="H281" s="80">
        <f t="shared" si="7"/>
        <v>16</v>
      </c>
      <c r="I281" s="28">
        <f t="shared" ref="I281:L281" si="835">I280+C281</f>
        <v>396</v>
      </c>
      <c r="J281" s="28">
        <f t="shared" si="835"/>
        <v>-448</v>
      </c>
      <c r="K281" s="28">
        <f t="shared" si="835"/>
        <v>2</v>
      </c>
      <c r="L281" s="28">
        <f t="shared" si="835"/>
        <v>50</v>
      </c>
      <c r="N281" s="80">
        <f t="shared" si="25"/>
        <v>16</v>
      </c>
      <c r="O281" s="28">
        <f t="shared" ref="O281:R281" si="836">O280+I274</f>
        <v>54784</v>
      </c>
      <c r="P281" s="28">
        <f t="shared" si="836"/>
        <v>-114020</v>
      </c>
      <c r="Q281" s="28">
        <f t="shared" si="836"/>
        <v>10930</v>
      </c>
      <c r="R281" s="28">
        <f t="shared" si="836"/>
        <v>48306</v>
      </c>
      <c r="T281" s="80">
        <v>16.0</v>
      </c>
      <c r="U281" s="80">
        <f t="shared" ref="U281:X281" si="837">U280+C274</f>
        <v>202</v>
      </c>
      <c r="V281" s="80">
        <f t="shared" si="837"/>
        <v>-1478</v>
      </c>
      <c r="W281" s="80">
        <f t="shared" si="837"/>
        <v>1880</v>
      </c>
      <c r="X281" s="80">
        <f t="shared" si="837"/>
        <v>-708</v>
      </c>
      <c r="Z281" s="80">
        <v>16.0</v>
      </c>
      <c r="AA281" s="10">
        <v>44518.0</v>
      </c>
      <c r="AB281" s="80">
        <v>202.0</v>
      </c>
      <c r="AC281" s="80">
        <v>-1478.0</v>
      </c>
      <c r="AD281" s="80">
        <v>1880.0</v>
      </c>
      <c r="AE281" s="80">
        <v>-708.0</v>
      </c>
    </row>
    <row r="282">
      <c r="A282" s="28">
        <f>'SAMLET_alle regnskab'!B291</f>
        <v>21</v>
      </c>
      <c r="B282" s="80">
        <f>'SAMLET_alle regnskab'!A291</f>
        <v>16</v>
      </c>
      <c r="C282" s="28">
        <f>'SAMLET_alle regnskab'!U291</f>
        <v>8</v>
      </c>
      <c r="D282" s="28">
        <f>'SAMLET_alle regnskab'!V291</f>
        <v>-24</v>
      </c>
      <c r="E282" s="28">
        <f>'SAMLET_alle regnskab'!W291</f>
        <v>8</v>
      </c>
      <c r="F282" s="28">
        <f>'SAMLET_alle regnskab'!X291</f>
        <v>8</v>
      </c>
      <c r="H282" s="80">
        <f t="shared" si="7"/>
        <v>16</v>
      </c>
      <c r="I282" s="28">
        <f t="shared" ref="I282:L282" si="838">I281+C282</f>
        <v>404</v>
      </c>
      <c r="J282" s="28">
        <f t="shared" si="838"/>
        <v>-472</v>
      </c>
      <c r="K282" s="28">
        <f t="shared" si="838"/>
        <v>10</v>
      </c>
      <c r="L282" s="28">
        <f t="shared" si="838"/>
        <v>58</v>
      </c>
      <c r="N282" s="80">
        <f t="shared" si="25"/>
        <v>16</v>
      </c>
      <c r="O282" s="28">
        <f t="shared" ref="O282:R282" si="839">O281+I275</f>
        <v>55112</v>
      </c>
      <c r="P282" s="28">
        <f t="shared" si="839"/>
        <v>-114504</v>
      </c>
      <c r="Q282" s="28">
        <f t="shared" si="839"/>
        <v>11064</v>
      </c>
      <c r="R282" s="28">
        <f t="shared" si="839"/>
        <v>48328</v>
      </c>
      <c r="T282" s="80">
        <v>16.0</v>
      </c>
      <c r="U282" s="80">
        <f t="shared" ref="U282:X282" si="840">U281+C275</f>
        <v>170</v>
      </c>
      <c r="V282" s="80">
        <f t="shared" si="840"/>
        <v>-1446</v>
      </c>
      <c r="W282" s="80">
        <f t="shared" si="840"/>
        <v>1848</v>
      </c>
      <c r="X282" s="80">
        <f t="shared" si="840"/>
        <v>-676</v>
      </c>
      <c r="Z282" s="80">
        <v>16.0</v>
      </c>
      <c r="AA282" s="10">
        <v>44518.0</v>
      </c>
      <c r="AB282" s="80">
        <v>170.0</v>
      </c>
      <c r="AC282" s="80">
        <v>-1446.0</v>
      </c>
      <c r="AD282" s="80">
        <v>1848.0</v>
      </c>
      <c r="AE282" s="80">
        <v>-676.0</v>
      </c>
    </row>
    <row r="283">
      <c r="A283" s="28">
        <f>'SAMLET_alle regnskab'!B292</f>
        <v>22</v>
      </c>
      <c r="B283" s="80">
        <f>'SAMLET_alle regnskab'!A292</f>
        <v>16</v>
      </c>
      <c r="C283" s="28">
        <f>'SAMLET_alle regnskab'!U292</f>
        <v>-16</v>
      </c>
      <c r="D283" s="28">
        <f>'SAMLET_alle regnskab'!V292</f>
        <v>-16</v>
      </c>
      <c r="E283" s="28">
        <f>'SAMLET_alle regnskab'!W292</f>
        <v>16</v>
      </c>
      <c r="F283" s="28">
        <f>'SAMLET_alle regnskab'!X292</f>
        <v>16</v>
      </c>
      <c r="H283" s="80">
        <f t="shared" si="7"/>
        <v>16</v>
      </c>
      <c r="I283" s="28">
        <f t="shared" ref="I283:L283" si="841">I282+C283</f>
        <v>388</v>
      </c>
      <c r="J283" s="28">
        <f t="shared" si="841"/>
        <v>-488</v>
      </c>
      <c r="K283" s="28">
        <f t="shared" si="841"/>
        <v>26</v>
      </c>
      <c r="L283" s="28">
        <f t="shared" si="841"/>
        <v>74</v>
      </c>
      <c r="N283" s="80">
        <f t="shared" si="25"/>
        <v>16</v>
      </c>
      <c r="O283" s="28">
        <f t="shared" ref="O283:R283" si="842">O282+I276</f>
        <v>55472</v>
      </c>
      <c r="P283" s="28">
        <f t="shared" si="842"/>
        <v>-115020</v>
      </c>
      <c r="Q283" s="28">
        <f t="shared" si="842"/>
        <v>11166</v>
      </c>
      <c r="R283" s="28">
        <f t="shared" si="842"/>
        <v>48382</v>
      </c>
      <c r="T283" s="80">
        <v>16.0</v>
      </c>
      <c r="U283" s="80">
        <f t="shared" ref="U283:X283" si="843">U282+C276</f>
        <v>202</v>
      </c>
      <c r="V283" s="80">
        <f t="shared" si="843"/>
        <v>-1478</v>
      </c>
      <c r="W283" s="80">
        <f t="shared" si="843"/>
        <v>1816</v>
      </c>
      <c r="X283" s="80">
        <f t="shared" si="843"/>
        <v>-644</v>
      </c>
      <c r="Z283" s="80">
        <v>16.0</v>
      </c>
      <c r="AA283" s="10">
        <v>44518.0</v>
      </c>
      <c r="AB283" s="80">
        <v>202.0</v>
      </c>
      <c r="AC283" s="80">
        <v>-1478.0</v>
      </c>
      <c r="AD283" s="80">
        <v>1816.0</v>
      </c>
      <c r="AE283" s="80">
        <v>-644.0</v>
      </c>
    </row>
    <row r="284">
      <c r="A284" s="28">
        <f>'SAMLET_alle regnskab'!B293</f>
        <v>23</v>
      </c>
      <c r="B284" s="80">
        <f>'SAMLET_alle regnskab'!A293</f>
        <v>16</v>
      </c>
      <c r="C284" s="28">
        <f>'SAMLET_alle regnskab'!U293</f>
        <v>8</v>
      </c>
      <c r="D284" s="28">
        <f>'SAMLET_alle regnskab'!V293</f>
        <v>8</v>
      </c>
      <c r="E284" s="28">
        <f>'SAMLET_alle regnskab'!W293</f>
        <v>-24</v>
      </c>
      <c r="F284" s="28">
        <f>'SAMLET_alle regnskab'!X293</f>
        <v>8</v>
      </c>
      <c r="H284" s="80">
        <f t="shared" si="7"/>
        <v>16</v>
      </c>
      <c r="I284" s="28">
        <f t="shared" ref="I284:L284" si="844">I283+C284</f>
        <v>396</v>
      </c>
      <c r="J284" s="28">
        <f t="shared" si="844"/>
        <v>-480</v>
      </c>
      <c r="K284" s="28">
        <f t="shared" si="844"/>
        <v>2</v>
      </c>
      <c r="L284" s="28">
        <f t="shared" si="844"/>
        <v>82</v>
      </c>
      <c r="N284" s="80">
        <f t="shared" si="25"/>
        <v>16</v>
      </c>
      <c r="O284" s="28">
        <f t="shared" ref="O284:R284" si="845">O283+I277</f>
        <v>55864</v>
      </c>
      <c r="P284" s="28">
        <f t="shared" si="845"/>
        <v>-115504</v>
      </c>
      <c r="Q284" s="28">
        <f t="shared" si="845"/>
        <v>11172</v>
      </c>
      <c r="R284" s="28">
        <f t="shared" si="845"/>
        <v>48468</v>
      </c>
      <c r="T284" s="80">
        <v>16.0</v>
      </c>
      <c r="U284" s="80">
        <f t="shared" ref="U284:X284" si="846">U283+C277</f>
        <v>234</v>
      </c>
      <c r="V284" s="80">
        <f t="shared" si="846"/>
        <v>-1446</v>
      </c>
      <c r="W284" s="80">
        <f t="shared" si="846"/>
        <v>1720</v>
      </c>
      <c r="X284" s="80">
        <f t="shared" si="846"/>
        <v>-612</v>
      </c>
      <c r="Z284" s="80">
        <v>16.0</v>
      </c>
      <c r="AA284" s="10">
        <v>44518.0</v>
      </c>
      <c r="AB284" s="80">
        <v>234.0</v>
      </c>
      <c r="AC284" s="80">
        <v>-1446.0</v>
      </c>
      <c r="AD284" s="80">
        <v>1720.0</v>
      </c>
      <c r="AE284" s="80">
        <v>-612.0</v>
      </c>
    </row>
    <row r="285">
      <c r="A285" s="28">
        <f>'SAMLET_alle regnskab'!B294</f>
        <v>24</v>
      </c>
      <c r="B285" s="80">
        <f>'SAMLET_alle regnskab'!A294</f>
        <v>16</v>
      </c>
      <c r="C285" s="28">
        <f>'SAMLET_alle regnskab'!U294</f>
        <v>32</v>
      </c>
      <c r="D285" s="28">
        <f>'SAMLET_alle regnskab'!V294</f>
        <v>-32</v>
      </c>
      <c r="E285" s="28">
        <f>'SAMLET_alle regnskab'!W294</f>
        <v>-32</v>
      </c>
      <c r="F285" s="28">
        <f>'SAMLET_alle regnskab'!X294</f>
        <v>32</v>
      </c>
      <c r="H285" s="80">
        <f t="shared" si="7"/>
        <v>16</v>
      </c>
      <c r="I285" s="28">
        <f t="shared" ref="I285:L285" si="847">I284+C285</f>
        <v>428</v>
      </c>
      <c r="J285" s="28">
        <f t="shared" si="847"/>
        <v>-512</v>
      </c>
      <c r="K285" s="28">
        <f t="shared" si="847"/>
        <v>-30</v>
      </c>
      <c r="L285" s="28">
        <f t="shared" si="847"/>
        <v>114</v>
      </c>
      <c r="N285" s="80">
        <f t="shared" si="25"/>
        <v>16</v>
      </c>
      <c r="O285" s="28">
        <f t="shared" ref="O285:R285" si="848">O284+I278</f>
        <v>56260</v>
      </c>
      <c r="P285" s="28">
        <f t="shared" si="848"/>
        <v>-115984</v>
      </c>
      <c r="Q285" s="28">
        <f t="shared" si="848"/>
        <v>11174</v>
      </c>
      <c r="R285" s="28">
        <f t="shared" si="848"/>
        <v>48550</v>
      </c>
      <c r="T285" s="80">
        <v>16.0</v>
      </c>
      <c r="U285" s="80">
        <f t="shared" ref="U285:X285" si="849">U284+C278</f>
        <v>238</v>
      </c>
      <c r="V285" s="80">
        <f t="shared" si="849"/>
        <v>-1442</v>
      </c>
      <c r="W285" s="80">
        <f t="shared" si="849"/>
        <v>1716</v>
      </c>
      <c r="X285" s="80">
        <f t="shared" si="849"/>
        <v>-616</v>
      </c>
      <c r="Z285" s="80">
        <v>16.0</v>
      </c>
      <c r="AA285" s="10">
        <v>44518.0</v>
      </c>
      <c r="AB285" s="80">
        <v>238.0</v>
      </c>
      <c r="AC285" s="80">
        <v>-1442.0</v>
      </c>
      <c r="AD285" s="80">
        <v>1716.0</v>
      </c>
      <c r="AE285" s="80">
        <v>-616.0</v>
      </c>
    </row>
    <row r="286">
      <c r="A286" s="28">
        <f>'SAMLET_alle regnskab'!B295</f>
        <v>25</v>
      </c>
      <c r="B286" s="80">
        <f>'SAMLET_alle regnskab'!A295</f>
        <v>16</v>
      </c>
      <c r="C286" s="28">
        <f>'SAMLET_alle regnskab'!U295</f>
        <v>24</v>
      </c>
      <c r="D286" s="28">
        <f>'SAMLET_alle regnskab'!V295</f>
        <v>-8</v>
      </c>
      <c r="E286" s="28">
        <f>'SAMLET_alle regnskab'!W295</f>
        <v>-8</v>
      </c>
      <c r="F286" s="28">
        <f>'SAMLET_alle regnskab'!X295</f>
        <v>-8</v>
      </c>
      <c r="H286" s="80">
        <f t="shared" si="7"/>
        <v>16</v>
      </c>
      <c r="I286" s="28">
        <f t="shared" ref="I286:L286" si="850">I285+C286</f>
        <v>452</v>
      </c>
      <c r="J286" s="28">
        <f t="shared" si="850"/>
        <v>-520</v>
      </c>
      <c r="K286" s="28">
        <f t="shared" si="850"/>
        <v>-38</v>
      </c>
      <c r="L286" s="28">
        <f t="shared" si="850"/>
        <v>106</v>
      </c>
      <c r="N286" s="80">
        <f t="shared" si="25"/>
        <v>16</v>
      </c>
      <c r="O286" s="28">
        <f t="shared" ref="O286:R286" si="851">O285+I279</f>
        <v>56664</v>
      </c>
      <c r="P286" s="28">
        <f t="shared" si="851"/>
        <v>-116456</v>
      </c>
      <c r="Q286" s="28">
        <f t="shared" si="851"/>
        <v>11184</v>
      </c>
      <c r="R286" s="28">
        <f t="shared" si="851"/>
        <v>48608</v>
      </c>
      <c r="T286" s="80">
        <v>16.0</v>
      </c>
      <c r="U286" s="80">
        <f t="shared" ref="U286:X286" si="852">U285+C279</f>
        <v>246</v>
      </c>
      <c r="V286" s="80">
        <f t="shared" si="852"/>
        <v>-1434</v>
      </c>
      <c r="W286" s="80">
        <f t="shared" si="852"/>
        <v>1724</v>
      </c>
      <c r="X286" s="80">
        <f t="shared" si="852"/>
        <v>-640</v>
      </c>
      <c r="Z286" s="80">
        <v>16.0</v>
      </c>
      <c r="AA286" s="10">
        <v>44518.0</v>
      </c>
      <c r="AB286" s="80">
        <v>246.0</v>
      </c>
      <c r="AC286" s="80">
        <v>-1434.0</v>
      </c>
      <c r="AD286" s="80">
        <v>1724.0</v>
      </c>
      <c r="AE286" s="80">
        <v>-640.0</v>
      </c>
    </row>
    <row r="287">
      <c r="A287" s="28">
        <f>'SAMLET_alle regnskab'!B296</f>
        <v>26</v>
      </c>
      <c r="B287" s="80">
        <f>'SAMLET_alle regnskab'!A296</f>
        <v>16</v>
      </c>
      <c r="C287" s="28">
        <f>'SAMLET_alle regnskab'!U296</f>
        <v>-20</v>
      </c>
      <c r="D287" s="28">
        <f>'SAMLET_alle regnskab'!V296</f>
        <v>20</v>
      </c>
      <c r="E287" s="28">
        <f>'SAMLET_alle regnskab'!W296</f>
        <v>20</v>
      </c>
      <c r="F287" s="28">
        <f>'SAMLET_alle regnskab'!X296</f>
        <v>-20</v>
      </c>
      <c r="H287" s="80">
        <f t="shared" si="7"/>
        <v>16</v>
      </c>
      <c r="I287" s="28">
        <f t="shared" ref="I287:L287" si="853">I286+C287</f>
        <v>432</v>
      </c>
      <c r="J287" s="28">
        <f t="shared" si="853"/>
        <v>-500</v>
      </c>
      <c r="K287" s="28">
        <f t="shared" si="853"/>
        <v>-18</v>
      </c>
      <c r="L287" s="28">
        <f t="shared" si="853"/>
        <v>86</v>
      </c>
      <c r="N287" s="80">
        <f t="shared" si="25"/>
        <v>16</v>
      </c>
      <c r="O287" s="28">
        <f t="shared" ref="O287:R287" si="854">O286+I280</f>
        <v>57076</v>
      </c>
      <c r="P287" s="28">
        <f t="shared" si="854"/>
        <v>-116920</v>
      </c>
      <c r="Q287" s="28">
        <f t="shared" si="854"/>
        <v>11170</v>
      </c>
      <c r="R287" s="28">
        <f t="shared" si="854"/>
        <v>48674</v>
      </c>
      <c r="T287" s="80">
        <v>16.0</v>
      </c>
      <c r="U287" s="80">
        <f t="shared" ref="U287:X287" si="855">U286+C280</f>
        <v>254</v>
      </c>
      <c r="V287" s="80">
        <f t="shared" si="855"/>
        <v>-1426</v>
      </c>
      <c r="W287" s="80">
        <f t="shared" si="855"/>
        <v>1700</v>
      </c>
      <c r="X287" s="80">
        <f t="shared" si="855"/>
        <v>-632</v>
      </c>
      <c r="Z287" s="80">
        <v>16.0</v>
      </c>
      <c r="AA287" s="10">
        <v>44518.0</v>
      </c>
      <c r="AB287" s="80">
        <v>254.0</v>
      </c>
      <c r="AC287" s="80">
        <v>-1426.0</v>
      </c>
      <c r="AD287" s="80">
        <v>1700.0</v>
      </c>
      <c r="AE287" s="80">
        <v>-632.0</v>
      </c>
    </row>
    <row r="288">
      <c r="A288" s="28">
        <f>'SAMLET_alle regnskab'!B297</f>
        <v>27</v>
      </c>
      <c r="B288" s="80">
        <f>'SAMLET_alle regnskab'!A297</f>
        <v>16</v>
      </c>
      <c r="C288" s="28">
        <f>'SAMLET_alle regnskab'!U297</f>
        <v>-192</v>
      </c>
      <c r="D288" s="28">
        <f>'SAMLET_alle regnskab'!V297</f>
        <v>-192</v>
      </c>
      <c r="E288" s="28">
        <f>'SAMLET_alle regnskab'!W297</f>
        <v>192</v>
      </c>
      <c r="F288" s="28">
        <f>'SAMLET_alle regnskab'!X297</f>
        <v>192</v>
      </c>
      <c r="H288" s="80">
        <f t="shared" si="7"/>
        <v>16</v>
      </c>
      <c r="I288" s="28">
        <f t="shared" ref="I288:L288" si="856">I287+C288</f>
        <v>240</v>
      </c>
      <c r="J288" s="28">
        <f t="shared" si="856"/>
        <v>-692</v>
      </c>
      <c r="K288" s="28">
        <f t="shared" si="856"/>
        <v>174</v>
      </c>
      <c r="L288" s="28">
        <f t="shared" si="856"/>
        <v>278</v>
      </c>
      <c r="N288" s="80">
        <f t="shared" si="25"/>
        <v>16</v>
      </c>
      <c r="O288" s="28">
        <f t="shared" ref="O288:R288" si="857">O287+I281</f>
        <v>57472</v>
      </c>
      <c r="P288" s="28">
        <f t="shared" si="857"/>
        <v>-117368</v>
      </c>
      <c r="Q288" s="28">
        <f t="shared" si="857"/>
        <v>11172</v>
      </c>
      <c r="R288" s="28">
        <f t="shared" si="857"/>
        <v>48724</v>
      </c>
      <c r="T288" s="80">
        <v>16.0</v>
      </c>
      <c r="U288" s="80">
        <f t="shared" ref="U288:X288" si="858">U287+C281</f>
        <v>238</v>
      </c>
      <c r="V288" s="80">
        <f t="shared" si="858"/>
        <v>-1410</v>
      </c>
      <c r="W288" s="80">
        <f t="shared" si="858"/>
        <v>1716</v>
      </c>
      <c r="X288" s="80">
        <f t="shared" si="858"/>
        <v>-648</v>
      </c>
      <c r="Z288" s="80">
        <v>16.0</v>
      </c>
      <c r="AA288" s="10">
        <v>44518.0</v>
      </c>
      <c r="AB288" s="80">
        <v>238.0</v>
      </c>
      <c r="AC288" s="80">
        <v>-1410.0</v>
      </c>
      <c r="AD288" s="80">
        <v>1716.0</v>
      </c>
      <c r="AE288" s="80">
        <v>-648.0</v>
      </c>
    </row>
    <row r="289">
      <c r="A289" s="28">
        <f>'SAMLET_alle regnskab'!B298</f>
        <v>1</v>
      </c>
      <c r="B289" s="80">
        <f>'SAMLET_alle regnskab'!A298</f>
        <v>17</v>
      </c>
      <c r="C289" s="28">
        <f>'SAMLET_alle regnskab'!U298</f>
        <v>-12</v>
      </c>
      <c r="D289" s="28">
        <f>'SAMLET_alle regnskab'!V298</f>
        <v>12</v>
      </c>
      <c r="E289" s="28">
        <f>'SAMLET_alle regnskab'!W298</f>
        <v>12</v>
      </c>
      <c r="F289" s="28">
        <f>'SAMLET_alle regnskab'!X298</f>
        <v>-12</v>
      </c>
      <c r="H289" s="80">
        <f t="shared" si="7"/>
        <v>17</v>
      </c>
      <c r="I289" s="28">
        <f t="shared" ref="I289:L289" si="859">I288+C289</f>
        <v>228</v>
      </c>
      <c r="J289" s="28">
        <f t="shared" si="859"/>
        <v>-680</v>
      </c>
      <c r="K289" s="28">
        <f t="shared" si="859"/>
        <v>186</v>
      </c>
      <c r="L289" s="28">
        <f t="shared" si="859"/>
        <v>266</v>
      </c>
      <c r="N289" s="80">
        <f t="shared" si="25"/>
        <v>16</v>
      </c>
      <c r="O289" s="28">
        <f t="shared" ref="O289:R289" si="860">O288+I282</f>
        <v>57876</v>
      </c>
      <c r="P289" s="28">
        <f t="shared" si="860"/>
        <v>-117840</v>
      </c>
      <c r="Q289" s="28">
        <f t="shared" si="860"/>
        <v>11182</v>
      </c>
      <c r="R289" s="28">
        <f t="shared" si="860"/>
        <v>48782</v>
      </c>
      <c r="T289" s="80">
        <v>16.0</v>
      </c>
      <c r="U289" s="80">
        <f t="shared" ref="U289:X289" si="861">U288+C282</f>
        <v>246</v>
      </c>
      <c r="V289" s="80">
        <f t="shared" si="861"/>
        <v>-1434</v>
      </c>
      <c r="W289" s="80">
        <f t="shared" si="861"/>
        <v>1724</v>
      </c>
      <c r="X289" s="80">
        <f t="shared" si="861"/>
        <v>-640</v>
      </c>
      <c r="Z289" s="80">
        <v>16.0</v>
      </c>
      <c r="AA289" s="10">
        <v>44518.0</v>
      </c>
      <c r="AB289" s="80">
        <v>246.0</v>
      </c>
      <c r="AC289" s="80">
        <v>-1434.0</v>
      </c>
      <c r="AD289" s="80">
        <v>1724.0</v>
      </c>
      <c r="AE289" s="80">
        <v>-640.0</v>
      </c>
    </row>
    <row r="290">
      <c r="A290" s="28">
        <f>'SAMLET_alle regnskab'!B299</f>
        <v>2</v>
      </c>
      <c r="B290" s="80">
        <f>'SAMLET_alle regnskab'!A299</f>
        <v>17</v>
      </c>
      <c r="C290" s="28">
        <f>'SAMLET_alle regnskab'!U299</f>
        <v>128</v>
      </c>
      <c r="D290" s="28">
        <f>'SAMLET_alle regnskab'!V299</f>
        <v>-128</v>
      </c>
      <c r="E290" s="28">
        <f>'SAMLET_alle regnskab'!W299</f>
        <v>128</v>
      </c>
      <c r="F290" s="28">
        <f>'SAMLET_alle regnskab'!X299</f>
        <v>-128</v>
      </c>
      <c r="H290" s="80">
        <f t="shared" si="7"/>
        <v>17</v>
      </c>
      <c r="I290" s="28">
        <f t="shared" ref="I290:L290" si="862">I289+C290</f>
        <v>356</v>
      </c>
      <c r="J290" s="28">
        <f t="shared" si="862"/>
        <v>-808</v>
      </c>
      <c r="K290" s="28">
        <f t="shared" si="862"/>
        <v>314</v>
      </c>
      <c r="L290" s="28">
        <f t="shared" si="862"/>
        <v>138</v>
      </c>
      <c r="N290" s="80">
        <f t="shared" si="25"/>
        <v>16</v>
      </c>
      <c r="O290" s="28">
        <f t="shared" ref="O290:R290" si="863">O289+I283</f>
        <v>58264</v>
      </c>
      <c r="P290" s="28">
        <f t="shared" si="863"/>
        <v>-118328</v>
      </c>
      <c r="Q290" s="28">
        <f t="shared" si="863"/>
        <v>11208</v>
      </c>
      <c r="R290" s="28">
        <f t="shared" si="863"/>
        <v>48856</v>
      </c>
      <c r="T290" s="80">
        <v>16.0</v>
      </c>
      <c r="U290" s="80">
        <f t="shared" ref="U290:X290" si="864">U289+C283</f>
        <v>230</v>
      </c>
      <c r="V290" s="80">
        <f t="shared" si="864"/>
        <v>-1450</v>
      </c>
      <c r="W290" s="80">
        <f t="shared" si="864"/>
        <v>1740</v>
      </c>
      <c r="X290" s="80">
        <f t="shared" si="864"/>
        <v>-624</v>
      </c>
      <c r="Z290" s="80">
        <v>16.0</v>
      </c>
      <c r="AA290" s="10">
        <v>44518.0</v>
      </c>
      <c r="AB290" s="80">
        <v>230.0</v>
      </c>
      <c r="AC290" s="80">
        <v>-1450.0</v>
      </c>
      <c r="AD290" s="80">
        <v>1740.0</v>
      </c>
      <c r="AE290" s="80">
        <v>-624.0</v>
      </c>
    </row>
    <row r="291">
      <c r="A291" s="28">
        <f>'SAMLET_alle regnskab'!B300</f>
        <v>3</v>
      </c>
      <c r="B291" s="80">
        <f>'SAMLET_alle regnskab'!A300</f>
        <v>17</v>
      </c>
      <c r="C291" s="28">
        <f>'SAMLET_alle regnskab'!U300</f>
        <v>-48</v>
      </c>
      <c r="D291" s="28">
        <f>'SAMLET_alle regnskab'!V300</f>
        <v>-48</v>
      </c>
      <c r="E291" s="28">
        <f>'SAMLET_alle regnskab'!W300</f>
        <v>48</v>
      </c>
      <c r="F291" s="28">
        <f>'SAMLET_alle regnskab'!X300</f>
        <v>48</v>
      </c>
      <c r="H291" s="80">
        <f t="shared" si="7"/>
        <v>17</v>
      </c>
      <c r="I291" s="28">
        <f t="shared" ref="I291:L291" si="865">I290+C291</f>
        <v>308</v>
      </c>
      <c r="J291" s="28">
        <f t="shared" si="865"/>
        <v>-856</v>
      </c>
      <c r="K291" s="28">
        <f t="shared" si="865"/>
        <v>362</v>
      </c>
      <c r="L291" s="28">
        <f t="shared" si="865"/>
        <v>186</v>
      </c>
      <c r="N291" s="80">
        <f t="shared" si="25"/>
        <v>16</v>
      </c>
      <c r="O291" s="28">
        <f t="shared" ref="O291:R291" si="866">O290+I284</f>
        <v>58660</v>
      </c>
      <c r="P291" s="28">
        <f t="shared" si="866"/>
        <v>-118808</v>
      </c>
      <c r="Q291" s="28">
        <f t="shared" si="866"/>
        <v>11210</v>
      </c>
      <c r="R291" s="28">
        <f t="shared" si="866"/>
        <v>48938</v>
      </c>
      <c r="T291" s="80">
        <v>16.0</v>
      </c>
      <c r="U291" s="80">
        <f t="shared" ref="U291:X291" si="867">U290+C284</f>
        <v>238</v>
      </c>
      <c r="V291" s="80">
        <f t="shared" si="867"/>
        <v>-1442</v>
      </c>
      <c r="W291" s="80">
        <f t="shared" si="867"/>
        <v>1716</v>
      </c>
      <c r="X291" s="80">
        <f t="shared" si="867"/>
        <v>-616</v>
      </c>
      <c r="Z291" s="80">
        <v>16.0</v>
      </c>
      <c r="AA291" s="10">
        <v>44518.0</v>
      </c>
      <c r="AB291" s="80">
        <v>238.0</v>
      </c>
      <c r="AC291" s="80">
        <v>-1442.0</v>
      </c>
      <c r="AD291" s="80">
        <v>1716.0</v>
      </c>
      <c r="AE291" s="80">
        <v>-616.0</v>
      </c>
    </row>
    <row r="292">
      <c r="A292" s="28">
        <f>'SAMLET_alle regnskab'!B301</f>
        <v>4</v>
      </c>
      <c r="B292" s="80">
        <f>'SAMLET_alle regnskab'!A301</f>
        <v>17</v>
      </c>
      <c r="C292" s="28">
        <f>'SAMLET_alle regnskab'!U301</f>
        <v>24</v>
      </c>
      <c r="D292" s="28">
        <f>'SAMLET_alle regnskab'!V301</f>
        <v>-24</v>
      </c>
      <c r="E292" s="28">
        <f>'SAMLET_alle regnskab'!W301</f>
        <v>-24</v>
      </c>
      <c r="F292" s="28">
        <f>'SAMLET_alle regnskab'!X301</f>
        <v>24</v>
      </c>
      <c r="H292" s="80">
        <f t="shared" si="7"/>
        <v>17</v>
      </c>
      <c r="I292" s="28">
        <f t="shared" ref="I292:L292" si="868">I291+C292</f>
        <v>332</v>
      </c>
      <c r="J292" s="28">
        <f t="shared" si="868"/>
        <v>-880</v>
      </c>
      <c r="K292" s="28">
        <f t="shared" si="868"/>
        <v>338</v>
      </c>
      <c r="L292" s="28">
        <f t="shared" si="868"/>
        <v>210</v>
      </c>
      <c r="N292" s="80">
        <f t="shared" si="25"/>
        <v>16</v>
      </c>
      <c r="O292" s="28">
        <f t="shared" ref="O292:R292" si="869">O291+I285</f>
        <v>59088</v>
      </c>
      <c r="P292" s="28">
        <f t="shared" si="869"/>
        <v>-119320</v>
      </c>
      <c r="Q292" s="28">
        <f t="shared" si="869"/>
        <v>11180</v>
      </c>
      <c r="R292" s="28">
        <f t="shared" si="869"/>
        <v>49052</v>
      </c>
      <c r="T292" s="80">
        <v>16.0</v>
      </c>
      <c r="U292" s="80">
        <f t="shared" ref="U292:X292" si="870">U291+C285</f>
        <v>270</v>
      </c>
      <c r="V292" s="80">
        <f t="shared" si="870"/>
        <v>-1474</v>
      </c>
      <c r="W292" s="80">
        <f t="shared" si="870"/>
        <v>1684</v>
      </c>
      <c r="X292" s="80">
        <f t="shared" si="870"/>
        <v>-584</v>
      </c>
      <c r="Z292" s="80">
        <v>16.0</v>
      </c>
      <c r="AA292" s="10">
        <v>44518.0</v>
      </c>
      <c r="AB292" s="80">
        <v>270.0</v>
      </c>
      <c r="AC292" s="80">
        <v>-1474.0</v>
      </c>
      <c r="AD292" s="80">
        <v>1684.0</v>
      </c>
      <c r="AE292" s="80">
        <v>-584.0</v>
      </c>
    </row>
    <row r="293">
      <c r="A293" s="28">
        <f>'SAMLET_alle regnskab'!B302</f>
        <v>5</v>
      </c>
      <c r="B293" s="80">
        <f>'SAMLET_alle regnskab'!A302</f>
        <v>17</v>
      </c>
      <c r="C293" s="28">
        <f>'SAMLET_alle regnskab'!U302</f>
        <v>-4</v>
      </c>
      <c r="D293" s="28">
        <f>'SAMLET_alle regnskab'!V302</f>
        <v>-4</v>
      </c>
      <c r="E293" s="28">
        <f>'SAMLET_alle regnskab'!W302</f>
        <v>12</v>
      </c>
      <c r="F293" s="28">
        <f>'SAMLET_alle regnskab'!X302</f>
        <v>-4</v>
      </c>
      <c r="H293" s="80">
        <f t="shared" si="7"/>
        <v>17</v>
      </c>
      <c r="I293" s="28">
        <f t="shared" ref="I293:L293" si="871">I292+C293</f>
        <v>328</v>
      </c>
      <c r="J293" s="28">
        <f t="shared" si="871"/>
        <v>-884</v>
      </c>
      <c r="K293" s="28">
        <f t="shared" si="871"/>
        <v>350</v>
      </c>
      <c r="L293" s="28">
        <f t="shared" si="871"/>
        <v>206</v>
      </c>
      <c r="N293" s="80">
        <f t="shared" si="25"/>
        <v>16</v>
      </c>
      <c r="O293" s="28">
        <f t="shared" ref="O293:R293" si="872">O292+I286</f>
        <v>59540</v>
      </c>
      <c r="P293" s="28">
        <f t="shared" si="872"/>
        <v>-119840</v>
      </c>
      <c r="Q293" s="28">
        <f t="shared" si="872"/>
        <v>11142</v>
      </c>
      <c r="R293" s="28">
        <f t="shared" si="872"/>
        <v>49158</v>
      </c>
      <c r="T293" s="80">
        <v>16.0</v>
      </c>
      <c r="U293" s="80">
        <f t="shared" ref="U293:X293" si="873">U292+C286</f>
        <v>294</v>
      </c>
      <c r="V293" s="80">
        <f t="shared" si="873"/>
        <v>-1482</v>
      </c>
      <c r="W293" s="80">
        <f t="shared" si="873"/>
        <v>1676</v>
      </c>
      <c r="X293" s="80">
        <f t="shared" si="873"/>
        <v>-592</v>
      </c>
      <c r="Z293" s="80">
        <v>16.0</v>
      </c>
      <c r="AA293" s="10">
        <v>44518.0</v>
      </c>
      <c r="AB293" s="80">
        <v>294.0</v>
      </c>
      <c r="AC293" s="80">
        <v>-1482.0</v>
      </c>
      <c r="AD293" s="80">
        <v>1676.0</v>
      </c>
      <c r="AE293" s="80">
        <v>-592.0</v>
      </c>
    </row>
    <row r="294">
      <c r="A294" s="28">
        <f>'SAMLET_alle regnskab'!B303</f>
        <v>6</v>
      </c>
      <c r="B294" s="80">
        <f>'SAMLET_alle regnskab'!A303</f>
        <v>17</v>
      </c>
      <c r="C294" s="28">
        <f>'SAMLET_alle regnskab'!U303</f>
        <v>12</v>
      </c>
      <c r="D294" s="28">
        <f>'SAMLET_alle regnskab'!V303</f>
        <v>-12</v>
      </c>
      <c r="E294" s="28">
        <f>'SAMLET_alle regnskab'!W303</f>
        <v>12</v>
      </c>
      <c r="F294" s="28">
        <f>'SAMLET_alle regnskab'!X303</f>
        <v>-12</v>
      </c>
      <c r="H294" s="80">
        <f t="shared" si="7"/>
        <v>17</v>
      </c>
      <c r="I294" s="28">
        <f t="shared" ref="I294:L294" si="874">I293+C294</f>
        <v>340</v>
      </c>
      <c r="J294" s="28">
        <f t="shared" si="874"/>
        <v>-896</v>
      </c>
      <c r="K294" s="28">
        <f t="shared" si="874"/>
        <v>362</v>
      </c>
      <c r="L294" s="28">
        <f t="shared" si="874"/>
        <v>194</v>
      </c>
      <c r="N294" s="80">
        <f t="shared" si="25"/>
        <v>16</v>
      </c>
      <c r="O294" s="28">
        <f t="shared" ref="O294:R294" si="875">O293+I287</f>
        <v>59972</v>
      </c>
      <c r="P294" s="28">
        <f t="shared" si="875"/>
        <v>-120340</v>
      </c>
      <c r="Q294" s="28">
        <f t="shared" si="875"/>
        <v>11124</v>
      </c>
      <c r="R294" s="28">
        <f t="shared" si="875"/>
        <v>49244</v>
      </c>
      <c r="T294" s="80">
        <v>16.0</v>
      </c>
      <c r="U294" s="80">
        <f t="shared" ref="U294:X294" si="876">U293+C287</f>
        <v>274</v>
      </c>
      <c r="V294" s="80">
        <f t="shared" si="876"/>
        <v>-1462</v>
      </c>
      <c r="W294" s="80">
        <f t="shared" si="876"/>
        <v>1696</v>
      </c>
      <c r="X294" s="80">
        <f t="shared" si="876"/>
        <v>-612</v>
      </c>
      <c r="Z294" s="80">
        <v>16.0</v>
      </c>
      <c r="AA294" s="10">
        <v>44518.0</v>
      </c>
      <c r="AB294" s="80">
        <v>274.0</v>
      </c>
      <c r="AC294" s="80">
        <v>-1462.0</v>
      </c>
      <c r="AD294" s="80">
        <v>1696.0</v>
      </c>
      <c r="AE294" s="80">
        <v>-612.0</v>
      </c>
    </row>
    <row r="295">
      <c r="A295" s="28">
        <f>'SAMLET_alle regnskab'!B304</f>
        <v>7</v>
      </c>
      <c r="B295" s="80">
        <f>'SAMLET_alle regnskab'!A304</f>
        <v>17</v>
      </c>
      <c r="C295" s="28">
        <f>'SAMLET_alle regnskab'!U304</f>
        <v>-60</v>
      </c>
      <c r="D295" s="28">
        <f>'SAMLET_alle regnskab'!V304</f>
        <v>20</v>
      </c>
      <c r="E295" s="28">
        <f>'SAMLET_alle regnskab'!W304</f>
        <v>20</v>
      </c>
      <c r="F295" s="28">
        <f>'SAMLET_alle regnskab'!X304</f>
        <v>20</v>
      </c>
      <c r="H295" s="80">
        <f t="shared" si="7"/>
        <v>17</v>
      </c>
      <c r="I295" s="28">
        <f t="shared" ref="I295:L295" si="877">I294+C295</f>
        <v>280</v>
      </c>
      <c r="J295" s="28">
        <f t="shared" si="877"/>
        <v>-876</v>
      </c>
      <c r="K295" s="28">
        <f t="shared" si="877"/>
        <v>382</v>
      </c>
      <c r="L295" s="28">
        <f t="shared" si="877"/>
        <v>214</v>
      </c>
      <c r="N295" s="80">
        <f t="shared" si="25"/>
        <v>16</v>
      </c>
      <c r="O295" s="28">
        <f t="shared" ref="O295:R295" si="878">O294+I288</f>
        <v>60212</v>
      </c>
      <c r="P295" s="28">
        <f t="shared" si="878"/>
        <v>-121032</v>
      </c>
      <c r="Q295" s="28">
        <f t="shared" si="878"/>
        <v>11298</v>
      </c>
      <c r="R295" s="28">
        <f t="shared" si="878"/>
        <v>49522</v>
      </c>
      <c r="T295" s="80">
        <v>16.0</v>
      </c>
      <c r="U295" s="80">
        <f t="shared" ref="U295:X295" si="879">U294+C288</f>
        <v>82</v>
      </c>
      <c r="V295" s="80">
        <f t="shared" si="879"/>
        <v>-1654</v>
      </c>
      <c r="W295" s="80">
        <f t="shared" si="879"/>
        <v>1888</v>
      </c>
      <c r="X295" s="80">
        <f t="shared" si="879"/>
        <v>-420</v>
      </c>
      <c r="Z295" s="80">
        <v>16.0</v>
      </c>
      <c r="AA295" s="10">
        <v>44518.0</v>
      </c>
      <c r="AB295" s="80">
        <v>82.0</v>
      </c>
      <c r="AC295" s="80">
        <v>-1654.0</v>
      </c>
      <c r="AD295" s="80">
        <v>1888.0</v>
      </c>
      <c r="AE295" s="80">
        <v>-420.0</v>
      </c>
    </row>
    <row r="296">
      <c r="A296" s="28">
        <f>'SAMLET_alle regnskab'!B305</f>
        <v>8</v>
      </c>
      <c r="B296" s="80">
        <f>'SAMLET_alle regnskab'!A305</f>
        <v>17</v>
      </c>
      <c r="C296" s="28">
        <f>'SAMLET_alle regnskab'!U305</f>
        <v>16</v>
      </c>
      <c r="D296" s="28">
        <f>'SAMLET_alle regnskab'!V305</f>
        <v>16</v>
      </c>
      <c r="E296" s="28">
        <f>'SAMLET_alle regnskab'!W305</f>
        <v>16</v>
      </c>
      <c r="F296" s="28">
        <f>'SAMLET_alle regnskab'!X305</f>
        <v>-48</v>
      </c>
      <c r="H296" s="80">
        <f t="shared" si="7"/>
        <v>17</v>
      </c>
      <c r="I296" s="28">
        <f t="shared" ref="I296:L296" si="880">I295+C296</f>
        <v>296</v>
      </c>
      <c r="J296" s="28">
        <f t="shared" si="880"/>
        <v>-860</v>
      </c>
      <c r="K296" s="28">
        <f t="shared" si="880"/>
        <v>398</v>
      </c>
      <c r="L296" s="28">
        <f t="shared" si="880"/>
        <v>166</v>
      </c>
      <c r="N296" s="80">
        <f t="shared" si="25"/>
        <v>17</v>
      </c>
      <c r="O296" s="28">
        <f t="shared" ref="O296:R296" si="881">O295+I289</f>
        <v>60440</v>
      </c>
      <c r="P296" s="28">
        <f t="shared" si="881"/>
        <v>-121712</v>
      </c>
      <c r="Q296" s="28">
        <f t="shared" si="881"/>
        <v>11484</v>
      </c>
      <c r="R296" s="28">
        <f t="shared" si="881"/>
        <v>49788</v>
      </c>
      <c r="T296" s="80">
        <v>17.0</v>
      </c>
      <c r="U296" s="80">
        <f t="shared" ref="U296:X296" si="882">U295+C289</f>
        <v>70</v>
      </c>
      <c r="V296" s="80">
        <f t="shared" si="882"/>
        <v>-1642</v>
      </c>
      <c r="W296" s="80">
        <f t="shared" si="882"/>
        <v>1900</v>
      </c>
      <c r="X296" s="80">
        <f t="shared" si="882"/>
        <v>-432</v>
      </c>
      <c r="Z296" s="80">
        <v>17.0</v>
      </c>
      <c r="AA296" s="10">
        <v>44617.0</v>
      </c>
      <c r="AB296" s="80">
        <v>70.0</v>
      </c>
      <c r="AC296" s="80">
        <v>-1642.0</v>
      </c>
      <c r="AD296" s="80">
        <v>1900.0</v>
      </c>
      <c r="AE296" s="80">
        <v>-432.0</v>
      </c>
    </row>
    <row r="297">
      <c r="A297" s="28">
        <f>'SAMLET_alle regnskab'!B306</f>
        <v>9</v>
      </c>
      <c r="B297" s="80">
        <f>'SAMLET_alle regnskab'!A306</f>
        <v>17</v>
      </c>
      <c r="C297" s="28">
        <f>'SAMLET_alle regnskab'!U306</f>
        <v>-6</v>
      </c>
      <c r="D297" s="28">
        <f>'SAMLET_alle regnskab'!V306</f>
        <v>6</v>
      </c>
      <c r="E297" s="28">
        <f>'SAMLET_alle regnskab'!W306</f>
        <v>-6</v>
      </c>
      <c r="F297" s="28">
        <f>'SAMLET_alle regnskab'!X306</f>
        <v>6</v>
      </c>
      <c r="H297" s="80">
        <f t="shared" si="7"/>
        <v>17</v>
      </c>
      <c r="I297" s="28">
        <f t="shared" ref="I297:L297" si="883">I296+C297</f>
        <v>290</v>
      </c>
      <c r="J297" s="28">
        <f t="shared" si="883"/>
        <v>-854</v>
      </c>
      <c r="K297" s="28">
        <f t="shared" si="883"/>
        <v>392</v>
      </c>
      <c r="L297" s="28">
        <f t="shared" si="883"/>
        <v>172</v>
      </c>
      <c r="N297" s="80">
        <f t="shared" si="25"/>
        <v>17</v>
      </c>
      <c r="O297" s="28">
        <f t="shared" ref="O297:R297" si="884">O296+I290</f>
        <v>60796</v>
      </c>
      <c r="P297" s="28">
        <f t="shared" si="884"/>
        <v>-122520</v>
      </c>
      <c r="Q297" s="28">
        <f t="shared" si="884"/>
        <v>11798</v>
      </c>
      <c r="R297" s="28">
        <f t="shared" si="884"/>
        <v>49926</v>
      </c>
      <c r="T297" s="80">
        <v>17.0</v>
      </c>
      <c r="U297" s="80">
        <f t="shared" ref="U297:X297" si="885">U296+C290</f>
        <v>198</v>
      </c>
      <c r="V297" s="80">
        <f t="shared" si="885"/>
        <v>-1770</v>
      </c>
      <c r="W297" s="80">
        <f t="shared" si="885"/>
        <v>2028</v>
      </c>
      <c r="X297" s="80">
        <f t="shared" si="885"/>
        <v>-560</v>
      </c>
      <c r="Z297" s="80">
        <v>17.0</v>
      </c>
      <c r="AA297" s="10">
        <v>44617.0</v>
      </c>
      <c r="AB297" s="80">
        <v>198.0</v>
      </c>
      <c r="AC297" s="80">
        <v>-1770.0</v>
      </c>
      <c r="AD297" s="80">
        <v>2028.0</v>
      </c>
      <c r="AE297" s="80">
        <v>-560.0</v>
      </c>
    </row>
    <row r="298">
      <c r="A298" s="28">
        <f>'SAMLET_alle regnskab'!B307</f>
        <v>10</v>
      </c>
      <c r="B298" s="80">
        <f>'SAMLET_alle regnskab'!A307</f>
        <v>17</v>
      </c>
      <c r="C298" s="28">
        <f>'SAMLET_alle regnskab'!U307</f>
        <v>-4</v>
      </c>
      <c r="D298" s="28">
        <f>'SAMLET_alle regnskab'!V307</f>
        <v>-4</v>
      </c>
      <c r="E298" s="28">
        <f>'SAMLET_alle regnskab'!W307</f>
        <v>-4</v>
      </c>
      <c r="F298" s="28">
        <f>'SAMLET_alle regnskab'!X307</f>
        <v>12</v>
      </c>
      <c r="H298" s="80">
        <f t="shared" si="7"/>
        <v>17</v>
      </c>
      <c r="I298" s="28">
        <f t="shared" ref="I298:L298" si="886">I297+C298</f>
        <v>286</v>
      </c>
      <c r="J298" s="28">
        <f t="shared" si="886"/>
        <v>-858</v>
      </c>
      <c r="K298" s="28">
        <f t="shared" si="886"/>
        <v>388</v>
      </c>
      <c r="L298" s="28">
        <f t="shared" si="886"/>
        <v>184</v>
      </c>
      <c r="N298" s="80">
        <f t="shared" si="25"/>
        <v>17</v>
      </c>
      <c r="O298" s="28">
        <f t="shared" ref="O298:R298" si="887">O297+I291</f>
        <v>61104</v>
      </c>
      <c r="P298" s="28">
        <f t="shared" si="887"/>
        <v>-123376</v>
      </c>
      <c r="Q298" s="28">
        <f t="shared" si="887"/>
        <v>12160</v>
      </c>
      <c r="R298" s="28">
        <f t="shared" si="887"/>
        <v>50112</v>
      </c>
      <c r="T298" s="80">
        <v>17.0</v>
      </c>
      <c r="U298" s="80">
        <f t="shared" ref="U298:X298" si="888">U297+C291</f>
        <v>150</v>
      </c>
      <c r="V298" s="80">
        <f t="shared" si="888"/>
        <v>-1818</v>
      </c>
      <c r="W298" s="80">
        <f t="shared" si="888"/>
        <v>2076</v>
      </c>
      <c r="X298" s="80">
        <f t="shared" si="888"/>
        <v>-512</v>
      </c>
      <c r="Z298" s="80">
        <v>17.0</v>
      </c>
      <c r="AA298" s="10">
        <v>44617.0</v>
      </c>
      <c r="AB298" s="80">
        <v>150.0</v>
      </c>
      <c r="AC298" s="80">
        <v>-1818.0</v>
      </c>
      <c r="AD298" s="80">
        <v>2076.0</v>
      </c>
      <c r="AE298" s="80">
        <v>-512.0</v>
      </c>
    </row>
    <row r="299">
      <c r="A299" s="28">
        <f>'SAMLET_alle regnskab'!B308</f>
        <v>11</v>
      </c>
      <c r="B299" s="80">
        <f>'SAMLET_alle regnskab'!A308</f>
        <v>17</v>
      </c>
      <c r="C299" s="28">
        <f>'SAMLET_alle regnskab'!U308</f>
        <v>8</v>
      </c>
      <c r="D299" s="28">
        <f>'SAMLET_alle regnskab'!V308</f>
        <v>-8</v>
      </c>
      <c r="E299" s="28">
        <f>'SAMLET_alle regnskab'!W308</f>
        <v>8</v>
      </c>
      <c r="F299" s="28">
        <f>'SAMLET_alle regnskab'!X308</f>
        <v>-8</v>
      </c>
      <c r="H299" s="80">
        <f t="shared" si="7"/>
        <v>17</v>
      </c>
      <c r="I299" s="28">
        <f t="shared" ref="I299:L299" si="889">I298+C299</f>
        <v>294</v>
      </c>
      <c r="J299" s="28">
        <f t="shared" si="889"/>
        <v>-866</v>
      </c>
      <c r="K299" s="28">
        <f t="shared" si="889"/>
        <v>396</v>
      </c>
      <c r="L299" s="28">
        <f t="shared" si="889"/>
        <v>176</v>
      </c>
      <c r="N299" s="80">
        <f t="shared" si="25"/>
        <v>17</v>
      </c>
      <c r="O299" s="28">
        <f t="shared" ref="O299:R299" si="890">O298+I292</f>
        <v>61436</v>
      </c>
      <c r="P299" s="28">
        <f t="shared" si="890"/>
        <v>-124256</v>
      </c>
      <c r="Q299" s="28">
        <f t="shared" si="890"/>
        <v>12498</v>
      </c>
      <c r="R299" s="28">
        <f t="shared" si="890"/>
        <v>50322</v>
      </c>
      <c r="T299" s="80">
        <v>17.0</v>
      </c>
      <c r="U299" s="80">
        <f t="shared" ref="U299:X299" si="891">U298+C292</f>
        <v>174</v>
      </c>
      <c r="V299" s="80">
        <f t="shared" si="891"/>
        <v>-1842</v>
      </c>
      <c r="W299" s="80">
        <f t="shared" si="891"/>
        <v>2052</v>
      </c>
      <c r="X299" s="80">
        <f t="shared" si="891"/>
        <v>-488</v>
      </c>
      <c r="Z299" s="80">
        <v>17.0</v>
      </c>
      <c r="AA299" s="10">
        <v>44617.0</v>
      </c>
      <c r="AB299" s="80">
        <v>174.0</v>
      </c>
      <c r="AC299" s="80">
        <v>-1842.0</v>
      </c>
      <c r="AD299" s="80">
        <v>2052.0</v>
      </c>
      <c r="AE299" s="80">
        <v>-488.0</v>
      </c>
    </row>
    <row r="300">
      <c r="A300" s="28">
        <f>'SAMLET_alle regnskab'!B309</f>
        <v>12</v>
      </c>
      <c r="B300" s="80">
        <f>'SAMLET_alle regnskab'!A309</f>
        <v>17</v>
      </c>
      <c r="C300" s="28">
        <f>'SAMLET_alle regnskab'!U309</f>
        <v>-60</v>
      </c>
      <c r="D300" s="28">
        <f>'SAMLET_alle regnskab'!V309</f>
        <v>20</v>
      </c>
      <c r="E300" s="28">
        <f>'SAMLET_alle regnskab'!W309</f>
        <v>20</v>
      </c>
      <c r="F300" s="28">
        <f>'SAMLET_alle regnskab'!X309</f>
        <v>20</v>
      </c>
      <c r="H300" s="80">
        <f t="shared" si="7"/>
        <v>17</v>
      </c>
      <c r="I300" s="28">
        <f t="shared" ref="I300:L300" si="892">I299+C300</f>
        <v>234</v>
      </c>
      <c r="J300" s="28">
        <f t="shared" si="892"/>
        <v>-846</v>
      </c>
      <c r="K300" s="28">
        <f t="shared" si="892"/>
        <v>416</v>
      </c>
      <c r="L300" s="28">
        <f t="shared" si="892"/>
        <v>196</v>
      </c>
      <c r="N300" s="80">
        <f t="shared" si="25"/>
        <v>17</v>
      </c>
      <c r="O300" s="28">
        <f t="shared" ref="O300:R300" si="893">O299+I293</f>
        <v>61764</v>
      </c>
      <c r="P300" s="28">
        <f t="shared" si="893"/>
        <v>-125140</v>
      </c>
      <c r="Q300" s="28">
        <f t="shared" si="893"/>
        <v>12848</v>
      </c>
      <c r="R300" s="28">
        <f t="shared" si="893"/>
        <v>50528</v>
      </c>
      <c r="T300" s="80">
        <v>17.0</v>
      </c>
      <c r="U300" s="80">
        <f t="shared" ref="U300:X300" si="894">U299+C293</f>
        <v>170</v>
      </c>
      <c r="V300" s="80">
        <f t="shared" si="894"/>
        <v>-1846</v>
      </c>
      <c r="W300" s="80">
        <f t="shared" si="894"/>
        <v>2064</v>
      </c>
      <c r="X300" s="80">
        <f t="shared" si="894"/>
        <v>-492</v>
      </c>
      <c r="Z300" s="80">
        <v>17.0</v>
      </c>
      <c r="AA300" s="10">
        <v>44617.0</v>
      </c>
      <c r="AB300" s="80">
        <v>170.0</v>
      </c>
      <c r="AC300" s="80">
        <v>-1846.0</v>
      </c>
      <c r="AD300" s="80">
        <v>2064.0</v>
      </c>
      <c r="AE300" s="80">
        <v>-492.0</v>
      </c>
    </row>
    <row r="301">
      <c r="A301" s="28">
        <f>'SAMLET_alle regnskab'!B310</f>
        <v>13</v>
      </c>
      <c r="B301" s="80">
        <f>'SAMLET_alle regnskab'!A310</f>
        <v>17</v>
      </c>
      <c r="C301" s="28">
        <f>'SAMLET_alle regnskab'!U310</f>
        <v>24</v>
      </c>
      <c r="D301" s="28">
        <f>'SAMLET_alle regnskab'!V310</f>
        <v>-8</v>
      </c>
      <c r="E301" s="28">
        <f>'SAMLET_alle regnskab'!W310</f>
        <v>-8</v>
      </c>
      <c r="F301" s="28">
        <f>'SAMLET_alle regnskab'!X310</f>
        <v>-8</v>
      </c>
      <c r="H301" s="80">
        <f t="shared" si="7"/>
        <v>17</v>
      </c>
      <c r="I301" s="28">
        <f t="shared" ref="I301:L301" si="895">I300+C301</f>
        <v>258</v>
      </c>
      <c r="J301" s="28">
        <f t="shared" si="895"/>
        <v>-854</v>
      </c>
      <c r="K301" s="28">
        <f t="shared" si="895"/>
        <v>408</v>
      </c>
      <c r="L301" s="28">
        <f t="shared" si="895"/>
        <v>188</v>
      </c>
      <c r="N301" s="80">
        <f t="shared" si="25"/>
        <v>17</v>
      </c>
      <c r="O301" s="28">
        <f t="shared" ref="O301:R301" si="896">O300+I294</f>
        <v>62104</v>
      </c>
      <c r="P301" s="28">
        <f t="shared" si="896"/>
        <v>-126036</v>
      </c>
      <c r="Q301" s="28">
        <f t="shared" si="896"/>
        <v>13210</v>
      </c>
      <c r="R301" s="28">
        <f t="shared" si="896"/>
        <v>50722</v>
      </c>
      <c r="T301" s="80">
        <v>17.0</v>
      </c>
      <c r="U301" s="80">
        <f t="shared" ref="U301:X301" si="897">U300+C294</f>
        <v>182</v>
      </c>
      <c r="V301" s="80">
        <f t="shared" si="897"/>
        <v>-1858</v>
      </c>
      <c r="W301" s="80">
        <f t="shared" si="897"/>
        <v>2076</v>
      </c>
      <c r="X301" s="80">
        <f t="shared" si="897"/>
        <v>-504</v>
      </c>
      <c r="Z301" s="80">
        <v>17.0</v>
      </c>
      <c r="AA301" s="10">
        <v>44617.0</v>
      </c>
      <c r="AB301" s="80">
        <v>182.0</v>
      </c>
      <c r="AC301" s="80">
        <v>-1858.0</v>
      </c>
      <c r="AD301" s="80">
        <v>2076.0</v>
      </c>
      <c r="AE301" s="80">
        <v>-504.0</v>
      </c>
    </row>
    <row r="302">
      <c r="A302" s="28">
        <f>'SAMLET_alle regnskab'!B311</f>
        <v>14</v>
      </c>
      <c r="B302" s="80">
        <f>'SAMLET_alle regnskab'!A311</f>
        <v>17</v>
      </c>
      <c r="C302" s="28">
        <f>'SAMLET_alle regnskab'!U311</f>
        <v>24</v>
      </c>
      <c r="D302" s="28">
        <f>'SAMLET_alle regnskab'!V311</f>
        <v>-24</v>
      </c>
      <c r="E302" s="28">
        <f>'SAMLET_alle regnskab'!W311</f>
        <v>24</v>
      </c>
      <c r="F302" s="28">
        <f>'SAMLET_alle regnskab'!X311</f>
        <v>-24</v>
      </c>
      <c r="H302" s="80">
        <f t="shared" si="7"/>
        <v>17</v>
      </c>
      <c r="I302" s="28">
        <f t="shared" ref="I302:L302" si="898">I301+C302</f>
        <v>282</v>
      </c>
      <c r="J302" s="28">
        <f t="shared" si="898"/>
        <v>-878</v>
      </c>
      <c r="K302" s="28">
        <f t="shared" si="898"/>
        <v>432</v>
      </c>
      <c r="L302" s="28">
        <f t="shared" si="898"/>
        <v>164</v>
      </c>
      <c r="N302" s="80">
        <f t="shared" si="25"/>
        <v>17</v>
      </c>
      <c r="O302" s="28">
        <f t="shared" ref="O302:R302" si="899">O301+I295</f>
        <v>62384</v>
      </c>
      <c r="P302" s="28">
        <f t="shared" si="899"/>
        <v>-126912</v>
      </c>
      <c r="Q302" s="28">
        <f t="shared" si="899"/>
        <v>13592</v>
      </c>
      <c r="R302" s="28">
        <f t="shared" si="899"/>
        <v>50936</v>
      </c>
      <c r="T302" s="80">
        <v>17.0</v>
      </c>
      <c r="U302" s="80">
        <f t="shared" ref="U302:X302" si="900">U301+C295</f>
        <v>122</v>
      </c>
      <c r="V302" s="80">
        <f t="shared" si="900"/>
        <v>-1838</v>
      </c>
      <c r="W302" s="80">
        <f t="shared" si="900"/>
        <v>2096</v>
      </c>
      <c r="X302" s="80">
        <f t="shared" si="900"/>
        <v>-484</v>
      </c>
      <c r="Z302" s="80">
        <v>17.0</v>
      </c>
      <c r="AA302" s="10">
        <v>44617.0</v>
      </c>
      <c r="AB302" s="80">
        <v>122.0</v>
      </c>
      <c r="AC302" s="80">
        <v>-1838.0</v>
      </c>
      <c r="AD302" s="80">
        <v>2096.0</v>
      </c>
      <c r="AE302" s="80">
        <v>-484.0</v>
      </c>
    </row>
    <row r="303">
      <c r="A303" s="28">
        <f>'SAMLET_alle regnskab'!B312</f>
        <v>15</v>
      </c>
      <c r="B303" s="80">
        <f>'SAMLET_alle regnskab'!A312</f>
        <v>17</v>
      </c>
      <c r="C303" s="28">
        <f>'SAMLET_alle regnskab'!U312</f>
        <v>4</v>
      </c>
      <c r="D303" s="28">
        <f>'SAMLET_alle regnskab'!V312</f>
        <v>-12</v>
      </c>
      <c r="E303" s="28">
        <f>'SAMLET_alle regnskab'!W312</f>
        <v>4</v>
      </c>
      <c r="F303" s="28">
        <f>'SAMLET_alle regnskab'!X312</f>
        <v>4</v>
      </c>
      <c r="H303" s="80">
        <f t="shared" si="7"/>
        <v>17</v>
      </c>
      <c r="I303" s="28">
        <f t="shared" ref="I303:L303" si="901">I302+C303</f>
        <v>286</v>
      </c>
      <c r="J303" s="28">
        <f t="shared" si="901"/>
        <v>-890</v>
      </c>
      <c r="K303" s="28">
        <f t="shared" si="901"/>
        <v>436</v>
      </c>
      <c r="L303" s="28">
        <f t="shared" si="901"/>
        <v>168</v>
      </c>
      <c r="N303" s="80">
        <f t="shared" si="25"/>
        <v>17</v>
      </c>
      <c r="O303" s="28">
        <f t="shared" ref="O303:R303" si="902">O302+I296</f>
        <v>62680</v>
      </c>
      <c r="P303" s="28">
        <f t="shared" si="902"/>
        <v>-127772</v>
      </c>
      <c r="Q303" s="28">
        <f t="shared" si="902"/>
        <v>13990</v>
      </c>
      <c r="R303" s="28">
        <f t="shared" si="902"/>
        <v>51102</v>
      </c>
      <c r="T303" s="80">
        <v>17.0</v>
      </c>
      <c r="U303" s="80">
        <f t="shared" ref="U303:X303" si="903">U302+C296</f>
        <v>138</v>
      </c>
      <c r="V303" s="80">
        <f t="shared" si="903"/>
        <v>-1822</v>
      </c>
      <c r="W303" s="80">
        <f t="shared" si="903"/>
        <v>2112</v>
      </c>
      <c r="X303" s="80">
        <f t="shared" si="903"/>
        <v>-532</v>
      </c>
      <c r="Z303" s="80">
        <v>17.0</v>
      </c>
      <c r="AA303" s="10">
        <v>44617.0</v>
      </c>
      <c r="AB303" s="80">
        <v>138.0</v>
      </c>
      <c r="AC303" s="80">
        <v>-1822.0</v>
      </c>
      <c r="AD303" s="80">
        <v>2112.0</v>
      </c>
      <c r="AE303" s="80">
        <v>-532.0</v>
      </c>
    </row>
    <row r="304">
      <c r="A304" s="28">
        <f>'SAMLET_alle regnskab'!B313</f>
        <v>16</v>
      </c>
      <c r="B304" s="80">
        <f>'SAMLET_alle regnskab'!A313</f>
        <v>17</v>
      </c>
      <c r="C304" s="28">
        <f>'SAMLET_alle regnskab'!U313</f>
        <v>-8</v>
      </c>
      <c r="D304" s="28">
        <f>'SAMLET_alle regnskab'!V313</f>
        <v>-8</v>
      </c>
      <c r="E304" s="28">
        <f>'SAMLET_alle regnskab'!W313</f>
        <v>24</v>
      </c>
      <c r="F304" s="28">
        <f>'SAMLET_alle regnskab'!X313</f>
        <v>-8</v>
      </c>
      <c r="H304" s="80">
        <f t="shared" si="7"/>
        <v>17</v>
      </c>
      <c r="I304" s="28">
        <f t="shared" ref="I304:L304" si="904">I303+C304</f>
        <v>278</v>
      </c>
      <c r="J304" s="28">
        <f t="shared" si="904"/>
        <v>-898</v>
      </c>
      <c r="K304" s="28">
        <f t="shared" si="904"/>
        <v>460</v>
      </c>
      <c r="L304" s="28">
        <f t="shared" si="904"/>
        <v>160</v>
      </c>
      <c r="N304" s="80">
        <f t="shared" si="25"/>
        <v>17</v>
      </c>
      <c r="O304" s="28">
        <f t="shared" ref="O304:R304" si="905">O303+I297</f>
        <v>62970</v>
      </c>
      <c r="P304" s="28">
        <f t="shared" si="905"/>
        <v>-128626</v>
      </c>
      <c r="Q304" s="28">
        <f t="shared" si="905"/>
        <v>14382</v>
      </c>
      <c r="R304" s="28">
        <f t="shared" si="905"/>
        <v>51274</v>
      </c>
      <c r="T304" s="80">
        <v>17.0</v>
      </c>
      <c r="U304" s="80">
        <f t="shared" ref="U304:X304" si="906">U303+C297</f>
        <v>132</v>
      </c>
      <c r="V304" s="80">
        <f t="shared" si="906"/>
        <v>-1816</v>
      </c>
      <c r="W304" s="80">
        <f t="shared" si="906"/>
        <v>2106</v>
      </c>
      <c r="X304" s="80">
        <f t="shared" si="906"/>
        <v>-526</v>
      </c>
      <c r="Z304" s="80">
        <v>17.0</v>
      </c>
      <c r="AA304" s="10">
        <v>44617.0</v>
      </c>
      <c r="AB304" s="80">
        <v>132.0</v>
      </c>
      <c r="AC304" s="80">
        <v>-1816.0</v>
      </c>
      <c r="AD304" s="80">
        <v>2106.0</v>
      </c>
      <c r="AE304" s="80">
        <v>-526.0</v>
      </c>
    </row>
    <row r="305">
      <c r="A305" s="28">
        <f>'SAMLET_alle regnskab'!B314</f>
        <v>17</v>
      </c>
      <c r="B305" s="80">
        <f>'SAMLET_alle regnskab'!A314</f>
        <v>17</v>
      </c>
      <c r="C305" s="28">
        <f>'SAMLET_alle regnskab'!U314</f>
        <v>8</v>
      </c>
      <c r="D305" s="28">
        <f>'SAMLET_alle regnskab'!V314</f>
        <v>8</v>
      </c>
      <c r="E305" s="28">
        <f>'SAMLET_alle regnskab'!W314</f>
        <v>8</v>
      </c>
      <c r="F305" s="28">
        <f>'SAMLET_alle regnskab'!X314</f>
        <v>-24</v>
      </c>
      <c r="H305" s="80">
        <f t="shared" si="7"/>
        <v>17</v>
      </c>
      <c r="I305" s="28">
        <f t="shared" ref="I305:L305" si="907">I304+C305</f>
        <v>286</v>
      </c>
      <c r="J305" s="28">
        <f t="shared" si="907"/>
        <v>-890</v>
      </c>
      <c r="K305" s="28">
        <f t="shared" si="907"/>
        <v>468</v>
      </c>
      <c r="L305" s="28">
        <f t="shared" si="907"/>
        <v>136</v>
      </c>
      <c r="N305" s="80">
        <f t="shared" si="25"/>
        <v>17</v>
      </c>
      <c r="O305" s="28">
        <f t="shared" ref="O305:R305" si="908">O304+I298</f>
        <v>63256</v>
      </c>
      <c r="P305" s="28">
        <f t="shared" si="908"/>
        <v>-129484</v>
      </c>
      <c r="Q305" s="28">
        <f t="shared" si="908"/>
        <v>14770</v>
      </c>
      <c r="R305" s="28">
        <f t="shared" si="908"/>
        <v>51458</v>
      </c>
      <c r="T305" s="80">
        <v>17.0</v>
      </c>
      <c r="U305" s="80">
        <f t="shared" ref="U305:X305" si="909">U304+C298</f>
        <v>128</v>
      </c>
      <c r="V305" s="80">
        <f t="shared" si="909"/>
        <v>-1820</v>
      </c>
      <c r="W305" s="80">
        <f t="shared" si="909"/>
        <v>2102</v>
      </c>
      <c r="X305" s="80">
        <f t="shared" si="909"/>
        <v>-514</v>
      </c>
      <c r="Z305" s="80">
        <v>17.0</v>
      </c>
      <c r="AA305" s="10">
        <v>44617.0</v>
      </c>
      <c r="AB305" s="80">
        <v>128.0</v>
      </c>
      <c r="AC305" s="80">
        <v>-1820.0</v>
      </c>
      <c r="AD305" s="80">
        <v>2102.0</v>
      </c>
      <c r="AE305" s="80">
        <v>-514.0</v>
      </c>
    </row>
    <row r="306">
      <c r="A306" s="28">
        <f>'SAMLET_alle regnskab'!B315</f>
        <v>18</v>
      </c>
      <c r="B306" s="80">
        <f>'SAMLET_alle regnskab'!A315</f>
        <v>17</v>
      </c>
      <c r="C306" s="28">
        <f>'SAMLET_alle regnskab'!U315</f>
        <v>8</v>
      </c>
      <c r="D306" s="28">
        <f>'SAMLET_alle regnskab'!V315</f>
        <v>-8</v>
      </c>
      <c r="E306" s="28">
        <f>'SAMLET_alle regnskab'!W315</f>
        <v>8</v>
      </c>
      <c r="F306" s="28">
        <f>'SAMLET_alle regnskab'!X315</f>
        <v>-8</v>
      </c>
      <c r="H306" s="80">
        <f t="shared" si="7"/>
        <v>17</v>
      </c>
      <c r="I306" s="28">
        <f t="shared" ref="I306:L306" si="910">I305+C306</f>
        <v>294</v>
      </c>
      <c r="J306" s="28">
        <f t="shared" si="910"/>
        <v>-898</v>
      </c>
      <c r="K306" s="28">
        <f t="shared" si="910"/>
        <v>476</v>
      </c>
      <c r="L306" s="28">
        <f t="shared" si="910"/>
        <v>128</v>
      </c>
      <c r="N306" s="80">
        <f t="shared" si="25"/>
        <v>17</v>
      </c>
      <c r="O306" s="28">
        <f t="shared" ref="O306:R306" si="911">O305+I299</f>
        <v>63550</v>
      </c>
      <c r="P306" s="28">
        <f t="shared" si="911"/>
        <v>-130350</v>
      </c>
      <c r="Q306" s="28">
        <f t="shared" si="911"/>
        <v>15166</v>
      </c>
      <c r="R306" s="28">
        <f t="shared" si="911"/>
        <v>51634</v>
      </c>
      <c r="T306" s="80">
        <v>17.0</v>
      </c>
      <c r="U306" s="80">
        <f t="shared" ref="U306:X306" si="912">U305+C299</f>
        <v>136</v>
      </c>
      <c r="V306" s="80">
        <f t="shared" si="912"/>
        <v>-1828</v>
      </c>
      <c r="W306" s="80">
        <f t="shared" si="912"/>
        <v>2110</v>
      </c>
      <c r="X306" s="80">
        <f t="shared" si="912"/>
        <v>-522</v>
      </c>
      <c r="Z306" s="80">
        <v>17.0</v>
      </c>
      <c r="AA306" s="10">
        <v>44617.0</v>
      </c>
      <c r="AB306" s="80">
        <v>136.0</v>
      </c>
      <c r="AC306" s="80">
        <v>-1828.0</v>
      </c>
      <c r="AD306" s="80">
        <v>2110.0</v>
      </c>
      <c r="AE306" s="80">
        <v>-522.0</v>
      </c>
    </row>
    <row r="307">
      <c r="A307" s="28">
        <f>'SAMLET_alle regnskab'!B316</f>
        <v>19</v>
      </c>
      <c r="B307" s="80">
        <f>'SAMLET_alle regnskab'!A316</f>
        <v>17</v>
      </c>
      <c r="C307" s="28">
        <f>'SAMLET_alle regnskab'!U316</f>
        <v>-4</v>
      </c>
      <c r="D307" s="28">
        <f>'SAMLET_alle regnskab'!V316</f>
        <v>12</v>
      </c>
      <c r="E307" s="28">
        <f>'SAMLET_alle regnskab'!W316</f>
        <v>-4</v>
      </c>
      <c r="F307" s="28">
        <f>'SAMLET_alle regnskab'!X316</f>
        <v>-4</v>
      </c>
      <c r="H307" s="80">
        <f t="shared" si="7"/>
        <v>17</v>
      </c>
      <c r="I307" s="28">
        <f t="shared" ref="I307:L307" si="913">I306+C307</f>
        <v>290</v>
      </c>
      <c r="J307" s="28">
        <f t="shared" si="913"/>
        <v>-886</v>
      </c>
      <c r="K307" s="28">
        <f t="shared" si="913"/>
        <v>472</v>
      </c>
      <c r="L307" s="28">
        <f t="shared" si="913"/>
        <v>124</v>
      </c>
      <c r="N307" s="80">
        <f t="shared" si="25"/>
        <v>17</v>
      </c>
      <c r="O307" s="28">
        <f t="shared" ref="O307:R307" si="914">O306+I300</f>
        <v>63784</v>
      </c>
      <c r="P307" s="28">
        <f t="shared" si="914"/>
        <v>-131196</v>
      </c>
      <c r="Q307" s="28">
        <f t="shared" si="914"/>
        <v>15582</v>
      </c>
      <c r="R307" s="28">
        <f t="shared" si="914"/>
        <v>51830</v>
      </c>
      <c r="T307" s="80">
        <v>17.0</v>
      </c>
      <c r="U307" s="80">
        <f t="shared" ref="U307:X307" si="915">U306+C300</f>
        <v>76</v>
      </c>
      <c r="V307" s="80">
        <f t="shared" si="915"/>
        <v>-1808</v>
      </c>
      <c r="W307" s="80">
        <f t="shared" si="915"/>
        <v>2130</v>
      </c>
      <c r="X307" s="80">
        <f t="shared" si="915"/>
        <v>-502</v>
      </c>
      <c r="Z307" s="80">
        <v>17.0</v>
      </c>
      <c r="AA307" s="10">
        <v>44617.0</v>
      </c>
      <c r="AB307" s="80">
        <v>76.0</v>
      </c>
      <c r="AC307" s="80">
        <v>-1808.0</v>
      </c>
      <c r="AD307" s="80">
        <v>2130.0</v>
      </c>
      <c r="AE307" s="80">
        <v>-502.0</v>
      </c>
    </row>
    <row r="308">
      <c r="A308" s="28">
        <f>'SAMLET_alle regnskab'!B317</f>
        <v>20</v>
      </c>
      <c r="B308" s="80">
        <f>'SAMLET_alle regnskab'!A317</f>
        <v>17</v>
      </c>
      <c r="C308" s="28">
        <f>'SAMLET_alle regnskab'!U317</f>
        <v>24</v>
      </c>
      <c r="D308" s="28">
        <f>'SAMLET_alle regnskab'!V317</f>
        <v>-24</v>
      </c>
      <c r="E308" s="28">
        <f>'SAMLET_alle regnskab'!W317</f>
        <v>24</v>
      </c>
      <c r="F308" s="28">
        <f>'SAMLET_alle regnskab'!X317</f>
        <v>-24</v>
      </c>
      <c r="H308" s="80">
        <f t="shared" si="7"/>
        <v>17</v>
      </c>
      <c r="I308" s="28">
        <f t="shared" ref="I308:L308" si="916">I307+C308</f>
        <v>314</v>
      </c>
      <c r="J308" s="28">
        <f t="shared" si="916"/>
        <v>-910</v>
      </c>
      <c r="K308" s="28">
        <f t="shared" si="916"/>
        <v>496</v>
      </c>
      <c r="L308" s="28">
        <f t="shared" si="916"/>
        <v>100</v>
      </c>
      <c r="N308" s="80">
        <f t="shared" si="25"/>
        <v>17</v>
      </c>
      <c r="O308" s="28">
        <f t="shared" ref="O308:R308" si="917">O307+I301</f>
        <v>64042</v>
      </c>
      <c r="P308" s="28">
        <f t="shared" si="917"/>
        <v>-132050</v>
      </c>
      <c r="Q308" s="28">
        <f t="shared" si="917"/>
        <v>15990</v>
      </c>
      <c r="R308" s="28">
        <f t="shared" si="917"/>
        <v>52018</v>
      </c>
      <c r="T308" s="80">
        <v>17.0</v>
      </c>
      <c r="U308" s="80">
        <f t="shared" ref="U308:X308" si="918">U307+C301</f>
        <v>100</v>
      </c>
      <c r="V308" s="80">
        <f t="shared" si="918"/>
        <v>-1816</v>
      </c>
      <c r="W308" s="80">
        <f t="shared" si="918"/>
        <v>2122</v>
      </c>
      <c r="X308" s="80">
        <f t="shared" si="918"/>
        <v>-510</v>
      </c>
      <c r="Z308" s="80">
        <v>17.0</v>
      </c>
      <c r="AA308" s="10">
        <v>44617.0</v>
      </c>
      <c r="AB308" s="80">
        <v>100.0</v>
      </c>
      <c r="AC308" s="80">
        <v>-1816.0</v>
      </c>
      <c r="AD308" s="80">
        <v>2122.0</v>
      </c>
      <c r="AE308" s="80">
        <v>-510.0</v>
      </c>
    </row>
    <row r="309">
      <c r="A309" s="28">
        <f>'SAMLET_alle regnskab'!B318</f>
        <v>21</v>
      </c>
      <c r="B309" s="80">
        <f>'SAMLET_alle regnskab'!A318</f>
        <v>17</v>
      </c>
      <c r="C309" s="28">
        <f>'SAMLET_alle regnskab'!U318</f>
        <v>12</v>
      </c>
      <c r="D309" s="28">
        <f>'SAMLET_alle regnskab'!V318</f>
        <v>-12</v>
      </c>
      <c r="E309" s="28">
        <f>'SAMLET_alle regnskab'!W318</f>
        <v>12</v>
      </c>
      <c r="F309" s="28">
        <f>'SAMLET_alle regnskab'!X318</f>
        <v>-12</v>
      </c>
      <c r="H309" s="80">
        <f t="shared" si="7"/>
        <v>17</v>
      </c>
      <c r="I309" s="28">
        <f t="shared" ref="I309:L309" si="919">I308+C309</f>
        <v>326</v>
      </c>
      <c r="J309" s="28">
        <f t="shared" si="919"/>
        <v>-922</v>
      </c>
      <c r="K309" s="28">
        <f t="shared" si="919"/>
        <v>508</v>
      </c>
      <c r="L309" s="28">
        <f t="shared" si="919"/>
        <v>88</v>
      </c>
      <c r="N309" s="80">
        <f t="shared" si="25"/>
        <v>17</v>
      </c>
      <c r="O309" s="28">
        <f t="shared" ref="O309:R309" si="920">O308+I302</f>
        <v>64324</v>
      </c>
      <c r="P309" s="28">
        <f t="shared" si="920"/>
        <v>-132928</v>
      </c>
      <c r="Q309" s="28">
        <f t="shared" si="920"/>
        <v>16422</v>
      </c>
      <c r="R309" s="28">
        <f t="shared" si="920"/>
        <v>52182</v>
      </c>
      <c r="T309" s="80">
        <v>17.0</v>
      </c>
      <c r="U309" s="80">
        <f t="shared" ref="U309:X309" si="921">U308+C302</f>
        <v>124</v>
      </c>
      <c r="V309" s="80">
        <f t="shared" si="921"/>
        <v>-1840</v>
      </c>
      <c r="W309" s="80">
        <f t="shared" si="921"/>
        <v>2146</v>
      </c>
      <c r="X309" s="80">
        <f t="shared" si="921"/>
        <v>-534</v>
      </c>
      <c r="Z309" s="80">
        <v>17.0</v>
      </c>
      <c r="AA309" s="10">
        <v>44617.0</v>
      </c>
      <c r="AB309" s="80">
        <v>124.0</v>
      </c>
      <c r="AC309" s="80">
        <v>-1840.0</v>
      </c>
      <c r="AD309" s="80">
        <v>2146.0</v>
      </c>
      <c r="AE309" s="80">
        <v>-534.0</v>
      </c>
    </row>
    <row r="310">
      <c r="A310" s="28">
        <f>'SAMLET_alle regnskab'!B319</f>
        <v>22</v>
      </c>
      <c r="B310" s="80">
        <f>'SAMLET_alle regnskab'!A319</f>
        <v>17</v>
      </c>
      <c r="C310" s="28">
        <f>'SAMLET_alle regnskab'!U319</f>
        <v>-4</v>
      </c>
      <c r="D310" s="28">
        <f>'SAMLET_alle regnskab'!V319</f>
        <v>-4</v>
      </c>
      <c r="E310" s="28">
        <f>'SAMLET_alle regnskab'!W319</f>
        <v>-4</v>
      </c>
      <c r="F310" s="28">
        <f>'SAMLET_alle regnskab'!X319</f>
        <v>12</v>
      </c>
      <c r="H310" s="80">
        <f t="shared" si="7"/>
        <v>17</v>
      </c>
      <c r="I310" s="28">
        <f t="shared" ref="I310:L310" si="922">I309+C310</f>
        <v>322</v>
      </c>
      <c r="J310" s="28">
        <f t="shared" si="922"/>
        <v>-926</v>
      </c>
      <c r="K310" s="28">
        <f t="shared" si="922"/>
        <v>504</v>
      </c>
      <c r="L310" s="28">
        <f t="shared" si="922"/>
        <v>100</v>
      </c>
      <c r="N310" s="80">
        <f t="shared" si="25"/>
        <v>17</v>
      </c>
      <c r="O310" s="28">
        <f t="shared" ref="O310:R310" si="923">O309+I303</f>
        <v>64610</v>
      </c>
      <c r="P310" s="28">
        <f t="shared" si="923"/>
        <v>-133818</v>
      </c>
      <c r="Q310" s="28">
        <f t="shared" si="923"/>
        <v>16858</v>
      </c>
      <c r="R310" s="28">
        <f t="shared" si="923"/>
        <v>52350</v>
      </c>
      <c r="T310" s="80">
        <v>17.0</v>
      </c>
      <c r="U310" s="80">
        <f t="shared" ref="U310:X310" si="924">U309+C303</f>
        <v>128</v>
      </c>
      <c r="V310" s="80">
        <f t="shared" si="924"/>
        <v>-1852</v>
      </c>
      <c r="W310" s="80">
        <f t="shared" si="924"/>
        <v>2150</v>
      </c>
      <c r="X310" s="80">
        <f t="shared" si="924"/>
        <v>-530</v>
      </c>
      <c r="Z310" s="80">
        <v>17.0</v>
      </c>
      <c r="AA310" s="10">
        <v>44617.0</v>
      </c>
      <c r="AB310" s="80">
        <v>128.0</v>
      </c>
      <c r="AC310" s="80">
        <v>-1852.0</v>
      </c>
      <c r="AD310" s="80">
        <v>2150.0</v>
      </c>
      <c r="AE310" s="80">
        <v>-530.0</v>
      </c>
    </row>
    <row r="311">
      <c r="A311" s="28">
        <f>'SAMLET_alle regnskab'!B320</f>
        <v>23</v>
      </c>
      <c r="B311" s="80">
        <f>'SAMLET_alle regnskab'!A320</f>
        <v>17</v>
      </c>
      <c r="C311" s="28">
        <f>'SAMLET_alle regnskab'!U320</f>
        <v>-12</v>
      </c>
      <c r="D311" s="28">
        <f>'SAMLET_alle regnskab'!V320</f>
        <v>-12</v>
      </c>
      <c r="E311" s="28">
        <f>'SAMLET_alle regnskab'!W320</f>
        <v>12</v>
      </c>
      <c r="F311" s="28">
        <f>'SAMLET_alle regnskab'!X320</f>
        <v>12</v>
      </c>
      <c r="H311" s="80">
        <f t="shared" si="7"/>
        <v>17</v>
      </c>
      <c r="I311" s="28">
        <f t="shared" ref="I311:L311" si="925">I310+C311</f>
        <v>310</v>
      </c>
      <c r="J311" s="28">
        <f t="shared" si="925"/>
        <v>-938</v>
      </c>
      <c r="K311" s="28">
        <f t="shared" si="925"/>
        <v>516</v>
      </c>
      <c r="L311" s="28">
        <f t="shared" si="925"/>
        <v>112</v>
      </c>
      <c r="N311" s="80">
        <f t="shared" si="25"/>
        <v>17</v>
      </c>
      <c r="O311" s="28">
        <f t="shared" ref="O311:R311" si="926">O310+I304</f>
        <v>64888</v>
      </c>
      <c r="P311" s="28">
        <f t="shared" si="926"/>
        <v>-134716</v>
      </c>
      <c r="Q311" s="28">
        <f t="shared" si="926"/>
        <v>17318</v>
      </c>
      <c r="R311" s="28">
        <f t="shared" si="926"/>
        <v>52510</v>
      </c>
      <c r="T311" s="80">
        <v>17.0</v>
      </c>
      <c r="U311" s="80">
        <f t="shared" ref="U311:X311" si="927">U310+C304</f>
        <v>120</v>
      </c>
      <c r="V311" s="80">
        <f t="shared" si="927"/>
        <v>-1860</v>
      </c>
      <c r="W311" s="80">
        <f t="shared" si="927"/>
        <v>2174</v>
      </c>
      <c r="X311" s="80">
        <f t="shared" si="927"/>
        <v>-538</v>
      </c>
      <c r="Z311" s="80">
        <v>17.0</v>
      </c>
      <c r="AA311" s="10">
        <v>44617.0</v>
      </c>
      <c r="AB311" s="80">
        <v>120.0</v>
      </c>
      <c r="AC311" s="80">
        <v>-1860.0</v>
      </c>
      <c r="AD311" s="80">
        <v>2174.0</v>
      </c>
      <c r="AE311" s="80">
        <v>-538.0</v>
      </c>
    </row>
    <row r="312">
      <c r="A312" s="28">
        <f>'SAMLET_alle regnskab'!B321</f>
        <v>24</v>
      </c>
      <c r="B312" s="80">
        <f>'SAMLET_alle regnskab'!A321</f>
        <v>17</v>
      </c>
      <c r="C312" s="28">
        <f>'SAMLET_alle regnskab'!U321</f>
        <v>16</v>
      </c>
      <c r="D312" s="28">
        <f>'SAMLET_alle regnskab'!V321</f>
        <v>-48</v>
      </c>
      <c r="E312" s="28">
        <f>'SAMLET_alle regnskab'!W321</f>
        <v>16</v>
      </c>
      <c r="F312" s="28">
        <f>'SAMLET_alle regnskab'!X321</f>
        <v>16</v>
      </c>
      <c r="H312" s="80">
        <f t="shared" si="7"/>
        <v>17</v>
      </c>
      <c r="I312" s="28">
        <f t="shared" ref="I312:L312" si="928">I311+C312</f>
        <v>326</v>
      </c>
      <c r="J312" s="28">
        <f t="shared" si="928"/>
        <v>-986</v>
      </c>
      <c r="K312" s="28">
        <f t="shared" si="928"/>
        <v>532</v>
      </c>
      <c r="L312" s="28">
        <f t="shared" si="928"/>
        <v>128</v>
      </c>
      <c r="N312" s="80">
        <f t="shared" si="25"/>
        <v>17</v>
      </c>
      <c r="O312" s="28">
        <f t="shared" ref="O312:R312" si="929">O311+I305</f>
        <v>65174</v>
      </c>
      <c r="P312" s="28">
        <f t="shared" si="929"/>
        <v>-135606</v>
      </c>
      <c r="Q312" s="28">
        <f t="shared" si="929"/>
        <v>17786</v>
      </c>
      <c r="R312" s="28">
        <f t="shared" si="929"/>
        <v>52646</v>
      </c>
      <c r="T312" s="80">
        <v>17.0</v>
      </c>
      <c r="U312" s="80">
        <f t="shared" ref="U312:X312" si="930">U311+C305</f>
        <v>128</v>
      </c>
      <c r="V312" s="80">
        <f t="shared" si="930"/>
        <v>-1852</v>
      </c>
      <c r="W312" s="80">
        <f t="shared" si="930"/>
        <v>2182</v>
      </c>
      <c r="X312" s="80">
        <f t="shared" si="930"/>
        <v>-562</v>
      </c>
      <c r="Z312" s="80">
        <v>17.0</v>
      </c>
      <c r="AA312" s="10">
        <v>44617.0</v>
      </c>
      <c r="AB312" s="80">
        <v>128.0</v>
      </c>
      <c r="AC312" s="80">
        <v>-1852.0</v>
      </c>
      <c r="AD312" s="80">
        <v>2182.0</v>
      </c>
      <c r="AE312" s="80">
        <v>-562.0</v>
      </c>
    </row>
    <row r="313">
      <c r="A313" s="28">
        <f>'SAMLET_alle regnskab'!B322</f>
        <v>25</v>
      </c>
      <c r="B313" s="80">
        <f>'SAMLET_alle regnskab'!A322</f>
        <v>17</v>
      </c>
      <c r="C313" s="28">
        <f>'SAMLET_alle regnskab'!U322</f>
        <v>10</v>
      </c>
      <c r="D313" s="28">
        <f>'SAMLET_alle regnskab'!V322</f>
        <v>-10</v>
      </c>
      <c r="E313" s="28">
        <f>'SAMLET_alle regnskab'!W322</f>
        <v>10</v>
      </c>
      <c r="F313" s="28">
        <f>'SAMLET_alle regnskab'!X322</f>
        <v>-10</v>
      </c>
      <c r="H313" s="80">
        <f t="shared" si="7"/>
        <v>17</v>
      </c>
      <c r="I313" s="28">
        <f t="shared" ref="I313:L313" si="931">I312+C313</f>
        <v>336</v>
      </c>
      <c r="J313" s="28">
        <f t="shared" si="931"/>
        <v>-996</v>
      </c>
      <c r="K313" s="28">
        <f t="shared" si="931"/>
        <v>542</v>
      </c>
      <c r="L313" s="28">
        <f t="shared" si="931"/>
        <v>118</v>
      </c>
      <c r="N313" s="80">
        <f t="shared" si="25"/>
        <v>17</v>
      </c>
      <c r="O313" s="28">
        <f t="shared" ref="O313:R313" si="932">O312+I306</f>
        <v>65468</v>
      </c>
      <c r="P313" s="28">
        <f t="shared" si="932"/>
        <v>-136504</v>
      </c>
      <c r="Q313" s="28">
        <f t="shared" si="932"/>
        <v>18262</v>
      </c>
      <c r="R313" s="28">
        <f t="shared" si="932"/>
        <v>52774</v>
      </c>
      <c r="T313" s="80">
        <v>17.0</v>
      </c>
      <c r="U313" s="80">
        <f t="shared" ref="U313:X313" si="933">U312+C306</f>
        <v>136</v>
      </c>
      <c r="V313" s="80">
        <f t="shared" si="933"/>
        <v>-1860</v>
      </c>
      <c r="W313" s="80">
        <f t="shared" si="933"/>
        <v>2190</v>
      </c>
      <c r="X313" s="80">
        <f t="shared" si="933"/>
        <v>-570</v>
      </c>
      <c r="Z313" s="80">
        <v>17.0</v>
      </c>
      <c r="AA313" s="10">
        <v>44617.0</v>
      </c>
      <c r="AB313" s="80">
        <v>136.0</v>
      </c>
      <c r="AC313" s="80">
        <v>-1860.0</v>
      </c>
      <c r="AD313" s="80">
        <v>2190.0</v>
      </c>
      <c r="AE313" s="80">
        <v>-570.0</v>
      </c>
    </row>
    <row r="314">
      <c r="A314" s="28">
        <f>'SAMLET_alle regnskab'!B323</f>
        <v>1</v>
      </c>
      <c r="B314" s="80">
        <f>'SAMLET_alle regnskab'!A323</f>
        <v>18</v>
      </c>
      <c r="C314" s="28">
        <f>'SAMLET_alle regnskab'!U323</f>
        <v>8</v>
      </c>
      <c r="D314" s="28">
        <f>'SAMLET_alle regnskab'!V323</f>
        <v>-8</v>
      </c>
      <c r="E314" s="28">
        <f>'SAMLET_alle regnskab'!W323</f>
        <v>-8</v>
      </c>
      <c r="F314" s="28">
        <f>'SAMLET_alle regnskab'!X323</f>
        <v>8</v>
      </c>
      <c r="H314" s="80">
        <f t="shared" si="7"/>
        <v>18</v>
      </c>
      <c r="I314" s="28">
        <f t="shared" ref="I314:L314" si="934">I313+C314</f>
        <v>344</v>
      </c>
      <c r="J314" s="28">
        <f t="shared" si="934"/>
        <v>-1004</v>
      </c>
      <c r="K314" s="28">
        <f t="shared" si="934"/>
        <v>534</v>
      </c>
      <c r="L314" s="28">
        <f t="shared" si="934"/>
        <v>126</v>
      </c>
      <c r="N314" s="80">
        <f t="shared" si="25"/>
        <v>17</v>
      </c>
      <c r="O314" s="28">
        <f t="shared" ref="O314:R314" si="935">O313+I307</f>
        <v>65758</v>
      </c>
      <c r="P314" s="28">
        <f t="shared" si="935"/>
        <v>-137390</v>
      </c>
      <c r="Q314" s="28">
        <f t="shared" si="935"/>
        <v>18734</v>
      </c>
      <c r="R314" s="28">
        <f t="shared" si="935"/>
        <v>52898</v>
      </c>
      <c r="T314" s="80">
        <v>17.0</v>
      </c>
      <c r="U314" s="80">
        <f t="shared" ref="U314:X314" si="936">U313+C307</f>
        <v>132</v>
      </c>
      <c r="V314" s="80">
        <f t="shared" si="936"/>
        <v>-1848</v>
      </c>
      <c r="W314" s="80">
        <f t="shared" si="936"/>
        <v>2186</v>
      </c>
      <c r="X314" s="80">
        <f t="shared" si="936"/>
        <v>-574</v>
      </c>
      <c r="Z314" s="80">
        <v>17.0</v>
      </c>
      <c r="AA314" s="10">
        <v>44617.0</v>
      </c>
      <c r="AB314" s="80">
        <v>132.0</v>
      </c>
      <c r="AC314" s="80">
        <v>-1848.0</v>
      </c>
      <c r="AD314" s="80">
        <v>2186.0</v>
      </c>
      <c r="AE314" s="80">
        <v>-574.0</v>
      </c>
    </row>
    <row r="315">
      <c r="A315" s="28">
        <f>'SAMLET_alle regnskab'!B324</f>
        <v>2</v>
      </c>
      <c r="B315" s="80">
        <f>'SAMLET_alle regnskab'!A324</f>
        <v>18</v>
      </c>
      <c r="C315" s="28">
        <f>'SAMLET_alle regnskab'!U324</f>
        <v>8</v>
      </c>
      <c r="D315" s="28">
        <f>'SAMLET_alle regnskab'!V324</f>
        <v>-24</v>
      </c>
      <c r="E315" s="28">
        <f>'SAMLET_alle regnskab'!W324</f>
        <v>8</v>
      </c>
      <c r="F315" s="28">
        <f>'SAMLET_alle regnskab'!X324</f>
        <v>8</v>
      </c>
      <c r="H315" s="80">
        <f t="shared" si="7"/>
        <v>18</v>
      </c>
      <c r="I315" s="28">
        <f t="shared" ref="I315:L315" si="937">I314+C315</f>
        <v>352</v>
      </c>
      <c r="J315" s="28">
        <f t="shared" si="937"/>
        <v>-1028</v>
      </c>
      <c r="K315" s="28">
        <f t="shared" si="937"/>
        <v>542</v>
      </c>
      <c r="L315" s="28">
        <f t="shared" si="937"/>
        <v>134</v>
      </c>
      <c r="N315" s="80">
        <f t="shared" si="25"/>
        <v>17</v>
      </c>
      <c r="O315" s="28">
        <f t="shared" ref="O315:R315" si="938">O314+I308</f>
        <v>66072</v>
      </c>
      <c r="P315" s="28">
        <f t="shared" si="938"/>
        <v>-138300</v>
      </c>
      <c r="Q315" s="28">
        <f t="shared" si="938"/>
        <v>19230</v>
      </c>
      <c r="R315" s="28">
        <f t="shared" si="938"/>
        <v>52998</v>
      </c>
      <c r="T315" s="80">
        <v>17.0</v>
      </c>
      <c r="U315" s="80">
        <f t="shared" ref="U315:X315" si="939">U314+C308</f>
        <v>156</v>
      </c>
      <c r="V315" s="80">
        <f t="shared" si="939"/>
        <v>-1872</v>
      </c>
      <c r="W315" s="80">
        <f t="shared" si="939"/>
        <v>2210</v>
      </c>
      <c r="X315" s="80">
        <f t="shared" si="939"/>
        <v>-598</v>
      </c>
      <c r="Z315" s="80">
        <v>17.0</v>
      </c>
      <c r="AA315" s="10">
        <v>44617.0</v>
      </c>
      <c r="AB315" s="80">
        <v>156.0</v>
      </c>
      <c r="AC315" s="80">
        <v>-1872.0</v>
      </c>
      <c r="AD315" s="80">
        <v>2210.0</v>
      </c>
      <c r="AE315" s="80">
        <v>-598.0</v>
      </c>
    </row>
    <row r="316">
      <c r="A316" s="28">
        <f>'SAMLET_alle regnskab'!B325</f>
        <v>3</v>
      </c>
      <c r="B316" s="80">
        <f>'SAMLET_alle regnskab'!A325</f>
        <v>18</v>
      </c>
      <c r="C316" s="28">
        <f>'SAMLET_alle regnskab'!U325</f>
        <v>4</v>
      </c>
      <c r="D316" s="28">
        <f>'SAMLET_alle regnskab'!V325</f>
        <v>4</v>
      </c>
      <c r="E316" s="28">
        <f>'SAMLET_alle regnskab'!W325</f>
        <v>4</v>
      </c>
      <c r="F316" s="28">
        <f>'SAMLET_alle regnskab'!X325</f>
        <v>-12</v>
      </c>
      <c r="H316" s="80">
        <f t="shared" si="7"/>
        <v>18</v>
      </c>
      <c r="I316" s="28">
        <f t="shared" ref="I316:L316" si="940">I315+C316</f>
        <v>356</v>
      </c>
      <c r="J316" s="28">
        <f t="shared" si="940"/>
        <v>-1024</v>
      </c>
      <c r="K316" s="28">
        <f t="shared" si="940"/>
        <v>546</v>
      </c>
      <c r="L316" s="28">
        <f t="shared" si="940"/>
        <v>122</v>
      </c>
      <c r="N316" s="80">
        <f t="shared" si="25"/>
        <v>17</v>
      </c>
      <c r="O316" s="28">
        <f t="shared" ref="O316:R316" si="941">O315+I309</f>
        <v>66398</v>
      </c>
      <c r="P316" s="28">
        <f t="shared" si="941"/>
        <v>-139222</v>
      </c>
      <c r="Q316" s="28">
        <f t="shared" si="941"/>
        <v>19738</v>
      </c>
      <c r="R316" s="28">
        <f t="shared" si="941"/>
        <v>53086</v>
      </c>
      <c r="T316" s="80">
        <v>17.0</v>
      </c>
      <c r="U316" s="80">
        <f t="shared" ref="U316:X316" si="942">U315+C309</f>
        <v>168</v>
      </c>
      <c r="V316" s="80">
        <f t="shared" si="942"/>
        <v>-1884</v>
      </c>
      <c r="W316" s="80">
        <f t="shared" si="942"/>
        <v>2222</v>
      </c>
      <c r="X316" s="80">
        <f t="shared" si="942"/>
        <v>-610</v>
      </c>
      <c r="Z316" s="80">
        <v>17.0</v>
      </c>
      <c r="AA316" s="10">
        <v>44617.0</v>
      </c>
      <c r="AB316" s="80">
        <v>168.0</v>
      </c>
      <c r="AC316" s="80">
        <v>-1884.0</v>
      </c>
      <c r="AD316" s="80">
        <v>2222.0</v>
      </c>
      <c r="AE316" s="80">
        <v>-610.0</v>
      </c>
    </row>
    <row r="317">
      <c r="A317" s="28">
        <f>'SAMLET_alle regnskab'!B326</f>
        <v>4</v>
      </c>
      <c r="B317" s="80">
        <f>'SAMLET_alle regnskab'!A326</f>
        <v>18</v>
      </c>
      <c r="C317" s="28">
        <f>'SAMLET_alle regnskab'!U326</f>
        <v>-18</v>
      </c>
      <c r="D317" s="28">
        <f>'SAMLET_alle regnskab'!V326</f>
        <v>6</v>
      </c>
      <c r="E317" s="28">
        <f>'SAMLET_alle regnskab'!W326</f>
        <v>6</v>
      </c>
      <c r="F317" s="28">
        <f>'SAMLET_alle regnskab'!X326</f>
        <v>6</v>
      </c>
      <c r="H317" s="80">
        <f t="shared" si="7"/>
        <v>18</v>
      </c>
      <c r="I317" s="28">
        <f t="shared" ref="I317:L317" si="943">I316+C317</f>
        <v>338</v>
      </c>
      <c r="J317" s="28">
        <f t="shared" si="943"/>
        <v>-1018</v>
      </c>
      <c r="K317" s="28">
        <f t="shared" si="943"/>
        <v>552</v>
      </c>
      <c r="L317" s="28">
        <f t="shared" si="943"/>
        <v>128</v>
      </c>
      <c r="N317" s="80">
        <f t="shared" si="25"/>
        <v>17</v>
      </c>
      <c r="O317" s="28">
        <f t="shared" ref="O317:R317" si="944">O316+I310</f>
        <v>66720</v>
      </c>
      <c r="P317" s="28">
        <f t="shared" si="944"/>
        <v>-140148</v>
      </c>
      <c r="Q317" s="28">
        <f t="shared" si="944"/>
        <v>20242</v>
      </c>
      <c r="R317" s="28">
        <f t="shared" si="944"/>
        <v>53186</v>
      </c>
      <c r="T317" s="80">
        <v>17.0</v>
      </c>
      <c r="U317" s="80">
        <f t="shared" ref="U317:X317" si="945">U316+C310</f>
        <v>164</v>
      </c>
      <c r="V317" s="80">
        <f t="shared" si="945"/>
        <v>-1888</v>
      </c>
      <c r="W317" s="80">
        <f t="shared" si="945"/>
        <v>2218</v>
      </c>
      <c r="X317" s="80">
        <f t="shared" si="945"/>
        <v>-598</v>
      </c>
      <c r="Z317" s="80">
        <v>17.0</v>
      </c>
      <c r="AA317" s="10">
        <v>44617.0</v>
      </c>
      <c r="AB317" s="80">
        <v>164.0</v>
      </c>
      <c r="AC317" s="80">
        <v>-1888.0</v>
      </c>
      <c r="AD317" s="80">
        <v>2218.0</v>
      </c>
      <c r="AE317" s="80">
        <v>-598.0</v>
      </c>
    </row>
    <row r="318">
      <c r="A318" s="28">
        <f>'SAMLET_alle regnskab'!B327</f>
        <v>5</v>
      </c>
      <c r="B318" s="80">
        <f>'SAMLET_alle regnskab'!A327</f>
        <v>18</v>
      </c>
      <c r="C318" s="28">
        <f>'SAMLET_alle regnskab'!U327</f>
        <v>16</v>
      </c>
      <c r="D318" s="28">
        <f>'SAMLET_alle regnskab'!V327</f>
        <v>-16</v>
      </c>
      <c r="E318" s="28">
        <f>'SAMLET_alle regnskab'!W327</f>
        <v>-16</v>
      </c>
      <c r="F318" s="28">
        <f>'SAMLET_alle regnskab'!X327</f>
        <v>16</v>
      </c>
      <c r="H318" s="80">
        <f t="shared" si="7"/>
        <v>18</v>
      </c>
      <c r="I318" s="28">
        <f t="shared" ref="I318:L318" si="946">I317+C318</f>
        <v>354</v>
      </c>
      <c r="J318" s="28">
        <f t="shared" si="946"/>
        <v>-1034</v>
      </c>
      <c r="K318" s="28">
        <f t="shared" si="946"/>
        <v>536</v>
      </c>
      <c r="L318" s="28">
        <f t="shared" si="946"/>
        <v>144</v>
      </c>
      <c r="N318" s="80">
        <f t="shared" si="25"/>
        <v>17</v>
      </c>
      <c r="O318" s="28">
        <f t="shared" ref="O318:R318" si="947">O317+I311</f>
        <v>67030</v>
      </c>
      <c r="P318" s="28">
        <f t="shared" si="947"/>
        <v>-141086</v>
      </c>
      <c r="Q318" s="28">
        <f t="shared" si="947"/>
        <v>20758</v>
      </c>
      <c r="R318" s="28">
        <f t="shared" si="947"/>
        <v>53298</v>
      </c>
      <c r="T318" s="80">
        <v>17.0</v>
      </c>
      <c r="U318" s="80">
        <f t="shared" ref="U318:X318" si="948">U317+C311</f>
        <v>152</v>
      </c>
      <c r="V318" s="80">
        <f t="shared" si="948"/>
        <v>-1900</v>
      </c>
      <c r="W318" s="80">
        <f t="shared" si="948"/>
        <v>2230</v>
      </c>
      <c r="X318" s="80">
        <f t="shared" si="948"/>
        <v>-586</v>
      </c>
      <c r="Z318" s="80">
        <v>17.0</v>
      </c>
      <c r="AA318" s="10">
        <v>44617.0</v>
      </c>
      <c r="AB318" s="80">
        <v>152.0</v>
      </c>
      <c r="AC318" s="80">
        <v>-1900.0</v>
      </c>
      <c r="AD318" s="80">
        <v>2230.0</v>
      </c>
      <c r="AE318" s="80">
        <v>-586.0</v>
      </c>
    </row>
    <row r="319">
      <c r="A319" s="28">
        <f>'SAMLET_alle regnskab'!B328</f>
        <v>6</v>
      </c>
      <c r="B319" s="80">
        <f>'SAMLET_alle regnskab'!A328</f>
        <v>18</v>
      </c>
      <c r="C319" s="28">
        <f>'SAMLET_alle regnskab'!U328</f>
        <v>12</v>
      </c>
      <c r="D319" s="28">
        <f>'SAMLET_alle regnskab'!V328</f>
        <v>12</v>
      </c>
      <c r="E319" s="28">
        <f>'SAMLET_alle regnskab'!W328</f>
        <v>-12</v>
      </c>
      <c r="F319" s="28">
        <f>'SAMLET_alle regnskab'!X328</f>
        <v>-12</v>
      </c>
      <c r="H319" s="80">
        <f t="shared" si="7"/>
        <v>18</v>
      </c>
      <c r="I319" s="28">
        <f t="shared" ref="I319:L319" si="949">I318+C319</f>
        <v>366</v>
      </c>
      <c r="J319" s="28">
        <f t="shared" si="949"/>
        <v>-1022</v>
      </c>
      <c r="K319" s="28">
        <f t="shared" si="949"/>
        <v>524</v>
      </c>
      <c r="L319" s="28">
        <f t="shared" si="949"/>
        <v>132</v>
      </c>
      <c r="N319" s="80">
        <f t="shared" si="25"/>
        <v>17</v>
      </c>
      <c r="O319" s="28">
        <f t="shared" ref="O319:R319" si="950">O318+I312</f>
        <v>67356</v>
      </c>
      <c r="P319" s="28">
        <f t="shared" si="950"/>
        <v>-142072</v>
      </c>
      <c r="Q319" s="28">
        <f t="shared" si="950"/>
        <v>21290</v>
      </c>
      <c r="R319" s="28">
        <f t="shared" si="950"/>
        <v>53426</v>
      </c>
      <c r="T319" s="80">
        <v>17.0</v>
      </c>
      <c r="U319" s="80">
        <f t="shared" ref="U319:X319" si="951">U318+C312</f>
        <v>168</v>
      </c>
      <c r="V319" s="80">
        <f t="shared" si="951"/>
        <v>-1948</v>
      </c>
      <c r="W319" s="80">
        <f t="shared" si="951"/>
        <v>2246</v>
      </c>
      <c r="X319" s="80">
        <f t="shared" si="951"/>
        <v>-570</v>
      </c>
      <c r="Z319" s="80">
        <v>17.0</v>
      </c>
      <c r="AA319" s="10">
        <v>44617.0</v>
      </c>
      <c r="AB319" s="80">
        <v>168.0</v>
      </c>
      <c r="AC319" s="80">
        <v>-1948.0</v>
      </c>
      <c r="AD319" s="80">
        <v>2246.0</v>
      </c>
      <c r="AE319" s="80">
        <v>-570.0</v>
      </c>
    </row>
    <row r="320">
      <c r="A320" s="28">
        <f>'SAMLET_alle regnskab'!B329</f>
        <v>7</v>
      </c>
      <c r="B320" s="80">
        <f>'SAMLET_alle regnskab'!A329</f>
        <v>18</v>
      </c>
      <c r="C320" s="28">
        <f>'SAMLET_alle regnskab'!U329</f>
        <v>32</v>
      </c>
      <c r="D320" s="28">
        <f>'SAMLET_alle regnskab'!V329</f>
        <v>32</v>
      </c>
      <c r="E320" s="28">
        <f>'SAMLET_alle regnskab'!W329</f>
        <v>-32</v>
      </c>
      <c r="F320" s="28">
        <f>'SAMLET_alle regnskab'!X329</f>
        <v>-32</v>
      </c>
      <c r="H320" s="80">
        <f t="shared" si="7"/>
        <v>18</v>
      </c>
      <c r="I320" s="28">
        <f t="shared" ref="I320:L320" si="952">I319+C320</f>
        <v>398</v>
      </c>
      <c r="J320" s="28">
        <f t="shared" si="952"/>
        <v>-990</v>
      </c>
      <c r="K320" s="28">
        <f t="shared" si="952"/>
        <v>492</v>
      </c>
      <c r="L320" s="28">
        <f t="shared" si="952"/>
        <v>100</v>
      </c>
      <c r="N320" s="80">
        <f t="shared" si="25"/>
        <v>17</v>
      </c>
      <c r="O320" s="28">
        <f t="shared" ref="O320:R320" si="953">O319+I313</f>
        <v>67692</v>
      </c>
      <c r="P320" s="28">
        <f t="shared" si="953"/>
        <v>-143068</v>
      </c>
      <c r="Q320" s="28">
        <f t="shared" si="953"/>
        <v>21832</v>
      </c>
      <c r="R320" s="28">
        <f t="shared" si="953"/>
        <v>53544</v>
      </c>
      <c r="T320" s="80">
        <v>17.0</v>
      </c>
      <c r="U320" s="80">
        <f t="shared" ref="U320:X320" si="954">U319+C313</f>
        <v>178</v>
      </c>
      <c r="V320" s="80">
        <f t="shared" si="954"/>
        <v>-1958</v>
      </c>
      <c r="W320" s="80">
        <f t="shared" si="954"/>
        <v>2256</v>
      </c>
      <c r="X320" s="80">
        <f t="shared" si="954"/>
        <v>-580</v>
      </c>
      <c r="Z320" s="80">
        <v>17.0</v>
      </c>
      <c r="AA320" s="10">
        <v>44617.0</v>
      </c>
      <c r="AB320" s="80">
        <v>178.0</v>
      </c>
      <c r="AC320" s="80">
        <v>-1958.0</v>
      </c>
      <c r="AD320" s="80">
        <v>2256.0</v>
      </c>
      <c r="AE320" s="80">
        <v>-580.0</v>
      </c>
    </row>
    <row r="321">
      <c r="A321" s="28">
        <f>'SAMLET_alle regnskab'!B330</f>
        <v>8</v>
      </c>
      <c r="B321" s="80">
        <f>'SAMLET_alle regnskab'!A330</f>
        <v>18</v>
      </c>
      <c r="C321" s="28">
        <f>'SAMLET_alle regnskab'!U330</f>
        <v>144</v>
      </c>
      <c r="D321" s="28">
        <f>'SAMLET_alle regnskab'!V330</f>
        <v>-48</v>
      </c>
      <c r="E321" s="28">
        <f>'SAMLET_alle regnskab'!W330</f>
        <v>-48</v>
      </c>
      <c r="F321" s="28">
        <f>'SAMLET_alle regnskab'!X330</f>
        <v>-48</v>
      </c>
      <c r="H321" s="80">
        <f t="shared" si="7"/>
        <v>18</v>
      </c>
      <c r="I321" s="28">
        <f t="shared" ref="I321:L321" si="955">I320+C321</f>
        <v>542</v>
      </c>
      <c r="J321" s="28">
        <f t="shared" si="955"/>
        <v>-1038</v>
      </c>
      <c r="K321" s="28">
        <f t="shared" si="955"/>
        <v>444</v>
      </c>
      <c r="L321" s="28">
        <f t="shared" si="955"/>
        <v>52</v>
      </c>
      <c r="N321" s="80">
        <f t="shared" si="25"/>
        <v>18</v>
      </c>
      <c r="O321" s="28">
        <f t="shared" ref="O321:R321" si="956">O320+I314</f>
        <v>68036</v>
      </c>
      <c r="P321" s="28">
        <f t="shared" si="956"/>
        <v>-144072</v>
      </c>
      <c r="Q321" s="28">
        <f t="shared" si="956"/>
        <v>22366</v>
      </c>
      <c r="R321" s="28">
        <f t="shared" si="956"/>
        <v>53670</v>
      </c>
      <c r="T321" s="80">
        <v>18.0</v>
      </c>
      <c r="U321" s="80">
        <f t="shared" ref="U321:X321" si="957">U320+C314</f>
        <v>186</v>
      </c>
      <c r="V321" s="80">
        <f t="shared" si="957"/>
        <v>-1966</v>
      </c>
      <c r="W321" s="80">
        <f t="shared" si="957"/>
        <v>2248</v>
      </c>
      <c r="X321" s="80">
        <f t="shared" si="957"/>
        <v>-572</v>
      </c>
      <c r="Z321" s="80">
        <v>18.0</v>
      </c>
      <c r="AA321" s="10">
        <v>44618.0</v>
      </c>
      <c r="AB321" s="80">
        <v>186.0</v>
      </c>
      <c r="AC321" s="80">
        <v>-1966.0</v>
      </c>
      <c r="AD321" s="80">
        <v>2248.0</v>
      </c>
      <c r="AE321" s="80">
        <v>-572.0</v>
      </c>
    </row>
    <row r="322">
      <c r="A322" s="28">
        <f>'SAMLET_alle regnskab'!B331</f>
        <v>9</v>
      </c>
      <c r="B322" s="80">
        <f>'SAMLET_alle regnskab'!A331</f>
        <v>18</v>
      </c>
      <c r="C322" s="28">
        <f>'SAMLET_alle regnskab'!U331</f>
        <v>-16</v>
      </c>
      <c r="D322" s="28">
        <f>'SAMLET_alle regnskab'!V331</f>
        <v>16</v>
      </c>
      <c r="E322" s="28">
        <f>'SAMLET_alle regnskab'!W331</f>
        <v>-16</v>
      </c>
      <c r="F322" s="28">
        <f>'SAMLET_alle regnskab'!X331</f>
        <v>16</v>
      </c>
      <c r="H322" s="80">
        <f t="shared" si="7"/>
        <v>18</v>
      </c>
      <c r="I322" s="28">
        <f t="shared" ref="I322:L322" si="958">I321+C322</f>
        <v>526</v>
      </c>
      <c r="J322" s="28">
        <f t="shared" si="958"/>
        <v>-1022</v>
      </c>
      <c r="K322" s="28">
        <f t="shared" si="958"/>
        <v>428</v>
      </c>
      <c r="L322" s="28">
        <f t="shared" si="958"/>
        <v>68</v>
      </c>
      <c r="N322" s="80">
        <f t="shared" si="25"/>
        <v>18</v>
      </c>
      <c r="O322" s="28">
        <f t="shared" ref="O322:R322" si="959">O321+I315</f>
        <v>68388</v>
      </c>
      <c r="P322" s="28">
        <f t="shared" si="959"/>
        <v>-145100</v>
      </c>
      <c r="Q322" s="28">
        <f t="shared" si="959"/>
        <v>22908</v>
      </c>
      <c r="R322" s="28">
        <f t="shared" si="959"/>
        <v>53804</v>
      </c>
      <c r="T322" s="80">
        <v>18.0</v>
      </c>
      <c r="U322" s="80">
        <f t="shared" ref="U322:X322" si="960">U321+C315</f>
        <v>194</v>
      </c>
      <c r="V322" s="80">
        <f t="shared" si="960"/>
        <v>-1990</v>
      </c>
      <c r="W322" s="80">
        <f t="shared" si="960"/>
        <v>2256</v>
      </c>
      <c r="X322" s="80">
        <f t="shared" si="960"/>
        <v>-564</v>
      </c>
      <c r="Z322" s="80">
        <v>18.0</v>
      </c>
      <c r="AA322" s="10">
        <v>44618.0</v>
      </c>
      <c r="AB322" s="80">
        <v>194.0</v>
      </c>
      <c r="AC322" s="80">
        <v>-1990.0</v>
      </c>
      <c r="AD322" s="80">
        <v>2256.0</v>
      </c>
      <c r="AE322" s="80">
        <v>-564.0</v>
      </c>
    </row>
    <row r="323">
      <c r="A323" s="28">
        <f>'SAMLET_alle regnskab'!B332</f>
        <v>10</v>
      </c>
      <c r="B323" s="80">
        <f>'SAMLET_alle regnskab'!A332</f>
        <v>18</v>
      </c>
      <c r="C323" s="28">
        <f>'SAMLET_alle regnskab'!U332</f>
        <v>12</v>
      </c>
      <c r="D323" s="28">
        <f>'SAMLET_alle regnskab'!V332</f>
        <v>12</v>
      </c>
      <c r="E323" s="28">
        <f>'SAMLET_alle regnskab'!W332</f>
        <v>-12</v>
      </c>
      <c r="F323" s="28">
        <f>'SAMLET_alle regnskab'!X332</f>
        <v>-12</v>
      </c>
      <c r="H323" s="80">
        <f t="shared" si="7"/>
        <v>18</v>
      </c>
      <c r="I323" s="28">
        <f t="shared" ref="I323:L323" si="961">I322+C323</f>
        <v>538</v>
      </c>
      <c r="J323" s="28">
        <f t="shared" si="961"/>
        <v>-1010</v>
      </c>
      <c r="K323" s="28">
        <f t="shared" si="961"/>
        <v>416</v>
      </c>
      <c r="L323" s="28">
        <f t="shared" si="961"/>
        <v>56</v>
      </c>
      <c r="N323" s="80">
        <f t="shared" si="25"/>
        <v>18</v>
      </c>
      <c r="O323" s="28">
        <f t="shared" ref="O323:R323" si="962">O322+I316</f>
        <v>68744</v>
      </c>
      <c r="P323" s="28">
        <f t="shared" si="962"/>
        <v>-146124</v>
      </c>
      <c r="Q323" s="28">
        <f t="shared" si="962"/>
        <v>23454</v>
      </c>
      <c r="R323" s="28">
        <f t="shared" si="962"/>
        <v>53926</v>
      </c>
      <c r="T323" s="80">
        <v>18.0</v>
      </c>
      <c r="U323" s="80">
        <f t="shared" ref="U323:X323" si="963">U322+C316</f>
        <v>198</v>
      </c>
      <c r="V323" s="80">
        <f t="shared" si="963"/>
        <v>-1986</v>
      </c>
      <c r="W323" s="80">
        <f t="shared" si="963"/>
        <v>2260</v>
      </c>
      <c r="X323" s="80">
        <f t="shared" si="963"/>
        <v>-576</v>
      </c>
      <c r="Z323" s="80">
        <v>18.0</v>
      </c>
      <c r="AA323" s="10">
        <v>44618.0</v>
      </c>
      <c r="AB323" s="80">
        <v>198.0</v>
      </c>
      <c r="AC323" s="80">
        <v>-1986.0</v>
      </c>
      <c r="AD323" s="80">
        <v>2260.0</v>
      </c>
      <c r="AE323" s="80">
        <v>-576.0</v>
      </c>
    </row>
    <row r="324">
      <c r="A324" s="28">
        <f>'SAMLET_alle regnskab'!B333</f>
        <v>11</v>
      </c>
      <c r="B324" s="80">
        <f>'SAMLET_alle regnskab'!A333</f>
        <v>18</v>
      </c>
      <c r="C324" s="28">
        <f>'SAMLET_alle regnskab'!U333</f>
        <v>8</v>
      </c>
      <c r="D324" s="28">
        <f>'SAMLET_alle regnskab'!V333</f>
        <v>8</v>
      </c>
      <c r="E324" s="28">
        <f>'SAMLET_alle regnskab'!W333</f>
        <v>-8</v>
      </c>
      <c r="F324" s="28">
        <f>'SAMLET_alle regnskab'!X333</f>
        <v>-8</v>
      </c>
      <c r="H324" s="80">
        <f t="shared" si="7"/>
        <v>18</v>
      </c>
      <c r="I324" s="28">
        <f t="shared" ref="I324:L324" si="964">I323+C324</f>
        <v>546</v>
      </c>
      <c r="J324" s="28">
        <f t="shared" si="964"/>
        <v>-1002</v>
      </c>
      <c r="K324" s="28">
        <f t="shared" si="964"/>
        <v>408</v>
      </c>
      <c r="L324" s="28">
        <f t="shared" si="964"/>
        <v>48</v>
      </c>
      <c r="N324" s="80">
        <f t="shared" si="25"/>
        <v>18</v>
      </c>
      <c r="O324" s="28">
        <f t="shared" ref="O324:R324" si="965">O323+I317</f>
        <v>69082</v>
      </c>
      <c r="P324" s="28">
        <f t="shared" si="965"/>
        <v>-147142</v>
      </c>
      <c r="Q324" s="28">
        <f t="shared" si="965"/>
        <v>24006</v>
      </c>
      <c r="R324" s="28">
        <f t="shared" si="965"/>
        <v>54054</v>
      </c>
      <c r="T324" s="80">
        <v>18.0</v>
      </c>
      <c r="U324" s="80">
        <f t="shared" ref="U324:X324" si="966">U323+C317</f>
        <v>180</v>
      </c>
      <c r="V324" s="80">
        <f t="shared" si="966"/>
        <v>-1980</v>
      </c>
      <c r="W324" s="80">
        <f t="shared" si="966"/>
        <v>2266</v>
      </c>
      <c r="X324" s="80">
        <f t="shared" si="966"/>
        <v>-570</v>
      </c>
      <c r="Z324" s="80">
        <v>18.0</v>
      </c>
      <c r="AA324" s="10">
        <v>44618.0</v>
      </c>
      <c r="AB324" s="80">
        <v>180.0</v>
      </c>
      <c r="AC324" s="80">
        <v>-1980.0</v>
      </c>
      <c r="AD324" s="80">
        <v>2266.0</v>
      </c>
      <c r="AE324" s="80">
        <v>-570.0</v>
      </c>
    </row>
    <row r="325">
      <c r="A325" s="28">
        <f>'SAMLET_alle regnskab'!B334</f>
        <v>12</v>
      </c>
      <c r="B325" s="80">
        <f>'SAMLET_alle regnskab'!A334</f>
        <v>18</v>
      </c>
      <c r="C325" s="28">
        <f>'SAMLET_alle regnskab'!U334</f>
        <v>-16</v>
      </c>
      <c r="D325" s="28">
        <f>'SAMLET_alle regnskab'!V334</f>
        <v>16</v>
      </c>
      <c r="E325" s="28">
        <f>'SAMLET_alle regnskab'!W334</f>
        <v>16</v>
      </c>
      <c r="F325" s="28">
        <f>'SAMLET_alle regnskab'!X334</f>
        <v>-16</v>
      </c>
      <c r="H325" s="80">
        <f t="shared" si="7"/>
        <v>18</v>
      </c>
      <c r="I325" s="28">
        <f t="shared" ref="I325:L325" si="967">I324+C325</f>
        <v>530</v>
      </c>
      <c r="J325" s="28">
        <f t="shared" si="967"/>
        <v>-986</v>
      </c>
      <c r="K325" s="28">
        <f t="shared" si="967"/>
        <v>424</v>
      </c>
      <c r="L325" s="28">
        <f t="shared" si="967"/>
        <v>32</v>
      </c>
      <c r="N325" s="80">
        <f t="shared" si="25"/>
        <v>18</v>
      </c>
      <c r="O325" s="28">
        <f t="shared" ref="O325:R325" si="968">O324+I318</f>
        <v>69436</v>
      </c>
      <c r="P325" s="28">
        <f t="shared" si="968"/>
        <v>-148176</v>
      </c>
      <c r="Q325" s="28">
        <f t="shared" si="968"/>
        <v>24542</v>
      </c>
      <c r="R325" s="28">
        <f t="shared" si="968"/>
        <v>54198</v>
      </c>
      <c r="T325" s="80">
        <v>18.0</v>
      </c>
      <c r="U325" s="80">
        <f t="shared" ref="U325:X325" si="969">U324+C318</f>
        <v>196</v>
      </c>
      <c r="V325" s="80">
        <f t="shared" si="969"/>
        <v>-1996</v>
      </c>
      <c r="W325" s="80">
        <f t="shared" si="969"/>
        <v>2250</v>
      </c>
      <c r="X325" s="80">
        <f t="shared" si="969"/>
        <v>-554</v>
      </c>
      <c r="Z325" s="80">
        <v>18.0</v>
      </c>
      <c r="AA325" s="10">
        <v>44618.0</v>
      </c>
      <c r="AB325" s="80">
        <v>196.0</v>
      </c>
      <c r="AC325" s="80">
        <v>-1996.0</v>
      </c>
      <c r="AD325" s="80">
        <v>2250.0</v>
      </c>
      <c r="AE325" s="80">
        <v>-554.0</v>
      </c>
    </row>
    <row r="326">
      <c r="A326" s="28">
        <f>'SAMLET_alle regnskab'!B335</f>
        <v>13</v>
      </c>
      <c r="B326" s="80">
        <f>'SAMLET_alle regnskab'!A335</f>
        <v>18</v>
      </c>
      <c r="C326" s="28">
        <f>'SAMLET_alle regnskab'!U335</f>
        <v>12</v>
      </c>
      <c r="D326" s="28">
        <f>'SAMLET_alle regnskab'!V335</f>
        <v>-12</v>
      </c>
      <c r="E326" s="28">
        <f>'SAMLET_alle regnskab'!W335</f>
        <v>12</v>
      </c>
      <c r="F326" s="28">
        <f>'SAMLET_alle regnskab'!X335</f>
        <v>-12</v>
      </c>
      <c r="H326" s="80">
        <f t="shared" si="7"/>
        <v>18</v>
      </c>
      <c r="I326" s="28">
        <f t="shared" ref="I326:L326" si="970">I325+C326</f>
        <v>542</v>
      </c>
      <c r="J326" s="28">
        <f t="shared" si="970"/>
        <v>-998</v>
      </c>
      <c r="K326" s="28">
        <f t="shared" si="970"/>
        <v>436</v>
      </c>
      <c r="L326" s="28">
        <f t="shared" si="970"/>
        <v>20</v>
      </c>
      <c r="N326" s="80">
        <f t="shared" si="25"/>
        <v>18</v>
      </c>
      <c r="O326" s="28">
        <f t="shared" ref="O326:R326" si="971">O325+I319</f>
        <v>69802</v>
      </c>
      <c r="P326" s="28">
        <f t="shared" si="971"/>
        <v>-149198</v>
      </c>
      <c r="Q326" s="28">
        <f t="shared" si="971"/>
        <v>25066</v>
      </c>
      <c r="R326" s="28">
        <f t="shared" si="971"/>
        <v>54330</v>
      </c>
      <c r="T326" s="80">
        <v>18.0</v>
      </c>
      <c r="U326" s="80">
        <f t="shared" ref="U326:X326" si="972">U325+C319</f>
        <v>208</v>
      </c>
      <c r="V326" s="80">
        <f t="shared" si="972"/>
        <v>-1984</v>
      </c>
      <c r="W326" s="80">
        <f t="shared" si="972"/>
        <v>2238</v>
      </c>
      <c r="X326" s="80">
        <f t="shared" si="972"/>
        <v>-566</v>
      </c>
      <c r="Z326" s="80">
        <v>18.0</v>
      </c>
      <c r="AA326" s="10">
        <v>44618.0</v>
      </c>
      <c r="AB326" s="80">
        <v>208.0</v>
      </c>
      <c r="AC326" s="80">
        <v>-1984.0</v>
      </c>
      <c r="AD326" s="80">
        <v>2238.0</v>
      </c>
      <c r="AE326" s="80">
        <v>-566.0</v>
      </c>
    </row>
    <row r="327">
      <c r="A327" s="28">
        <f>'SAMLET_alle regnskab'!B336</f>
        <v>14</v>
      </c>
      <c r="B327" s="80">
        <f>'SAMLET_alle regnskab'!A336</f>
        <v>18</v>
      </c>
      <c r="C327" s="28">
        <f>'SAMLET_alle regnskab'!U336</f>
        <v>-12</v>
      </c>
      <c r="D327" s="28">
        <f>'SAMLET_alle regnskab'!V336</f>
        <v>12</v>
      </c>
      <c r="E327" s="28">
        <f>'SAMLET_alle regnskab'!W336</f>
        <v>12</v>
      </c>
      <c r="F327" s="28">
        <f>'SAMLET_alle regnskab'!X336</f>
        <v>-12</v>
      </c>
      <c r="H327" s="80">
        <f t="shared" si="7"/>
        <v>18</v>
      </c>
      <c r="I327" s="28">
        <f t="shared" ref="I327:L327" si="973">I326+C327</f>
        <v>530</v>
      </c>
      <c r="J327" s="28">
        <f t="shared" si="973"/>
        <v>-986</v>
      </c>
      <c r="K327" s="28">
        <f t="shared" si="973"/>
        <v>448</v>
      </c>
      <c r="L327" s="28">
        <f t="shared" si="973"/>
        <v>8</v>
      </c>
      <c r="N327" s="80">
        <f t="shared" si="25"/>
        <v>18</v>
      </c>
      <c r="O327" s="28">
        <f t="shared" ref="O327:R327" si="974">O326+I320</f>
        <v>70200</v>
      </c>
      <c r="P327" s="28">
        <f t="shared" si="974"/>
        <v>-150188</v>
      </c>
      <c r="Q327" s="28">
        <f t="shared" si="974"/>
        <v>25558</v>
      </c>
      <c r="R327" s="28">
        <f t="shared" si="974"/>
        <v>54430</v>
      </c>
      <c r="T327" s="80">
        <v>18.0</v>
      </c>
      <c r="U327" s="80">
        <f t="shared" ref="U327:X327" si="975">U326+C320</f>
        <v>240</v>
      </c>
      <c r="V327" s="80">
        <f t="shared" si="975"/>
        <v>-1952</v>
      </c>
      <c r="W327" s="80">
        <f t="shared" si="975"/>
        <v>2206</v>
      </c>
      <c r="X327" s="80">
        <f t="shared" si="975"/>
        <v>-598</v>
      </c>
      <c r="Z327" s="80">
        <v>18.0</v>
      </c>
      <c r="AA327" s="10">
        <v>44618.0</v>
      </c>
      <c r="AB327" s="80">
        <v>240.0</v>
      </c>
      <c r="AC327" s="80">
        <v>-1952.0</v>
      </c>
      <c r="AD327" s="80">
        <v>2206.0</v>
      </c>
      <c r="AE327" s="80">
        <v>-598.0</v>
      </c>
    </row>
    <row r="328">
      <c r="A328" s="28">
        <f>'SAMLET_alle regnskab'!B337</f>
        <v>15</v>
      </c>
      <c r="B328" s="80">
        <f>'SAMLET_alle regnskab'!A337</f>
        <v>18</v>
      </c>
      <c r="C328" s="28">
        <f>'SAMLET_alle regnskab'!U337</f>
        <v>24</v>
      </c>
      <c r="D328" s="28">
        <f>'SAMLET_alle regnskab'!V337</f>
        <v>-24</v>
      </c>
      <c r="E328" s="28">
        <f>'SAMLET_alle regnskab'!W337</f>
        <v>-24</v>
      </c>
      <c r="F328" s="28">
        <f>'SAMLET_alle regnskab'!X337</f>
        <v>24</v>
      </c>
      <c r="H328" s="80">
        <f t="shared" si="7"/>
        <v>18</v>
      </c>
      <c r="I328" s="28">
        <f t="shared" ref="I328:L328" si="976">I327+C328</f>
        <v>554</v>
      </c>
      <c r="J328" s="28">
        <f t="shared" si="976"/>
        <v>-1010</v>
      </c>
      <c r="K328" s="28">
        <f t="shared" si="976"/>
        <v>424</v>
      </c>
      <c r="L328" s="28">
        <f t="shared" si="976"/>
        <v>32</v>
      </c>
      <c r="N328" s="80">
        <f t="shared" si="25"/>
        <v>18</v>
      </c>
      <c r="O328" s="28">
        <f t="shared" ref="O328:R328" si="977">O327+I321</f>
        <v>70742</v>
      </c>
      <c r="P328" s="28">
        <f t="shared" si="977"/>
        <v>-151226</v>
      </c>
      <c r="Q328" s="28">
        <f t="shared" si="977"/>
        <v>26002</v>
      </c>
      <c r="R328" s="28">
        <f t="shared" si="977"/>
        <v>54482</v>
      </c>
      <c r="T328" s="80">
        <v>18.0</v>
      </c>
      <c r="U328" s="80">
        <f t="shared" ref="U328:X328" si="978">U327+C321</f>
        <v>384</v>
      </c>
      <c r="V328" s="80">
        <f t="shared" si="978"/>
        <v>-2000</v>
      </c>
      <c r="W328" s="80">
        <f t="shared" si="978"/>
        <v>2158</v>
      </c>
      <c r="X328" s="80">
        <f t="shared" si="978"/>
        <v>-646</v>
      </c>
      <c r="Z328" s="80">
        <v>18.0</v>
      </c>
      <c r="AA328" s="10">
        <v>44618.0</v>
      </c>
      <c r="AB328" s="80">
        <v>384.0</v>
      </c>
      <c r="AC328" s="80">
        <v>-2000.0</v>
      </c>
      <c r="AD328" s="80">
        <v>2158.0</v>
      </c>
      <c r="AE328" s="80">
        <v>-646.0</v>
      </c>
    </row>
    <row r="329">
      <c r="A329" s="28">
        <f>'SAMLET_alle regnskab'!B338</f>
        <v>16</v>
      </c>
      <c r="B329" s="80">
        <f>'SAMLET_alle regnskab'!A338</f>
        <v>18</v>
      </c>
      <c r="C329" s="28">
        <f>'SAMLET_alle regnskab'!U338</f>
        <v>8</v>
      </c>
      <c r="D329" s="28">
        <f>'SAMLET_alle regnskab'!V338</f>
        <v>8</v>
      </c>
      <c r="E329" s="28">
        <f>'SAMLET_alle regnskab'!W338</f>
        <v>-24</v>
      </c>
      <c r="F329" s="28">
        <f>'SAMLET_alle regnskab'!X338</f>
        <v>8</v>
      </c>
      <c r="H329" s="80">
        <f t="shared" si="7"/>
        <v>18</v>
      </c>
      <c r="I329" s="28">
        <f t="shared" ref="I329:L329" si="979">I328+C329</f>
        <v>562</v>
      </c>
      <c r="J329" s="28">
        <f t="shared" si="979"/>
        <v>-1002</v>
      </c>
      <c r="K329" s="28">
        <f t="shared" si="979"/>
        <v>400</v>
      </c>
      <c r="L329" s="28">
        <f t="shared" si="979"/>
        <v>40</v>
      </c>
      <c r="N329" s="80">
        <f t="shared" si="25"/>
        <v>18</v>
      </c>
      <c r="O329" s="28">
        <f t="shared" ref="O329:R329" si="980">O328+I322</f>
        <v>71268</v>
      </c>
      <c r="P329" s="28">
        <f t="shared" si="980"/>
        <v>-152248</v>
      </c>
      <c r="Q329" s="28">
        <f t="shared" si="980"/>
        <v>26430</v>
      </c>
      <c r="R329" s="28">
        <f t="shared" si="980"/>
        <v>54550</v>
      </c>
      <c r="T329" s="80">
        <v>18.0</v>
      </c>
      <c r="U329" s="80">
        <f t="shared" ref="U329:X329" si="981">U328+C322</f>
        <v>368</v>
      </c>
      <c r="V329" s="80">
        <f t="shared" si="981"/>
        <v>-1984</v>
      </c>
      <c r="W329" s="80">
        <f t="shared" si="981"/>
        <v>2142</v>
      </c>
      <c r="X329" s="80">
        <f t="shared" si="981"/>
        <v>-630</v>
      </c>
      <c r="Z329" s="80">
        <v>18.0</v>
      </c>
      <c r="AA329" s="10">
        <v>44618.0</v>
      </c>
      <c r="AB329" s="80">
        <v>368.0</v>
      </c>
      <c r="AC329" s="80">
        <v>-1984.0</v>
      </c>
      <c r="AD329" s="80">
        <v>2142.0</v>
      </c>
      <c r="AE329" s="80">
        <v>-630.0</v>
      </c>
    </row>
    <row r="330">
      <c r="A330" s="28">
        <f>'SAMLET_alle regnskab'!B339</f>
        <v>17</v>
      </c>
      <c r="B330" s="80">
        <f>'SAMLET_alle regnskab'!A339</f>
        <v>18</v>
      </c>
      <c r="C330" s="28">
        <f>'SAMLET_alle regnskab'!U339</f>
        <v>12</v>
      </c>
      <c r="D330" s="28">
        <f>'SAMLET_alle regnskab'!V339</f>
        <v>-4</v>
      </c>
      <c r="E330" s="28">
        <f>'SAMLET_alle regnskab'!W339</f>
        <v>-4</v>
      </c>
      <c r="F330" s="28">
        <f>'SAMLET_alle regnskab'!X339</f>
        <v>-4</v>
      </c>
      <c r="H330" s="80">
        <f t="shared" si="7"/>
        <v>18</v>
      </c>
      <c r="I330" s="28">
        <f t="shared" ref="I330:L330" si="982">I329+C330</f>
        <v>574</v>
      </c>
      <c r="J330" s="28">
        <f t="shared" si="982"/>
        <v>-1006</v>
      </c>
      <c r="K330" s="28">
        <f t="shared" si="982"/>
        <v>396</v>
      </c>
      <c r="L330" s="28">
        <f t="shared" si="982"/>
        <v>36</v>
      </c>
      <c r="N330" s="80">
        <f t="shared" si="25"/>
        <v>18</v>
      </c>
      <c r="O330" s="28">
        <f t="shared" ref="O330:R330" si="983">O329+I323</f>
        <v>71806</v>
      </c>
      <c r="P330" s="28">
        <f t="shared" si="983"/>
        <v>-153258</v>
      </c>
      <c r="Q330" s="28">
        <f t="shared" si="983"/>
        <v>26846</v>
      </c>
      <c r="R330" s="28">
        <f t="shared" si="983"/>
        <v>54606</v>
      </c>
      <c r="T330" s="80">
        <v>18.0</v>
      </c>
      <c r="U330" s="80">
        <f t="shared" ref="U330:X330" si="984">U329+C323</f>
        <v>380</v>
      </c>
      <c r="V330" s="80">
        <f t="shared" si="984"/>
        <v>-1972</v>
      </c>
      <c r="W330" s="80">
        <f t="shared" si="984"/>
        <v>2130</v>
      </c>
      <c r="X330" s="80">
        <f t="shared" si="984"/>
        <v>-642</v>
      </c>
      <c r="Z330" s="80">
        <v>18.0</v>
      </c>
      <c r="AA330" s="10">
        <v>44618.0</v>
      </c>
      <c r="AB330" s="80">
        <v>380.0</v>
      </c>
      <c r="AC330" s="80">
        <v>-1972.0</v>
      </c>
      <c r="AD330" s="80">
        <v>2130.0</v>
      </c>
      <c r="AE330" s="80">
        <v>-642.0</v>
      </c>
    </row>
    <row r="331">
      <c r="A331" s="28">
        <f>'SAMLET_alle regnskab'!B340</f>
        <v>18</v>
      </c>
      <c r="B331" s="80">
        <f>'SAMLET_alle regnskab'!A340</f>
        <v>18</v>
      </c>
      <c r="C331" s="28">
        <f>'SAMLET_alle regnskab'!U340</f>
        <v>48</v>
      </c>
      <c r="D331" s="28">
        <f>'SAMLET_alle regnskab'!V340</f>
        <v>48</v>
      </c>
      <c r="E331" s="28">
        <f>'SAMLET_alle regnskab'!W340</f>
        <v>-48</v>
      </c>
      <c r="F331" s="28">
        <f>'SAMLET_alle regnskab'!X340</f>
        <v>-48</v>
      </c>
      <c r="H331" s="80">
        <f t="shared" si="7"/>
        <v>18</v>
      </c>
      <c r="I331" s="28">
        <f t="shared" ref="I331:L331" si="985">I330+C331</f>
        <v>622</v>
      </c>
      <c r="J331" s="28">
        <f t="shared" si="985"/>
        <v>-958</v>
      </c>
      <c r="K331" s="28">
        <f t="shared" si="985"/>
        <v>348</v>
      </c>
      <c r="L331" s="28">
        <f t="shared" si="985"/>
        <v>-12</v>
      </c>
      <c r="N331" s="80">
        <f t="shared" si="25"/>
        <v>18</v>
      </c>
      <c r="O331" s="28">
        <f t="shared" ref="O331:R331" si="986">O330+I324</f>
        <v>72352</v>
      </c>
      <c r="P331" s="28">
        <f t="shared" si="986"/>
        <v>-154260</v>
      </c>
      <c r="Q331" s="28">
        <f t="shared" si="986"/>
        <v>27254</v>
      </c>
      <c r="R331" s="28">
        <f t="shared" si="986"/>
        <v>54654</v>
      </c>
      <c r="T331" s="80">
        <v>18.0</v>
      </c>
      <c r="U331" s="80">
        <f t="shared" ref="U331:X331" si="987">U330+C324</f>
        <v>388</v>
      </c>
      <c r="V331" s="80">
        <f t="shared" si="987"/>
        <v>-1964</v>
      </c>
      <c r="W331" s="80">
        <f t="shared" si="987"/>
        <v>2122</v>
      </c>
      <c r="X331" s="80">
        <f t="shared" si="987"/>
        <v>-650</v>
      </c>
      <c r="Z331" s="80">
        <v>18.0</v>
      </c>
      <c r="AA331" s="10">
        <v>44618.0</v>
      </c>
      <c r="AB331" s="80">
        <v>388.0</v>
      </c>
      <c r="AC331" s="80">
        <v>-1964.0</v>
      </c>
      <c r="AD331" s="80">
        <v>2122.0</v>
      </c>
      <c r="AE331" s="80">
        <v>-650.0</v>
      </c>
    </row>
    <row r="332">
      <c r="A332" s="28">
        <f>'SAMLET_alle regnskab'!B341</f>
        <v>19</v>
      </c>
      <c r="B332" s="80">
        <f>'SAMLET_alle regnskab'!A341</f>
        <v>18</v>
      </c>
      <c r="C332" s="28">
        <f>'SAMLET_alle regnskab'!U341</f>
        <v>8</v>
      </c>
      <c r="D332" s="28">
        <f>'SAMLET_alle regnskab'!V341</f>
        <v>8</v>
      </c>
      <c r="E332" s="28">
        <f>'SAMLET_alle regnskab'!W341</f>
        <v>-8</v>
      </c>
      <c r="F332" s="28">
        <f>'SAMLET_alle regnskab'!X341</f>
        <v>-8</v>
      </c>
      <c r="H332" s="80">
        <f t="shared" si="7"/>
        <v>18</v>
      </c>
      <c r="I332" s="28">
        <f t="shared" ref="I332:L332" si="988">I331+C332</f>
        <v>630</v>
      </c>
      <c r="J332" s="28">
        <f t="shared" si="988"/>
        <v>-950</v>
      </c>
      <c r="K332" s="28">
        <f t="shared" si="988"/>
        <v>340</v>
      </c>
      <c r="L332" s="28">
        <f t="shared" si="988"/>
        <v>-20</v>
      </c>
      <c r="N332" s="80">
        <f t="shared" si="25"/>
        <v>18</v>
      </c>
      <c r="O332" s="28">
        <f t="shared" ref="O332:R332" si="989">O331+I325</f>
        <v>72882</v>
      </c>
      <c r="P332" s="28">
        <f t="shared" si="989"/>
        <v>-155246</v>
      </c>
      <c r="Q332" s="28">
        <f t="shared" si="989"/>
        <v>27678</v>
      </c>
      <c r="R332" s="28">
        <f t="shared" si="989"/>
        <v>54686</v>
      </c>
      <c r="T332" s="80">
        <v>18.0</v>
      </c>
      <c r="U332" s="80">
        <f t="shared" ref="U332:X332" si="990">U331+C325</f>
        <v>372</v>
      </c>
      <c r="V332" s="80">
        <f t="shared" si="990"/>
        <v>-1948</v>
      </c>
      <c r="W332" s="80">
        <f t="shared" si="990"/>
        <v>2138</v>
      </c>
      <c r="X332" s="80">
        <f t="shared" si="990"/>
        <v>-666</v>
      </c>
      <c r="Z332" s="80">
        <v>18.0</v>
      </c>
      <c r="AA332" s="10">
        <v>44618.0</v>
      </c>
      <c r="AB332" s="80">
        <v>372.0</v>
      </c>
      <c r="AC332" s="80">
        <v>-1948.0</v>
      </c>
      <c r="AD332" s="80">
        <v>2138.0</v>
      </c>
      <c r="AE332" s="80">
        <v>-666.0</v>
      </c>
    </row>
    <row r="333">
      <c r="A333" s="28">
        <f>'SAMLET_alle regnskab'!B342</f>
        <v>20</v>
      </c>
      <c r="B333" s="80">
        <f>'SAMLET_alle regnskab'!A342</f>
        <v>18</v>
      </c>
      <c r="C333" s="28">
        <f>'SAMLET_alle regnskab'!U342</f>
        <v>8</v>
      </c>
      <c r="D333" s="28">
        <f>'SAMLET_alle regnskab'!V342</f>
        <v>8</v>
      </c>
      <c r="E333" s="28">
        <f>'SAMLET_alle regnskab'!W342</f>
        <v>8</v>
      </c>
      <c r="F333" s="28">
        <f>'SAMLET_alle regnskab'!X342</f>
        <v>-24</v>
      </c>
      <c r="H333" s="80">
        <f t="shared" si="7"/>
        <v>18</v>
      </c>
      <c r="I333" s="28">
        <f t="shared" ref="I333:L333" si="991">I332+C333</f>
        <v>638</v>
      </c>
      <c r="J333" s="28">
        <f t="shared" si="991"/>
        <v>-942</v>
      </c>
      <c r="K333" s="28">
        <f t="shared" si="991"/>
        <v>348</v>
      </c>
      <c r="L333" s="28">
        <f t="shared" si="991"/>
        <v>-44</v>
      </c>
      <c r="N333" s="80">
        <f t="shared" si="25"/>
        <v>18</v>
      </c>
      <c r="O333" s="28">
        <f t="shared" ref="O333:R333" si="992">O332+I326</f>
        <v>73424</v>
      </c>
      <c r="P333" s="28">
        <f t="shared" si="992"/>
        <v>-156244</v>
      </c>
      <c r="Q333" s="28">
        <f t="shared" si="992"/>
        <v>28114</v>
      </c>
      <c r="R333" s="28">
        <f t="shared" si="992"/>
        <v>54706</v>
      </c>
      <c r="T333" s="80">
        <v>18.0</v>
      </c>
      <c r="U333" s="80">
        <f t="shared" ref="U333:X333" si="993">U332+C326</f>
        <v>384</v>
      </c>
      <c r="V333" s="80">
        <f t="shared" si="993"/>
        <v>-1960</v>
      </c>
      <c r="W333" s="80">
        <f t="shared" si="993"/>
        <v>2150</v>
      </c>
      <c r="X333" s="80">
        <f t="shared" si="993"/>
        <v>-678</v>
      </c>
      <c r="Z333" s="80">
        <v>18.0</v>
      </c>
      <c r="AA333" s="10">
        <v>44618.0</v>
      </c>
      <c r="AB333" s="80">
        <v>384.0</v>
      </c>
      <c r="AC333" s="80">
        <v>-1960.0</v>
      </c>
      <c r="AD333" s="80">
        <v>2150.0</v>
      </c>
      <c r="AE333" s="80">
        <v>-678.0</v>
      </c>
    </row>
    <row r="334">
      <c r="A334" s="28">
        <f>'SAMLET_alle regnskab'!B343</f>
        <v>21</v>
      </c>
      <c r="B334" s="80">
        <f>'SAMLET_alle regnskab'!A343</f>
        <v>18</v>
      </c>
      <c r="C334" s="28">
        <f>'SAMLET_alle regnskab'!U343</f>
        <v>8</v>
      </c>
      <c r="D334" s="28">
        <f>'SAMLET_alle regnskab'!V343</f>
        <v>8</v>
      </c>
      <c r="E334" s="28">
        <f>'SAMLET_alle regnskab'!W343</f>
        <v>-8</v>
      </c>
      <c r="F334" s="28">
        <f>'SAMLET_alle regnskab'!X343</f>
        <v>-8</v>
      </c>
      <c r="H334" s="80">
        <f t="shared" si="7"/>
        <v>18</v>
      </c>
      <c r="I334" s="28">
        <f t="shared" ref="I334:L334" si="994">I333+C334</f>
        <v>646</v>
      </c>
      <c r="J334" s="28">
        <f t="shared" si="994"/>
        <v>-934</v>
      </c>
      <c r="K334" s="28">
        <f t="shared" si="994"/>
        <v>340</v>
      </c>
      <c r="L334" s="28">
        <f t="shared" si="994"/>
        <v>-52</v>
      </c>
      <c r="N334" s="80">
        <f t="shared" si="25"/>
        <v>18</v>
      </c>
      <c r="O334" s="28">
        <f t="shared" ref="O334:R334" si="995">O333+I327</f>
        <v>73954</v>
      </c>
      <c r="P334" s="28">
        <f t="shared" si="995"/>
        <v>-157230</v>
      </c>
      <c r="Q334" s="28">
        <f t="shared" si="995"/>
        <v>28562</v>
      </c>
      <c r="R334" s="28">
        <f t="shared" si="995"/>
        <v>54714</v>
      </c>
      <c r="T334" s="80">
        <v>18.0</v>
      </c>
      <c r="U334" s="80">
        <f t="shared" ref="U334:X334" si="996">U333+C327</f>
        <v>372</v>
      </c>
      <c r="V334" s="80">
        <f t="shared" si="996"/>
        <v>-1948</v>
      </c>
      <c r="W334" s="80">
        <f t="shared" si="996"/>
        <v>2162</v>
      </c>
      <c r="X334" s="80">
        <f t="shared" si="996"/>
        <v>-690</v>
      </c>
      <c r="Z334" s="80">
        <v>18.0</v>
      </c>
      <c r="AA334" s="10">
        <v>44618.0</v>
      </c>
      <c r="AB334" s="80">
        <v>372.0</v>
      </c>
      <c r="AC334" s="80">
        <v>-1948.0</v>
      </c>
      <c r="AD334" s="80">
        <v>2162.0</v>
      </c>
      <c r="AE334" s="80">
        <v>-690.0</v>
      </c>
    </row>
    <row r="335">
      <c r="A335" s="28">
        <f>'SAMLET_alle regnskab'!B344</f>
        <v>22</v>
      </c>
      <c r="B335" s="80">
        <f>'SAMLET_alle regnskab'!A344</f>
        <v>18</v>
      </c>
      <c r="C335" s="28">
        <f>'SAMLET_alle regnskab'!U344</f>
        <v>16</v>
      </c>
      <c r="D335" s="28">
        <f>'SAMLET_alle regnskab'!V344</f>
        <v>16</v>
      </c>
      <c r="E335" s="28">
        <f>'SAMLET_alle regnskab'!W344</f>
        <v>16</v>
      </c>
      <c r="F335" s="28">
        <f>'SAMLET_alle regnskab'!X344</f>
        <v>-48</v>
      </c>
      <c r="H335" s="80">
        <f t="shared" si="7"/>
        <v>18</v>
      </c>
      <c r="I335" s="28">
        <f t="shared" ref="I335:L335" si="997">I334+C335</f>
        <v>662</v>
      </c>
      <c r="J335" s="28">
        <f t="shared" si="997"/>
        <v>-918</v>
      </c>
      <c r="K335" s="28">
        <f t="shared" si="997"/>
        <v>356</v>
      </c>
      <c r="L335" s="28">
        <f t="shared" si="997"/>
        <v>-100</v>
      </c>
      <c r="N335" s="80">
        <f t="shared" si="25"/>
        <v>18</v>
      </c>
      <c r="O335" s="28">
        <f t="shared" ref="O335:R335" si="998">O334+I328</f>
        <v>74508</v>
      </c>
      <c r="P335" s="28">
        <f t="shared" si="998"/>
        <v>-158240</v>
      </c>
      <c r="Q335" s="28">
        <f t="shared" si="998"/>
        <v>28986</v>
      </c>
      <c r="R335" s="28">
        <f t="shared" si="998"/>
        <v>54746</v>
      </c>
      <c r="T335" s="80">
        <v>18.0</v>
      </c>
      <c r="U335" s="80">
        <f t="shared" ref="U335:X335" si="999">U334+C328</f>
        <v>396</v>
      </c>
      <c r="V335" s="80">
        <f t="shared" si="999"/>
        <v>-1972</v>
      </c>
      <c r="W335" s="80">
        <f t="shared" si="999"/>
        <v>2138</v>
      </c>
      <c r="X335" s="80">
        <f t="shared" si="999"/>
        <v>-666</v>
      </c>
      <c r="Z335" s="80">
        <v>18.0</v>
      </c>
      <c r="AA335" s="10">
        <v>44618.0</v>
      </c>
      <c r="AB335" s="80">
        <v>396.0</v>
      </c>
      <c r="AC335" s="80">
        <v>-1972.0</v>
      </c>
      <c r="AD335" s="80">
        <v>2138.0</v>
      </c>
      <c r="AE335" s="80">
        <v>-666.0</v>
      </c>
    </row>
    <row r="336">
      <c r="A336" s="28">
        <f>'SAMLET_alle regnskab'!B345</f>
        <v>23</v>
      </c>
      <c r="B336" s="80">
        <f>'SAMLET_alle regnskab'!A345</f>
        <v>18</v>
      </c>
      <c r="C336" s="28">
        <f>'SAMLET_alle regnskab'!U345</f>
        <v>-96</v>
      </c>
      <c r="D336" s="28">
        <f>'SAMLET_alle regnskab'!V345</f>
        <v>-96</v>
      </c>
      <c r="E336" s="28">
        <f>'SAMLET_alle regnskab'!W345</f>
        <v>96</v>
      </c>
      <c r="F336" s="28">
        <f>'SAMLET_alle regnskab'!X345</f>
        <v>96</v>
      </c>
      <c r="H336" s="80">
        <f t="shared" si="7"/>
        <v>18</v>
      </c>
      <c r="I336" s="28">
        <f t="shared" ref="I336:L336" si="1000">I335+C336</f>
        <v>566</v>
      </c>
      <c r="J336" s="28">
        <f t="shared" si="1000"/>
        <v>-1014</v>
      </c>
      <c r="K336" s="28">
        <f t="shared" si="1000"/>
        <v>452</v>
      </c>
      <c r="L336" s="28">
        <f t="shared" si="1000"/>
        <v>-4</v>
      </c>
      <c r="N336" s="80">
        <f t="shared" si="25"/>
        <v>18</v>
      </c>
      <c r="O336" s="28">
        <f t="shared" ref="O336:R336" si="1001">O335+I329</f>
        <v>75070</v>
      </c>
      <c r="P336" s="28">
        <f t="shared" si="1001"/>
        <v>-159242</v>
      </c>
      <c r="Q336" s="28">
        <f t="shared" si="1001"/>
        <v>29386</v>
      </c>
      <c r="R336" s="28">
        <f t="shared" si="1001"/>
        <v>54786</v>
      </c>
      <c r="T336" s="80">
        <v>18.0</v>
      </c>
      <c r="U336" s="80">
        <f t="shared" ref="U336:X336" si="1002">U335+C329</f>
        <v>404</v>
      </c>
      <c r="V336" s="80">
        <f t="shared" si="1002"/>
        <v>-1964</v>
      </c>
      <c r="W336" s="80">
        <f t="shared" si="1002"/>
        <v>2114</v>
      </c>
      <c r="X336" s="80">
        <f t="shared" si="1002"/>
        <v>-658</v>
      </c>
      <c r="Z336" s="80">
        <v>18.0</v>
      </c>
      <c r="AA336" s="10">
        <v>44618.0</v>
      </c>
      <c r="AB336" s="80">
        <v>404.0</v>
      </c>
      <c r="AC336" s="80">
        <v>-1964.0</v>
      </c>
      <c r="AD336" s="80">
        <v>2114.0</v>
      </c>
      <c r="AE336" s="80">
        <v>-658.0</v>
      </c>
    </row>
    <row r="337">
      <c r="A337" s="28">
        <f>'SAMLET_alle regnskab'!B346</f>
        <v>24</v>
      </c>
      <c r="B337" s="80">
        <f>'SAMLET_alle regnskab'!A346</f>
        <v>18</v>
      </c>
      <c r="C337" s="28">
        <f>'SAMLET_alle regnskab'!U346</f>
        <v>-8</v>
      </c>
      <c r="D337" s="28">
        <f>'SAMLET_alle regnskab'!V346</f>
        <v>24</v>
      </c>
      <c r="E337" s="28">
        <f>'SAMLET_alle regnskab'!W346</f>
        <v>-8</v>
      </c>
      <c r="F337" s="28">
        <f>'SAMLET_alle regnskab'!X346</f>
        <v>-8</v>
      </c>
      <c r="H337" s="80">
        <f t="shared" si="7"/>
        <v>18</v>
      </c>
      <c r="I337" s="28">
        <f t="shared" ref="I337:L337" si="1003">I336+C337</f>
        <v>558</v>
      </c>
      <c r="J337" s="28">
        <f t="shared" si="1003"/>
        <v>-990</v>
      </c>
      <c r="K337" s="28">
        <f t="shared" si="1003"/>
        <v>444</v>
      </c>
      <c r="L337" s="28">
        <f t="shared" si="1003"/>
        <v>-12</v>
      </c>
      <c r="N337" s="80">
        <f t="shared" si="25"/>
        <v>18</v>
      </c>
      <c r="O337" s="28">
        <f t="shared" ref="O337:R337" si="1004">O336+I330</f>
        <v>75644</v>
      </c>
      <c r="P337" s="28">
        <f t="shared" si="1004"/>
        <v>-160248</v>
      </c>
      <c r="Q337" s="28">
        <f t="shared" si="1004"/>
        <v>29782</v>
      </c>
      <c r="R337" s="28">
        <f t="shared" si="1004"/>
        <v>54822</v>
      </c>
      <c r="T337" s="80">
        <v>18.0</v>
      </c>
      <c r="U337" s="80">
        <f t="shared" ref="U337:X337" si="1005">U336+C330</f>
        <v>416</v>
      </c>
      <c r="V337" s="80">
        <f t="shared" si="1005"/>
        <v>-1968</v>
      </c>
      <c r="W337" s="80">
        <f t="shared" si="1005"/>
        <v>2110</v>
      </c>
      <c r="X337" s="80">
        <f t="shared" si="1005"/>
        <v>-662</v>
      </c>
      <c r="Z337" s="80">
        <v>18.0</v>
      </c>
      <c r="AA337" s="10">
        <v>44618.0</v>
      </c>
      <c r="AB337" s="80">
        <v>416.0</v>
      </c>
      <c r="AC337" s="80">
        <v>-1968.0</v>
      </c>
      <c r="AD337" s="80">
        <v>2110.0</v>
      </c>
      <c r="AE337" s="80">
        <v>-662.0</v>
      </c>
    </row>
    <row r="338">
      <c r="A338" s="28">
        <f>'SAMLET_alle regnskab'!B347</f>
        <v>25</v>
      </c>
      <c r="B338" s="80">
        <f>'SAMLET_alle regnskab'!A347</f>
        <v>18</v>
      </c>
      <c r="C338" s="28">
        <f>'SAMLET_alle regnskab'!U347</f>
        <v>12</v>
      </c>
      <c r="D338" s="28">
        <f>'SAMLET_alle regnskab'!V347</f>
        <v>-12</v>
      </c>
      <c r="E338" s="28">
        <f>'SAMLET_alle regnskab'!W347</f>
        <v>-12</v>
      </c>
      <c r="F338" s="28">
        <f>'SAMLET_alle regnskab'!X347</f>
        <v>12</v>
      </c>
      <c r="H338" s="80">
        <f t="shared" si="7"/>
        <v>18</v>
      </c>
      <c r="I338" s="28">
        <f t="shared" ref="I338:L338" si="1006">I337+C338</f>
        <v>570</v>
      </c>
      <c r="J338" s="28">
        <f t="shared" si="1006"/>
        <v>-1002</v>
      </c>
      <c r="K338" s="28">
        <f t="shared" si="1006"/>
        <v>432</v>
      </c>
      <c r="L338" s="28">
        <f t="shared" si="1006"/>
        <v>0</v>
      </c>
      <c r="N338" s="80">
        <f t="shared" si="25"/>
        <v>18</v>
      </c>
      <c r="O338" s="28">
        <f t="shared" ref="O338:R338" si="1007">O337+I331</f>
        <v>76266</v>
      </c>
      <c r="P338" s="28">
        <f t="shared" si="1007"/>
        <v>-161206</v>
      </c>
      <c r="Q338" s="28">
        <f t="shared" si="1007"/>
        <v>30130</v>
      </c>
      <c r="R338" s="28">
        <f t="shared" si="1007"/>
        <v>54810</v>
      </c>
      <c r="T338" s="80">
        <v>18.0</v>
      </c>
      <c r="U338" s="80">
        <f t="shared" ref="U338:X338" si="1008">U337+C331</f>
        <v>464</v>
      </c>
      <c r="V338" s="80">
        <f t="shared" si="1008"/>
        <v>-1920</v>
      </c>
      <c r="W338" s="80">
        <f t="shared" si="1008"/>
        <v>2062</v>
      </c>
      <c r="X338" s="80">
        <f t="shared" si="1008"/>
        <v>-710</v>
      </c>
      <c r="Z338" s="80">
        <v>18.0</v>
      </c>
      <c r="AA338" s="10">
        <v>44618.0</v>
      </c>
      <c r="AB338" s="80">
        <v>464.0</v>
      </c>
      <c r="AC338" s="80">
        <v>-1920.0</v>
      </c>
      <c r="AD338" s="80">
        <v>2062.0</v>
      </c>
      <c r="AE338" s="80">
        <v>-710.0</v>
      </c>
    </row>
    <row r="339">
      <c r="A339" s="28">
        <f>'SAMLET_alle regnskab'!B348</f>
        <v>26</v>
      </c>
      <c r="B339" s="80">
        <f>'SAMLET_alle regnskab'!A348</f>
        <v>18</v>
      </c>
      <c r="C339" s="28">
        <f>'SAMLET_alle regnskab'!U348</f>
        <v>16</v>
      </c>
      <c r="D339" s="28">
        <f>'SAMLET_alle regnskab'!V348</f>
        <v>16</v>
      </c>
      <c r="E339" s="28">
        <f>'SAMLET_alle regnskab'!W348</f>
        <v>-16</v>
      </c>
      <c r="F339" s="28">
        <f>'SAMLET_alle regnskab'!X348</f>
        <v>-16</v>
      </c>
      <c r="H339" s="80">
        <f t="shared" si="7"/>
        <v>18</v>
      </c>
      <c r="I339" s="28">
        <f t="shared" ref="I339:L339" si="1009">I338+C339</f>
        <v>586</v>
      </c>
      <c r="J339" s="28">
        <f t="shared" si="1009"/>
        <v>-986</v>
      </c>
      <c r="K339" s="28">
        <f t="shared" si="1009"/>
        <v>416</v>
      </c>
      <c r="L339" s="28">
        <f t="shared" si="1009"/>
        <v>-16</v>
      </c>
      <c r="N339" s="80">
        <f t="shared" si="25"/>
        <v>18</v>
      </c>
      <c r="O339" s="28">
        <f t="shared" ref="O339:R339" si="1010">O338+I332</f>
        <v>76896</v>
      </c>
      <c r="P339" s="28">
        <f t="shared" si="1010"/>
        <v>-162156</v>
      </c>
      <c r="Q339" s="28">
        <f t="shared" si="1010"/>
        <v>30470</v>
      </c>
      <c r="R339" s="28">
        <f t="shared" si="1010"/>
        <v>54790</v>
      </c>
      <c r="T339" s="80">
        <v>18.0</v>
      </c>
      <c r="U339" s="80">
        <f t="shared" ref="U339:X339" si="1011">U338+C332</f>
        <v>472</v>
      </c>
      <c r="V339" s="80">
        <f t="shared" si="1011"/>
        <v>-1912</v>
      </c>
      <c r="W339" s="80">
        <f t="shared" si="1011"/>
        <v>2054</v>
      </c>
      <c r="X339" s="80">
        <f t="shared" si="1011"/>
        <v>-718</v>
      </c>
      <c r="Z339" s="80">
        <v>18.0</v>
      </c>
      <c r="AA339" s="10">
        <v>44618.0</v>
      </c>
      <c r="AB339" s="80">
        <v>472.0</v>
      </c>
      <c r="AC339" s="80">
        <v>-1912.0</v>
      </c>
      <c r="AD339" s="80">
        <v>2054.0</v>
      </c>
      <c r="AE339" s="80">
        <v>-718.0</v>
      </c>
    </row>
    <row r="340">
      <c r="A340" s="28">
        <f>'SAMLET_alle regnskab'!B349</f>
        <v>27</v>
      </c>
      <c r="B340" s="80">
        <f>'SAMLET_alle regnskab'!A349</f>
        <v>18</v>
      </c>
      <c r="C340" s="28">
        <f>'SAMLET_alle regnskab'!U349</f>
        <v>-8</v>
      </c>
      <c r="D340" s="28">
        <f>'SAMLET_alle regnskab'!V349</f>
        <v>24</v>
      </c>
      <c r="E340" s="28">
        <f>'SAMLET_alle regnskab'!W349</f>
        <v>-8</v>
      </c>
      <c r="F340" s="28">
        <f>'SAMLET_alle regnskab'!X349</f>
        <v>-8</v>
      </c>
      <c r="H340" s="80">
        <f t="shared" si="7"/>
        <v>18</v>
      </c>
      <c r="I340" s="28">
        <f t="shared" ref="I340:L340" si="1012">I339+C340</f>
        <v>578</v>
      </c>
      <c r="J340" s="28">
        <f t="shared" si="1012"/>
        <v>-962</v>
      </c>
      <c r="K340" s="28">
        <f t="shared" si="1012"/>
        <v>408</v>
      </c>
      <c r="L340" s="28">
        <f t="shared" si="1012"/>
        <v>-24</v>
      </c>
      <c r="N340" s="80">
        <f t="shared" si="25"/>
        <v>18</v>
      </c>
      <c r="O340" s="28">
        <f t="shared" ref="O340:R340" si="1013">O339+I333</f>
        <v>77534</v>
      </c>
      <c r="P340" s="28">
        <f t="shared" si="1013"/>
        <v>-163098</v>
      </c>
      <c r="Q340" s="28">
        <f t="shared" si="1013"/>
        <v>30818</v>
      </c>
      <c r="R340" s="28">
        <f t="shared" si="1013"/>
        <v>54746</v>
      </c>
      <c r="T340" s="80">
        <v>18.0</v>
      </c>
      <c r="U340" s="80">
        <f t="shared" ref="U340:X340" si="1014">U339+C333</f>
        <v>480</v>
      </c>
      <c r="V340" s="80">
        <f t="shared" si="1014"/>
        <v>-1904</v>
      </c>
      <c r="W340" s="80">
        <f t="shared" si="1014"/>
        <v>2062</v>
      </c>
      <c r="X340" s="80">
        <f t="shared" si="1014"/>
        <v>-742</v>
      </c>
      <c r="Z340" s="80">
        <v>18.0</v>
      </c>
      <c r="AA340" s="10">
        <v>44618.0</v>
      </c>
      <c r="AB340" s="80">
        <v>480.0</v>
      </c>
      <c r="AC340" s="80">
        <v>-1904.0</v>
      </c>
      <c r="AD340" s="80">
        <v>2062.0</v>
      </c>
      <c r="AE340" s="80">
        <v>-742.0</v>
      </c>
    </row>
    <row r="341">
      <c r="A341" s="28">
        <f>'SAMLET_alle regnskab'!B350</f>
        <v>28</v>
      </c>
      <c r="B341" s="80">
        <f>'SAMLET_alle regnskab'!A350</f>
        <v>18</v>
      </c>
      <c r="C341" s="28">
        <f>'SAMLET_alle regnskab'!U350</f>
        <v>16</v>
      </c>
      <c r="D341" s="28">
        <f>'SAMLET_alle regnskab'!V350</f>
        <v>-48</v>
      </c>
      <c r="E341" s="28">
        <f>'SAMLET_alle regnskab'!W350</f>
        <v>16</v>
      </c>
      <c r="F341" s="28">
        <f>'SAMLET_alle regnskab'!X350</f>
        <v>16</v>
      </c>
      <c r="H341" s="80">
        <f t="shared" si="7"/>
        <v>18</v>
      </c>
      <c r="I341" s="28">
        <f t="shared" ref="I341:L341" si="1015">I340+C341</f>
        <v>594</v>
      </c>
      <c r="J341" s="28">
        <f t="shared" si="1015"/>
        <v>-1010</v>
      </c>
      <c r="K341" s="28">
        <f t="shared" si="1015"/>
        <v>424</v>
      </c>
      <c r="L341" s="28">
        <f t="shared" si="1015"/>
        <v>-8</v>
      </c>
      <c r="N341" s="80">
        <f t="shared" si="25"/>
        <v>18</v>
      </c>
      <c r="O341" s="28">
        <f t="shared" ref="O341:R341" si="1016">O340+I334</f>
        <v>78180</v>
      </c>
      <c r="P341" s="28">
        <f t="shared" si="1016"/>
        <v>-164032</v>
      </c>
      <c r="Q341" s="28">
        <f t="shared" si="1016"/>
        <v>31158</v>
      </c>
      <c r="R341" s="28">
        <f t="shared" si="1016"/>
        <v>54694</v>
      </c>
      <c r="T341" s="80">
        <v>18.0</v>
      </c>
      <c r="U341" s="80">
        <f t="shared" ref="U341:X341" si="1017">U340+C334</f>
        <v>488</v>
      </c>
      <c r="V341" s="80">
        <f t="shared" si="1017"/>
        <v>-1896</v>
      </c>
      <c r="W341" s="80">
        <f t="shared" si="1017"/>
        <v>2054</v>
      </c>
      <c r="X341" s="80">
        <f t="shared" si="1017"/>
        <v>-750</v>
      </c>
      <c r="Z341" s="80">
        <v>18.0</v>
      </c>
      <c r="AA341" s="10">
        <v>44618.0</v>
      </c>
      <c r="AB341" s="80">
        <v>488.0</v>
      </c>
      <c r="AC341" s="80">
        <v>-1896.0</v>
      </c>
      <c r="AD341" s="80">
        <v>2054.0</v>
      </c>
      <c r="AE341" s="80">
        <v>-750.0</v>
      </c>
    </row>
    <row r="342">
      <c r="A342" s="28">
        <f>'SAMLET_alle regnskab'!B351</f>
        <v>29</v>
      </c>
      <c r="B342" s="80">
        <f>'SAMLET_alle regnskab'!A351</f>
        <v>18</v>
      </c>
      <c r="C342" s="28">
        <f>'SAMLET_alle regnskab'!U351</f>
        <v>8</v>
      </c>
      <c r="D342" s="28">
        <f>'SAMLET_alle regnskab'!V351</f>
        <v>8</v>
      </c>
      <c r="E342" s="28">
        <f>'SAMLET_alle regnskab'!W351</f>
        <v>8</v>
      </c>
      <c r="F342" s="28">
        <f>'SAMLET_alle regnskab'!X351</f>
        <v>-24</v>
      </c>
      <c r="H342" s="80">
        <f t="shared" si="7"/>
        <v>18</v>
      </c>
      <c r="I342" s="28">
        <f t="shared" ref="I342:L342" si="1018">I341+C342</f>
        <v>602</v>
      </c>
      <c r="J342" s="28">
        <f t="shared" si="1018"/>
        <v>-1002</v>
      </c>
      <c r="K342" s="28">
        <f t="shared" si="1018"/>
        <v>432</v>
      </c>
      <c r="L342" s="28">
        <f t="shared" si="1018"/>
        <v>-32</v>
      </c>
      <c r="N342" s="80">
        <f t="shared" si="25"/>
        <v>18</v>
      </c>
      <c r="O342" s="28">
        <f t="shared" ref="O342:R342" si="1019">O341+I335</f>
        <v>78842</v>
      </c>
      <c r="P342" s="28">
        <f t="shared" si="1019"/>
        <v>-164950</v>
      </c>
      <c r="Q342" s="28">
        <f t="shared" si="1019"/>
        <v>31514</v>
      </c>
      <c r="R342" s="28">
        <f t="shared" si="1019"/>
        <v>54594</v>
      </c>
      <c r="T342" s="80">
        <v>18.0</v>
      </c>
      <c r="U342" s="80">
        <f t="shared" ref="U342:X342" si="1020">U341+C335</f>
        <v>504</v>
      </c>
      <c r="V342" s="80">
        <f t="shared" si="1020"/>
        <v>-1880</v>
      </c>
      <c r="W342" s="80">
        <f t="shared" si="1020"/>
        <v>2070</v>
      </c>
      <c r="X342" s="80">
        <f t="shared" si="1020"/>
        <v>-798</v>
      </c>
      <c r="Z342" s="80">
        <v>18.0</v>
      </c>
      <c r="AA342" s="10">
        <v>44618.0</v>
      </c>
      <c r="AB342" s="80">
        <v>504.0</v>
      </c>
      <c r="AC342" s="80">
        <v>-1880.0</v>
      </c>
      <c r="AD342" s="80">
        <v>2070.0</v>
      </c>
      <c r="AE342" s="80">
        <v>-798.0</v>
      </c>
    </row>
    <row r="343">
      <c r="A343" s="28">
        <f>'SAMLET_alle regnskab'!B352</f>
        <v>30</v>
      </c>
      <c r="B343" s="80">
        <f>'SAMLET_alle regnskab'!A352</f>
        <v>18</v>
      </c>
      <c r="C343" s="28">
        <f>'SAMLET_alle regnskab'!U352</f>
        <v>-32</v>
      </c>
      <c r="D343" s="28">
        <f>'SAMLET_alle regnskab'!V352</f>
        <v>-32</v>
      </c>
      <c r="E343" s="28">
        <f>'SAMLET_alle regnskab'!W352</f>
        <v>32</v>
      </c>
      <c r="F343" s="28">
        <f>'SAMLET_alle regnskab'!X352</f>
        <v>32</v>
      </c>
      <c r="H343" s="80">
        <f t="shared" si="7"/>
        <v>18</v>
      </c>
      <c r="I343" s="28">
        <f t="shared" ref="I343:L343" si="1021">I342+C343</f>
        <v>570</v>
      </c>
      <c r="J343" s="28">
        <f t="shared" si="1021"/>
        <v>-1034</v>
      </c>
      <c r="K343" s="28">
        <f t="shared" si="1021"/>
        <v>464</v>
      </c>
      <c r="L343" s="28">
        <f t="shared" si="1021"/>
        <v>0</v>
      </c>
      <c r="N343" s="80">
        <f t="shared" si="25"/>
        <v>18</v>
      </c>
      <c r="O343" s="28">
        <f t="shared" ref="O343:R343" si="1022">O342+I336</f>
        <v>79408</v>
      </c>
      <c r="P343" s="28">
        <f t="shared" si="1022"/>
        <v>-165964</v>
      </c>
      <c r="Q343" s="28">
        <f t="shared" si="1022"/>
        <v>31966</v>
      </c>
      <c r="R343" s="28">
        <f t="shared" si="1022"/>
        <v>54590</v>
      </c>
      <c r="T343" s="80">
        <v>18.0</v>
      </c>
      <c r="U343" s="80">
        <f t="shared" ref="U343:X343" si="1023">U342+C336</f>
        <v>408</v>
      </c>
      <c r="V343" s="80">
        <f t="shared" si="1023"/>
        <v>-1976</v>
      </c>
      <c r="W343" s="80">
        <f t="shared" si="1023"/>
        <v>2166</v>
      </c>
      <c r="X343" s="80">
        <f t="shared" si="1023"/>
        <v>-702</v>
      </c>
      <c r="Z343" s="80">
        <v>18.0</v>
      </c>
      <c r="AA343" s="10">
        <v>44618.0</v>
      </c>
      <c r="AB343" s="80">
        <v>408.0</v>
      </c>
      <c r="AC343" s="80">
        <v>-1976.0</v>
      </c>
      <c r="AD343" s="80">
        <v>2166.0</v>
      </c>
      <c r="AE343" s="80">
        <v>-702.0</v>
      </c>
    </row>
    <row r="344">
      <c r="A344" s="28">
        <f>'SAMLET_alle regnskab'!B353</f>
        <v>31</v>
      </c>
      <c r="B344" s="80">
        <f>'SAMLET_alle regnskab'!A353</f>
        <v>18</v>
      </c>
      <c r="C344" s="28">
        <f>'SAMLET_alle regnskab'!U353</f>
        <v>-48</v>
      </c>
      <c r="D344" s="28">
        <f>'SAMLET_alle regnskab'!V353</f>
        <v>-48</v>
      </c>
      <c r="E344" s="28">
        <f>'SAMLET_alle regnskab'!W353</f>
        <v>48</v>
      </c>
      <c r="F344" s="28">
        <f>'SAMLET_alle regnskab'!X353</f>
        <v>48</v>
      </c>
      <c r="H344" s="80">
        <f t="shared" si="7"/>
        <v>18</v>
      </c>
      <c r="I344" s="28">
        <f t="shared" ref="I344:L344" si="1024">I343+C344</f>
        <v>522</v>
      </c>
      <c r="J344" s="28">
        <f t="shared" si="1024"/>
        <v>-1082</v>
      </c>
      <c r="K344" s="28">
        <f t="shared" si="1024"/>
        <v>512</v>
      </c>
      <c r="L344" s="28">
        <f t="shared" si="1024"/>
        <v>48</v>
      </c>
      <c r="N344" s="80">
        <f t="shared" si="25"/>
        <v>18</v>
      </c>
      <c r="O344" s="28">
        <f t="shared" ref="O344:R344" si="1025">O343+I337</f>
        <v>79966</v>
      </c>
      <c r="P344" s="28">
        <f t="shared" si="1025"/>
        <v>-166954</v>
      </c>
      <c r="Q344" s="28">
        <f t="shared" si="1025"/>
        <v>32410</v>
      </c>
      <c r="R344" s="28">
        <f t="shared" si="1025"/>
        <v>54578</v>
      </c>
      <c r="T344" s="80">
        <v>18.0</v>
      </c>
      <c r="U344" s="80">
        <f t="shared" ref="U344:X344" si="1026">U343+C337</f>
        <v>400</v>
      </c>
      <c r="V344" s="80">
        <f t="shared" si="1026"/>
        <v>-1952</v>
      </c>
      <c r="W344" s="80">
        <f t="shared" si="1026"/>
        <v>2158</v>
      </c>
      <c r="X344" s="80">
        <f t="shared" si="1026"/>
        <v>-710</v>
      </c>
      <c r="Z344" s="80">
        <v>18.0</v>
      </c>
      <c r="AA344" s="10">
        <v>44618.0</v>
      </c>
      <c r="AB344" s="80">
        <v>400.0</v>
      </c>
      <c r="AC344" s="80">
        <v>-1952.0</v>
      </c>
      <c r="AD344" s="80">
        <v>2158.0</v>
      </c>
      <c r="AE344" s="80">
        <v>-710.0</v>
      </c>
    </row>
    <row r="345">
      <c r="A345" s="28">
        <f>'SAMLET_alle regnskab'!B354</f>
        <v>32</v>
      </c>
      <c r="B345" s="80">
        <f>'SAMLET_alle regnskab'!A354</f>
        <v>18</v>
      </c>
      <c r="C345" s="28">
        <f>'SAMLET_alle regnskab'!U354</f>
        <v>8</v>
      </c>
      <c r="D345" s="28">
        <f>'SAMLET_alle regnskab'!V354</f>
        <v>-8</v>
      </c>
      <c r="E345" s="28">
        <f>'SAMLET_alle regnskab'!W354</f>
        <v>-8</v>
      </c>
      <c r="F345" s="28">
        <f>'SAMLET_alle regnskab'!X354</f>
        <v>8</v>
      </c>
      <c r="H345" s="80">
        <f t="shared" si="7"/>
        <v>18</v>
      </c>
      <c r="I345" s="28">
        <f t="shared" ref="I345:L345" si="1027">I344+C345</f>
        <v>530</v>
      </c>
      <c r="J345" s="28">
        <f t="shared" si="1027"/>
        <v>-1090</v>
      </c>
      <c r="K345" s="28">
        <f t="shared" si="1027"/>
        <v>504</v>
      </c>
      <c r="L345" s="28">
        <f t="shared" si="1027"/>
        <v>56</v>
      </c>
      <c r="N345" s="80">
        <f t="shared" si="25"/>
        <v>18</v>
      </c>
      <c r="O345" s="28">
        <f t="shared" ref="O345:R345" si="1028">O344+I338</f>
        <v>80536</v>
      </c>
      <c r="P345" s="28">
        <f t="shared" si="1028"/>
        <v>-167956</v>
      </c>
      <c r="Q345" s="28">
        <f t="shared" si="1028"/>
        <v>32842</v>
      </c>
      <c r="R345" s="28">
        <f t="shared" si="1028"/>
        <v>54578</v>
      </c>
      <c r="T345" s="80">
        <v>18.0</v>
      </c>
      <c r="U345" s="80">
        <f t="shared" ref="U345:X345" si="1029">U344+C338</f>
        <v>412</v>
      </c>
      <c r="V345" s="80">
        <f t="shared" si="1029"/>
        <v>-1964</v>
      </c>
      <c r="W345" s="80">
        <f t="shared" si="1029"/>
        <v>2146</v>
      </c>
      <c r="X345" s="80">
        <f t="shared" si="1029"/>
        <v>-698</v>
      </c>
      <c r="Z345" s="80">
        <v>18.0</v>
      </c>
      <c r="AA345" s="10">
        <v>44618.0</v>
      </c>
      <c r="AB345" s="80">
        <v>412.0</v>
      </c>
      <c r="AC345" s="80">
        <v>-1964.0</v>
      </c>
      <c r="AD345" s="80">
        <v>2146.0</v>
      </c>
      <c r="AE345" s="80">
        <v>-698.0</v>
      </c>
    </row>
    <row r="346">
      <c r="A346" s="28">
        <f>'SAMLET_alle regnskab'!B355</f>
        <v>33</v>
      </c>
      <c r="B346" s="80">
        <f>'SAMLET_alle regnskab'!A355</f>
        <v>18</v>
      </c>
      <c r="C346" s="28">
        <f>'SAMLET_alle regnskab'!U355</f>
        <v>20</v>
      </c>
      <c r="D346" s="28">
        <f>'SAMLET_alle regnskab'!V355</f>
        <v>-20</v>
      </c>
      <c r="E346" s="28">
        <f>'SAMLET_alle regnskab'!W355</f>
        <v>20</v>
      </c>
      <c r="F346" s="28">
        <f>'SAMLET_alle regnskab'!X355</f>
        <v>-20</v>
      </c>
      <c r="H346" s="80">
        <f t="shared" si="7"/>
        <v>18</v>
      </c>
      <c r="I346" s="28">
        <f t="shared" ref="I346:L346" si="1030">I345+C346</f>
        <v>550</v>
      </c>
      <c r="J346" s="28">
        <f t="shared" si="1030"/>
        <v>-1110</v>
      </c>
      <c r="K346" s="28">
        <f t="shared" si="1030"/>
        <v>524</v>
      </c>
      <c r="L346" s="28">
        <f t="shared" si="1030"/>
        <v>36</v>
      </c>
      <c r="N346" s="80">
        <f t="shared" si="25"/>
        <v>18</v>
      </c>
      <c r="O346" s="28">
        <f t="shared" ref="O346:R346" si="1031">O345+I339</f>
        <v>81122</v>
      </c>
      <c r="P346" s="28">
        <f t="shared" si="1031"/>
        <v>-168942</v>
      </c>
      <c r="Q346" s="28">
        <f t="shared" si="1031"/>
        <v>33258</v>
      </c>
      <c r="R346" s="28">
        <f t="shared" si="1031"/>
        <v>54562</v>
      </c>
      <c r="T346" s="80">
        <v>18.0</v>
      </c>
      <c r="U346" s="80">
        <f t="shared" ref="U346:X346" si="1032">U345+C339</f>
        <v>428</v>
      </c>
      <c r="V346" s="80">
        <f t="shared" si="1032"/>
        <v>-1948</v>
      </c>
      <c r="W346" s="80">
        <f t="shared" si="1032"/>
        <v>2130</v>
      </c>
      <c r="X346" s="80">
        <f t="shared" si="1032"/>
        <v>-714</v>
      </c>
      <c r="Z346" s="80">
        <v>18.0</v>
      </c>
      <c r="AA346" s="10">
        <v>44618.0</v>
      </c>
      <c r="AB346" s="80">
        <v>428.0</v>
      </c>
      <c r="AC346" s="80">
        <v>-1948.0</v>
      </c>
      <c r="AD346" s="80">
        <v>2130.0</v>
      </c>
      <c r="AE346" s="80">
        <v>-714.0</v>
      </c>
    </row>
    <row r="347">
      <c r="A347" s="28">
        <f>'SAMLET_alle regnskab'!B356</f>
        <v>34</v>
      </c>
      <c r="B347" s="80">
        <f>'SAMLET_alle regnskab'!A356</f>
        <v>18</v>
      </c>
      <c r="C347" s="28">
        <f>'SAMLET_alle regnskab'!U356</f>
        <v>24</v>
      </c>
      <c r="D347" s="28">
        <f>'SAMLET_alle regnskab'!V356</f>
        <v>-24</v>
      </c>
      <c r="E347" s="28">
        <f>'SAMLET_alle regnskab'!W356</f>
        <v>24</v>
      </c>
      <c r="F347" s="28">
        <f>'SAMLET_alle regnskab'!X356</f>
        <v>-24</v>
      </c>
      <c r="H347" s="80">
        <f t="shared" si="7"/>
        <v>18</v>
      </c>
      <c r="I347" s="28">
        <f t="shared" ref="I347:L347" si="1033">I346+C347</f>
        <v>574</v>
      </c>
      <c r="J347" s="28">
        <f t="shared" si="1033"/>
        <v>-1134</v>
      </c>
      <c r="K347" s="28">
        <f t="shared" si="1033"/>
        <v>548</v>
      </c>
      <c r="L347" s="28">
        <f t="shared" si="1033"/>
        <v>12</v>
      </c>
      <c r="N347" s="80">
        <f t="shared" si="25"/>
        <v>18</v>
      </c>
      <c r="O347" s="28">
        <f t="shared" ref="O347:R347" si="1034">O346+I340</f>
        <v>81700</v>
      </c>
      <c r="P347" s="28">
        <f t="shared" si="1034"/>
        <v>-169904</v>
      </c>
      <c r="Q347" s="28">
        <f t="shared" si="1034"/>
        <v>33666</v>
      </c>
      <c r="R347" s="28">
        <f t="shared" si="1034"/>
        <v>54538</v>
      </c>
      <c r="T347" s="80">
        <v>18.0</v>
      </c>
      <c r="U347" s="80">
        <f t="shared" ref="U347:X347" si="1035">U346+C340</f>
        <v>420</v>
      </c>
      <c r="V347" s="80">
        <f t="shared" si="1035"/>
        <v>-1924</v>
      </c>
      <c r="W347" s="80">
        <f t="shared" si="1035"/>
        <v>2122</v>
      </c>
      <c r="X347" s="80">
        <f t="shared" si="1035"/>
        <v>-722</v>
      </c>
      <c r="Z347" s="80">
        <v>18.0</v>
      </c>
      <c r="AA347" s="10">
        <v>44618.0</v>
      </c>
      <c r="AB347" s="80">
        <v>420.0</v>
      </c>
      <c r="AC347" s="80">
        <v>-1924.0</v>
      </c>
      <c r="AD347" s="80">
        <v>2122.0</v>
      </c>
      <c r="AE347" s="80">
        <v>-722.0</v>
      </c>
    </row>
    <row r="348">
      <c r="A348" s="28">
        <f>'SAMLET_alle regnskab'!B357</f>
        <v>35</v>
      </c>
      <c r="B348" s="80">
        <f>'SAMLET_alle regnskab'!A357</f>
        <v>18</v>
      </c>
      <c r="C348" s="28">
        <f>'SAMLET_alle regnskab'!U357</f>
        <v>-8</v>
      </c>
      <c r="D348" s="28">
        <f>'SAMLET_alle regnskab'!V357</f>
        <v>-8</v>
      </c>
      <c r="E348" s="28">
        <f>'SAMLET_alle regnskab'!W357</f>
        <v>-8</v>
      </c>
      <c r="F348" s="28">
        <f>'SAMLET_alle regnskab'!X357</f>
        <v>24</v>
      </c>
      <c r="H348" s="80">
        <f t="shared" si="7"/>
        <v>18</v>
      </c>
      <c r="I348" s="28">
        <f t="shared" ref="I348:L348" si="1036">I347+C348</f>
        <v>566</v>
      </c>
      <c r="J348" s="28">
        <f t="shared" si="1036"/>
        <v>-1142</v>
      </c>
      <c r="K348" s="28">
        <f t="shared" si="1036"/>
        <v>540</v>
      </c>
      <c r="L348" s="28">
        <f t="shared" si="1036"/>
        <v>36</v>
      </c>
      <c r="N348" s="80">
        <f t="shared" si="25"/>
        <v>18</v>
      </c>
      <c r="O348" s="28">
        <f t="shared" ref="O348:R348" si="1037">O347+I341</f>
        <v>82294</v>
      </c>
      <c r="P348" s="28">
        <f t="shared" si="1037"/>
        <v>-170914</v>
      </c>
      <c r="Q348" s="28">
        <f t="shared" si="1037"/>
        <v>34090</v>
      </c>
      <c r="R348" s="28">
        <f t="shared" si="1037"/>
        <v>54530</v>
      </c>
      <c r="T348" s="80">
        <v>18.0</v>
      </c>
      <c r="U348" s="80">
        <f t="shared" ref="U348:X348" si="1038">U347+C341</f>
        <v>436</v>
      </c>
      <c r="V348" s="80">
        <f t="shared" si="1038"/>
        <v>-1972</v>
      </c>
      <c r="W348" s="80">
        <f t="shared" si="1038"/>
        <v>2138</v>
      </c>
      <c r="X348" s="80">
        <f t="shared" si="1038"/>
        <v>-706</v>
      </c>
      <c r="Z348" s="80">
        <v>18.0</v>
      </c>
      <c r="AA348" s="10">
        <v>44618.0</v>
      </c>
      <c r="AB348" s="80">
        <v>436.0</v>
      </c>
      <c r="AC348" s="80">
        <v>-1972.0</v>
      </c>
      <c r="AD348" s="80">
        <v>2138.0</v>
      </c>
      <c r="AE348" s="80">
        <v>-706.0</v>
      </c>
    </row>
    <row r="349">
      <c r="A349" s="28">
        <f>'SAMLET_alle regnskab'!B358</f>
        <v>36</v>
      </c>
      <c r="B349" s="80">
        <f>'SAMLET_alle regnskab'!A358</f>
        <v>18</v>
      </c>
      <c r="C349" s="28">
        <f>'SAMLET_alle regnskab'!U358</f>
        <v>16</v>
      </c>
      <c r="D349" s="28">
        <f>'SAMLET_alle regnskab'!V358</f>
        <v>-16</v>
      </c>
      <c r="E349" s="28">
        <f>'SAMLET_alle regnskab'!W358</f>
        <v>16</v>
      </c>
      <c r="F349" s="28">
        <f>'SAMLET_alle regnskab'!X358</f>
        <v>-16</v>
      </c>
      <c r="H349" s="80">
        <f t="shared" si="7"/>
        <v>18</v>
      </c>
      <c r="I349" s="28">
        <f t="shared" ref="I349:L349" si="1039">I348+C349</f>
        <v>582</v>
      </c>
      <c r="J349" s="28">
        <f t="shared" si="1039"/>
        <v>-1158</v>
      </c>
      <c r="K349" s="28">
        <f t="shared" si="1039"/>
        <v>556</v>
      </c>
      <c r="L349" s="28">
        <f t="shared" si="1039"/>
        <v>20</v>
      </c>
      <c r="N349" s="80">
        <f t="shared" si="25"/>
        <v>18</v>
      </c>
      <c r="O349" s="28">
        <f t="shared" ref="O349:R349" si="1040">O348+I342</f>
        <v>82896</v>
      </c>
      <c r="P349" s="28">
        <f t="shared" si="1040"/>
        <v>-171916</v>
      </c>
      <c r="Q349" s="28">
        <f t="shared" si="1040"/>
        <v>34522</v>
      </c>
      <c r="R349" s="28">
        <f t="shared" si="1040"/>
        <v>54498</v>
      </c>
      <c r="T349" s="80">
        <v>18.0</v>
      </c>
      <c r="U349" s="80">
        <f t="shared" ref="U349:X349" si="1041">U348+C342</f>
        <v>444</v>
      </c>
      <c r="V349" s="80">
        <f t="shared" si="1041"/>
        <v>-1964</v>
      </c>
      <c r="W349" s="80">
        <f t="shared" si="1041"/>
        <v>2146</v>
      </c>
      <c r="X349" s="80">
        <f t="shared" si="1041"/>
        <v>-730</v>
      </c>
      <c r="Z349" s="80">
        <v>18.0</v>
      </c>
      <c r="AA349" s="10">
        <v>44618.0</v>
      </c>
      <c r="AB349" s="80">
        <v>444.0</v>
      </c>
      <c r="AC349" s="80">
        <v>-1964.0</v>
      </c>
      <c r="AD349" s="80">
        <v>2146.0</v>
      </c>
      <c r="AE349" s="80">
        <v>-730.0</v>
      </c>
    </row>
    <row r="350">
      <c r="A350" s="28">
        <f>'SAMLET_alle regnskab'!B359</f>
        <v>37</v>
      </c>
      <c r="B350" s="80">
        <f>'SAMLET_alle regnskab'!A359</f>
        <v>18</v>
      </c>
      <c r="C350" s="28">
        <f>'SAMLET_alle regnskab'!U359</f>
        <v>-8</v>
      </c>
      <c r="D350" s="28">
        <f>'SAMLET_alle regnskab'!V359</f>
        <v>-8</v>
      </c>
      <c r="E350" s="28">
        <f>'SAMLET_alle regnskab'!W359</f>
        <v>-8</v>
      </c>
      <c r="F350" s="28">
        <f>'SAMLET_alle regnskab'!X359</f>
        <v>24</v>
      </c>
      <c r="H350" s="80">
        <f t="shared" si="7"/>
        <v>18</v>
      </c>
      <c r="I350" s="28">
        <f t="shared" ref="I350:L350" si="1042">I349+C350</f>
        <v>574</v>
      </c>
      <c r="J350" s="28">
        <f t="shared" si="1042"/>
        <v>-1166</v>
      </c>
      <c r="K350" s="28">
        <f t="shared" si="1042"/>
        <v>548</v>
      </c>
      <c r="L350" s="28">
        <f t="shared" si="1042"/>
        <v>44</v>
      </c>
      <c r="N350" s="80">
        <f t="shared" si="25"/>
        <v>18</v>
      </c>
      <c r="O350" s="28">
        <f t="shared" ref="O350:R350" si="1043">O349+I343</f>
        <v>83466</v>
      </c>
      <c r="P350" s="28">
        <f t="shared" si="1043"/>
        <v>-172950</v>
      </c>
      <c r="Q350" s="28">
        <f t="shared" si="1043"/>
        <v>34986</v>
      </c>
      <c r="R350" s="28">
        <f t="shared" si="1043"/>
        <v>54498</v>
      </c>
      <c r="T350" s="80">
        <v>18.0</v>
      </c>
      <c r="U350" s="80">
        <f t="shared" ref="U350:X350" si="1044">U349+C343</f>
        <v>412</v>
      </c>
      <c r="V350" s="80">
        <f t="shared" si="1044"/>
        <v>-1996</v>
      </c>
      <c r="W350" s="80">
        <f t="shared" si="1044"/>
        <v>2178</v>
      </c>
      <c r="X350" s="80">
        <f t="shared" si="1044"/>
        <v>-698</v>
      </c>
      <c r="Z350" s="80">
        <v>18.0</v>
      </c>
      <c r="AA350" s="10">
        <v>44618.0</v>
      </c>
      <c r="AB350" s="80">
        <v>412.0</v>
      </c>
      <c r="AC350" s="80">
        <v>-1996.0</v>
      </c>
      <c r="AD350" s="80">
        <v>2178.0</v>
      </c>
      <c r="AE350" s="80">
        <v>-698.0</v>
      </c>
    </row>
    <row r="351">
      <c r="A351" s="28">
        <f>'SAMLET_alle regnskab'!B360</f>
        <v>38</v>
      </c>
      <c r="B351" s="80">
        <f>'SAMLET_alle regnskab'!A360</f>
        <v>18</v>
      </c>
      <c r="C351" s="28">
        <f>'SAMLET_alle regnskab'!U360</f>
        <v>12</v>
      </c>
      <c r="D351" s="28">
        <f>'SAMLET_alle regnskab'!V360</f>
        <v>12</v>
      </c>
      <c r="E351" s="28">
        <f>'SAMLET_alle regnskab'!W360</f>
        <v>-12</v>
      </c>
      <c r="F351" s="28">
        <f>'SAMLET_alle regnskab'!X360</f>
        <v>-12</v>
      </c>
      <c r="H351" s="80">
        <f t="shared" si="7"/>
        <v>18</v>
      </c>
      <c r="I351" s="28">
        <f t="shared" ref="I351:L351" si="1045">I350+C351</f>
        <v>586</v>
      </c>
      <c r="J351" s="28">
        <f t="shared" si="1045"/>
        <v>-1154</v>
      </c>
      <c r="K351" s="28">
        <f t="shared" si="1045"/>
        <v>536</v>
      </c>
      <c r="L351" s="28">
        <f t="shared" si="1045"/>
        <v>32</v>
      </c>
      <c r="N351" s="80">
        <f t="shared" si="25"/>
        <v>18</v>
      </c>
      <c r="O351" s="28">
        <f t="shared" ref="O351:R351" si="1046">O350+I344</f>
        <v>83988</v>
      </c>
      <c r="P351" s="28">
        <f t="shared" si="1046"/>
        <v>-174032</v>
      </c>
      <c r="Q351" s="28">
        <f t="shared" si="1046"/>
        <v>35498</v>
      </c>
      <c r="R351" s="28">
        <f t="shared" si="1046"/>
        <v>54546</v>
      </c>
      <c r="T351" s="80">
        <v>18.0</v>
      </c>
      <c r="U351" s="80">
        <f t="shared" ref="U351:X351" si="1047">U350+C344</f>
        <v>364</v>
      </c>
      <c r="V351" s="80">
        <f t="shared" si="1047"/>
        <v>-2044</v>
      </c>
      <c r="W351" s="80">
        <f t="shared" si="1047"/>
        <v>2226</v>
      </c>
      <c r="X351" s="80">
        <f t="shared" si="1047"/>
        <v>-650</v>
      </c>
      <c r="Z351" s="80">
        <v>18.0</v>
      </c>
      <c r="AA351" s="10">
        <v>44618.0</v>
      </c>
      <c r="AB351" s="80">
        <v>364.0</v>
      </c>
      <c r="AC351" s="80">
        <v>-2044.0</v>
      </c>
      <c r="AD351" s="80">
        <v>2226.0</v>
      </c>
      <c r="AE351" s="80">
        <v>-650.0</v>
      </c>
    </row>
    <row r="352">
      <c r="A352" s="28">
        <f>'SAMLET_alle regnskab'!B361</f>
        <v>39</v>
      </c>
      <c r="B352" s="80">
        <f>'SAMLET_alle regnskab'!A361</f>
        <v>18</v>
      </c>
      <c r="C352" s="28">
        <f>'SAMLET_alle regnskab'!U361</f>
        <v>40</v>
      </c>
      <c r="D352" s="28">
        <f>'SAMLET_alle regnskab'!V361</f>
        <v>-120</v>
      </c>
      <c r="E352" s="28">
        <f>'SAMLET_alle regnskab'!W361</f>
        <v>40</v>
      </c>
      <c r="F352" s="28">
        <f>'SAMLET_alle regnskab'!X361</f>
        <v>40</v>
      </c>
      <c r="H352" s="80">
        <f t="shared" si="7"/>
        <v>18</v>
      </c>
      <c r="I352" s="28">
        <f t="shared" ref="I352:L352" si="1048">I351+C352</f>
        <v>626</v>
      </c>
      <c r="J352" s="28">
        <f t="shared" si="1048"/>
        <v>-1274</v>
      </c>
      <c r="K352" s="28">
        <f t="shared" si="1048"/>
        <v>576</v>
      </c>
      <c r="L352" s="28">
        <f t="shared" si="1048"/>
        <v>72</v>
      </c>
      <c r="N352" s="80">
        <f t="shared" si="25"/>
        <v>18</v>
      </c>
      <c r="O352" s="28">
        <f t="shared" ref="O352:R352" si="1049">O351+I345</f>
        <v>84518</v>
      </c>
      <c r="P352" s="28">
        <f t="shared" si="1049"/>
        <v>-175122</v>
      </c>
      <c r="Q352" s="28">
        <f t="shared" si="1049"/>
        <v>36002</v>
      </c>
      <c r="R352" s="28">
        <f t="shared" si="1049"/>
        <v>54602</v>
      </c>
      <c r="T352" s="80">
        <v>18.0</v>
      </c>
      <c r="U352" s="80">
        <f t="shared" ref="U352:X352" si="1050">U351+C345</f>
        <v>372</v>
      </c>
      <c r="V352" s="80">
        <f t="shared" si="1050"/>
        <v>-2052</v>
      </c>
      <c r="W352" s="80">
        <f t="shared" si="1050"/>
        <v>2218</v>
      </c>
      <c r="X352" s="80">
        <f t="shared" si="1050"/>
        <v>-642</v>
      </c>
      <c r="Z352" s="80">
        <v>18.0</v>
      </c>
      <c r="AA352" s="10">
        <v>44618.0</v>
      </c>
      <c r="AB352" s="80">
        <v>372.0</v>
      </c>
      <c r="AC352" s="80">
        <v>-2052.0</v>
      </c>
      <c r="AD352" s="80">
        <v>2218.0</v>
      </c>
      <c r="AE352" s="80">
        <v>-642.0</v>
      </c>
    </row>
    <row r="353">
      <c r="A353" s="28">
        <f>'SAMLET_alle regnskab'!B362</f>
        <v>40</v>
      </c>
      <c r="B353" s="80">
        <f>'SAMLET_alle regnskab'!A362</f>
        <v>18</v>
      </c>
      <c r="C353" s="28">
        <f>'SAMLET_alle regnskab'!U362</f>
        <v>-4</v>
      </c>
      <c r="D353" s="28">
        <f>'SAMLET_alle regnskab'!V362</f>
        <v>-4</v>
      </c>
      <c r="E353" s="28">
        <f>'SAMLET_alle regnskab'!W362</f>
        <v>-4</v>
      </c>
      <c r="F353" s="28">
        <f>'SAMLET_alle regnskab'!X362</f>
        <v>12</v>
      </c>
      <c r="H353" s="80">
        <f t="shared" si="7"/>
        <v>18</v>
      </c>
      <c r="I353" s="28">
        <f t="shared" ref="I353:L353" si="1051">I352+C353</f>
        <v>622</v>
      </c>
      <c r="J353" s="28">
        <f t="shared" si="1051"/>
        <v>-1278</v>
      </c>
      <c r="K353" s="28">
        <f t="shared" si="1051"/>
        <v>572</v>
      </c>
      <c r="L353" s="28">
        <f t="shared" si="1051"/>
        <v>84</v>
      </c>
      <c r="N353" s="80">
        <f t="shared" si="25"/>
        <v>18</v>
      </c>
      <c r="O353" s="28">
        <f t="shared" ref="O353:R353" si="1052">O352+I346</f>
        <v>85068</v>
      </c>
      <c r="P353" s="28">
        <f t="shared" si="1052"/>
        <v>-176232</v>
      </c>
      <c r="Q353" s="28">
        <f t="shared" si="1052"/>
        <v>36526</v>
      </c>
      <c r="R353" s="28">
        <f t="shared" si="1052"/>
        <v>54638</v>
      </c>
      <c r="T353" s="80">
        <v>18.0</v>
      </c>
      <c r="U353" s="80">
        <f t="shared" ref="U353:X353" si="1053">U352+C346</f>
        <v>392</v>
      </c>
      <c r="V353" s="80">
        <f t="shared" si="1053"/>
        <v>-2072</v>
      </c>
      <c r="W353" s="80">
        <f t="shared" si="1053"/>
        <v>2238</v>
      </c>
      <c r="X353" s="80">
        <f t="shared" si="1053"/>
        <v>-662</v>
      </c>
      <c r="Z353" s="80">
        <v>18.0</v>
      </c>
      <c r="AA353" s="10">
        <v>44618.0</v>
      </c>
      <c r="AB353" s="80">
        <v>392.0</v>
      </c>
      <c r="AC353" s="80">
        <v>-2072.0</v>
      </c>
      <c r="AD353" s="80">
        <v>2238.0</v>
      </c>
      <c r="AE353" s="80">
        <v>-662.0</v>
      </c>
    </row>
    <row r="354">
      <c r="A354" s="28">
        <f>'SAMLET_alle regnskab'!B363</f>
        <v>1</v>
      </c>
      <c r="B354" s="80">
        <f>'SAMLET_alle regnskab'!A363</f>
        <v>19</v>
      </c>
      <c r="C354" s="28">
        <f>'SAMLET_alle regnskab'!U363</f>
        <v>-160</v>
      </c>
      <c r="D354" s="28">
        <f>'SAMLET_alle regnskab'!V363</f>
        <v>160</v>
      </c>
      <c r="E354" s="28">
        <f>'SAMLET_alle regnskab'!W363</f>
        <v>160</v>
      </c>
      <c r="F354" s="28">
        <f>'SAMLET_alle regnskab'!X363</f>
        <v>-160</v>
      </c>
      <c r="H354" s="80">
        <f t="shared" si="7"/>
        <v>19</v>
      </c>
      <c r="I354" s="28">
        <f t="shared" ref="I354:L354" si="1054">I353+C354</f>
        <v>462</v>
      </c>
      <c r="J354" s="28">
        <f t="shared" si="1054"/>
        <v>-1118</v>
      </c>
      <c r="K354" s="28">
        <f t="shared" si="1054"/>
        <v>732</v>
      </c>
      <c r="L354" s="28">
        <f t="shared" si="1054"/>
        <v>-76</v>
      </c>
      <c r="N354" s="80">
        <f t="shared" si="25"/>
        <v>18</v>
      </c>
      <c r="O354" s="28">
        <f t="shared" ref="O354:R354" si="1055">O353+I347</f>
        <v>85642</v>
      </c>
      <c r="P354" s="28">
        <f t="shared" si="1055"/>
        <v>-177366</v>
      </c>
      <c r="Q354" s="28">
        <f t="shared" si="1055"/>
        <v>37074</v>
      </c>
      <c r="R354" s="28">
        <f t="shared" si="1055"/>
        <v>54650</v>
      </c>
      <c r="T354" s="80">
        <v>18.0</v>
      </c>
      <c r="U354" s="80">
        <f t="shared" ref="U354:X354" si="1056">U353+C347</f>
        <v>416</v>
      </c>
      <c r="V354" s="80">
        <f t="shared" si="1056"/>
        <v>-2096</v>
      </c>
      <c r="W354" s="80">
        <f t="shared" si="1056"/>
        <v>2262</v>
      </c>
      <c r="X354" s="80">
        <f t="shared" si="1056"/>
        <v>-686</v>
      </c>
      <c r="Z354" s="80">
        <v>18.0</v>
      </c>
      <c r="AA354" s="10">
        <v>44618.0</v>
      </c>
      <c r="AB354" s="80">
        <v>416.0</v>
      </c>
      <c r="AC354" s="80">
        <v>-2096.0</v>
      </c>
      <c r="AD354" s="80">
        <v>2262.0</v>
      </c>
      <c r="AE354" s="80">
        <v>-686.0</v>
      </c>
    </row>
    <row r="355">
      <c r="A355" s="28">
        <f>'SAMLET_alle regnskab'!B364</f>
        <v>2</v>
      </c>
      <c r="B355" s="80">
        <f>'SAMLET_alle regnskab'!A364</f>
        <v>19</v>
      </c>
      <c r="C355" s="28">
        <f>'SAMLET_alle regnskab'!U364</f>
        <v>-4</v>
      </c>
      <c r="D355" s="28">
        <f>'SAMLET_alle regnskab'!V364</f>
        <v>-4</v>
      </c>
      <c r="E355" s="28">
        <f>'SAMLET_alle regnskab'!W364</f>
        <v>12</v>
      </c>
      <c r="F355" s="28">
        <f>'SAMLET_alle regnskab'!X364</f>
        <v>-4</v>
      </c>
      <c r="H355" s="80">
        <f t="shared" si="7"/>
        <v>19</v>
      </c>
      <c r="I355" s="28">
        <f t="shared" ref="I355:L355" si="1057">I354+C355</f>
        <v>458</v>
      </c>
      <c r="J355" s="28">
        <f t="shared" si="1057"/>
        <v>-1122</v>
      </c>
      <c r="K355" s="28">
        <f t="shared" si="1057"/>
        <v>744</v>
      </c>
      <c r="L355" s="28">
        <f t="shared" si="1057"/>
        <v>-80</v>
      </c>
      <c r="N355" s="80">
        <f t="shared" si="25"/>
        <v>18</v>
      </c>
      <c r="O355" s="28">
        <f t="shared" ref="O355:R355" si="1058">O354+I348</f>
        <v>86208</v>
      </c>
      <c r="P355" s="28">
        <f t="shared" si="1058"/>
        <v>-178508</v>
      </c>
      <c r="Q355" s="28">
        <f t="shared" si="1058"/>
        <v>37614</v>
      </c>
      <c r="R355" s="28">
        <f t="shared" si="1058"/>
        <v>54686</v>
      </c>
      <c r="T355" s="80">
        <v>18.0</v>
      </c>
      <c r="U355" s="80">
        <f t="shared" ref="U355:X355" si="1059">U354+C348</f>
        <v>408</v>
      </c>
      <c r="V355" s="80">
        <f t="shared" si="1059"/>
        <v>-2104</v>
      </c>
      <c r="W355" s="80">
        <f t="shared" si="1059"/>
        <v>2254</v>
      </c>
      <c r="X355" s="80">
        <f t="shared" si="1059"/>
        <v>-662</v>
      </c>
      <c r="Z355" s="80">
        <v>18.0</v>
      </c>
      <c r="AA355" s="10">
        <v>44618.0</v>
      </c>
      <c r="AB355" s="80">
        <v>408.0</v>
      </c>
      <c r="AC355" s="80">
        <v>-2104.0</v>
      </c>
      <c r="AD355" s="80">
        <v>2254.0</v>
      </c>
      <c r="AE355" s="80">
        <v>-662.0</v>
      </c>
    </row>
    <row r="356">
      <c r="A356" s="28">
        <f>'SAMLET_alle regnskab'!B365</f>
        <v>3</v>
      </c>
      <c r="B356" s="80">
        <f>'SAMLET_alle regnskab'!A365</f>
        <v>19</v>
      </c>
      <c r="C356" s="28">
        <f>'SAMLET_alle regnskab'!U365</f>
        <v>-4</v>
      </c>
      <c r="D356" s="28">
        <f>'SAMLET_alle regnskab'!V365</f>
        <v>-4</v>
      </c>
      <c r="E356" s="28">
        <f>'SAMLET_alle regnskab'!W365</f>
        <v>12</v>
      </c>
      <c r="F356" s="28">
        <f>'SAMLET_alle regnskab'!X365</f>
        <v>-4</v>
      </c>
      <c r="H356" s="80">
        <f t="shared" si="7"/>
        <v>19</v>
      </c>
      <c r="I356" s="28">
        <f t="shared" ref="I356:L356" si="1060">I355+C356</f>
        <v>454</v>
      </c>
      <c r="J356" s="28">
        <f t="shared" si="1060"/>
        <v>-1126</v>
      </c>
      <c r="K356" s="28">
        <f t="shared" si="1060"/>
        <v>756</v>
      </c>
      <c r="L356" s="28">
        <f t="shared" si="1060"/>
        <v>-84</v>
      </c>
      <c r="N356" s="80">
        <f t="shared" si="25"/>
        <v>18</v>
      </c>
      <c r="O356" s="28">
        <f t="shared" ref="O356:R356" si="1061">O355+I349</f>
        <v>86790</v>
      </c>
      <c r="P356" s="28">
        <f t="shared" si="1061"/>
        <v>-179666</v>
      </c>
      <c r="Q356" s="28">
        <f t="shared" si="1061"/>
        <v>38170</v>
      </c>
      <c r="R356" s="28">
        <f t="shared" si="1061"/>
        <v>54706</v>
      </c>
      <c r="T356" s="80">
        <v>18.0</v>
      </c>
      <c r="U356" s="80">
        <f t="shared" ref="U356:X356" si="1062">U355+C349</f>
        <v>424</v>
      </c>
      <c r="V356" s="80">
        <f t="shared" si="1062"/>
        <v>-2120</v>
      </c>
      <c r="W356" s="80">
        <f t="shared" si="1062"/>
        <v>2270</v>
      </c>
      <c r="X356" s="80">
        <f t="shared" si="1062"/>
        <v>-678</v>
      </c>
      <c r="Z356" s="80">
        <v>18.0</v>
      </c>
      <c r="AA356" s="10">
        <v>44618.0</v>
      </c>
      <c r="AB356" s="80">
        <v>424.0</v>
      </c>
      <c r="AC356" s="80">
        <v>-2120.0</v>
      </c>
      <c r="AD356" s="80">
        <v>2270.0</v>
      </c>
      <c r="AE356" s="80">
        <v>-678.0</v>
      </c>
    </row>
    <row r="357">
      <c r="A357" s="28">
        <f>'SAMLET_alle regnskab'!B366</f>
        <v>4</v>
      </c>
      <c r="B357" s="80">
        <f>'SAMLET_alle regnskab'!A366</f>
        <v>19</v>
      </c>
      <c r="C357" s="28">
        <f>'SAMLET_alle regnskab'!U366</f>
        <v>8</v>
      </c>
      <c r="D357" s="28">
        <f>'SAMLET_alle regnskab'!V366</f>
        <v>-24</v>
      </c>
      <c r="E357" s="28">
        <f>'SAMLET_alle regnskab'!W366</f>
        <v>8</v>
      </c>
      <c r="F357" s="28">
        <f>'SAMLET_alle regnskab'!X366</f>
        <v>8</v>
      </c>
      <c r="H357" s="80">
        <f t="shared" si="7"/>
        <v>19</v>
      </c>
      <c r="I357" s="28">
        <f t="shared" ref="I357:L357" si="1063">I356+C357</f>
        <v>462</v>
      </c>
      <c r="J357" s="28">
        <f t="shared" si="1063"/>
        <v>-1150</v>
      </c>
      <c r="K357" s="28">
        <f t="shared" si="1063"/>
        <v>764</v>
      </c>
      <c r="L357" s="28">
        <f t="shared" si="1063"/>
        <v>-76</v>
      </c>
      <c r="N357" s="80">
        <f t="shared" si="25"/>
        <v>18</v>
      </c>
      <c r="O357" s="28">
        <f t="shared" ref="O357:R357" si="1064">O356+I350</f>
        <v>87364</v>
      </c>
      <c r="P357" s="28">
        <f t="shared" si="1064"/>
        <v>-180832</v>
      </c>
      <c r="Q357" s="28">
        <f t="shared" si="1064"/>
        <v>38718</v>
      </c>
      <c r="R357" s="28">
        <f t="shared" si="1064"/>
        <v>54750</v>
      </c>
      <c r="T357" s="80">
        <v>18.0</v>
      </c>
      <c r="U357" s="80">
        <f t="shared" ref="U357:X357" si="1065">U356+C350</f>
        <v>416</v>
      </c>
      <c r="V357" s="80">
        <f t="shared" si="1065"/>
        <v>-2128</v>
      </c>
      <c r="W357" s="80">
        <f t="shared" si="1065"/>
        <v>2262</v>
      </c>
      <c r="X357" s="80">
        <f t="shared" si="1065"/>
        <v>-654</v>
      </c>
      <c r="Z357" s="80">
        <v>18.0</v>
      </c>
      <c r="AA357" s="10">
        <v>44618.0</v>
      </c>
      <c r="AB357" s="80">
        <v>416.0</v>
      </c>
      <c r="AC357" s="80">
        <v>-2128.0</v>
      </c>
      <c r="AD357" s="80">
        <v>2262.0</v>
      </c>
      <c r="AE357" s="80">
        <v>-654.0</v>
      </c>
    </row>
    <row r="358">
      <c r="A358" s="28">
        <f>'SAMLET_alle regnskab'!B367</f>
        <v>5</v>
      </c>
      <c r="B358" s="80">
        <f>'SAMLET_alle regnskab'!A367</f>
        <v>19</v>
      </c>
      <c r="C358" s="28">
        <f>'SAMLET_alle regnskab'!U367</f>
        <v>-8</v>
      </c>
      <c r="D358" s="28">
        <f>'SAMLET_alle regnskab'!V367</f>
        <v>8</v>
      </c>
      <c r="E358" s="28">
        <f>'SAMLET_alle regnskab'!W367</f>
        <v>8</v>
      </c>
      <c r="F358" s="28">
        <f>'SAMLET_alle regnskab'!X367</f>
        <v>-8</v>
      </c>
      <c r="H358" s="80">
        <f t="shared" si="7"/>
        <v>19</v>
      </c>
      <c r="I358" s="28">
        <f t="shared" ref="I358:L358" si="1066">I357+C358</f>
        <v>454</v>
      </c>
      <c r="J358" s="28">
        <f t="shared" si="1066"/>
        <v>-1142</v>
      </c>
      <c r="K358" s="28">
        <f t="shared" si="1066"/>
        <v>772</v>
      </c>
      <c r="L358" s="28">
        <f t="shared" si="1066"/>
        <v>-84</v>
      </c>
      <c r="N358" s="80">
        <f t="shared" si="25"/>
        <v>18</v>
      </c>
      <c r="O358" s="28">
        <f t="shared" ref="O358:R358" si="1067">O357+I351</f>
        <v>87950</v>
      </c>
      <c r="P358" s="28">
        <f t="shared" si="1067"/>
        <v>-181986</v>
      </c>
      <c r="Q358" s="28">
        <f t="shared" si="1067"/>
        <v>39254</v>
      </c>
      <c r="R358" s="28">
        <f t="shared" si="1067"/>
        <v>54782</v>
      </c>
      <c r="T358" s="80">
        <v>18.0</v>
      </c>
      <c r="U358" s="80">
        <f t="shared" ref="U358:X358" si="1068">U357+C351</f>
        <v>428</v>
      </c>
      <c r="V358" s="80">
        <f t="shared" si="1068"/>
        <v>-2116</v>
      </c>
      <c r="W358" s="80">
        <f t="shared" si="1068"/>
        <v>2250</v>
      </c>
      <c r="X358" s="80">
        <f t="shared" si="1068"/>
        <v>-666</v>
      </c>
      <c r="Z358" s="80">
        <v>18.0</v>
      </c>
      <c r="AA358" s="10">
        <v>44618.0</v>
      </c>
      <c r="AB358" s="80">
        <v>428.0</v>
      </c>
      <c r="AC358" s="80">
        <v>-2116.0</v>
      </c>
      <c r="AD358" s="80">
        <v>2250.0</v>
      </c>
      <c r="AE358" s="80">
        <v>-666.0</v>
      </c>
    </row>
    <row r="359">
      <c r="A359" s="28">
        <f>'SAMLET_alle regnskab'!B368</f>
        <v>6</v>
      </c>
      <c r="B359" s="80">
        <f>'SAMLET_alle regnskab'!A368</f>
        <v>19</v>
      </c>
      <c r="C359" s="28">
        <f>'SAMLET_alle regnskab'!U368</f>
        <v>-12</v>
      </c>
      <c r="D359" s="28">
        <f>'SAMLET_alle regnskab'!V368</f>
        <v>-12</v>
      </c>
      <c r="E359" s="28">
        <f>'SAMLET_alle regnskab'!W368</f>
        <v>12</v>
      </c>
      <c r="F359" s="28">
        <f>'SAMLET_alle regnskab'!X368</f>
        <v>12</v>
      </c>
      <c r="H359" s="80">
        <f t="shared" si="7"/>
        <v>19</v>
      </c>
      <c r="I359" s="28">
        <f t="shared" ref="I359:L359" si="1069">I358+C359</f>
        <v>442</v>
      </c>
      <c r="J359" s="28">
        <f t="shared" si="1069"/>
        <v>-1154</v>
      </c>
      <c r="K359" s="28">
        <f t="shared" si="1069"/>
        <v>784</v>
      </c>
      <c r="L359" s="28">
        <f t="shared" si="1069"/>
        <v>-72</v>
      </c>
      <c r="N359" s="80">
        <f t="shared" si="25"/>
        <v>18</v>
      </c>
      <c r="O359" s="28">
        <f t="shared" ref="O359:R359" si="1070">O358+I352</f>
        <v>88576</v>
      </c>
      <c r="P359" s="28">
        <f t="shared" si="1070"/>
        <v>-183260</v>
      </c>
      <c r="Q359" s="28">
        <f t="shared" si="1070"/>
        <v>39830</v>
      </c>
      <c r="R359" s="28">
        <f t="shared" si="1070"/>
        <v>54854</v>
      </c>
      <c r="T359" s="80">
        <v>18.0</v>
      </c>
      <c r="U359" s="80">
        <f t="shared" ref="U359:X359" si="1071">U358+C352</f>
        <v>468</v>
      </c>
      <c r="V359" s="80">
        <f t="shared" si="1071"/>
        <v>-2236</v>
      </c>
      <c r="W359" s="80">
        <f t="shared" si="1071"/>
        <v>2290</v>
      </c>
      <c r="X359" s="80">
        <f t="shared" si="1071"/>
        <v>-626</v>
      </c>
      <c r="Z359" s="80">
        <v>18.0</v>
      </c>
      <c r="AA359" s="10">
        <v>44618.0</v>
      </c>
      <c r="AB359" s="80">
        <v>468.0</v>
      </c>
      <c r="AC359" s="80">
        <v>-2236.0</v>
      </c>
      <c r="AD359" s="80">
        <v>2290.0</v>
      </c>
      <c r="AE359" s="80">
        <v>-626.0</v>
      </c>
    </row>
    <row r="360">
      <c r="A360" s="28">
        <f>'SAMLET_alle regnskab'!B369</f>
        <v>7</v>
      </c>
      <c r="B360" s="80">
        <f>'SAMLET_alle regnskab'!A369</f>
        <v>19</v>
      </c>
      <c r="C360" s="28">
        <f>'SAMLET_alle regnskab'!U369</f>
        <v>16</v>
      </c>
      <c r="D360" s="28">
        <f>'SAMLET_alle regnskab'!V369</f>
        <v>-48</v>
      </c>
      <c r="E360" s="28">
        <f>'SAMLET_alle regnskab'!W369</f>
        <v>16</v>
      </c>
      <c r="F360" s="28">
        <f>'SAMLET_alle regnskab'!X369</f>
        <v>16</v>
      </c>
      <c r="H360" s="80">
        <f t="shared" si="7"/>
        <v>19</v>
      </c>
      <c r="I360" s="28">
        <f t="shared" ref="I360:L360" si="1072">I359+C360</f>
        <v>458</v>
      </c>
      <c r="J360" s="28">
        <f t="shared" si="1072"/>
        <v>-1202</v>
      </c>
      <c r="K360" s="28">
        <f t="shared" si="1072"/>
        <v>800</v>
      </c>
      <c r="L360" s="28">
        <f t="shared" si="1072"/>
        <v>-56</v>
      </c>
      <c r="N360" s="80">
        <f t="shared" si="25"/>
        <v>18</v>
      </c>
      <c r="O360" s="28">
        <f t="shared" ref="O360:R360" si="1073">O359+I353</f>
        <v>89198</v>
      </c>
      <c r="P360" s="28">
        <f t="shared" si="1073"/>
        <v>-184538</v>
      </c>
      <c r="Q360" s="28">
        <f t="shared" si="1073"/>
        <v>40402</v>
      </c>
      <c r="R360" s="28">
        <f t="shared" si="1073"/>
        <v>54938</v>
      </c>
      <c r="T360" s="80">
        <v>18.0</v>
      </c>
      <c r="U360" s="80">
        <f t="shared" ref="U360:X360" si="1074">U359+C353</f>
        <v>464</v>
      </c>
      <c r="V360" s="80">
        <f t="shared" si="1074"/>
        <v>-2240</v>
      </c>
      <c r="W360" s="80">
        <f t="shared" si="1074"/>
        <v>2286</v>
      </c>
      <c r="X360" s="80">
        <f t="shared" si="1074"/>
        <v>-614</v>
      </c>
      <c r="Z360" s="80">
        <v>18.0</v>
      </c>
      <c r="AA360" s="10">
        <v>44618.0</v>
      </c>
      <c r="AB360" s="80">
        <v>464.0</v>
      </c>
      <c r="AC360" s="80">
        <v>-2240.0</v>
      </c>
      <c r="AD360" s="80">
        <v>2286.0</v>
      </c>
      <c r="AE360" s="80">
        <v>-614.0</v>
      </c>
    </row>
    <row r="361">
      <c r="A361" s="28">
        <f>'SAMLET_alle regnskab'!B370</f>
        <v>8</v>
      </c>
      <c r="B361" s="80">
        <f>'SAMLET_alle regnskab'!A370</f>
        <v>19</v>
      </c>
      <c r="C361" s="28">
        <f>'SAMLET_alle regnskab'!U370</f>
        <v>8</v>
      </c>
      <c r="D361" s="28">
        <f>'SAMLET_alle regnskab'!V370</f>
        <v>8</v>
      </c>
      <c r="E361" s="28">
        <f>'SAMLET_alle regnskab'!W370</f>
        <v>8</v>
      </c>
      <c r="F361" s="28">
        <f>'SAMLET_alle regnskab'!X370</f>
        <v>-24</v>
      </c>
      <c r="H361" s="80">
        <f t="shared" si="7"/>
        <v>19</v>
      </c>
      <c r="I361" s="28">
        <f t="shared" ref="I361:L361" si="1075">I360+C361</f>
        <v>466</v>
      </c>
      <c r="J361" s="28">
        <f t="shared" si="1075"/>
        <v>-1194</v>
      </c>
      <c r="K361" s="28">
        <f t="shared" si="1075"/>
        <v>808</v>
      </c>
      <c r="L361" s="28">
        <f t="shared" si="1075"/>
        <v>-80</v>
      </c>
      <c r="N361" s="80">
        <f t="shared" si="25"/>
        <v>19</v>
      </c>
      <c r="O361" s="28">
        <f t="shared" ref="O361:R361" si="1076">O360+I354</f>
        <v>89660</v>
      </c>
      <c r="P361" s="28">
        <f t="shared" si="1076"/>
        <v>-185656</v>
      </c>
      <c r="Q361" s="28">
        <f t="shared" si="1076"/>
        <v>41134</v>
      </c>
      <c r="R361" s="28">
        <f t="shared" si="1076"/>
        <v>54862</v>
      </c>
      <c r="T361" s="80">
        <v>19.0</v>
      </c>
      <c r="U361" s="80">
        <f t="shared" ref="U361:X361" si="1077">U360+C354</f>
        <v>304</v>
      </c>
      <c r="V361" s="80">
        <f t="shared" si="1077"/>
        <v>-2080</v>
      </c>
      <c r="W361" s="80">
        <f t="shared" si="1077"/>
        <v>2446</v>
      </c>
      <c r="X361" s="80">
        <f t="shared" si="1077"/>
        <v>-774</v>
      </c>
      <c r="Z361" s="80">
        <v>19.0</v>
      </c>
      <c r="AA361" s="10">
        <v>44939.0</v>
      </c>
      <c r="AB361" s="80">
        <v>304.0</v>
      </c>
      <c r="AC361" s="80">
        <v>-2080.0</v>
      </c>
      <c r="AD361" s="80">
        <v>2446.0</v>
      </c>
      <c r="AE361" s="80">
        <v>-774.0</v>
      </c>
    </row>
    <row r="362">
      <c r="A362" s="28">
        <f>'SAMLET_alle regnskab'!B371</f>
        <v>9</v>
      </c>
      <c r="B362" s="80">
        <f>'SAMLET_alle regnskab'!A371</f>
        <v>19</v>
      </c>
      <c r="C362" s="28">
        <f>'SAMLET_alle regnskab'!U371</f>
        <v>-4</v>
      </c>
      <c r="D362" s="28">
        <f>'SAMLET_alle regnskab'!V371</f>
        <v>-4</v>
      </c>
      <c r="E362" s="28">
        <f>'SAMLET_alle regnskab'!W371</f>
        <v>12</v>
      </c>
      <c r="F362" s="28">
        <f>'SAMLET_alle regnskab'!X371</f>
        <v>-4</v>
      </c>
      <c r="H362" s="80">
        <f t="shared" si="7"/>
        <v>19</v>
      </c>
      <c r="I362" s="28">
        <f t="shared" ref="I362:L362" si="1078">I361+C362</f>
        <v>462</v>
      </c>
      <c r="J362" s="28">
        <f t="shared" si="1078"/>
        <v>-1198</v>
      </c>
      <c r="K362" s="28">
        <f t="shared" si="1078"/>
        <v>820</v>
      </c>
      <c r="L362" s="28">
        <f t="shared" si="1078"/>
        <v>-84</v>
      </c>
      <c r="N362" s="80">
        <f t="shared" si="25"/>
        <v>19</v>
      </c>
      <c r="O362" s="28">
        <f t="shared" ref="O362:R362" si="1079">O361+I355</f>
        <v>90118</v>
      </c>
      <c r="P362" s="28">
        <f t="shared" si="1079"/>
        <v>-186778</v>
      </c>
      <c r="Q362" s="28">
        <f t="shared" si="1079"/>
        <v>41878</v>
      </c>
      <c r="R362" s="28">
        <f t="shared" si="1079"/>
        <v>54782</v>
      </c>
      <c r="T362" s="80">
        <v>19.0</v>
      </c>
      <c r="U362" s="80">
        <f t="shared" ref="U362:X362" si="1080">U361+C355</f>
        <v>300</v>
      </c>
      <c r="V362" s="80">
        <f t="shared" si="1080"/>
        <v>-2084</v>
      </c>
      <c r="W362" s="80">
        <f t="shared" si="1080"/>
        <v>2458</v>
      </c>
      <c r="X362" s="80">
        <f t="shared" si="1080"/>
        <v>-778</v>
      </c>
      <c r="Z362" s="80">
        <v>19.0</v>
      </c>
      <c r="AA362" s="10">
        <v>44939.0</v>
      </c>
      <c r="AB362" s="80">
        <v>300.0</v>
      </c>
      <c r="AC362" s="80">
        <v>-2084.0</v>
      </c>
      <c r="AD362" s="80">
        <v>2458.0</v>
      </c>
      <c r="AE362" s="80">
        <v>-778.0</v>
      </c>
    </row>
    <row r="363">
      <c r="A363" s="28">
        <f>'SAMLET_alle regnskab'!B372</f>
        <v>10</v>
      </c>
      <c r="B363" s="80">
        <f>'SAMLET_alle regnskab'!A372</f>
        <v>19</v>
      </c>
      <c r="C363" s="28">
        <f>'SAMLET_alle regnskab'!U372</f>
        <v>8</v>
      </c>
      <c r="D363" s="28">
        <f>'SAMLET_alle regnskab'!V372</f>
        <v>8</v>
      </c>
      <c r="E363" s="28">
        <f>'SAMLET_alle regnskab'!W372</f>
        <v>-8</v>
      </c>
      <c r="F363" s="28">
        <f>'SAMLET_alle regnskab'!X372</f>
        <v>-8</v>
      </c>
      <c r="H363" s="80">
        <f t="shared" si="7"/>
        <v>19</v>
      </c>
      <c r="I363" s="28">
        <f t="shared" ref="I363:L363" si="1081">I362+C363</f>
        <v>470</v>
      </c>
      <c r="J363" s="28">
        <f t="shared" si="1081"/>
        <v>-1190</v>
      </c>
      <c r="K363" s="28">
        <f t="shared" si="1081"/>
        <v>812</v>
      </c>
      <c r="L363" s="28">
        <f t="shared" si="1081"/>
        <v>-92</v>
      </c>
      <c r="N363" s="80">
        <f t="shared" si="25"/>
        <v>19</v>
      </c>
      <c r="O363" s="28">
        <f t="shared" ref="O363:R363" si="1082">O362+I356</f>
        <v>90572</v>
      </c>
      <c r="P363" s="28">
        <f t="shared" si="1082"/>
        <v>-187904</v>
      </c>
      <c r="Q363" s="28">
        <f t="shared" si="1082"/>
        <v>42634</v>
      </c>
      <c r="R363" s="28">
        <f t="shared" si="1082"/>
        <v>54698</v>
      </c>
      <c r="T363" s="80">
        <v>19.0</v>
      </c>
      <c r="U363" s="80">
        <f t="shared" ref="U363:X363" si="1083">U362+C356</f>
        <v>296</v>
      </c>
      <c r="V363" s="80">
        <f t="shared" si="1083"/>
        <v>-2088</v>
      </c>
      <c r="W363" s="80">
        <f t="shared" si="1083"/>
        <v>2470</v>
      </c>
      <c r="X363" s="80">
        <f t="shared" si="1083"/>
        <v>-782</v>
      </c>
      <c r="Z363" s="80">
        <v>19.0</v>
      </c>
      <c r="AA363" s="10">
        <v>44939.0</v>
      </c>
      <c r="AB363" s="80">
        <v>296.0</v>
      </c>
      <c r="AC363" s="80">
        <v>-2088.0</v>
      </c>
      <c r="AD363" s="80">
        <v>2470.0</v>
      </c>
      <c r="AE363" s="80">
        <v>-782.0</v>
      </c>
    </row>
    <row r="364">
      <c r="A364" s="28">
        <f>'SAMLET_alle regnskab'!B373</f>
        <v>11</v>
      </c>
      <c r="B364" s="80">
        <f>'SAMLET_alle regnskab'!A373</f>
        <v>19</v>
      </c>
      <c r="C364" s="28">
        <f>'SAMLET_alle regnskab'!U373</f>
        <v>8</v>
      </c>
      <c r="D364" s="28">
        <f>'SAMLET_alle regnskab'!V373</f>
        <v>8</v>
      </c>
      <c r="E364" s="28">
        <f>'SAMLET_alle regnskab'!W373</f>
        <v>-8</v>
      </c>
      <c r="F364" s="28">
        <f>'SAMLET_alle regnskab'!X373</f>
        <v>-8</v>
      </c>
      <c r="H364" s="80">
        <f t="shared" si="7"/>
        <v>19</v>
      </c>
      <c r="I364" s="28">
        <f t="shared" ref="I364:L364" si="1084">I363+C364</f>
        <v>478</v>
      </c>
      <c r="J364" s="28">
        <f t="shared" si="1084"/>
        <v>-1182</v>
      </c>
      <c r="K364" s="28">
        <f t="shared" si="1084"/>
        <v>804</v>
      </c>
      <c r="L364" s="28">
        <f t="shared" si="1084"/>
        <v>-100</v>
      </c>
      <c r="N364" s="80">
        <f t="shared" si="25"/>
        <v>19</v>
      </c>
      <c r="O364" s="28">
        <f t="shared" ref="O364:R364" si="1085">O363+I357</f>
        <v>91034</v>
      </c>
      <c r="P364" s="28">
        <f t="shared" si="1085"/>
        <v>-189054</v>
      </c>
      <c r="Q364" s="28">
        <f t="shared" si="1085"/>
        <v>43398</v>
      </c>
      <c r="R364" s="28">
        <f t="shared" si="1085"/>
        <v>54622</v>
      </c>
      <c r="T364" s="80">
        <v>19.0</v>
      </c>
      <c r="U364" s="80">
        <f t="shared" ref="U364:X364" si="1086">U363+C357</f>
        <v>304</v>
      </c>
      <c r="V364" s="80">
        <f t="shared" si="1086"/>
        <v>-2112</v>
      </c>
      <c r="W364" s="80">
        <f t="shared" si="1086"/>
        <v>2478</v>
      </c>
      <c r="X364" s="80">
        <f t="shared" si="1086"/>
        <v>-774</v>
      </c>
      <c r="Z364" s="80">
        <v>19.0</v>
      </c>
      <c r="AA364" s="10">
        <v>44939.0</v>
      </c>
      <c r="AB364" s="80">
        <v>304.0</v>
      </c>
      <c r="AC364" s="80">
        <v>-2112.0</v>
      </c>
      <c r="AD364" s="80">
        <v>2478.0</v>
      </c>
      <c r="AE364" s="80">
        <v>-774.0</v>
      </c>
    </row>
    <row r="365">
      <c r="A365" s="28">
        <f>'SAMLET_alle regnskab'!B374</f>
        <v>12</v>
      </c>
      <c r="B365" s="80">
        <f>'SAMLET_alle regnskab'!A374</f>
        <v>19</v>
      </c>
      <c r="C365" s="28">
        <f>'SAMLET_alle regnskab'!U374</f>
        <v>-8</v>
      </c>
      <c r="D365" s="28">
        <f>'SAMLET_alle regnskab'!V374</f>
        <v>8</v>
      </c>
      <c r="E365" s="28">
        <f>'SAMLET_alle regnskab'!W374</f>
        <v>8</v>
      </c>
      <c r="F365" s="28">
        <f>'SAMLET_alle regnskab'!X374</f>
        <v>-8</v>
      </c>
      <c r="H365" s="80">
        <f t="shared" si="7"/>
        <v>19</v>
      </c>
      <c r="I365" s="28">
        <f t="shared" ref="I365:L365" si="1087">I364+C365</f>
        <v>470</v>
      </c>
      <c r="J365" s="28">
        <f t="shared" si="1087"/>
        <v>-1174</v>
      </c>
      <c r="K365" s="28">
        <f t="shared" si="1087"/>
        <v>812</v>
      </c>
      <c r="L365" s="28">
        <f t="shared" si="1087"/>
        <v>-108</v>
      </c>
      <c r="N365" s="80">
        <f t="shared" si="25"/>
        <v>19</v>
      </c>
      <c r="O365" s="28">
        <f t="shared" ref="O365:R365" si="1088">O364+I358</f>
        <v>91488</v>
      </c>
      <c r="P365" s="28">
        <f t="shared" si="1088"/>
        <v>-190196</v>
      </c>
      <c r="Q365" s="28">
        <f t="shared" si="1088"/>
        <v>44170</v>
      </c>
      <c r="R365" s="28">
        <f t="shared" si="1088"/>
        <v>54538</v>
      </c>
      <c r="T365" s="80">
        <v>19.0</v>
      </c>
      <c r="U365" s="80">
        <f t="shared" ref="U365:X365" si="1089">U364+C358</f>
        <v>296</v>
      </c>
      <c r="V365" s="80">
        <f t="shared" si="1089"/>
        <v>-2104</v>
      </c>
      <c r="W365" s="80">
        <f t="shared" si="1089"/>
        <v>2486</v>
      </c>
      <c r="X365" s="80">
        <f t="shared" si="1089"/>
        <v>-782</v>
      </c>
      <c r="Z365" s="80">
        <v>19.0</v>
      </c>
      <c r="AA365" s="10">
        <v>44939.0</v>
      </c>
      <c r="AB365" s="80">
        <v>296.0</v>
      </c>
      <c r="AC365" s="80">
        <v>-2104.0</v>
      </c>
      <c r="AD365" s="80">
        <v>2486.0</v>
      </c>
      <c r="AE365" s="80">
        <v>-782.0</v>
      </c>
    </row>
    <row r="366">
      <c r="A366" s="28">
        <f>'SAMLET_alle regnskab'!B375</f>
        <v>13</v>
      </c>
      <c r="B366" s="80">
        <f>'SAMLET_alle regnskab'!A375</f>
        <v>19</v>
      </c>
      <c r="C366" s="28">
        <f>'SAMLET_alle regnskab'!U375</f>
        <v>8</v>
      </c>
      <c r="D366" s="28">
        <f>'SAMLET_alle regnskab'!V375</f>
        <v>-24</v>
      </c>
      <c r="E366" s="28">
        <f>'SAMLET_alle regnskab'!W375</f>
        <v>8</v>
      </c>
      <c r="F366" s="28">
        <f>'SAMLET_alle regnskab'!X375</f>
        <v>8</v>
      </c>
      <c r="H366" s="80">
        <f t="shared" si="7"/>
        <v>19</v>
      </c>
      <c r="I366" s="28">
        <f t="shared" ref="I366:L366" si="1090">I365+C366</f>
        <v>478</v>
      </c>
      <c r="J366" s="28">
        <f t="shared" si="1090"/>
        <v>-1198</v>
      </c>
      <c r="K366" s="28">
        <f t="shared" si="1090"/>
        <v>820</v>
      </c>
      <c r="L366" s="28">
        <f t="shared" si="1090"/>
        <v>-100</v>
      </c>
      <c r="N366" s="80">
        <f t="shared" si="25"/>
        <v>19</v>
      </c>
      <c r="O366" s="28">
        <f t="shared" ref="O366:R366" si="1091">O365+I359</f>
        <v>91930</v>
      </c>
      <c r="P366" s="28">
        <f t="shared" si="1091"/>
        <v>-191350</v>
      </c>
      <c r="Q366" s="28">
        <f t="shared" si="1091"/>
        <v>44954</v>
      </c>
      <c r="R366" s="28">
        <f t="shared" si="1091"/>
        <v>54466</v>
      </c>
      <c r="T366" s="80">
        <v>19.0</v>
      </c>
      <c r="U366" s="80">
        <f t="shared" ref="U366:X366" si="1092">U365+C359</f>
        <v>284</v>
      </c>
      <c r="V366" s="80">
        <f t="shared" si="1092"/>
        <v>-2116</v>
      </c>
      <c r="W366" s="80">
        <f t="shared" si="1092"/>
        <v>2498</v>
      </c>
      <c r="X366" s="80">
        <f t="shared" si="1092"/>
        <v>-770</v>
      </c>
      <c r="Z366" s="80">
        <v>19.0</v>
      </c>
      <c r="AA366" s="10">
        <v>44939.0</v>
      </c>
      <c r="AB366" s="80">
        <v>284.0</v>
      </c>
      <c r="AC366" s="80">
        <v>-2116.0</v>
      </c>
      <c r="AD366" s="80">
        <v>2498.0</v>
      </c>
      <c r="AE366" s="80">
        <v>-770.0</v>
      </c>
    </row>
    <row r="367">
      <c r="A367" s="28">
        <f>'SAMLET_alle regnskab'!B376</f>
        <v>14</v>
      </c>
      <c r="B367" s="80">
        <f>'SAMLET_alle regnskab'!A376</f>
        <v>19</v>
      </c>
      <c r="C367" s="28">
        <f>'SAMLET_alle regnskab'!U376</f>
        <v>-24</v>
      </c>
      <c r="D367" s="28">
        <f>'SAMLET_alle regnskab'!V376</f>
        <v>24</v>
      </c>
      <c r="E367" s="28">
        <f>'SAMLET_alle regnskab'!W376</f>
        <v>-24</v>
      </c>
      <c r="F367" s="28">
        <f>'SAMLET_alle regnskab'!X376</f>
        <v>24</v>
      </c>
      <c r="H367" s="80">
        <f t="shared" si="7"/>
        <v>19</v>
      </c>
      <c r="I367" s="28">
        <f t="shared" ref="I367:L367" si="1093">I366+C367</f>
        <v>454</v>
      </c>
      <c r="J367" s="28">
        <f t="shared" si="1093"/>
        <v>-1174</v>
      </c>
      <c r="K367" s="28">
        <f t="shared" si="1093"/>
        <v>796</v>
      </c>
      <c r="L367" s="28">
        <f t="shared" si="1093"/>
        <v>-76</v>
      </c>
      <c r="N367" s="80">
        <f t="shared" si="25"/>
        <v>19</v>
      </c>
      <c r="O367" s="28">
        <f t="shared" ref="O367:R367" si="1094">O366+I360</f>
        <v>92388</v>
      </c>
      <c r="P367" s="28">
        <f t="shared" si="1094"/>
        <v>-192552</v>
      </c>
      <c r="Q367" s="28">
        <f t="shared" si="1094"/>
        <v>45754</v>
      </c>
      <c r="R367" s="28">
        <f t="shared" si="1094"/>
        <v>54410</v>
      </c>
      <c r="T367" s="80">
        <v>19.0</v>
      </c>
      <c r="U367" s="80">
        <f t="shared" ref="U367:X367" si="1095">U366+C360</f>
        <v>300</v>
      </c>
      <c r="V367" s="80">
        <f t="shared" si="1095"/>
        <v>-2164</v>
      </c>
      <c r="W367" s="80">
        <f t="shared" si="1095"/>
        <v>2514</v>
      </c>
      <c r="X367" s="80">
        <f t="shared" si="1095"/>
        <v>-754</v>
      </c>
      <c r="Z367" s="80">
        <v>19.0</v>
      </c>
      <c r="AA367" s="10">
        <v>44939.0</v>
      </c>
      <c r="AB367" s="80">
        <v>300.0</v>
      </c>
      <c r="AC367" s="80">
        <v>-2164.0</v>
      </c>
      <c r="AD367" s="80">
        <v>2514.0</v>
      </c>
      <c r="AE367" s="80">
        <v>-754.0</v>
      </c>
    </row>
    <row r="368">
      <c r="A368" s="28">
        <f>'SAMLET_alle regnskab'!B377</f>
        <v>15</v>
      </c>
      <c r="B368" s="80">
        <f>'SAMLET_alle regnskab'!A377</f>
        <v>19</v>
      </c>
      <c r="C368" s="28">
        <f>'SAMLET_alle regnskab'!U377</f>
        <v>8</v>
      </c>
      <c r="D368" s="28">
        <f>'SAMLET_alle regnskab'!V377</f>
        <v>8</v>
      </c>
      <c r="E368" s="28">
        <f>'SAMLET_alle regnskab'!W377</f>
        <v>8</v>
      </c>
      <c r="F368" s="28">
        <f>'SAMLET_alle regnskab'!X377</f>
        <v>-24</v>
      </c>
      <c r="H368" s="80">
        <f t="shared" si="7"/>
        <v>19</v>
      </c>
      <c r="I368" s="28">
        <f t="shared" ref="I368:L368" si="1096">I367+C368</f>
        <v>462</v>
      </c>
      <c r="J368" s="28">
        <f t="shared" si="1096"/>
        <v>-1166</v>
      </c>
      <c r="K368" s="28">
        <f t="shared" si="1096"/>
        <v>804</v>
      </c>
      <c r="L368" s="28">
        <f t="shared" si="1096"/>
        <v>-100</v>
      </c>
      <c r="N368" s="80">
        <f t="shared" si="25"/>
        <v>19</v>
      </c>
      <c r="O368" s="28">
        <f t="shared" ref="O368:R368" si="1097">O367+I361</f>
        <v>92854</v>
      </c>
      <c r="P368" s="28">
        <f t="shared" si="1097"/>
        <v>-193746</v>
      </c>
      <c r="Q368" s="28">
        <f t="shared" si="1097"/>
        <v>46562</v>
      </c>
      <c r="R368" s="28">
        <f t="shared" si="1097"/>
        <v>54330</v>
      </c>
      <c r="T368" s="80">
        <v>19.0</v>
      </c>
      <c r="U368" s="80">
        <f t="shared" ref="U368:X368" si="1098">U367+C361</f>
        <v>308</v>
      </c>
      <c r="V368" s="80">
        <f t="shared" si="1098"/>
        <v>-2156</v>
      </c>
      <c r="W368" s="80">
        <f t="shared" si="1098"/>
        <v>2522</v>
      </c>
      <c r="X368" s="80">
        <f t="shared" si="1098"/>
        <v>-778</v>
      </c>
      <c r="Z368" s="80">
        <v>19.0</v>
      </c>
      <c r="AA368" s="10">
        <v>44939.0</v>
      </c>
      <c r="AB368" s="80">
        <v>308.0</v>
      </c>
      <c r="AC368" s="80">
        <v>-2156.0</v>
      </c>
      <c r="AD368" s="80">
        <v>2522.0</v>
      </c>
      <c r="AE368" s="80">
        <v>-778.0</v>
      </c>
    </row>
    <row r="369">
      <c r="A369" s="28">
        <f>'SAMLET_alle regnskab'!B378</f>
        <v>16</v>
      </c>
      <c r="B369" s="80">
        <f>'SAMLET_alle regnskab'!A378</f>
        <v>19</v>
      </c>
      <c r="C369" s="28">
        <f>'SAMLET_alle regnskab'!U378</f>
        <v>4</v>
      </c>
      <c r="D369" s="28">
        <f>'SAMLET_alle regnskab'!V378</f>
        <v>-4</v>
      </c>
      <c r="E369" s="28">
        <f>'SAMLET_alle regnskab'!W378</f>
        <v>4</v>
      </c>
      <c r="F369" s="28">
        <f>'SAMLET_alle regnskab'!X378</f>
        <v>-4</v>
      </c>
      <c r="H369" s="80">
        <f t="shared" si="7"/>
        <v>19</v>
      </c>
      <c r="I369" s="28">
        <f t="shared" ref="I369:L369" si="1099">I368+C369</f>
        <v>466</v>
      </c>
      <c r="J369" s="28">
        <f t="shared" si="1099"/>
        <v>-1170</v>
      </c>
      <c r="K369" s="28">
        <f t="shared" si="1099"/>
        <v>808</v>
      </c>
      <c r="L369" s="28">
        <f t="shared" si="1099"/>
        <v>-104</v>
      </c>
      <c r="N369" s="80">
        <f t="shared" si="25"/>
        <v>19</v>
      </c>
      <c r="O369" s="28">
        <f t="shared" ref="O369:R369" si="1100">O368+I362</f>
        <v>93316</v>
      </c>
      <c r="P369" s="28">
        <f t="shared" si="1100"/>
        <v>-194944</v>
      </c>
      <c r="Q369" s="28">
        <f t="shared" si="1100"/>
        <v>47382</v>
      </c>
      <c r="R369" s="28">
        <f t="shared" si="1100"/>
        <v>54246</v>
      </c>
      <c r="T369" s="80">
        <v>19.0</v>
      </c>
      <c r="U369" s="80">
        <f t="shared" ref="U369:X369" si="1101">U368+C362</f>
        <v>304</v>
      </c>
      <c r="V369" s="80">
        <f t="shared" si="1101"/>
        <v>-2160</v>
      </c>
      <c r="W369" s="80">
        <f t="shared" si="1101"/>
        <v>2534</v>
      </c>
      <c r="X369" s="80">
        <f t="shared" si="1101"/>
        <v>-782</v>
      </c>
      <c r="Z369" s="80">
        <v>19.0</v>
      </c>
      <c r="AA369" s="10">
        <v>44939.0</v>
      </c>
      <c r="AB369" s="80">
        <v>304.0</v>
      </c>
      <c r="AC369" s="80">
        <v>-2160.0</v>
      </c>
      <c r="AD369" s="80">
        <v>2534.0</v>
      </c>
      <c r="AE369" s="80">
        <v>-782.0</v>
      </c>
    </row>
    <row r="370">
      <c r="A370" s="28">
        <f>'SAMLET_alle regnskab'!B379</f>
        <v>17</v>
      </c>
      <c r="B370" s="80">
        <f>'SAMLET_alle regnskab'!A379</f>
        <v>19</v>
      </c>
      <c r="C370" s="28">
        <f>'SAMLET_alle regnskab'!U379</f>
        <v>20</v>
      </c>
      <c r="D370" s="28">
        <f>'SAMLET_alle regnskab'!V379</f>
        <v>-20</v>
      </c>
      <c r="E370" s="28">
        <f>'SAMLET_alle regnskab'!W379</f>
        <v>20</v>
      </c>
      <c r="F370" s="28">
        <f>'SAMLET_alle regnskab'!X379</f>
        <v>-20</v>
      </c>
      <c r="H370" s="80">
        <f t="shared" si="7"/>
        <v>19</v>
      </c>
      <c r="I370" s="28">
        <f t="shared" ref="I370:L370" si="1102">I369+C370</f>
        <v>486</v>
      </c>
      <c r="J370" s="28">
        <f t="shared" si="1102"/>
        <v>-1190</v>
      </c>
      <c r="K370" s="28">
        <f t="shared" si="1102"/>
        <v>828</v>
      </c>
      <c r="L370" s="28">
        <f t="shared" si="1102"/>
        <v>-124</v>
      </c>
      <c r="N370" s="80">
        <f t="shared" si="25"/>
        <v>19</v>
      </c>
      <c r="O370" s="28">
        <f t="shared" ref="O370:R370" si="1103">O369+I363</f>
        <v>93786</v>
      </c>
      <c r="P370" s="28">
        <f t="shared" si="1103"/>
        <v>-196134</v>
      </c>
      <c r="Q370" s="28">
        <f t="shared" si="1103"/>
        <v>48194</v>
      </c>
      <c r="R370" s="28">
        <f t="shared" si="1103"/>
        <v>54154</v>
      </c>
      <c r="T370" s="80">
        <v>19.0</v>
      </c>
      <c r="U370" s="80">
        <f t="shared" ref="U370:X370" si="1104">U369+C363</f>
        <v>312</v>
      </c>
      <c r="V370" s="80">
        <f t="shared" si="1104"/>
        <v>-2152</v>
      </c>
      <c r="W370" s="80">
        <f t="shared" si="1104"/>
        <v>2526</v>
      </c>
      <c r="X370" s="80">
        <f t="shared" si="1104"/>
        <v>-790</v>
      </c>
      <c r="Z370" s="80">
        <v>19.0</v>
      </c>
      <c r="AA370" s="10">
        <v>44939.0</v>
      </c>
      <c r="AB370" s="80">
        <v>312.0</v>
      </c>
      <c r="AC370" s="80">
        <v>-2152.0</v>
      </c>
      <c r="AD370" s="80">
        <v>2526.0</v>
      </c>
      <c r="AE370" s="80">
        <v>-790.0</v>
      </c>
    </row>
    <row r="371">
      <c r="A371" s="28">
        <f>'SAMLET_alle regnskab'!B380</f>
        <v>18</v>
      </c>
      <c r="B371" s="80">
        <f>'SAMLET_alle regnskab'!A380</f>
        <v>19</v>
      </c>
      <c r="C371" s="28">
        <f>'SAMLET_alle regnskab'!U380</f>
        <v>-12</v>
      </c>
      <c r="D371" s="28">
        <f>'SAMLET_alle regnskab'!V380</f>
        <v>-12</v>
      </c>
      <c r="E371" s="28">
        <f>'SAMLET_alle regnskab'!W380</f>
        <v>12</v>
      </c>
      <c r="F371" s="28">
        <f>'SAMLET_alle regnskab'!X380</f>
        <v>12</v>
      </c>
      <c r="H371" s="80">
        <f t="shared" si="7"/>
        <v>19</v>
      </c>
      <c r="I371" s="28">
        <f t="shared" ref="I371:L371" si="1105">I370+C371</f>
        <v>474</v>
      </c>
      <c r="J371" s="28">
        <f t="shared" si="1105"/>
        <v>-1202</v>
      </c>
      <c r="K371" s="28">
        <f t="shared" si="1105"/>
        <v>840</v>
      </c>
      <c r="L371" s="28">
        <f t="shared" si="1105"/>
        <v>-112</v>
      </c>
      <c r="N371" s="80">
        <f t="shared" si="25"/>
        <v>19</v>
      </c>
      <c r="O371" s="28">
        <f t="shared" ref="O371:R371" si="1106">O370+I364</f>
        <v>94264</v>
      </c>
      <c r="P371" s="28">
        <f t="shared" si="1106"/>
        <v>-197316</v>
      </c>
      <c r="Q371" s="28">
        <f t="shared" si="1106"/>
        <v>48998</v>
      </c>
      <c r="R371" s="28">
        <f t="shared" si="1106"/>
        <v>54054</v>
      </c>
      <c r="T371" s="80">
        <v>19.0</v>
      </c>
      <c r="U371" s="80">
        <f t="shared" ref="U371:X371" si="1107">U370+C364</f>
        <v>320</v>
      </c>
      <c r="V371" s="80">
        <f t="shared" si="1107"/>
        <v>-2144</v>
      </c>
      <c r="W371" s="80">
        <f t="shared" si="1107"/>
        <v>2518</v>
      </c>
      <c r="X371" s="80">
        <f t="shared" si="1107"/>
        <v>-798</v>
      </c>
      <c r="Z371" s="80">
        <v>19.0</v>
      </c>
      <c r="AA371" s="10">
        <v>44939.0</v>
      </c>
      <c r="AB371" s="80">
        <v>320.0</v>
      </c>
      <c r="AC371" s="80">
        <v>-2144.0</v>
      </c>
      <c r="AD371" s="80">
        <v>2518.0</v>
      </c>
      <c r="AE371" s="80">
        <v>-798.0</v>
      </c>
    </row>
    <row r="372">
      <c r="A372" s="28">
        <f>'SAMLET_alle regnskab'!B381</f>
        <v>19</v>
      </c>
      <c r="B372" s="80">
        <f>'SAMLET_alle regnskab'!A381</f>
        <v>19</v>
      </c>
      <c r="C372" s="28">
        <f>'SAMLET_alle regnskab'!U381</f>
        <v>-10</v>
      </c>
      <c r="D372" s="28">
        <f>'SAMLET_alle regnskab'!V381</f>
        <v>10</v>
      </c>
      <c r="E372" s="28">
        <f>'SAMLET_alle regnskab'!W381</f>
        <v>10</v>
      </c>
      <c r="F372" s="28">
        <f>'SAMLET_alle regnskab'!X381</f>
        <v>-10</v>
      </c>
      <c r="H372" s="80">
        <f t="shared" si="7"/>
        <v>19</v>
      </c>
      <c r="I372" s="28">
        <f t="shared" ref="I372:L372" si="1108">I371+C372</f>
        <v>464</v>
      </c>
      <c r="J372" s="28">
        <f t="shared" si="1108"/>
        <v>-1192</v>
      </c>
      <c r="K372" s="28">
        <f t="shared" si="1108"/>
        <v>850</v>
      </c>
      <c r="L372" s="28">
        <f t="shared" si="1108"/>
        <v>-122</v>
      </c>
      <c r="N372" s="80">
        <f t="shared" si="25"/>
        <v>19</v>
      </c>
      <c r="O372" s="28">
        <f t="shared" ref="O372:R372" si="1109">O371+I365</f>
        <v>94734</v>
      </c>
      <c r="P372" s="28">
        <f t="shared" si="1109"/>
        <v>-198490</v>
      </c>
      <c r="Q372" s="28">
        <f t="shared" si="1109"/>
        <v>49810</v>
      </c>
      <c r="R372" s="28">
        <f t="shared" si="1109"/>
        <v>53946</v>
      </c>
      <c r="T372" s="80">
        <v>19.0</v>
      </c>
      <c r="U372" s="80">
        <f t="shared" ref="U372:X372" si="1110">U371+C365</f>
        <v>312</v>
      </c>
      <c r="V372" s="80">
        <f t="shared" si="1110"/>
        <v>-2136</v>
      </c>
      <c r="W372" s="80">
        <f t="shared" si="1110"/>
        <v>2526</v>
      </c>
      <c r="X372" s="80">
        <f t="shared" si="1110"/>
        <v>-806</v>
      </c>
      <c r="Z372" s="80">
        <v>19.0</v>
      </c>
      <c r="AA372" s="10">
        <v>44939.0</v>
      </c>
      <c r="AB372" s="80">
        <v>312.0</v>
      </c>
      <c r="AC372" s="80">
        <v>-2136.0</v>
      </c>
      <c r="AD372" s="80">
        <v>2526.0</v>
      </c>
      <c r="AE372" s="80">
        <v>-806.0</v>
      </c>
    </row>
    <row r="373">
      <c r="A373" s="28">
        <f>'SAMLET_alle regnskab'!B382</f>
        <v>20</v>
      </c>
      <c r="B373" s="80">
        <f>'SAMLET_alle regnskab'!A382</f>
        <v>19</v>
      </c>
      <c r="C373" s="28">
        <f>'SAMLET_alle regnskab'!U382</f>
        <v>80</v>
      </c>
      <c r="D373" s="28">
        <f>'SAMLET_alle regnskab'!V382</f>
        <v>-80</v>
      </c>
      <c r="E373" s="28">
        <f>'SAMLET_alle regnskab'!W382</f>
        <v>-80</v>
      </c>
      <c r="F373" s="28">
        <f>'SAMLET_alle regnskab'!X382</f>
        <v>80</v>
      </c>
      <c r="H373" s="80">
        <f t="shared" si="7"/>
        <v>19</v>
      </c>
      <c r="I373" s="28">
        <f t="shared" ref="I373:L373" si="1111">I372+C373</f>
        <v>544</v>
      </c>
      <c r="J373" s="28">
        <f t="shared" si="1111"/>
        <v>-1272</v>
      </c>
      <c r="K373" s="28">
        <f t="shared" si="1111"/>
        <v>770</v>
      </c>
      <c r="L373" s="28">
        <f t="shared" si="1111"/>
        <v>-42</v>
      </c>
      <c r="N373" s="80">
        <f t="shared" si="25"/>
        <v>19</v>
      </c>
      <c r="O373" s="28">
        <f t="shared" ref="O373:R373" si="1112">O372+I366</f>
        <v>95212</v>
      </c>
      <c r="P373" s="28">
        <f t="shared" si="1112"/>
        <v>-199688</v>
      </c>
      <c r="Q373" s="28">
        <f t="shared" si="1112"/>
        <v>50630</v>
      </c>
      <c r="R373" s="28">
        <f t="shared" si="1112"/>
        <v>53846</v>
      </c>
      <c r="T373" s="80">
        <v>19.0</v>
      </c>
      <c r="U373" s="80">
        <f t="shared" ref="U373:X373" si="1113">U372+C366</f>
        <v>320</v>
      </c>
      <c r="V373" s="80">
        <f t="shared" si="1113"/>
        <v>-2160</v>
      </c>
      <c r="W373" s="80">
        <f t="shared" si="1113"/>
        <v>2534</v>
      </c>
      <c r="X373" s="80">
        <f t="shared" si="1113"/>
        <v>-798</v>
      </c>
      <c r="Z373" s="80">
        <v>19.0</v>
      </c>
      <c r="AA373" s="10">
        <v>44939.0</v>
      </c>
      <c r="AB373" s="80">
        <v>320.0</v>
      </c>
      <c r="AC373" s="80">
        <v>-2160.0</v>
      </c>
      <c r="AD373" s="80">
        <v>2534.0</v>
      </c>
      <c r="AE373" s="80">
        <v>-798.0</v>
      </c>
    </row>
    <row r="374">
      <c r="A374" s="28">
        <f>'SAMLET_alle regnskab'!B383</f>
        <v>21</v>
      </c>
      <c r="B374" s="80">
        <f>'SAMLET_alle regnskab'!A383</f>
        <v>19</v>
      </c>
      <c r="C374" s="28">
        <f>'SAMLET_alle regnskab'!U383</f>
        <v>16</v>
      </c>
      <c r="D374" s="28">
        <f>'SAMLET_alle regnskab'!V383</f>
        <v>16</v>
      </c>
      <c r="E374" s="28">
        <f>'SAMLET_alle regnskab'!W383</f>
        <v>-16</v>
      </c>
      <c r="F374" s="28">
        <f>'SAMLET_alle regnskab'!X383</f>
        <v>-16</v>
      </c>
      <c r="H374" s="80">
        <f t="shared" si="7"/>
        <v>19</v>
      </c>
      <c r="I374" s="28">
        <f t="shared" ref="I374:L374" si="1114">I373+C374</f>
        <v>560</v>
      </c>
      <c r="J374" s="28">
        <f t="shared" si="1114"/>
        <v>-1256</v>
      </c>
      <c r="K374" s="28">
        <f t="shared" si="1114"/>
        <v>754</v>
      </c>
      <c r="L374" s="28">
        <f t="shared" si="1114"/>
        <v>-58</v>
      </c>
      <c r="N374" s="80">
        <f t="shared" si="25"/>
        <v>19</v>
      </c>
      <c r="O374" s="28">
        <f t="shared" ref="O374:R374" si="1115">O373+I367</f>
        <v>95666</v>
      </c>
      <c r="P374" s="28">
        <f t="shared" si="1115"/>
        <v>-200862</v>
      </c>
      <c r="Q374" s="28">
        <f t="shared" si="1115"/>
        <v>51426</v>
      </c>
      <c r="R374" s="28">
        <f t="shared" si="1115"/>
        <v>53770</v>
      </c>
      <c r="T374" s="80">
        <v>19.0</v>
      </c>
      <c r="U374" s="80">
        <f t="shared" ref="U374:X374" si="1116">U373+C367</f>
        <v>296</v>
      </c>
      <c r="V374" s="80">
        <f t="shared" si="1116"/>
        <v>-2136</v>
      </c>
      <c r="W374" s="80">
        <f t="shared" si="1116"/>
        <v>2510</v>
      </c>
      <c r="X374" s="80">
        <f t="shared" si="1116"/>
        <v>-774</v>
      </c>
      <c r="Z374" s="80">
        <v>19.0</v>
      </c>
      <c r="AA374" s="10">
        <v>44939.0</v>
      </c>
      <c r="AB374" s="80">
        <v>296.0</v>
      </c>
      <c r="AC374" s="80">
        <v>-2136.0</v>
      </c>
      <c r="AD374" s="80">
        <v>2510.0</v>
      </c>
      <c r="AE374" s="80">
        <v>-774.0</v>
      </c>
    </row>
    <row r="375">
      <c r="A375" s="28">
        <f>'SAMLET_alle regnskab'!B384</f>
        <v>22</v>
      </c>
      <c r="B375" s="80">
        <f>'SAMLET_alle regnskab'!A384</f>
        <v>19</v>
      </c>
      <c r="C375" s="28">
        <f>'SAMLET_alle regnskab'!U384</f>
        <v>12</v>
      </c>
      <c r="D375" s="28">
        <f>'SAMLET_alle regnskab'!V384</f>
        <v>12</v>
      </c>
      <c r="E375" s="28">
        <f>'SAMLET_alle regnskab'!W384</f>
        <v>-12</v>
      </c>
      <c r="F375" s="28">
        <f>'SAMLET_alle regnskab'!X384</f>
        <v>-12</v>
      </c>
      <c r="H375" s="80">
        <f t="shared" si="7"/>
        <v>19</v>
      </c>
      <c r="I375" s="28">
        <f t="shared" ref="I375:L375" si="1117">I374+C375</f>
        <v>572</v>
      </c>
      <c r="J375" s="28">
        <f t="shared" si="1117"/>
        <v>-1244</v>
      </c>
      <c r="K375" s="28">
        <f t="shared" si="1117"/>
        <v>742</v>
      </c>
      <c r="L375" s="28">
        <f t="shared" si="1117"/>
        <v>-70</v>
      </c>
      <c r="N375" s="80">
        <f t="shared" si="25"/>
        <v>19</v>
      </c>
      <c r="O375" s="28">
        <f t="shared" ref="O375:R375" si="1118">O374+I368</f>
        <v>96128</v>
      </c>
      <c r="P375" s="28">
        <f t="shared" si="1118"/>
        <v>-202028</v>
      </c>
      <c r="Q375" s="28">
        <f t="shared" si="1118"/>
        <v>52230</v>
      </c>
      <c r="R375" s="28">
        <f t="shared" si="1118"/>
        <v>53670</v>
      </c>
      <c r="T375" s="80">
        <v>19.0</v>
      </c>
      <c r="U375" s="80">
        <f t="shared" ref="U375:X375" si="1119">U374+C368</f>
        <v>304</v>
      </c>
      <c r="V375" s="80">
        <f t="shared" si="1119"/>
        <v>-2128</v>
      </c>
      <c r="W375" s="80">
        <f t="shared" si="1119"/>
        <v>2518</v>
      </c>
      <c r="X375" s="80">
        <f t="shared" si="1119"/>
        <v>-798</v>
      </c>
      <c r="Z375" s="80">
        <v>19.0</v>
      </c>
      <c r="AA375" s="10">
        <v>44939.0</v>
      </c>
      <c r="AB375" s="80">
        <v>304.0</v>
      </c>
      <c r="AC375" s="80">
        <v>-2128.0</v>
      </c>
      <c r="AD375" s="80">
        <v>2518.0</v>
      </c>
      <c r="AE375" s="80">
        <v>-798.0</v>
      </c>
    </row>
    <row r="376">
      <c r="A376" s="28">
        <f>'SAMLET_alle regnskab'!B385</f>
        <v>23</v>
      </c>
      <c r="B376" s="80">
        <f>'SAMLET_alle regnskab'!A385</f>
        <v>19</v>
      </c>
      <c r="C376" s="28">
        <f>'SAMLET_alle regnskab'!U385</f>
        <v>8</v>
      </c>
      <c r="D376" s="28">
        <f>'SAMLET_alle regnskab'!V385</f>
        <v>8</v>
      </c>
      <c r="E376" s="28">
        <f>'SAMLET_alle regnskab'!W385</f>
        <v>-8</v>
      </c>
      <c r="F376" s="28">
        <f>'SAMLET_alle regnskab'!X385</f>
        <v>-8</v>
      </c>
      <c r="H376" s="80">
        <f t="shared" si="7"/>
        <v>19</v>
      </c>
      <c r="I376" s="28">
        <f t="shared" ref="I376:L376" si="1120">I375+C376</f>
        <v>580</v>
      </c>
      <c r="J376" s="28">
        <f t="shared" si="1120"/>
        <v>-1236</v>
      </c>
      <c r="K376" s="28">
        <f t="shared" si="1120"/>
        <v>734</v>
      </c>
      <c r="L376" s="28">
        <f t="shared" si="1120"/>
        <v>-78</v>
      </c>
      <c r="N376" s="80">
        <f t="shared" si="25"/>
        <v>19</v>
      </c>
      <c r="O376" s="28">
        <f t="shared" ref="O376:R376" si="1121">O375+I369</f>
        <v>96594</v>
      </c>
      <c r="P376" s="28">
        <f t="shared" si="1121"/>
        <v>-203198</v>
      </c>
      <c r="Q376" s="28">
        <f t="shared" si="1121"/>
        <v>53038</v>
      </c>
      <c r="R376" s="28">
        <f t="shared" si="1121"/>
        <v>53566</v>
      </c>
      <c r="T376" s="80">
        <v>19.0</v>
      </c>
      <c r="U376" s="80">
        <f t="shared" ref="U376:X376" si="1122">U375+C369</f>
        <v>308</v>
      </c>
      <c r="V376" s="80">
        <f t="shared" si="1122"/>
        <v>-2132</v>
      </c>
      <c r="W376" s="80">
        <f t="shared" si="1122"/>
        <v>2522</v>
      </c>
      <c r="X376" s="80">
        <f t="shared" si="1122"/>
        <v>-802</v>
      </c>
      <c r="Z376" s="80">
        <v>19.0</v>
      </c>
      <c r="AA376" s="10">
        <v>44939.0</v>
      </c>
      <c r="AB376" s="80">
        <v>308.0</v>
      </c>
      <c r="AC376" s="80">
        <v>-2132.0</v>
      </c>
      <c r="AD376" s="80">
        <v>2522.0</v>
      </c>
      <c r="AE376" s="80">
        <v>-802.0</v>
      </c>
    </row>
    <row r="377">
      <c r="A377" s="28">
        <f>'SAMLET_alle regnskab'!B386</f>
        <v>24</v>
      </c>
      <c r="B377" s="80">
        <f>'SAMLET_alle regnskab'!A386</f>
        <v>19</v>
      </c>
      <c r="C377" s="28">
        <f>'SAMLET_alle regnskab'!U386</f>
        <v>-8</v>
      </c>
      <c r="D377" s="28">
        <f>'SAMLET_alle regnskab'!V386</f>
        <v>-8</v>
      </c>
      <c r="E377" s="28">
        <f>'SAMLET_alle regnskab'!W386</f>
        <v>-8</v>
      </c>
      <c r="F377" s="28">
        <f>'SAMLET_alle regnskab'!X386</f>
        <v>24</v>
      </c>
      <c r="H377" s="80">
        <f t="shared" si="7"/>
        <v>19</v>
      </c>
      <c r="I377" s="28">
        <f t="shared" ref="I377:L377" si="1123">I376+C377</f>
        <v>572</v>
      </c>
      <c r="J377" s="28">
        <f t="shared" si="1123"/>
        <v>-1244</v>
      </c>
      <c r="K377" s="28">
        <f t="shared" si="1123"/>
        <v>726</v>
      </c>
      <c r="L377" s="28">
        <f t="shared" si="1123"/>
        <v>-54</v>
      </c>
      <c r="N377" s="80">
        <f t="shared" si="25"/>
        <v>19</v>
      </c>
      <c r="O377" s="28">
        <f t="shared" ref="O377:R377" si="1124">O376+I370</f>
        <v>97080</v>
      </c>
      <c r="P377" s="28">
        <f t="shared" si="1124"/>
        <v>-204388</v>
      </c>
      <c r="Q377" s="28">
        <f t="shared" si="1124"/>
        <v>53866</v>
      </c>
      <c r="R377" s="28">
        <f t="shared" si="1124"/>
        <v>53442</v>
      </c>
      <c r="T377" s="80">
        <v>19.0</v>
      </c>
      <c r="U377" s="80">
        <f t="shared" ref="U377:X377" si="1125">U376+C370</f>
        <v>328</v>
      </c>
      <c r="V377" s="80">
        <f t="shared" si="1125"/>
        <v>-2152</v>
      </c>
      <c r="W377" s="80">
        <f t="shared" si="1125"/>
        <v>2542</v>
      </c>
      <c r="X377" s="80">
        <f t="shared" si="1125"/>
        <v>-822</v>
      </c>
      <c r="Z377" s="80">
        <v>19.0</v>
      </c>
      <c r="AA377" s="10">
        <v>44939.0</v>
      </c>
      <c r="AB377" s="80">
        <v>328.0</v>
      </c>
      <c r="AC377" s="80">
        <v>-2152.0</v>
      </c>
      <c r="AD377" s="80">
        <v>2542.0</v>
      </c>
      <c r="AE377" s="80">
        <v>-822.0</v>
      </c>
    </row>
    <row r="378">
      <c r="A378" s="28">
        <f>'SAMLET_alle regnskab'!B387</f>
        <v>25</v>
      </c>
      <c r="B378" s="80">
        <f>'SAMLET_alle regnskab'!A387</f>
        <v>19</v>
      </c>
      <c r="C378" s="28">
        <f>'SAMLET_alle regnskab'!U387</f>
        <v>8</v>
      </c>
      <c r="D378" s="28">
        <f>'SAMLET_alle regnskab'!V387</f>
        <v>-24</v>
      </c>
      <c r="E378" s="28">
        <f>'SAMLET_alle regnskab'!W387</f>
        <v>8</v>
      </c>
      <c r="F378" s="28">
        <f>'SAMLET_alle regnskab'!X387</f>
        <v>8</v>
      </c>
      <c r="H378" s="80">
        <f t="shared" si="7"/>
        <v>19</v>
      </c>
      <c r="I378" s="28">
        <f t="shared" ref="I378:L378" si="1126">I377+C378</f>
        <v>580</v>
      </c>
      <c r="J378" s="28">
        <f t="shared" si="1126"/>
        <v>-1268</v>
      </c>
      <c r="K378" s="28">
        <f t="shared" si="1126"/>
        <v>734</v>
      </c>
      <c r="L378" s="28">
        <f t="shared" si="1126"/>
        <v>-46</v>
      </c>
      <c r="N378" s="80">
        <f t="shared" si="25"/>
        <v>19</v>
      </c>
      <c r="O378" s="28">
        <f t="shared" ref="O378:R378" si="1127">O377+I371</f>
        <v>97554</v>
      </c>
      <c r="P378" s="28">
        <f t="shared" si="1127"/>
        <v>-205590</v>
      </c>
      <c r="Q378" s="28">
        <f t="shared" si="1127"/>
        <v>54706</v>
      </c>
      <c r="R378" s="28">
        <f t="shared" si="1127"/>
        <v>53330</v>
      </c>
      <c r="T378" s="80">
        <v>19.0</v>
      </c>
      <c r="U378" s="80">
        <f t="shared" ref="U378:X378" si="1128">U377+C371</f>
        <v>316</v>
      </c>
      <c r="V378" s="80">
        <f t="shared" si="1128"/>
        <v>-2164</v>
      </c>
      <c r="W378" s="80">
        <f t="shared" si="1128"/>
        <v>2554</v>
      </c>
      <c r="X378" s="80">
        <f t="shared" si="1128"/>
        <v>-810</v>
      </c>
      <c r="Z378" s="80">
        <v>19.0</v>
      </c>
      <c r="AA378" s="10">
        <v>44939.0</v>
      </c>
      <c r="AB378" s="80">
        <v>316.0</v>
      </c>
      <c r="AC378" s="80">
        <v>-2164.0</v>
      </c>
      <c r="AD378" s="80">
        <v>2554.0</v>
      </c>
      <c r="AE378" s="80">
        <v>-810.0</v>
      </c>
    </row>
    <row r="379">
      <c r="A379" s="28">
        <f>'SAMLET_alle regnskab'!B388</f>
        <v>26</v>
      </c>
      <c r="B379" s="80">
        <f>'SAMLET_alle regnskab'!A388</f>
        <v>19</v>
      </c>
      <c r="C379" s="28">
        <f>'SAMLET_alle regnskab'!U388</f>
        <v>20</v>
      </c>
      <c r="D379" s="28">
        <f>'SAMLET_alle regnskab'!V388</f>
        <v>20</v>
      </c>
      <c r="E379" s="28">
        <f>'SAMLET_alle regnskab'!W388</f>
        <v>-20</v>
      </c>
      <c r="F379" s="28">
        <f>'SAMLET_alle regnskab'!X388</f>
        <v>-20</v>
      </c>
      <c r="H379" s="80">
        <f t="shared" si="7"/>
        <v>19</v>
      </c>
      <c r="I379" s="28">
        <f t="shared" ref="I379:L379" si="1129">I378+C379</f>
        <v>600</v>
      </c>
      <c r="J379" s="28">
        <f t="shared" si="1129"/>
        <v>-1248</v>
      </c>
      <c r="K379" s="28">
        <f t="shared" si="1129"/>
        <v>714</v>
      </c>
      <c r="L379" s="28">
        <f t="shared" si="1129"/>
        <v>-66</v>
      </c>
      <c r="N379" s="80">
        <f t="shared" si="25"/>
        <v>19</v>
      </c>
      <c r="O379" s="28">
        <f t="shared" ref="O379:R379" si="1130">O378+I372</f>
        <v>98018</v>
      </c>
      <c r="P379" s="28">
        <f t="shared" si="1130"/>
        <v>-206782</v>
      </c>
      <c r="Q379" s="28">
        <f t="shared" si="1130"/>
        <v>55556</v>
      </c>
      <c r="R379" s="28">
        <f t="shared" si="1130"/>
        <v>53208</v>
      </c>
      <c r="T379" s="80">
        <v>19.0</v>
      </c>
      <c r="U379" s="80">
        <f t="shared" ref="U379:X379" si="1131">U378+C372</f>
        <v>306</v>
      </c>
      <c r="V379" s="80">
        <f t="shared" si="1131"/>
        <v>-2154</v>
      </c>
      <c r="W379" s="80">
        <f t="shared" si="1131"/>
        <v>2564</v>
      </c>
      <c r="X379" s="80">
        <f t="shared" si="1131"/>
        <v>-820</v>
      </c>
      <c r="Z379" s="80">
        <v>19.0</v>
      </c>
      <c r="AA379" s="10">
        <v>44939.0</v>
      </c>
      <c r="AB379" s="80">
        <v>306.0</v>
      </c>
      <c r="AC379" s="80">
        <v>-2154.0</v>
      </c>
      <c r="AD379" s="80">
        <v>2564.0</v>
      </c>
      <c r="AE379" s="80">
        <v>-820.0</v>
      </c>
    </row>
    <row r="380">
      <c r="A380" s="28">
        <f>'SAMLET_alle regnskab'!B389</f>
        <v>27</v>
      </c>
      <c r="B380" s="80">
        <f>'SAMLET_alle regnskab'!A389</f>
        <v>19</v>
      </c>
      <c r="C380" s="28">
        <f>'SAMLET_alle regnskab'!U389</f>
        <v>-12</v>
      </c>
      <c r="D380" s="28">
        <f>'SAMLET_alle regnskab'!V389</f>
        <v>12</v>
      </c>
      <c r="E380" s="28">
        <f>'SAMLET_alle regnskab'!W389</f>
        <v>12</v>
      </c>
      <c r="F380" s="28">
        <f>'SAMLET_alle regnskab'!X389</f>
        <v>-12</v>
      </c>
      <c r="H380" s="80">
        <f t="shared" si="7"/>
        <v>19</v>
      </c>
      <c r="I380" s="28">
        <f t="shared" ref="I380:L380" si="1132">I379+C380</f>
        <v>588</v>
      </c>
      <c r="J380" s="28">
        <f t="shared" si="1132"/>
        <v>-1236</v>
      </c>
      <c r="K380" s="28">
        <f t="shared" si="1132"/>
        <v>726</v>
      </c>
      <c r="L380" s="28">
        <f t="shared" si="1132"/>
        <v>-78</v>
      </c>
      <c r="N380" s="80">
        <f t="shared" si="25"/>
        <v>19</v>
      </c>
      <c r="O380" s="28">
        <f t="shared" ref="O380:R380" si="1133">O379+I373</f>
        <v>98562</v>
      </c>
      <c r="P380" s="28">
        <f t="shared" si="1133"/>
        <v>-208054</v>
      </c>
      <c r="Q380" s="28">
        <f t="shared" si="1133"/>
        <v>56326</v>
      </c>
      <c r="R380" s="28">
        <f t="shared" si="1133"/>
        <v>53166</v>
      </c>
      <c r="T380" s="80">
        <v>19.0</v>
      </c>
      <c r="U380" s="80">
        <f t="shared" ref="U380:X380" si="1134">U379+C373</f>
        <v>386</v>
      </c>
      <c r="V380" s="80">
        <f t="shared" si="1134"/>
        <v>-2234</v>
      </c>
      <c r="W380" s="80">
        <f t="shared" si="1134"/>
        <v>2484</v>
      </c>
      <c r="X380" s="80">
        <f t="shared" si="1134"/>
        <v>-740</v>
      </c>
      <c r="Z380" s="80">
        <v>19.0</v>
      </c>
      <c r="AA380" s="10">
        <v>44939.0</v>
      </c>
      <c r="AB380" s="80">
        <v>386.0</v>
      </c>
      <c r="AC380" s="80">
        <v>-2234.0</v>
      </c>
      <c r="AD380" s="80">
        <v>2484.0</v>
      </c>
      <c r="AE380" s="80">
        <v>-740.0</v>
      </c>
    </row>
    <row r="381">
      <c r="A381" s="28">
        <f>'SAMLET_alle regnskab'!B390</f>
        <v>28</v>
      </c>
      <c r="B381" s="80">
        <f>'SAMLET_alle regnskab'!A390</f>
        <v>19</v>
      </c>
      <c r="C381" s="28">
        <f>'SAMLET_alle regnskab'!U390</f>
        <v>64</v>
      </c>
      <c r="D381" s="28">
        <f>'SAMLET_alle regnskab'!V390</f>
        <v>64</v>
      </c>
      <c r="E381" s="28">
        <f>'SAMLET_alle regnskab'!W390</f>
        <v>-64</v>
      </c>
      <c r="F381" s="28">
        <f>'SAMLET_alle regnskab'!X390</f>
        <v>-64</v>
      </c>
      <c r="H381" s="80">
        <f t="shared" si="7"/>
        <v>19</v>
      </c>
      <c r="I381" s="28">
        <f t="shared" ref="I381:L381" si="1135">I380+C381</f>
        <v>652</v>
      </c>
      <c r="J381" s="28">
        <f t="shared" si="1135"/>
        <v>-1172</v>
      </c>
      <c r="K381" s="28">
        <f t="shared" si="1135"/>
        <v>662</v>
      </c>
      <c r="L381" s="28">
        <f t="shared" si="1135"/>
        <v>-142</v>
      </c>
      <c r="N381" s="80">
        <f t="shared" si="25"/>
        <v>19</v>
      </c>
      <c r="O381" s="28">
        <f t="shared" ref="O381:R381" si="1136">O380+I374</f>
        <v>99122</v>
      </c>
      <c r="P381" s="28">
        <f t="shared" si="1136"/>
        <v>-209310</v>
      </c>
      <c r="Q381" s="28">
        <f t="shared" si="1136"/>
        <v>57080</v>
      </c>
      <c r="R381" s="28">
        <f t="shared" si="1136"/>
        <v>53108</v>
      </c>
      <c r="T381" s="80">
        <v>19.0</v>
      </c>
      <c r="U381" s="80">
        <f t="shared" ref="U381:X381" si="1137">U380+C374</f>
        <v>402</v>
      </c>
      <c r="V381" s="80">
        <f t="shared" si="1137"/>
        <v>-2218</v>
      </c>
      <c r="W381" s="80">
        <f t="shared" si="1137"/>
        <v>2468</v>
      </c>
      <c r="X381" s="80">
        <f t="shared" si="1137"/>
        <v>-756</v>
      </c>
      <c r="Z381" s="80">
        <v>19.0</v>
      </c>
      <c r="AA381" s="10">
        <v>44939.0</v>
      </c>
      <c r="AB381" s="80">
        <v>402.0</v>
      </c>
      <c r="AC381" s="80">
        <v>-2218.0</v>
      </c>
      <c r="AD381" s="80">
        <v>2468.0</v>
      </c>
      <c r="AE381" s="80">
        <v>-756.0</v>
      </c>
    </row>
    <row r="382">
      <c r="A382" s="28">
        <f>'SAMLET_alle regnskab'!B391</f>
        <v>29</v>
      </c>
      <c r="B382" s="80">
        <f>'SAMLET_alle regnskab'!A391</f>
        <v>19</v>
      </c>
      <c r="C382" s="28">
        <f>'SAMLET_alle regnskab'!U391</f>
        <v>-4</v>
      </c>
      <c r="D382" s="28">
        <f>'SAMLET_alle regnskab'!V391</f>
        <v>-4</v>
      </c>
      <c r="E382" s="28">
        <f>'SAMLET_alle regnskab'!W391</f>
        <v>-4</v>
      </c>
      <c r="F382" s="28">
        <f>'SAMLET_alle regnskab'!X391</f>
        <v>12</v>
      </c>
      <c r="H382" s="80">
        <f t="shared" si="7"/>
        <v>19</v>
      </c>
      <c r="I382" s="28">
        <f t="shared" ref="I382:L382" si="1138">I381+C382</f>
        <v>648</v>
      </c>
      <c r="J382" s="28">
        <f t="shared" si="1138"/>
        <v>-1176</v>
      </c>
      <c r="K382" s="28">
        <f t="shared" si="1138"/>
        <v>658</v>
      </c>
      <c r="L382" s="28">
        <f t="shared" si="1138"/>
        <v>-130</v>
      </c>
      <c r="N382" s="80">
        <f t="shared" si="25"/>
        <v>19</v>
      </c>
      <c r="O382" s="28">
        <f t="shared" ref="O382:R382" si="1139">O381+I375</f>
        <v>99694</v>
      </c>
      <c r="P382" s="28">
        <f t="shared" si="1139"/>
        <v>-210554</v>
      </c>
      <c r="Q382" s="28">
        <f t="shared" si="1139"/>
        <v>57822</v>
      </c>
      <c r="R382" s="28">
        <f t="shared" si="1139"/>
        <v>53038</v>
      </c>
      <c r="T382" s="80">
        <v>19.0</v>
      </c>
      <c r="U382" s="80">
        <f t="shared" ref="U382:X382" si="1140">U381+C375</f>
        <v>414</v>
      </c>
      <c r="V382" s="80">
        <f t="shared" si="1140"/>
        <v>-2206</v>
      </c>
      <c r="W382" s="80">
        <f t="shared" si="1140"/>
        <v>2456</v>
      </c>
      <c r="X382" s="80">
        <f t="shared" si="1140"/>
        <v>-768</v>
      </c>
      <c r="Z382" s="80">
        <v>19.0</v>
      </c>
      <c r="AA382" s="10">
        <v>44939.0</v>
      </c>
      <c r="AB382" s="80">
        <v>414.0</v>
      </c>
      <c r="AC382" s="80">
        <v>-2206.0</v>
      </c>
      <c r="AD382" s="80">
        <v>2456.0</v>
      </c>
      <c r="AE382" s="80">
        <v>-768.0</v>
      </c>
    </row>
    <row r="383">
      <c r="A383" s="28">
        <f>'SAMLET_alle regnskab'!B392</f>
        <v>30</v>
      </c>
      <c r="B383" s="80">
        <f>'SAMLET_alle regnskab'!A392</f>
        <v>19</v>
      </c>
      <c r="C383" s="28">
        <f>'SAMLET_alle regnskab'!U392</f>
        <v>8</v>
      </c>
      <c r="D383" s="28">
        <f>'SAMLET_alle regnskab'!V392</f>
        <v>-8</v>
      </c>
      <c r="E383" s="28">
        <f>'SAMLET_alle regnskab'!W392</f>
        <v>-8</v>
      </c>
      <c r="F383" s="28">
        <f>'SAMLET_alle regnskab'!X392</f>
        <v>8</v>
      </c>
      <c r="H383" s="80">
        <f t="shared" si="7"/>
        <v>19</v>
      </c>
      <c r="I383" s="28">
        <f t="shared" ref="I383:L383" si="1141">I382+C383</f>
        <v>656</v>
      </c>
      <c r="J383" s="28">
        <f t="shared" si="1141"/>
        <v>-1184</v>
      </c>
      <c r="K383" s="28">
        <f t="shared" si="1141"/>
        <v>650</v>
      </c>
      <c r="L383" s="28">
        <f t="shared" si="1141"/>
        <v>-122</v>
      </c>
      <c r="N383" s="80">
        <f t="shared" si="25"/>
        <v>19</v>
      </c>
      <c r="O383" s="28">
        <f t="shared" ref="O383:R383" si="1142">O382+I376</f>
        <v>100274</v>
      </c>
      <c r="P383" s="28">
        <f t="shared" si="1142"/>
        <v>-211790</v>
      </c>
      <c r="Q383" s="28">
        <f t="shared" si="1142"/>
        <v>58556</v>
      </c>
      <c r="R383" s="28">
        <f t="shared" si="1142"/>
        <v>52960</v>
      </c>
      <c r="T383" s="80">
        <v>19.0</v>
      </c>
      <c r="U383" s="80">
        <f t="shared" ref="U383:X383" si="1143">U382+C376</f>
        <v>422</v>
      </c>
      <c r="V383" s="80">
        <f t="shared" si="1143"/>
        <v>-2198</v>
      </c>
      <c r="W383" s="80">
        <f t="shared" si="1143"/>
        <v>2448</v>
      </c>
      <c r="X383" s="80">
        <f t="shared" si="1143"/>
        <v>-776</v>
      </c>
      <c r="Z383" s="80">
        <v>19.0</v>
      </c>
      <c r="AA383" s="10">
        <v>44939.0</v>
      </c>
      <c r="AB383" s="80">
        <v>422.0</v>
      </c>
      <c r="AC383" s="80">
        <v>-2198.0</v>
      </c>
      <c r="AD383" s="80">
        <v>2448.0</v>
      </c>
      <c r="AE383" s="80">
        <v>-776.0</v>
      </c>
    </row>
    <row r="384">
      <c r="A384" s="28">
        <f>'SAMLET_alle regnskab'!B393</f>
        <v>31</v>
      </c>
      <c r="B384" s="80">
        <f>'SAMLET_alle regnskab'!A393</f>
        <v>19</v>
      </c>
      <c r="C384" s="28">
        <f>'SAMLET_alle regnskab'!U393</f>
        <v>-4</v>
      </c>
      <c r="D384" s="28">
        <f>'SAMLET_alle regnskab'!V393</f>
        <v>12</v>
      </c>
      <c r="E384" s="28">
        <f>'SAMLET_alle regnskab'!W393</f>
        <v>-4</v>
      </c>
      <c r="F384" s="28">
        <f>'SAMLET_alle regnskab'!X393</f>
        <v>-4</v>
      </c>
      <c r="H384" s="80">
        <f t="shared" si="7"/>
        <v>19</v>
      </c>
      <c r="I384" s="28">
        <f t="shared" ref="I384:L384" si="1144">I383+C384</f>
        <v>652</v>
      </c>
      <c r="J384" s="28">
        <f t="shared" si="1144"/>
        <v>-1172</v>
      </c>
      <c r="K384" s="28">
        <f t="shared" si="1144"/>
        <v>646</v>
      </c>
      <c r="L384" s="28">
        <f t="shared" si="1144"/>
        <v>-126</v>
      </c>
      <c r="N384" s="80">
        <f t="shared" si="25"/>
        <v>19</v>
      </c>
      <c r="O384" s="28">
        <f t="shared" ref="O384:R384" si="1145">O383+I377</f>
        <v>100846</v>
      </c>
      <c r="P384" s="28">
        <f t="shared" si="1145"/>
        <v>-213034</v>
      </c>
      <c r="Q384" s="28">
        <f t="shared" si="1145"/>
        <v>59282</v>
      </c>
      <c r="R384" s="28">
        <f t="shared" si="1145"/>
        <v>52906</v>
      </c>
      <c r="T384" s="80">
        <v>19.0</v>
      </c>
      <c r="U384" s="80">
        <f t="shared" ref="U384:X384" si="1146">U383+C377</f>
        <v>414</v>
      </c>
      <c r="V384" s="80">
        <f t="shared" si="1146"/>
        <v>-2206</v>
      </c>
      <c r="W384" s="80">
        <f t="shared" si="1146"/>
        <v>2440</v>
      </c>
      <c r="X384" s="80">
        <f t="shared" si="1146"/>
        <v>-752</v>
      </c>
      <c r="Z384" s="80">
        <v>19.0</v>
      </c>
      <c r="AA384" s="10">
        <v>44939.0</v>
      </c>
      <c r="AB384" s="80">
        <v>414.0</v>
      </c>
      <c r="AC384" s="80">
        <v>-2206.0</v>
      </c>
      <c r="AD384" s="80">
        <v>2440.0</v>
      </c>
      <c r="AE384" s="80">
        <v>-752.0</v>
      </c>
    </row>
    <row r="385">
      <c r="A385" s="28">
        <f>'SAMLET_alle regnskab'!B394</f>
        <v>32</v>
      </c>
      <c r="B385" s="80">
        <f>'SAMLET_alle regnskab'!A394</f>
        <v>19</v>
      </c>
      <c r="C385" s="28">
        <f>'SAMLET_alle regnskab'!U394</f>
        <v>-24</v>
      </c>
      <c r="D385" s="28">
        <f>'SAMLET_alle regnskab'!V394</f>
        <v>8</v>
      </c>
      <c r="E385" s="28">
        <f>'SAMLET_alle regnskab'!W394</f>
        <v>8</v>
      </c>
      <c r="F385" s="28">
        <f>'SAMLET_alle regnskab'!X394</f>
        <v>8</v>
      </c>
      <c r="H385" s="80">
        <f t="shared" si="7"/>
        <v>19</v>
      </c>
      <c r="I385" s="28">
        <f t="shared" ref="I385:L385" si="1147">I384+C385</f>
        <v>628</v>
      </c>
      <c r="J385" s="28">
        <f t="shared" si="1147"/>
        <v>-1164</v>
      </c>
      <c r="K385" s="28">
        <f t="shared" si="1147"/>
        <v>654</v>
      </c>
      <c r="L385" s="28">
        <f t="shared" si="1147"/>
        <v>-118</v>
      </c>
      <c r="N385" s="80">
        <f t="shared" si="25"/>
        <v>19</v>
      </c>
      <c r="O385" s="28">
        <f t="shared" ref="O385:R385" si="1148">O384+I378</f>
        <v>101426</v>
      </c>
      <c r="P385" s="28">
        <f t="shared" si="1148"/>
        <v>-214302</v>
      </c>
      <c r="Q385" s="28">
        <f t="shared" si="1148"/>
        <v>60016</v>
      </c>
      <c r="R385" s="28">
        <f t="shared" si="1148"/>
        <v>52860</v>
      </c>
      <c r="T385" s="80">
        <v>19.0</v>
      </c>
      <c r="U385" s="80">
        <f t="shared" ref="U385:X385" si="1149">U384+C378</f>
        <v>422</v>
      </c>
      <c r="V385" s="80">
        <f t="shared" si="1149"/>
        <v>-2230</v>
      </c>
      <c r="W385" s="80">
        <f t="shared" si="1149"/>
        <v>2448</v>
      </c>
      <c r="X385" s="80">
        <f t="shared" si="1149"/>
        <v>-744</v>
      </c>
      <c r="Z385" s="80">
        <v>19.0</v>
      </c>
      <c r="AA385" s="10">
        <v>44939.0</v>
      </c>
      <c r="AB385" s="80">
        <v>422.0</v>
      </c>
      <c r="AC385" s="80">
        <v>-2230.0</v>
      </c>
      <c r="AD385" s="80">
        <v>2448.0</v>
      </c>
      <c r="AE385" s="80">
        <v>-744.0</v>
      </c>
    </row>
    <row r="386">
      <c r="A386" s="28">
        <f>'SAMLET_alle regnskab'!B395</f>
        <v>33</v>
      </c>
      <c r="B386" s="80">
        <f>'SAMLET_alle regnskab'!A395</f>
        <v>19</v>
      </c>
      <c r="C386" s="28">
        <f>'SAMLET_alle regnskab'!U395</f>
        <v>96</v>
      </c>
      <c r="D386" s="28">
        <f>'SAMLET_alle regnskab'!V395</f>
        <v>-96</v>
      </c>
      <c r="E386" s="28">
        <f>'SAMLET_alle regnskab'!W395</f>
        <v>-96</v>
      </c>
      <c r="F386" s="28">
        <f>'SAMLET_alle regnskab'!X395</f>
        <v>96</v>
      </c>
      <c r="H386" s="80">
        <f t="shared" si="7"/>
        <v>19</v>
      </c>
      <c r="I386" s="28">
        <f t="shared" ref="I386:L386" si="1150">I385+C386</f>
        <v>724</v>
      </c>
      <c r="J386" s="28">
        <f t="shared" si="1150"/>
        <v>-1260</v>
      </c>
      <c r="K386" s="28">
        <f t="shared" si="1150"/>
        <v>558</v>
      </c>
      <c r="L386" s="28">
        <f t="shared" si="1150"/>
        <v>-22</v>
      </c>
      <c r="N386" s="80">
        <f t="shared" si="25"/>
        <v>19</v>
      </c>
      <c r="O386" s="28">
        <f t="shared" ref="O386:R386" si="1151">O385+I379</f>
        <v>102026</v>
      </c>
      <c r="P386" s="28">
        <f t="shared" si="1151"/>
        <v>-215550</v>
      </c>
      <c r="Q386" s="28">
        <f t="shared" si="1151"/>
        <v>60730</v>
      </c>
      <c r="R386" s="28">
        <f t="shared" si="1151"/>
        <v>52794</v>
      </c>
      <c r="T386" s="80">
        <v>19.0</v>
      </c>
      <c r="U386" s="80">
        <f t="shared" ref="U386:X386" si="1152">U385+C379</f>
        <v>442</v>
      </c>
      <c r="V386" s="80">
        <f t="shared" si="1152"/>
        <v>-2210</v>
      </c>
      <c r="W386" s="80">
        <f t="shared" si="1152"/>
        <v>2428</v>
      </c>
      <c r="X386" s="80">
        <f t="shared" si="1152"/>
        <v>-764</v>
      </c>
      <c r="Z386" s="80">
        <v>19.0</v>
      </c>
      <c r="AA386" s="10">
        <v>44939.0</v>
      </c>
      <c r="AB386" s="80">
        <v>442.0</v>
      </c>
      <c r="AC386" s="80">
        <v>-2210.0</v>
      </c>
      <c r="AD386" s="80">
        <v>2428.0</v>
      </c>
      <c r="AE386" s="80">
        <v>-764.0</v>
      </c>
    </row>
    <row r="387">
      <c r="A387" s="28">
        <f>'SAMLET_alle regnskab'!B396</f>
        <v>34</v>
      </c>
      <c r="B387" s="80">
        <f>'SAMLET_alle regnskab'!A396</f>
        <v>19</v>
      </c>
      <c r="C387" s="28">
        <f>'SAMLET_alle regnskab'!U396</f>
        <v>16</v>
      </c>
      <c r="D387" s="28">
        <f>'SAMLET_alle regnskab'!V396</f>
        <v>-16</v>
      </c>
      <c r="E387" s="28">
        <f>'SAMLET_alle regnskab'!W396</f>
        <v>-16</v>
      </c>
      <c r="F387" s="28">
        <f>'SAMLET_alle regnskab'!X396</f>
        <v>16</v>
      </c>
      <c r="H387" s="80">
        <f t="shared" si="7"/>
        <v>19</v>
      </c>
      <c r="I387" s="28">
        <f t="shared" ref="I387:L387" si="1153">I386+C387</f>
        <v>740</v>
      </c>
      <c r="J387" s="28">
        <f t="shared" si="1153"/>
        <v>-1276</v>
      </c>
      <c r="K387" s="28">
        <f t="shared" si="1153"/>
        <v>542</v>
      </c>
      <c r="L387" s="28">
        <f t="shared" si="1153"/>
        <v>-6</v>
      </c>
      <c r="N387" s="80">
        <f t="shared" si="25"/>
        <v>19</v>
      </c>
      <c r="O387" s="28">
        <f t="shared" ref="O387:R387" si="1154">O386+I380</f>
        <v>102614</v>
      </c>
      <c r="P387" s="28">
        <f t="shared" si="1154"/>
        <v>-216786</v>
      </c>
      <c r="Q387" s="28">
        <f t="shared" si="1154"/>
        <v>61456</v>
      </c>
      <c r="R387" s="28">
        <f t="shared" si="1154"/>
        <v>52716</v>
      </c>
      <c r="T387" s="80">
        <v>19.0</v>
      </c>
      <c r="U387" s="80">
        <f t="shared" ref="U387:X387" si="1155">U386+C380</f>
        <v>430</v>
      </c>
      <c r="V387" s="80">
        <f t="shared" si="1155"/>
        <v>-2198</v>
      </c>
      <c r="W387" s="80">
        <f t="shared" si="1155"/>
        <v>2440</v>
      </c>
      <c r="X387" s="80">
        <f t="shared" si="1155"/>
        <v>-776</v>
      </c>
      <c r="Z387" s="80">
        <v>19.0</v>
      </c>
      <c r="AA387" s="10">
        <v>44939.0</v>
      </c>
      <c r="AB387" s="80">
        <v>430.0</v>
      </c>
      <c r="AC387" s="80">
        <v>-2198.0</v>
      </c>
      <c r="AD387" s="80">
        <v>2440.0</v>
      </c>
      <c r="AE387" s="80">
        <v>-776.0</v>
      </c>
    </row>
    <row r="388">
      <c r="A388" s="28">
        <f>'SAMLET_alle regnskab'!B397</f>
        <v>35</v>
      </c>
      <c r="B388" s="80">
        <f>'SAMLET_alle regnskab'!A397</f>
        <v>19</v>
      </c>
      <c r="C388" s="28">
        <f>'SAMLET_alle regnskab'!U397</f>
        <v>-4</v>
      </c>
      <c r="D388" s="28">
        <f>'SAMLET_alle regnskab'!V397</f>
        <v>12</v>
      </c>
      <c r="E388" s="28">
        <f>'SAMLET_alle regnskab'!W397</f>
        <v>-4</v>
      </c>
      <c r="F388" s="28">
        <f>'SAMLET_alle regnskab'!X397</f>
        <v>-4</v>
      </c>
      <c r="H388" s="80">
        <f t="shared" si="7"/>
        <v>19</v>
      </c>
      <c r="I388" s="28">
        <f t="shared" ref="I388:L388" si="1156">I387+C388</f>
        <v>736</v>
      </c>
      <c r="J388" s="28">
        <f t="shared" si="1156"/>
        <v>-1264</v>
      </c>
      <c r="K388" s="28">
        <f t="shared" si="1156"/>
        <v>538</v>
      </c>
      <c r="L388" s="28">
        <f t="shared" si="1156"/>
        <v>-10</v>
      </c>
      <c r="N388" s="80">
        <f t="shared" si="25"/>
        <v>19</v>
      </c>
      <c r="O388" s="28">
        <f t="shared" ref="O388:R388" si="1157">O387+I381</f>
        <v>103266</v>
      </c>
      <c r="P388" s="28">
        <f t="shared" si="1157"/>
        <v>-217958</v>
      </c>
      <c r="Q388" s="28">
        <f t="shared" si="1157"/>
        <v>62118</v>
      </c>
      <c r="R388" s="28">
        <f t="shared" si="1157"/>
        <v>52574</v>
      </c>
      <c r="T388" s="80">
        <v>19.0</v>
      </c>
      <c r="U388" s="80">
        <f t="shared" ref="U388:X388" si="1158">U387+C381</f>
        <v>494</v>
      </c>
      <c r="V388" s="80">
        <f t="shared" si="1158"/>
        <v>-2134</v>
      </c>
      <c r="W388" s="80">
        <f t="shared" si="1158"/>
        <v>2376</v>
      </c>
      <c r="X388" s="80">
        <f t="shared" si="1158"/>
        <v>-840</v>
      </c>
      <c r="Z388" s="80">
        <v>19.0</v>
      </c>
      <c r="AA388" s="10">
        <v>44939.0</v>
      </c>
      <c r="AB388" s="80">
        <v>494.0</v>
      </c>
      <c r="AC388" s="80">
        <v>-2134.0</v>
      </c>
      <c r="AD388" s="80">
        <v>2376.0</v>
      </c>
      <c r="AE388" s="80">
        <v>-840.0</v>
      </c>
    </row>
    <row r="389">
      <c r="A389" s="28">
        <f>'SAMLET_alle regnskab'!B398</f>
        <v>36</v>
      </c>
      <c r="B389" s="80">
        <f>'SAMLET_alle regnskab'!A398</f>
        <v>19</v>
      </c>
      <c r="C389" s="28">
        <f>'SAMLET_alle regnskab'!U398</f>
        <v>8</v>
      </c>
      <c r="D389" s="28">
        <f>'SAMLET_alle regnskab'!V398</f>
        <v>8</v>
      </c>
      <c r="E389" s="28">
        <f>'SAMLET_alle regnskab'!W398</f>
        <v>-24</v>
      </c>
      <c r="F389" s="28">
        <f>'SAMLET_alle regnskab'!X398</f>
        <v>8</v>
      </c>
      <c r="H389" s="80">
        <f t="shared" si="7"/>
        <v>19</v>
      </c>
      <c r="I389" s="28">
        <f t="shared" ref="I389:L389" si="1159">I388+C389</f>
        <v>744</v>
      </c>
      <c r="J389" s="28">
        <f t="shared" si="1159"/>
        <v>-1256</v>
      </c>
      <c r="K389" s="28">
        <f t="shared" si="1159"/>
        <v>514</v>
      </c>
      <c r="L389" s="28">
        <f t="shared" si="1159"/>
        <v>-2</v>
      </c>
      <c r="N389" s="80">
        <f t="shared" si="25"/>
        <v>19</v>
      </c>
      <c r="O389" s="28">
        <f t="shared" ref="O389:R389" si="1160">O388+I382</f>
        <v>103914</v>
      </c>
      <c r="P389" s="28">
        <f t="shared" si="1160"/>
        <v>-219134</v>
      </c>
      <c r="Q389" s="28">
        <f t="shared" si="1160"/>
        <v>62776</v>
      </c>
      <c r="R389" s="28">
        <f t="shared" si="1160"/>
        <v>52444</v>
      </c>
      <c r="T389" s="80">
        <v>19.0</v>
      </c>
      <c r="U389" s="80">
        <f t="shared" ref="U389:X389" si="1161">U388+C382</f>
        <v>490</v>
      </c>
      <c r="V389" s="80">
        <f t="shared" si="1161"/>
        <v>-2138</v>
      </c>
      <c r="W389" s="80">
        <f t="shared" si="1161"/>
        <v>2372</v>
      </c>
      <c r="X389" s="80">
        <f t="shared" si="1161"/>
        <v>-828</v>
      </c>
      <c r="Z389" s="80">
        <v>19.0</v>
      </c>
      <c r="AA389" s="10">
        <v>44939.0</v>
      </c>
      <c r="AB389" s="80">
        <v>490.0</v>
      </c>
      <c r="AC389" s="80">
        <v>-2138.0</v>
      </c>
      <c r="AD389" s="80">
        <v>2372.0</v>
      </c>
      <c r="AE389" s="80">
        <v>-828.0</v>
      </c>
    </row>
    <row r="390">
      <c r="A390" s="28">
        <f>'SAMLET_alle regnskab'!B399</f>
        <v>37</v>
      </c>
      <c r="B390" s="80">
        <f>'SAMLET_alle regnskab'!A399</f>
        <v>19</v>
      </c>
      <c r="C390" s="28">
        <f>'SAMLET_alle regnskab'!U399</f>
        <v>8</v>
      </c>
      <c r="D390" s="28">
        <f>'SAMLET_alle regnskab'!V399</f>
        <v>-8</v>
      </c>
      <c r="E390" s="28">
        <f>'SAMLET_alle regnskab'!W399</f>
        <v>8</v>
      </c>
      <c r="F390" s="28">
        <f>'SAMLET_alle regnskab'!X399</f>
        <v>-8</v>
      </c>
      <c r="H390" s="80">
        <f t="shared" si="7"/>
        <v>19</v>
      </c>
      <c r="I390" s="28">
        <f t="shared" ref="I390:L390" si="1162">I389+C390</f>
        <v>752</v>
      </c>
      <c r="J390" s="28">
        <f t="shared" si="1162"/>
        <v>-1264</v>
      </c>
      <c r="K390" s="28">
        <f t="shared" si="1162"/>
        <v>522</v>
      </c>
      <c r="L390" s="28">
        <f t="shared" si="1162"/>
        <v>-10</v>
      </c>
      <c r="N390" s="80">
        <f t="shared" si="25"/>
        <v>19</v>
      </c>
      <c r="O390" s="28">
        <f t="shared" ref="O390:R390" si="1163">O389+I383</f>
        <v>104570</v>
      </c>
      <c r="P390" s="28">
        <f t="shared" si="1163"/>
        <v>-220318</v>
      </c>
      <c r="Q390" s="28">
        <f t="shared" si="1163"/>
        <v>63426</v>
      </c>
      <c r="R390" s="28">
        <f t="shared" si="1163"/>
        <v>52322</v>
      </c>
      <c r="T390" s="80">
        <v>19.0</v>
      </c>
      <c r="U390" s="80">
        <f t="shared" ref="U390:X390" si="1164">U389+C383</f>
        <v>498</v>
      </c>
      <c r="V390" s="80">
        <f t="shared" si="1164"/>
        <v>-2146</v>
      </c>
      <c r="W390" s="80">
        <f t="shared" si="1164"/>
        <v>2364</v>
      </c>
      <c r="X390" s="80">
        <f t="shared" si="1164"/>
        <v>-820</v>
      </c>
      <c r="Z390" s="80">
        <v>19.0</v>
      </c>
      <c r="AA390" s="10">
        <v>44939.0</v>
      </c>
      <c r="AB390" s="80">
        <v>498.0</v>
      </c>
      <c r="AC390" s="80">
        <v>-2146.0</v>
      </c>
      <c r="AD390" s="80">
        <v>2364.0</v>
      </c>
      <c r="AE390" s="80">
        <v>-820.0</v>
      </c>
    </row>
    <row r="391">
      <c r="A391" s="28">
        <f>'SAMLET_alle regnskab'!B400</f>
        <v>38</v>
      </c>
      <c r="B391" s="80">
        <f>'SAMLET_alle regnskab'!A400</f>
        <v>19</v>
      </c>
      <c r="C391" s="28">
        <f>'SAMLET_alle regnskab'!U400</f>
        <v>-10</v>
      </c>
      <c r="D391" s="28">
        <f>'SAMLET_alle regnskab'!V400</f>
        <v>10</v>
      </c>
      <c r="E391" s="28">
        <f>'SAMLET_alle regnskab'!W400</f>
        <v>-10</v>
      </c>
      <c r="F391" s="28">
        <f>'SAMLET_alle regnskab'!X400</f>
        <v>10</v>
      </c>
      <c r="H391" s="80">
        <f t="shared" si="7"/>
        <v>19</v>
      </c>
      <c r="I391" s="28">
        <f t="shared" ref="I391:L391" si="1165">I390+C391</f>
        <v>742</v>
      </c>
      <c r="J391" s="28">
        <f t="shared" si="1165"/>
        <v>-1254</v>
      </c>
      <c r="K391" s="28">
        <f t="shared" si="1165"/>
        <v>512</v>
      </c>
      <c r="L391" s="28">
        <f t="shared" si="1165"/>
        <v>0</v>
      </c>
      <c r="N391" s="80">
        <f t="shared" si="25"/>
        <v>19</v>
      </c>
      <c r="O391" s="28">
        <f t="shared" ref="O391:R391" si="1166">O390+I384</f>
        <v>105222</v>
      </c>
      <c r="P391" s="28">
        <f t="shared" si="1166"/>
        <v>-221490</v>
      </c>
      <c r="Q391" s="28">
        <f t="shared" si="1166"/>
        <v>64072</v>
      </c>
      <c r="R391" s="28">
        <f t="shared" si="1166"/>
        <v>52196</v>
      </c>
      <c r="T391" s="80">
        <v>19.0</v>
      </c>
      <c r="U391" s="80">
        <f t="shared" ref="U391:X391" si="1167">U390+C384</f>
        <v>494</v>
      </c>
      <c r="V391" s="80">
        <f t="shared" si="1167"/>
        <v>-2134</v>
      </c>
      <c r="W391" s="80">
        <f t="shared" si="1167"/>
        <v>2360</v>
      </c>
      <c r="X391" s="80">
        <f t="shared" si="1167"/>
        <v>-824</v>
      </c>
      <c r="Z391" s="80">
        <v>19.0</v>
      </c>
      <c r="AA391" s="10">
        <v>44939.0</v>
      </c>
      <c r="AB391" s="80">
        <v>494.0</v>
      </c>
      <c r="AC391" s="80">
        <v>-2134.0</v>
      </c>
      <c r="AD391" s="80">
        <v>2360.0</v>
      </c>
      <c r="AE391" s="80">
        <v>-824.0</v>
      </c>
    </row>
    <row r="392">
      <c r="A392" s="28">
        <f>'SAMLET_alle regnskab'!B401</f>
        <v>39</v>
      </c>
      <c r="B392" s="80">
        <f>'SAMLET_alle regnskab'!A401</f>
        <v>19</v>
      </c>
      <c r="C392" s="28">
        <f>'SAMLET_alle regnskab'!U401</f>
        <v>8</v>
      </c>
      <c r="D392" s="28">
        <f>'SAMLET_alle regnskab'!V401</f>
        <v>-24</v>
      </c>
      <c r="E392" s="28">
        <f>'SAMLET_alle regnskab'!W401</f>
        <v>8</v>
      </c>
      <c r="F392" s="28">
        <f>'SAMLET_alle regnskab'!X401</f>
        <v>8</v>
      </c>
      <c r="H392" s="80">
        <f t="shared" si="7"/>
        <v>19</v>
      </c>
      <c r="I392" s="28">
        <f t="shared" ref="I392:L392" si="1168">I391+C392</f>
        <v>750</v>
      </c>
      <c r="J392" s="28">
        <f t="shared" si="1168"/>
        <v>-1278</v>
      </c>
      <c r="K392" s="28">
        <f t="shared" si="1168"/>
        <v>520</v>
      </c>
      <c r="L392" s="28">
        <f t="shared" si="1168"/>
        <v>8</v>
      </c>
      <c r="N392" s="80">
        <f t="shared" si="25"/>
        <v>19</v>
      </c>
      <c r="O392" s="28">
        <f t="shared" ref="O392:R392" si="1169">O391+I385</f>
        <v>105850</v>
      </c>
      <c r="P392" s="28">
        <f t="shared" si="1169"/>
        <v>-222654</v>
      </c>
      <c r="Q392" s="28">
        <f t="shared" si="1169"/>
        <v>64726</v>
      </c>
      <c r="R392" s="28">
        <f t="shared" si="1169"/>
        <v>52078</v>
      </c>
      <c r="T392" s="80">
        <v>19.0</v>
      </c>
      <c r="U392" s="80">
        <f t="shared" ref="U392:X392" si="1170">U391+C385</f>
        <v>470</v>
      </c>
      <c r="V392" s="80">
        <f t="shared" si="1170"/>
        <v>-2126</v>
      </c>
      <c r="W392" s="80">
        <f t="shared" si="1170"/>
        <v>2368</v>
      </c>
      <c r="X392" s="80">
        <f t="shared" si="1170"/>
        <v>-816</v>
      </c>
      <c r="Z392" s="80">
        <v>19.0</v>
      </c>
      <c r="AA392" s="10">
        <v>44939.0</v>
      </c>
      <c r="AB392" s="80">
        <v>470.0</v>
      </c>
      <c r="AC392" s="80">
        <v>-2126.0</v>
      </c>
      <c r="AD392" s="80">
        <v>2368.0</v>
      </c>
      <c r="AE392" s="80">
        <v>-816.0</v>
      </c>
    </row>
    <row r="393">
      <c r="A393" s="28">
        <f>'SAMLET_alle regnskab'!B402</f>
        <v>40</v>
      </c>
      <c r="B393" s="80">
        <f>'SAMLET_alle regnskab'!A402</f>
        <v>19</v>
      </c>
      <c r="C393" s="28">
        <f>'SAMLET_alle regnskab'!U402</f>
        <v>10</v>
      </c>
      <c r="D393" s="28">
        <f>'SAMLET_alle regnskab'!V402</f>
        <v>10</v>
      </c>
      <c r="E393" s="28">
        <f>'SAMLET_alle regnskab'!W402</f>
        <v>-10</v>
      </c>
      <c r="F393" s="28">
        <f>'SAMLET_alle regnskab'!X402</f>
        <v>-10</v>
      </c>
      <c r="H393" s="80">
        <f t="shared" si="7"/>
        <v>19</v>
      </c>
      <c r="I393" s="28">
        <f t="shared" ref="I393:L393" si="1171">I392+C393</f>
        <v>760</v>
      </c>
      <c r="J393" s="28">
        <f t="shared" si="1171"/>
        <v>-1268</v>
      </c>
      <c r="K393" s="28">
        <f t="shared" si="1171"/>
        <v>510</v>
      </c>
      <c r="L393" s="28">
        <f t="shared" si="1171"/>
        <v>-2</v>
      </c>
      <c r="N393" s="80">
        <f t="shared" si="25"/>
        <v>19</v>
      </c>
      <c r="O393" s="28">
        <f t="shared" ref="O393:R393" si="1172">O392+I386</f>
        <v>106574</v>
      </c>
      <c r="P393" s="28">
        <f t="shared" si="1172"/>
        <v>-223914</v>
      </c>
      <c r="Q393" s="28">
        <f t="shared" si="1172"/>
        <v>65284</v>
      </c>
      <c r="R393" s="28">
        <f t="shared" si="1172"/>
        <v>52056</v>
      </c>
      <c r="T393" s="80">
        <v>19.0</v>
      </c>
      <c r="U393" s="80">
        <f t="shared" ref="U393:X393" si="1173">U392+C386</f>
        <v>566</v>
      </c>
      <c r="V393" s="80">
        <f t="shared" si="1173"/>
        <v>-2222</v>
      </c>
      <c r="W393" s="80">
        <f t="shared" si="1173"/>
        <v>2272</v>
      </c>
      <c r="X393" s="80">
        <f t="shared" si="1173"/>
        <v>-720</v>
      </c>
      <c r="Z393" s="80">
        <v>19.0</v>
      </c>
      <c r="AA393" s="10">
        <v>44939.0</v>
      </c>
      <c r="AB393" s="80">
        <v>566.0</v>
      </c>
      <c r="AC393" s="80">
        <v>-2222.0</v>
      </c>
      <c r="AD393" s="80">
        <v>2272.0</v>
      </c>
      <c r="AE393" s="80">
        <v>-720.0</v>
      </c>
    </row>
    <row r="394">
      <c r="A394" s="28">
        <f>'SAMLET_alle regnskab'!B403</f>
        <v>41</v>
      </c>
      <c r="B394" s="80">
        <f>'SAMLET_alle regnskab'!A403</f>
        <v>19</v>
      </c>
      <c r="C394" s="28">
        <f>'SAMLET_alle regnskab'!U403</f>
        <v>-192</v>
      </c>
      <c r="D394" s="28">
        <f>'SAMLET_alle regnskab'!V403</f>
        <v>-192</v>
      </c>
      <c r="E394" s="28">
        <f>'SAMLET_alle regnskab'!W403</f>
        <v>192</v>
      </c>
      <c r="F394" s="28">
        <f>'SAMLET_alle regnskab'!X403</f>
        <v>192</v>
      </c>
      <c r="H394" s="80">
        <f t="shared" si="7"/>
        <v>19</v>
      </c>
      <c r="I394" s="28">
        <f t="shared" ref="I394:L394" si="1174">I393+C394</f>
        <v>568</v>
      </c>
      <c r="J394" s="28">
        <f t="shared" si="1174"/>
        <v>-1460</v>
      </c>
      <c r="K394" s="28">
        <f t="shared" si="1174"/>
        <v>702</v>
      </c>
      <c r="L394" s="28">
        <f t="shared" si="1174"/>
        <v>190</v>
      </c>
      <c r="N394" s="80">
        <f t="shared" si="25"/>
        <v>19</v>
      </c>
      <c r="O394" s="28">
        <f t="shared" ref="O394:R394" si="1175">O393+I387</f>
        <v>107314</v>
      </c>
      <c r="P394" s="28">
        <f t="shared" si="1175"/>
        <v>-225190</v>
      </c>
      <c r="Q394" s="28">
        <f t="shared" si="1175"/>
        <v>65826</v>
      </c>
      <c r="R394" s="28">
        <f t="shared" si="1175"/>
        <v>52050</v>
      </c>
      <c r="T394" s="80">
        <v>19.0</v>
      </c>
      <c r="U394" s="80">
        <f t="shared" ref="U394:X394" si="1176">U393+C387</f>
        <v>582</v>
      </c>
      <c r="V394" s="80">
        <f t="shared" si="1176"/>
        <v>-2238</v>
      </c>
      <c r="W394" s="80">
        <f t="shared" si="1176"/>
        <v>2256</v>
      </c>
      <c r="X394" s="80">
        <f t="shared" si="1176"/>
        <v>-704</v>
      </c>
      <c r="Z394" s="80">
        <v>19.0</v>
      </c>
      <c r="AA394" s="10">
        <v>44939.0</v>
      </c>
      <c r="AB394" s="80">
        <v>582.0</v>
      </c>
      <c r="AC394" s="80">
        <v>-2238.0</v>
      </c>
      <c r="AD394" s="80">
        <v>2256.0</v>
      </c>
      <c r="AE394" s="80">
        <v>-704.0</v>
      </c>
    </row>
    <row r="395">
      <c r="A395" s="28">
        <f>'SAMLET_alle regnskab'!B404</f>
        <v>42</v>
      </c>
      <c r="B395" s="80">
        <f>'SAMLET_alle regnskab'!A404</f>
        <v>19</v>
      </c>
      <c r="C395" s="28">
        <f>'SAMLET_alle regnskab'!U404</f>
        <v>96</v>
      </c>
      <c r="D395" s="28">
        <f>'SAMLET_alle regnskab'!V404</f>
        <v>-32</v>
      </c>
      <c r="E395" s="28">
        <f>'SAMLET_alle regnskab'!W404</f>
        <v>-32</v>
      </c>
      <c r="F395" s="28">
        <f>'SAMLET_alle regnskab'!X404</f>
        <v>-32</v>
      </c>
      <c r="H395" s="80">
        <f t="shared" si="7"/>
        <v>19</v>
      </c>
      <c r="I395" s="28">
        <f t="shared" ref="I395:L395" si="1177">I394+C395</f>
        <v>664</v>
      </c>
      <c r="J395" s="28">
        <f t="shared" si="1177"/>
        <v>-1492</v>
      </c>
      <c r="K395" s="28">
        <f t="shared" si="1177"/>
        <v>670</v>
      </c>
      <c r="L395" s="28">
        <f t="shared" si="1177"/>
        <v>158</v>
      </c>
      <c r="N395" s="80">
        <f t="shared" si="25"/>
        <v>19</v>
      </c>
      <c r="O395" s="28">
        <f t="shared" ref="O395:R395" si="1178">O394+I388</f>
        <v>108050</v>
      </c>
      <c r="P395" s="28">
        <f t="shared" si="1178"/>
        <v>-226454</v>
      </c>
      <c r="Q395" s="28">
        <f t="shared" si="1178"/>
        <v>66364</v>
      </c>
      <c r="R395" s="28">
        <f t="shared" si="1178"/>
        <v>52040</v>
      </c>
      <c r="T395" s="80">
        <v>19.0</v>
      </c>
      <c r="U395" s="80">
        <f t="shared" ref="U395:X395" si="1179">U394+C388</f>
        <v>578</v>
      </c>
      <c r="V395" s="80">
        <f t="shared" si="1179"/>
        <v>-2226</v>
      </c>
      <c r="W395" s="80">
        <f t="shared" si="1179"/>
        <v>2252</v>
      </c>
      <c r="X395" s="80">
        <f t="shared" si="1179"/>
        <v>-708</v>
      </c>
      <c r="Z395" s="80">
        <v>19.0</v>
      </c>
      <c r="AA395" s="10">
        <v>44939.0</v>
      </c>
      <c r="AB395" s="80">
        <v>578.0</v>
      </c>
      <c r="AC395" s="80">
        <v>-2226.0</v>
      </c>
      <c r="AD395" s="80">
        <v>2252.0</v>
      </c>
      <c r="AE395" s="80">
        <v>-708.0</v>
      </c>
    </row>
    <row r="396">
      <c r="A396" s="28">
        <f>'SAMLET_alle regnskab'!B405</f>
        <v>43</v>
      </c>
      <c r="B396" s="80">
        <f>'SAMLET_alle regnskab'!A405</f>
        <v>19</v>
      </c>
      <c r="C396" s="28">
        <f>'SAMLET_alle regnskab'!U405</f>
        <v>-4</v>
      </c>
      <c r="D396" s="28">
        <f>'SAMLET_alle regnskab'!V405</f>
        <v>4</v>
      </c>
      <c r="E396" s="28">
        <f>'SAMLET_alle regnskab'!W405</f>
        <v>-4</v>
      </c>
      <c r="F396" s="28">
        <f>'SAMLET_alle regnskab'!X405</f>
        <v>4</v>
      </c>
      <c r="H396" s="80">
        <f t="shared" si="7"/>
        <v>19</v>
      </c>
      <c r="I396" s="28">
        <f t="shared" ref="I396:L396" si="1180">I395+C396</f>
        <v>660</v>
      </c>
      <c r="J396" s="28">
        <f t="shared" si="1180"/>
        <v>-1488</v>
      </c>
      <c r="K396" s="28">
        <f t="shared" si="1180"/>
        <v>666</v>
      </c>
      <c r="L396" s="28">
        <f t="shared" si="1180"/>
        <v>162</v>
      </c>
      <c r="N396" s="80">
        <f t="shared" si="25"/>
        <v>19</v>
      </c>
      <c r="O396" s="28">
        <f t="shared" ref="O396:R396" si="1181">O395+I389</f>
        <v>108794</v>
      </c>
      <c r="P396" s="28">
        <f t="shared" si="1181"/>
        <v>-227710</v>
      </c>
      <c r="Q396" s="28">
        <f t="shared" si="1181"/>
        <v>66878</v>
      </c>
      <c r="R396" s="28">
        <f t="shared" si="1181"/>
        <v>52038</v>
      </c>
      <c r="T396" s="80">
        <v>19.0</v>
      </c>
      <c r="U396" s="80">
        <f t="shared" ref="U396:X396" si="1182">U395+C389</f>
        <v>586</v>
      </c>
      <c r="V396" s="80">
        <f t="shared" si="1182"/>
        <v>-2218</v>
      </c>
      <c r="W396" s="80">
        <f t="shared" si="1182"/>
        <v>2228</v>
      </c>
      <c r="X396" s="80">
        <f t="shared" si="1182"/>
        <v>-700</v>
      </c>
      <c r="Z396" s="80">
        <v>19.0</v>
      </c>
      <c r="AA396" s="10">
        <v>44939.0</v>
      </c>
      <c r="AB396" s="80">
        <v>586.0</v>
      </c>
      <c r="AC396" s="80">
        <v>-2218.0</v>
      </c>
      <c r="AD396" s="80">
        <v>2228.0</v>
      </c>
      <c r="AE396" s="80">
        <v>-700.0</v>
      </c>
    </row>
    <row r="397">
      <c r="A397" s="28">
        <f>'SAMLET_alle regnskab'!B406</f>
        <v>44</v>
      </c>
      <c r="B397" s="80">
        <f>'SAMLET_alle regnskab'!A406</f>
        <v>19</v>
      </c>
      <c r="C397" s="28">
        <f>'SAMLET_alle regnskab'!U406</f>
        <v>-16</v>
      </c>
      <c r="D397" s="28">
        <f>'SAMLET_alle regnskab'!V406</f>
        <v>16</v>
      </c>
      <c r="E397" s="28">
        <f>'SAMLET_alle regnskab'!W406</f>
        <v>-16</v>
      </c>
      <c r="F397" s="28">
        <f>'SAMLET_alle regnskab'!X406</f>
        <v>16</v>
      </c>
      <c r="H397" s="80">
        <f t="shared" si="7"/>
        <v>19</v>
      </c>
      <c r="I397" s="28">
        <f t="shared" ref="I397:L397" si="1183">I396+C397</f>
        <v>644</v>
      </c>
      <c r="J397" s="28">
        <f t="shared" si="1183"/>
        <v>-1472</v>
      </c>
      <c r="K397" s="28">
        <f t="shared" si="1183"/>
        <v>650</v>
      </c>
      <c r="L397" s="28">
        <f t="shared" si="1183"/>
        <v>178</v>
      </c>
      <c r="N397" s="80">
        <f t="shared" si="25"/>
        <v>19</v>
      </c>
      <c r="O397" s="28">
        <f t="shared" ref="O397:R397" si="1184">O396+I390</f>
        <v>109546</v>
      </c>
      <c r="P397" s="28">
        <f t="shared" si="1184"/>
        <v>-228974</v>
      </c>
      <c r="Q397" s="28">
        <f t="shared" si="1184"/>
        <v>67400</v>
      </c>
      <c r="R397" s="28">
        <f t="shared" si="1184"/>
        <v>52028</v>
      </c>
      <c r="T397" s="80">
        <v>19.0</v>
      </c>
      <c r="U397" s="80">
        <f t="shared" ref="U397:X397" si="1185">U396+C390</f>
        <v>594</v>
      </c>
      <c r="V397" s="80">
        <f t="shared" si="1185"/>
        <v>-2226</v>
      </c>
      <c r="W397" s="80">
        <f t="shared" si="1185"/>
        <v>2236</v>
      </c>
      <c r="X397" s="80">
        <f t="shared" si="1185"/>
        <v>-708</v>
      </c>
      <c r="Z397" s="80">
        <v>19.0</v>
      </c>
      <c r="AA397" s="10">
        <v>44939.0</v>
      </c>
      <c r="AB397" s="80">
        <v>594.0</v>
      </c>
      <c r="AC397" s="80">
        <v>-2226.0</v>
      </c>
      <c r="AD397" s="80">
        <v>2236.0</v>
      </c>
      <c r="AE397" s="80">
        <v>-708.0</v>
      </c>
    </row>
    <row r="398">
      <c r="A398" s="28">
        <f>'SAMLET_alle regnskab'!B407</f>
        <v>45</v>
      </c>
      <c r="B398" s="80">
        <f>'SAMLET_alle regnskab'!A407</f>
        <v>19</v>
      </c>
      <c r="C398" s="28">
        <f>'SAMLET_alle regnskab'!U407</f>
        <v>-4</v>
      </c>
      <c r="D398" s="28">
        <f>'SAMLET_alle regnskab'!V407</f>
        <v>-4</v>
      </c>
      <c r="E398" s="28">
        <f>'SAMLET_alle regnskab'!W407</f>
        <v>12</v>
      </c>
      <c r="F398" s="28">
        <f>'SAMLET_alle regnskab'!X407</f>
        <v>-4</v>
      </c>
      <c r="H398" s="80">
        <f t="shared" si="7"/>
        <v>19</v>
      </c>
      <c r="I398" s="28">
        <f t="shared" ref="I398:L398" si="1186">I397+C398</f>
        <v>640</v>
      </c>
      <c r="J398" s="28">
        <f t="shared" si="1186"/>
        <v>-1476</v>
      </c>
      <c r="K398" s="28">
        <f t="shared" si="1186"/>
        <v>662</v>
      </c>
      <c r="L398" s="28">
        <f t="shared" si="1186"/>
        <v>174</v>
      </c>
      <c r="N398" s="80">
        <f t="shared" si="25"/>
        <v>19</v>
      </c>
      <c r="O398" s="28">
        <f t="shared" ref="O398:R398" si="1187">O397+I391</f>
        <v>110288</v>
      </c>
      <c r="P398" s="28">
        <f t="shared" si="1187"/>
        <v>-230228</v>
      </c>
      <c r="Q398" s="28">
        <f t="shared" si="1187"/>
        <v>67912</v>
      </c>
      <c r="R398" s="28">
        <f t="shared" si="1187"/>
        <v>52028</v>
      </c>
      <c r="T398" s="80">
        <v>19.0</v>
      </c>
      <c r="U398" s="80">
        <f t="shared" ref="U398:X398" si="1188">U397+C391</f>
        <v>584</v>
      </c>
      <c r="V398" s="80">
        <f t="shared" si="1188"/>
        <v>-2216</v>
      </c>
      <c r="W398" s="80">
        <f t="shared" si="1188"/>
        <v>2226</v>
      </c>
      <c r="X398" s="80">
        <f t="shared" si="1188"/>
        <v>-698</v>
      </c>
      <c r="Z398" s="80">
        <v>19.0</v>
      </c>
      <c r="AA398" s="10">
        <v>44939.0</v>
      </c>
      <c r="AB398" s="80">
        <v>584.0</v>
      </c>
      <c r="AC398" s="80">
        <v>-2216.0</v>
      </c>
      <c r="AD398" s="80">
        <v>2226.0</v>
      </c>
      <c r="AE398" s="80">
        <v>-698.0</v>
      </c>
    </row>
    <row r="399">
      <c r="A399" s="28">
        <f>'SAMLET_alle regnskab'!B408</f>
        <v>46</v>
      </c>
      <c r="B399" s="80">
        <f>'SAMLET_alle regnskab'!A408</f>
        <v>19</v>
      </c>
      <c r="C399" s="28">
        <f>'SAMLET_alle regnskab'!U408</f>
        <v>12</v>
      </c>
      <c r="D399" s="28">
        <f>'SAMLET_alle regnskab'!V408</f>
        <v>-12</v>
      </c>
      <c r="E399" s="28">
        <f>'SAMLET_alle regnskab'!W408</f>
        <v>-12</v>
      </c>
      <c r="F399" s="28">
        <f>'SAMLET_alle regnskab'!X408</f>
        <v>12</v>
      </c>
      <c r="H399" s="80">
        <f t="shared" si="7"/>
        <v>19</v>
      </c>
      <c r="I399" s="28">
        <f t="shared" ref="I399:L399" si="1189">I398+C399</f>
        <v>652</v>
      </c>
      <c r="J399" s="28">
        <f t="shared" si="1189"/>
        <v>-1488</v>
      </c>
      <c r="K399" s="28">
        <f t="shared" si="1189"/>
        <v>650</v>
      </c>
      <c r="L399" s="28">
        <f t="shared" si="1189"/>
        <v>186</v>
      </c>
      <c r="N399" s="80">
        <f t="shared" si="25"/>
        <v>19</v>
      </c>
      <c r="O399" s="28">
        <f t="shared" ref="O399:R399" si="1190">O398+I392</f>
        <v>111038</v>
      </c>
      <c r="P399" s="28">
        <f t="shared" si="1190"/>
        <v>-231506</v>
      </c>
      <c r="Q399" s="28">
        <f t="shared" si="1190"/>
        <v>68432</v>
      </c>
      <c r="R399" s="28">
        <f t="shared" si="1190"/>
        <v>52036</v>
      </c>
      <c r="T399" s="80">
        <v>19.0</v>
      </c>
      <c r="U399" s="80">
        <f t="shared" ref="U399:X399" si="1191">U398+C392</f>
        <v>592</v>
      </c>
      <c r="V399" s="80">
        <f t="shared" si="1191"/>
        <v>-2240</v>
      </c>
      <c r="W399" s="80">
        <f t="shared" si="1191"/>
        <v>2234</v>
      </c>
      <c r="X399" s="80">
        <f t="shared" si="1191"/>
        <v>-690</v>
      </c>
      <c r="Z399" s="80">
        <v>19.0</v>
      </c>
      <c r="AA399" s="10">
        <v>44939.0</v>
      </c>
      <c r="AB399" s="80">
        <v>592.0</v>
      </c>
      <c r="AC399" s="80">
        <v>-2240.0</v>
      </c>
      <c r="AD399" s="80">
        <v>2234.0</v>
      </c>
      <c r="AE399" s="80">
        <v>-690.0</v>
      </c>
    </row>
    <row r="400">
      <c r="A400" s="28">
        <f>'SAMLET_alle regnskab'!B409</f>
        <v>47</v>
      </c>
      <c r="B400" s="80">
        <f>'SAMLET_alle regnskab'!A409</f>
        <v>19</v>
      </c>
      <c r="C400" s="28">
        <f>'SAMLET_alle regnskab'!U409</f>
        <v>8</v>
      </c>
      <c r="D400" s="28">
        <f>'SAMLET_alle regnskab'!V409</f>
        <v>-8</v>
      </c>
      <c r="E400" s="28">
        <f>'SAMLET_alle regnskab'!W409</f>
        <v>8</v>
      </c>
      <c r="F400" s="28">
        <f>'SAMLET_alle regnskab'!X409</f>
        <v>-8</v>
      </c>
      <c r="H400" s="80">
        <f t="shared" si="7"/>
        <v>19</v>
      </c>
      <c r="I400" s="28">
        <f t="shared" ref="I400:L400" si="1192">I399+C400</f>
        <v>660</v>
      </c>
      <c r="J400" s="28">
        <f t="shared" si="1192"/>
        <v>-1496</v>
      </c>
      <c r="K400" s="28">
        <f t="shared" si="1192"/>
        <v>658</v>
      </c>
      <c r="L400" s="28">
        <f t="shared" si="1192"/>
        <v>178</v>
      </c>
      <c r="N400" s="80">
        <f t="shared" si="25"/>
        <v>19</v>
      </c>
      <c r="O400" s="28">
        <f t="shared" ref="O400:R400" si="1193">O399+I393</f>
        <v>111798</v>
      </c>
      <c r="P400" s="28">
        <f t="shared" si="1193"/>
        <v>-232774</v>
      </c>
      <c r="Q400" s="28">
        <f t="shared" si="1193"/>
        <v>68942</v>
      </c>
      <c r="R400" s="28">
        <f t="shared" si="1193"/>
        <v>52034</v>
      </c>
      <c r="T400" s="80">
        <v>19.0</v>
      </c>
      <c r="U400" s="80">
        <f t="shared" ref="U400:X400" si="1194">U399+C393</f>
        <v>602</v>
      </c>
      <c r="V400" s="80">
        <f t="shared" si="1194"/>
        <v>-2230</v>
      </c>
      <c r="W400" s="80">
        <f t="shared" si="1194"/>
        <v>2224</v>
      </c>
      <c r="X400" s="80">
        <f t="shared" si="1194"/>
        <v>-700</v>
      </c>
      <c r="Z400" s="80">
        <v>19.0</v>
      </c>
      <c r="AA400" s="10">
        <v>44939.0</v>
      </c>
      <c r="AB400" s="80">
        <v>602.0</v>
      </c>
      <c r="AC400" s="80">
        <v>-2230.0</v>
      </c>
      <c r="AD400" s="80">
        <v>2224.0</v>
      </c>
      <c r="AE400" s="80">
        <v>-700.0</v>
      </c>
    </row>
    <row r="401">
      <c r="A401" s="28">
        <f>'SAMLET_alle regnskab'!B410</f>
        <v>48</v>
      </c>
      <c r="B401" s="80">
        <f>'SAMLET_alle regnskab'!A410</f>
        <v>19</v>
      </c>
      <c r="C401" s="28">
        <f>'SAMLET_alle regnskab'!U410</f>
        <v>-8</v>
      </c>
      <c r="D401" s="28">
        <f>'SAMLET_alle regnskab'!V410</f>
        <v>-8</v>
      </c>
      <c r="E401" s="28">
        <f>'SAMLET_alle regnskab'!W410</f>
        <v>8</v>
      </c>
      <c r="F401" s="28">
        <f>'SAMLET_alle regnskab'!X410</f>
        <v>8</v>
      </c>
      <c r="H401" s="80">
        <f t="shared" si="7"/>
        <v>19</v>
      </c>
      <c r="I401" s="28">
        <f t="shared" ref="I401:L401" si="1195">I400+C401</f>
        <v>652</v>
      </c>
      <c r="J401" s="28">
        <f t="shared" si="1195"/>
        <v>-1504</v>
      </c>
      <c r="K401" s="28">
        <f t="shared" si="1195"/>
        <v>666</v>
      </c>
      <c r="L401" s="28">
        <f t="shared" si="1195"/>
        <v>186</v>
      </c>
      <c r="N401" s="80">
        <f t="shared" si="25"/>
        <v>19</v>
      </c>
      <c r="O401" s="28">
        <f t="shared" ref="O401:R401" si="1196">O400+I394</f>
        <v>112366</v>
      </c>
      <c r="P401" s="28">
        <f t="shared" si="1196"/>
        <v>-234234</v>
      </c>
      <c r="Q401" s="28">
        <f t="shared" si="1196"/>
        <v>69644</v>
      </c>
      <c r="R401" s="28">
        <f t="shared" si="1196"/>
        <v>52224</v>
      </c>
      <c r="T401" s="80">
        <v>19.0</v>
      </c>
      <c r="U401" s="80">
        <f t="shared" ref="U401:X401" si="1197">U400+C394</f>
        <v>410</v>
      </c>
      <c r="V401" s="80">
        <f t="shared" si="1197"/>
        <v>-2422</v>
      </c>
      <c r="W401" s="80">
        <f t="shared" si="1197"/>
        <v>2416</v>
      </c>
      <c r="X401" s="80">
        <f t="shared" si="1197"/>
        <v>-508</v>
      </c>
      <c r="Z401" s="80">
        <v>19.0</v>
      </c>
      <c r="AA401" s="10">
        <v>44939.0</v>
      </c>
      <c r="AB401" s="80">
        <v>410.0</v>
      </c>
      <c r="AC401" s="80">
        <v>-2422.0</v>
      </c>
      <c r="AD401" s="80">
        <v>2416.0</v>
      </c>
      <c r="AE401" s="80">
        <v>-508.0</v>
      </c>
    </row>
    <row r="402">
      <c r="A402" s="28">
        <f>'SAMLET_alle regnskab'!B411</f>
        <v>49</v>
      </c>
      <c r="B402" s="80">
        <f>'SAMLET_alle regnskab'!A411</f>
        <v>19</v>
      </c>
      <c r="C402" s="28">
        <f>'SAMLET_alle regnskab'!U411</f>
        <v>0</v>
      </c>
      <c r="D402" s="28">
        <f>'SAMLET_alle regnskab'!V411</f>
        <v>0</v>
      </c>
      <c r="E402" s="28">
        <f>'SAMLET_alle regnskab'!W411</f>
        <v>0</v>
      </c>
      <c r="F402" s="28">
        <f>'SAMLET_alle regnskab'!X411</f>
        <v>0</v>
      </c>
      <c r="H402" s="80">
        <f t="shared" si="7"/>
        <v>19</v>
      </c>
      <c r="I402" s="28">
        <f t="shared" ref="I402:L402" si="1198">I401+C402</f>
        <v>652</v>
      </c>
      <c r="J402" s="28">
        <f t="shared" si="1198"/>
        <v>-1504</v>
      </c>
      <c r="K402" s="28">
        <f t="shared" si="1198"/>
        <v>666</v>
      </c>
      <c r="L402" s="28">
        <f t="shared" si="1198"/>
        <v>186</v>
      </c>
      <c r="N402" s="80">
        <f t="shared" si="25"/>
        <v>19</v>
      </c>
      <c r="O402" s="28">
        <f t="shared" ref="O402:R402" si="1199">O401+I395</f>
        <v>113030</v>
      </c>
      <c r="P402" s="28">
        <f t="shared" si="1199"/>
        <v>-235726</v>
      </c>
      <c r="Q402" s="28">
        <f t="shared" si="1199"/>
        <v>70314</v>
      </c>
      <c r="R402" s="28">
        <f t="shared" si="1199"/>
        <v>52382</v>
      </c>
      <c r="T402" s="80">
        <v>19.0</v>
      </c>
      <c r="U402" s="80">
        <f t="shared" ref="U402:X402" si="1200">U401+C395</f>
        <v>506</v>
      </c>
      <c r="V402" s="80">
        <f t="shared" si="1200"/>
        <v>-2454</v>
      </c>
      <c r="W402" s="80">
        <f t="shared" si="1200"/>
        <v>2384</v>
      </c>
      <c r="X402" s="80">
        <f t="shared" si="1200"/>
        <v>-540</v>
      </c>
      <c r="Z402" s="80">
        <v>19.0</v>
      </c>
      <c r="AA402" s="10">
        <v>44939.0</v>
      </c>
      <c r="AB402" s="80">
        <v>506.0</v>
      </c>
      <c r="AC402" s="80">
        <v>-2454.0</v>
      </c>
      <c r="AD402" s="80">
        <v>2384.0</v>
      </c>
      <c r="AE402" s="80">
        <v>-540.0</v>
      </c>
    </row>
    <row r="403">
      <c r="A403" s="28">
        <f>'SAMLET_alle regnskab'!B412</f>
        <v>50</v>
      </c>
      <c r="B403" s="80">
        <f>'SAMLET_alle regnskab'!A412</f>
        <v>19</v>
      </c>
      <c r="C403" s="28">
        <f>'SAMLET_alle regnskab'!U412</f>
        <v>-8</v>
      </c>
      <c r="D403" s="28">
        <f>'SAMLET_alle regnskab'!V412</f>
        <v>8</v>
      </c>
      <c r="E403" s="28">
        <f>'SAMLET_alle regnskab'!W412</f>
        <v>-8</v>
      </c>
      <c r="F403" s="28">
        <f>'SAMLET_alle regnskab'!X412</f>
        <v>8</v>
      </c>
      <c r="H403" s="80">
        <f t="shared" si="7"/>
        <v>19</v>
      </c>
      <c r="I403" s="28">
        <f t="shared" ref="I403:L403" si="1201">I402+C403</f>
        <v>644</v>
      </c>
      <c r="J403" s="28">
        <f t="shared" si="1201"/>
        <v>-1496</v>
      </c>
      <c r="K403" s="28">
        <f t="shared" si="1201"/>
        <v>658</v>
      </c>
      <c r="L403" s="28">
        <f t="shared" si="1201"/>
        <v>194</v>
      </c>
      <c r="N403" s="80">
        <f t="shared" si="25"/>
        <v>19</v>
      </c>
      <c r="O403" s="28">
        <f t="shared" ref="O403:R403" si="1202">O402+I396</f>
        <v>113690</v>
      </c>
      <c r="P403" s="28">
        <f t="shared" si="1202"/>
        <v>-237214</v>
      </c>
      <c r="Q403" s="28">
        <f t="shared" si="1202"/>
        <v>70980</v>
      </c>
      <c r="R403" s="28">
        <f t="shared" si="1202"/>
        <v>52544</v>
      </c>
      <c r="T403" s="80">
        <v>19.0</v>
      </c>
      <c r="U403" s="80">
        <f t="shared" ref="U403:X403" si="1203">U402+C396</f>
        <v>502</v>
      </c>
      <c r="V403" s="80">
        <f t="shared" si="1203"/>
        <v>-2450</v>
      </c>
      <c r="W403" s="80">
        <f t="shared" si="1203"/>
        <v>2380</v>
      </c>
      <c r="X403" s="80">
        <f t="shared" si="1203"/>
        <v>-536</v>
      </c>
      <c r="Z403" s="80">
        <v>19.0</v>
      </c>
      <c r="AA403" s="10">
        <v>44939.0</v>
      </c>
      <c r="AB403" s="80">
        <v>502.0</v>
      </c>
      <c r="AC403" s="80">
        <v>-2450.0</v>
      </c>
      <c r="AD403" s="80">
        <v>2380.0</v>
      </c>
      <c r="AE403" s="80">
        <v>-536.0</v>
      </c>
    </row>
    <row r="404">
      <c r="A404" s="28">
        <f>'SAMLET_alle regnskab'!B413</f>
        <v>50</v>
      </c>
      <c r="B404" s="80">
        <f>'SAMLET_alle regnskab'!A413</f>
        <v>19</v>
      </c>
      <c r="C404" s="28">
        <f>'SAMLET_alle regnskab'!U413</f>
        <v>16</v>
      </c>
      <c r="D404" s="28">
        <f>'SAMLET_alle regnskab'!V413</f>
        <v>16</v>
      </c>
      <c r="E404" s="28">
        <f>'SAMLET_alle regnskab'!W413</f>
        <v>-16</v>
      </c>
      <c r="F404" s="28">
        <f>'SAMLET_alle regnskab'!X413</f>
        <v>-16</v>
      </c>
      <c r="H404" s="80">
        <f t="shared" si="7"/>
        <v>19</v>
      </c>
      <c r="I404" s="28">
        <f t="shared" ref="I404:L404" si="1204">I403+C404</f>
        <v>660</v>
      </c>
      <c r="J404" s="28">
        <f t="shared" si="1204"/>
        <v>-1480</v>
      </c>
      <c r="K404" s="28">
        <f t="shared" si="1204"/>
        <v>642</v>
      </c>
      <c r="L404" s="28">
        <f t="shared" si="1204"/>
        <v>178</v>
      </c>
      <c r="N404" s="80">
        <f t="shared" si="25"/>
        <v>19</v>
      </c>
      <c r="O404" s="28">
        <f t="shared" ref="O404:R404" si="1205">O403+I397</f>
        <v>114334</v>
      </c>
      <c r="P404" s="28">
        <f t="shared" si="1205"/>
        <v>-238686</v>
      </c>
      <c r="Q404" s="28">
        <f t="shared" si="1205"/>
        <v>71630</v>
      </c>
      <c r="R404" s="28">
        <f t="shared" si="1205"/>
        <v>52722</v>
      </c>
      <c r="T404" s="80">
        <v>19.0</v>
      </c>
      <c r="U404" s="80">
        <f t="shared" ref="U404:X404" si="1206">U403+C397</f>
        <v>486</v>
      </c>
      <c r="V404" s="80">
        <f t="shared" si="1206"/>
        <v>-2434</v>
      </c>
      <c r="W404" s="80">
        <f t="shared" si="1206"/>
        <v>2364</v>
      </c>
      <c r="X404" s="80">
        <f t="shared" si="1206"/>
        <v>-520</v>
      </c>
      <c r="Z404" s="80">
        <v>19.0</v>
      </c>
      <c r="AA404" s="10">
        <v>44939.0</v>
      </c>
      <c r="AB404" s="80">
        <v>486.0</v>
      </c>
      <c r="AC404" s="80">
        <v>-2434.0</v>
      </c>
      <c r="AD404" s="80">
        <v>2364.0</v>
      </c>
      <c r="AE404" s="80">
        <v>-520.0</v>
      </c>
    </row>
    <row r="405">
      <c r="A405" s="28">
        <f>'SAMLET_alle regnskab'!B414</f>
        <v>51</v>
      </c>
      <c r="B405" s="80">
        <f>'SAMLET_alle regnskab'!A414</f>
        <v>19</v>
      </c>
      <c r="C405" s="28">
        <f>'SAMLET_alle regnskab'!U414</f>
        <v>8</v>
      </c>
      <c r="D405" s="28">
        <f>'SAMLET_alle regnskab'!V414</f>
        <v>-8</v>
      </c>
      <c r="E405" s="28">
        <f>'SAMLET_alle regnskab'!W414</f>
        <v>-8</v>
      </c>
      <c r="F405" s="28">
        <f>'SAMLET_alle regnskab'!X414</f>
        <v>8</v>
      </c>
      <c r="H405" s="80">
        <f t="shared" si="7"/>
        <v>19</v>
      </c>
      <c r="I405" s="28">
        <f t="shared" ref="I405:L405" si="1207">I404+C405</f>
        <v>668</v>
      </c>
      <c r="J405" s="28">
        <f t="shared" si="1207"/>
        <v>-1488</v>
      </c>
      <c r="K405" s="28">
        <f t="shared" si="1207"/>
        <v>634</v>
      </c>
      <c r="L405" s="28">
        <f t="shared" si="1207"/>
        <v>186</v>
      </c>
      <c r="N405" s="80">
        <f t="shared" si="25"/>
        <v>19</v>
      </c>
      <c r="O405" s="28">
        <f t="shared" ref="O405:R405" si="1208">O404+I398</f>
        <v>114974</v>
      </c>
      <c r="P405" s="28">
        <f t="shared" si="1208"/>
        <v>-240162</v>
      </c>
      <c r="Q405" s="28">
        <f t="shared" si="1208"/>
        <v>72292</v>
      </c>
      <c r="R405" s="28">
        <f t="shared" si="1208"/>
        <v>52896</v>
      </c>
      <c r="T405" s="80">
        <v>19.0</v>
      </c>
      <c r="U405" s="80">
        <f t="shared" ref="U405:X405" si="1209">U404+C398</f>
        <v>482</v>
      </c>
      <c r="V405" s="80">
        <f t="shared" si="1209"/>
        <v>-2438</v>
      </c>
      <c r="W405" s="80">
        <f t="shared" si="1209"/>
        <v>2376</v>
      </c>
      <c r="X405" s="80">
        <f t="shared" si="1209"/>
        <v>-524</v>
      </c>
      <c r="Z405" s="80">
        <v>19.0</v>
      </c>
      <c r="AA405" s="10">
        <v>44939.0</v>
      </c>
      <c r="AB405" s="80">
        <v>482.0</v>
      </c>
      <c r="AC405" s="80">
        <v>-2438.0</v>
      </c>
      <c r="AD405" s="80">
        <v>2376.0</v>
      </c>
      <c r="AE405" s="80">
        <v>-524.0</v>
      </c>
    </row>
    <row r="406">
      <c r="A406" s="28">
        <f>'SAMLET_alle regnskab'!B415</f>
        <v>51</v>
      </c>
      <c r="B406" s="80">
        <f>'SAMLET_alle regnskab'!A415</f>
        <v>19</v>
      </c>
      <c r="C406" s="28">
        <f>'SAMLET_alle regnskab'!U415</f>
        <v>8</v>
      </c>
      <c r="D406" s="28">
        <f>'SAMLET_alle regnskab'!V415</f>
        <v>-8</v>
      </c>
      <c r="E406" s="28">
        <f>'SAMLET_alle regnskab'!W415</f>
        <v>8</v>
      </c>
      <c r="F406" s="28">
        <f>'SAMLET_alle regnskab'!X415</f>
        <v>-8</v>
      </c>
      <c r="H406" s="80">
        <f t="shared" si="7"/>
        <v>19</v>
      </c>
      <c r="I406" s="28">
        <f t="shared" ref="I406:L406" si="1210">I405+C406</f>
        <v>676</v>
      </c>
      <c r="J406" s="28">
        <f t="shared" si="1210"/>
        <v>-1496</v>
      </c>
      <c r="K406" s="28">
        <f t="shared" si="1210"/>
        <v>642</v>
      </c>
      <c r="L406" s="28">
        <f t="shared" si="1210"/>
        <v>178</v>
      </c>
      <c r="N406" s="80">
        <f t="shared" si="25"/>
        <v>19</v>
      </c>
      <c r="O406" s="28">
        <f t="shared" ref="O406:R406" si="1211">O405+I399</f>
        <v>115626</v>
      </c>
      <c r="P406" s="28">
        <f t="shared" si="1211"/>
        <v>-241650</v>
      </c>
      <c r="Q406" s="28">
        <f t="shared" si="1211"/>
        <v>72942</v>
      </c>
      <c r="R406" s="28">
        <f t="shared" si="1211"/>
        <v>53082</v>
      </c>
      <c r="T406" s="80">
        <v>19.0</v>
      </c>
      <c r="U406" s="80">
        <f t="shared" ref="U406:X406" si="1212">U405+C399</f>
        <v>494</v>
      </c>
      <c r="V406" s="80">
        <f t="shared" si="1212"/>
        <v>-2450</v>
      </c>
      <c r="W406" s="80">
        <f t="shared" si="1212"/>
        <v>2364</v>
      </c>
      <c r="X406" s="80">
        <f t="shared" si="1212"/>
        <v>-512</v>
      </c>
      <c r="Z406" s="80">
        <v>19.0</v>
      </c>
      <c r="AA406" s="10">
        <v>44939.0</v>
      </c>
      <c r="AB406" s="80">
        <v>494.0</v>
      </c>
      <c r="AC406" s="80">
        <v>-2450.0</v>
      </c>
      <c r="AD406" s="80">
        <v>2364.0</v>
      </c>
      <c r="AE406" s="80">
        <v>-512.0</v>
      </c>
    </row>
    <row r="407">
      <c r="A407" s="28">
        <f>'SAMLET_alle regnskab'!B416</f>
        <v>52</v>
      </c>
      <c r="B407" s="80">
        <f>'SAMLET_alle regnskab'!A416</f>
        <v>19</v>
      </c>
      <c r="C407" s="28">
        <f>'SAMLET_alle regnskab'!U416</f>
        <v>-8</v>
      </c>
      <c r="D407" s="28">
        <f>'SAMLET_alle regnskab'!V416</f>
        <v>-8</v>
      </c>
      <c r="E407" s="28">
        <f>'SAMLET_alle regnskab'!W416</f>
        <v>8</v>
      </c>
      <c r="F407" s="28">
        <f>'SAMLET_alle regnskab'!X416</f>
        <v>8</v>
      </c>
      <c r="H407" s="80">
        <f t="shared" si="7"/>
        <v>19</v>
      </c>
      <c r="I407" s="28">
        <f t="shared" ref="I407:L407" si="1213">I406+C407</f>
        <v>668</v>
      </c>
      <c r="J407" s="28">
        <f t="shared" si="1213"/>
        <v>-1504</v>
      </c>
      <c r="K407" s="28">
        <f t="shared" si="1213"/>
        <v>650</v>
      </c>
      <c r="L407" s="28">
        <f t="shared" si="1213"/>
        <v>186</v>
      </c>
      <c r="N407" s="80">
        <f t="shared" si="25"/>
        <v>19</v>
      </c>
      <c r="O407" s="28">
        <f t="shared" ref="O407:R407" si="1214">O406+I400</f>
        <v>116286</v>
      </c>
      <c r="P407" s="28">
        <f t="shared" si="1214"/>
        <v>-243146</v>
      </c>
      <c r="Q407" s="28">
        <f t="shared" si="1214"/>
        <v>73600</v>
      </c>
      <c r="R407" s="28">
        <f t="shared" si="1214"/>
        <v>53260</v>
      </c>
      <c r="T407" s="80">
        <v>19.0</v>
      </c>
      <c r="U407" s="80">
        <f t="shared" ref="U407:X407" si="1215">U406+C400</f>
        <v>502</v>
      </c>
      <c r="V407" s="80">
        <f t="shared" si="1215"/>
        <v>-2458</v>
      </c>
      <c r="W407" s="80">
        <f t="shared" si="1215"/>
        <v>2372</v>
      </c>
      <c r="X407" s="80">
        <f t="shared" si="1215"/>
        <v>-520</v>
      </c>
      <c r="Z407" s="80">
        <v>19.0</v>
      </c>
      <c r="AA407" s="10">
        <v>44939.0</v>
      </c>
      <c r="AB407" s="80">
        <v>502.0</v>
      </c>
      <c r="AC407" s="80">
        <v>-2458.0</v>
      </c>
      <c r="AD407" s="80">
        <v>2372.0</v>
      </c>
      <c r="AE407" s="80">
        <v>-520.0</v>
      </c>
    </row>
    <row r="408">
      <c r="A408" s="28">
        <f>'SAMLET_alle regnskab'!B417</f>
        <v>52</v>
      </c>
      <c r="B408" s="80">
        <f>'SAMLET_alle regnskab'!A417</f>
        <v>19</v>
      </c>
      <c r="C408" s="28">
        <f>'SAMLET_alle regnskab'!U417</f>
        <v>48</v>
      </c>
      <c r="D408" s="28">
        <f>'SAMLET_alle regnskab'!V417</f>
        <v>-16</v>
      </c>
      <c r="E408" s="28">
        <f>'SAMLET_alle regnskab'!W417</f>
        <v>-16</v>
      </c>
      <c r="F408" s="28">
        <f>'SAMLET_alle regnskab'!X417</f>
        <v>-16</v>
      </c>
      <c r="H408" s="80">
        <f t="shared" si="7"/>
        <v>19</v>
      </c>
      <c r="I408" s="28">
        <f t="shared" ref="I408:L408" si="1216">I407+C408</f>
        <v>716</v>
      </c>
      <c r="J408" s="28">
        <f t="shared" si="1216"/>
        <v>-1520</v>
      </c>
      <c r="K408" s="28">
        <f t="shared" si="1216"/>
        <v>634</v>
      </c>
      <c r="L408" s="28">
        <f t="shared" si="1216"/>
        <v>170</v>
      </c>
      <c r="N408" s="80">
        <f t="shared" si="25"/>
        <v>19</v>
      </c>
      <c r="O408" s="28">
        <f t="shared" ref="O408:R408" si="1217">O407+I401</f>
        <v>116938</v>
      </c>
      <c r="P408" s="28">
        <f t="shared" si="1217"/>
        <v>-244650</v>
      </c>
      <c r="Q408" s="28">
        <f t="shared" si="1217"/>
        <v>74266</v>
      </c>
      <c r="R408" s="28">
        <f t="shared" si="1217"/>
        <v>53446</v>
      </c>
      <c r="T408" s="80">
        <v>19.0</v>
      </c>
      <c r="U408" s="80">
        <f t="shared" ref="U408:X408" si="1218">U407+C401</f>
        <v>494</v>
      </c>
      <c r="V408" s="80">
        <f t="shared" si="1218"/>
        <v>-2466</v>
      </c>
      <c r="W408" s="80">
        <f t="shared" si="1218"/>
        <v>2380</v>
      </c>
      <c r="X408" s="80">
        <f t="shared" si="1218"/>
        <v>-512</v>
      </c>
      <c r="Z408" s="80">
        <v>19.0</v>
      </c>
      <c r="AA408" s="10">
        <v>44939.0</v>
      </c>
      <c r="AB408" s="80">
        <v>494.0</v>
      </c>
      <c r="AC408" s="80">
        <v>-2466.0</v>
      </c>
      <c r="AD408" s="80">
        <v>2380.0</v>
      </c>
      <c r="AE408" s="80">
        <v>-512.0</v>
      </c>
    </row>
    <row r="409">
      <c r="A409" s="28">
        <f>'SAMLET_alle regnskab'!B418</f>
        <v>53</v>
      </c>
      <c r="B409" s="80">
        <f>'SAMLET_alle regnskab'!A418</f>
        <v>19</v>
      </c>
      <c r="C409" s="28">
        <f>'SAMLET_alle regnskab'!U418</f>
        <v>-6</v>
      </c>
      <c r="D409" s="28">
        <f>'SAMLET_alle regnskab'!V418</f>
        <v>-6</v>
      </c>
      <c r="E409" s="28">
        <f>'SAMLET_alle regnskab'!W418</f>
        <v>6</v>
      </c>
      <c r="F409" s="28">
        <f>'SAMLET_alle regnskab'!X418</f>
        <v>6</v>
      </c>
      <c r="H409" s="80">
        <f t="shared" si="7"/>
        <v>19</v>
      </c>
      <c r="I409" s="28">
        <f t="shared" ref="I409:L409" si="1219">I408+C409</f>
        <v>710</v>
      </c>
      <c r="J409" s="28">
        <f t="shared" si="1219"/>
        <v>-1526</v>
      </c>
      <c r="K409" s="28">
        <f t="shared" si="1219"/>
        <v>640</v>
      </c>
      <c r="L409" s="28">
        <f t="shared" si="1219"/>
        <v>176</v>
      </c>
      <c r="N409" s="80">
        <f t="shared" si="25"/>
        <v>19</v>
      </c>
      <c r="O409" s="28">
        <f t="shared" ref="O409:R409" si="1220">O408+I402</f>
        <v>117590</v>
      </c>
      <c r="P409" s="28">
        <f t="shared" si="1220"/>
        <v>-246154</v>
      </c>
      <c r="Q409" s="28">
        <f t="shared" si="1220"/>
        <v>74932</v>
      </c>
      <c r="R409" s="28">
        <f t="shared" si="1220"/>
        <v>53632</v>
      </c>
      <c r="T409" s="80">
        <v>19.0</v>
      </c>
      <c r="U409" s="80">
        <f t="shared" ref="U409:X409" si="1221">U408+C402</f>
        <v>494</v>
      </c>
      <c r="V409" s="80">
        <f t="shared" si="1221"/>
        <v>-2466</v>
      </c>
      <c r="W409" s="80">
        <f t="shared" si="1221"/>
        <v>2380</v>
      </c>
      <c r="X409" s="80">
        <f t="shared" si="1221"/>
        <v>-512</v>
      </c>
      <c r="Z409" s="80">
        <v>19.0</v>
      </c>
      <c r="AA409" s="10">
        <v>44939.0</v>
      </c>
      <c r="AB409" s="80">
        <v>494.0</v>
      </c>
      <c r="AC409" s="80">
        <v>-2466.0</v>
      </c>
      <c r="AD409" s="80">
        <v>2380.0</v>
      </c>
      <c r="AE409" s="80">
        <v>-512.0</v>
      </c>
    </row>
    <row r="410">
      <c r="A410" s="28">
        <f>'SAMLET_alle regnskab'!B419</f>
        <v>53</v>
      </c>
      <c r="B410" s="80">
        <f>'SAMLET_alle regnskab'!A419</f>
        <v>19</v>
      </c>
      <c r="C410" s="28">
        <f>'SAMLET_alle regnskab'!U419</f>
        <v>8</v>
      </c>
      <c r="D410" s="28">
        <f>'SAMLET_alle regnskab'!V419</f>
        <v>8</v>
      </c>
      <c r="E410" s="28">
        <f>'SAMLET_alle regnskab'!W419</f>
        <v>8</v>
      </c>
      <c r="F410" s="28">
        <f>'SAMLET_alle regnskab'!X419</f>
        <v>-24</v>
      </c>
      <c r="H410" s="80">
        <f t="shared" si="7"/>
        <v>19</v>
      </c>
      <c r="I410" s="28">
        <f t="shared" ref="I410:L410" si="1222">I409+C410</f>
        <v>718</v>
      </c>
      <c r="J410" s="28">
        <f t="shared" si="1222"/>
        <v>-1518</v>
      </c>
      <c r="K410" s="28">
        <f t="shared" si="1222"/>
        <v>648</v>
      </c>
      <c r="L410" s="28">
        <f t="shared" si="1222"/>
        <v>152</v>
      </c>
      <c r="N410" s="80">
        <f t="shared" si="25"/>
        <v>19</v>
      </c>
      <c r="O410" s="28">
        <f t="shared" ref="O410:R410" si="1223">O409+I403</f>
        <v>118234</v>
      </c>
      <c r="P410" s="28">
        <f t="shared" si="1223"/>
        <v>-247650</v>
      </c>
      <c r="Q410" s="28">
        <f t="shared" si="1223"/>
        <v>75590</v>
      </c>
      <c r="R410" s="28">
        <f t="shared" si="1223"/>
        <v>53826</v>
      </c>
      <c r="T410" s="80">
        <v>19.0</v>
      </c>
      <c r="U410" s="80">
        <f t="shared" ref="U410:X410" si="1224">U409+C403</f>
        <v>486</v>
      </c>
      <c r="V410" s="80">
        <f t="shared" si="1224"/>
        <v>-2458</v>
      </c>
      <c r="W410" s="80">
        <f t="shared" si="1224"/>
        <v>2372</v>
      </c>
      <c r="X410" s="80">
        <f t="shared" si="1224"/>
        <v>-504</v>
      </c>
      <c r="Z410" s="80">
        <v>19.0</v>
      </c>
      <c r="AA410" s="10">
        <v>44939.0</v>
      </c>
      <c r="AB410" s="80">
        <v>486.0</v>
      </c>
      <c r="AC410" s="80">
        <v>-2458.0</v>
      </c>
      <c r="AD410" s="80">
        <v>2372.0</v>
      </c>
      <c r="AE410" s="80">
        <v>-504.0</v>
      </c>
    </row>
    <row r="411">
      <c r="A411" s="28">
        <f>'SAMLET_alle regnskab'!B420</f>
        <v>54</v>
      </c>
      <c r="B411" s="80">
        <f>'SAMLET_alle regnskab'!A420</f>
        <v>19</v>
      </c>
      <c r="C411" s="28">
        <f>'SAMLET_alle regnskab'!U420</f>
        <v>8</v>
      </c>
      <c r="D411" s="28">
        <f>'SAMLET_alle regnskab'!V420</f>
        <v>-8</v>
      </c>
      <c r="E411" s="28">
        <f>'SAMLET_alle regnskab'!W420</f>
        <v>-8</v>
      </c>
      <c r="F411" s="28">
        <f>'SAMLET_alle regnskab'!X420</f>
        <v>8</v>
      </c>
      <c r="H411" s="80">
        <f t="shared" si="7"/>
        <v>19</v>
      </c>
      <c r="I411" s="28">
        <f t="shared" ref="I411:L411" si="1225">I410+C411</f>
        <v>726</v>
      </c>
      <c r="J411" s="28">
        <f t="shared" si="1225"/>
        <v>-1526</v>
      </c>
      <c r="K411" s="28">
        <f t="shared" si="1225"/>
        <v>640</v>
      </c>
      <c r="L411" s="28">
        <f t="shared" si="1225"/>
        <v>160</v>
      </c>
      <c r="N411" s="80">
        <f t="shared" si="25"/>
        <v>19</v>
      </c>
      <c r="O411" s="28">
        <f t="shared" ref="O411:R411" si="1226">O410+I404</f>
        <v>118894</v>
      </c>
      <c r="P411" s="28">
        <f t="shared" si="1226"/>
        <v>-249130</v>
      </c>
      <c r="Q411" s="28">
        <f t="shared" si="1226"/>
        <v>76232</v>
      </c>
      <c r="R411" s="28">
        <f t="shared" si="1226"/>
        <v>54004</v>
      </c>
      <c r="T411" s="80">
        <v>19.0</v>
      </c>
      <c r="U411" s="80">
        <f t="shared" ref="U411:X411" si="1227">U410+C404</f>
        <v>502</v>
      </c>
      <c r="V411" s="80">
        <f t="shared" si="1227"/>
        <v>-2442</v>
      </c>
      <c r="W411" s="80">
        <f t="shared" si="1227"/>
        <v>2356</v>
      </c>
      <c r="X411" s="80">
        <f t="shared" si="1227"/>
        <v>-520</v>
      </c>
      <c r="Z411" s="80">
        <v>19.0</v>
      </c>
      <c r="AA411" s="10">
        <v>44939.0</v>
      </c>
      <c r="AB411" s="80">
        <v>502.0</v>
      </c>
      <c r="AC411" s="80">
        <v>-2442.0</v>
      </c>
      <c r="AD411" s="80">
        <v>2356.0</v>
      </c>
      <c r="AE411" s="80">
        <v>-520.0</v>
      </c>
    </row>
    <row r="412">
      <c r="A412" s="28">
        <f>'SAMLET_alle regnskab'!B421</f>
        <v>1</v>
      </c>
      <c r="B412" s="80">
        <f>'SAMLET_alle regnskab'!A421</f>
        <v>20</v>
      </c>
      <c r="C412" s="28">
        <f>'SAMLET_alle regnskab'!U421</f>
        <v>-12</v>
      </c>
      <c r="D412" s="28">
        <f>'SAMLET_alle regnskab'!V421</f>
        <v>12</v>
      </c>
      <c r="E412" s="28">
        <f>'SAMLET_alle regnskab'!W421</f>
        <v>12</v>
      </c>
      <c r="F412" s="28">
        <f>'SAMLET_alle regnskab'!X421</f>
        <v>-12</v>
      </c>
      <c r="H412" s="80">
        <f t="shared" si="7"/>
        <v>20</v>
      </c>
      <c r="I412" s="28">
        <f t="shared" ref="I412:L412" si="1228">I411+C412</f>
        <v>714</v>
      </c>
      <c r="J412" s="28">
        <f t="shared" si="1228"/>
        <v>-1514</v>
      </c>
      <c r="K412" s="28">
        <f t="shared" si="1228"/>
        <v>652</v>
      </c>
      <c r="L412" s="28">
        <f t="shared" si="1228"/>
        <v>148</v>
      </c>
      <c r="N412" s="80">
        <f t="shared" si="25"/>
        <v>19</v>
      </c>
      <c r="O412" s="28">
        <f t="shared" ref="O412:R412" si="1229">O411+I405</f>
        <v>119562</v>
      </c>
      <c r="P412" s="28">
        <f t="shared" si="1229"/>
        <v>-250618</v>
      </c>
      <c r="Q412" s="28">
        <f t="shared" si="1229"/>
        <v>76866</v>
      </c>
      <c r="R412" s="28">
        <f t="shared" si="1229"/>
        <v>54190</v>
      </c>
      <c r="T412" s="80">
        <v>19.0</v>
      </c>
      <c r="U412" s="80">
        <f t="shared" ref="U412:X412" si="1230">U411+C405</f>
        <v>510</v>
      </c>
      <c r="V412" s="80">
        <f t="shared" si="1230"/>
        <v>-2450</v>
      </c>
      <c r="W412" s="80">
        <f t="shared" si="1230"/>
        <v>2348</v>
      </c>
      <c r="X412" s="80">
        <f t="shared" si="1230"/>
        <v>-512</v>
      </c>
      <c r="Z412" s="80">
        <v>19.0</v>
      </c>
      <c r="AA412" s="10">
        <v>44939.0</v>
      </c>
      <c r="AB412" s="80">
        <v>510.0</v>
      </c>
      <c r="AC412" s="80">
        <v>-2450.0</v>
      </c>
      <c r="AD412" s="80">
        <v>2348.0</v>
      </c>
      <c r="AE412" s="80">
        <v>-512.0</v>
      </c>
    </row>
    <row r="413">
      <c r="A413" s="28">
        <f>'SAMLET_alle regnskab'!B422</f>
        <v>2</v>
      </c>
      <c r="B413" s="80">
        <f>'SAMLET_alle regnskab'!A422</f>
        <v>20</v>
      </c>
      <c r="C413" s="28">
        <f>'SAMLET_alle regnskab'!U422</f>
        <v>8</v>
      </c>
      <c r="D413" s="28">
        <f>'SAMLET_alle regnskab'!V422</f>
        <v>8</v>
      </c>
      <c r="E413" s="28">
        <f>'SAMLET_alle regnskab'!W422</f>
        <v>-8</v>
      </c>
      <c r="F413" s="28">
        <f>'SAMLET_alle regnskab'!X422</f>
        <v>-8</v>
      </c>
      <c r="H413" s="80">
        <f t="shared" si="7"/>
        <v>20</v>
      </c>
      <c r="I413" s="28">
        <f t="shared" ref="I413:L413" si="1231">I412+C413</f>
        <v>722</v>
      </c>
      <c r="J413" s="28">
        <f t="shared" si="1231"/>
        <v>-1506</v>
      </c>
      <c r="K413" s="28">
        <f t="shared" si="1231"/>
        <v>644</v>
      </c>
      <c r="L413" s="28">
        <f t="shared" si="1231"/>
        <v>140</v>
      </c>
      <c r="N413" s="80">
        <f t="shared" si="25"/>
        <v>19</v>
      </c>
      <c r="O413" s="28">
        <f t="shared" ref="O413:R413" si="1232">O412+I406</f>
        <v>120238</v>
      </c>
      <c r="P413" s="28">
        <f t="shared" si="1232"/>
        <v>-252114</v>
      </c>
      <c r="Q413" s="28">
        <f t="shared" si="1232"/>
        <v>77508</v>
      </c>
      <c r="R413" s="28">
        <f t="shared" si="1232"/>
        <v>54368</v>
      </c>
      <c r="T413" s="80">
        <v>19.0</v>
      </c>
      <c r="U413" s="80">
        <f t="shared" ref="U413:X413" si="1233">U412+C406</f>
        <v>518</v>
      </c>
      <c r="V413" s="80">
        <f t="shared" si="1233"/>
        <v>-2458</v>
      </c>
      <c r="W413" s="80">
        <f t="shared" si="1233"/>
        <v>2356</v>
      </c>
      <c r="X413" s="80">
        <f t="shared" si="1233"/>
        <v>-520</v>
      </c>
      <c r="Z413" s="80">
        <v>19.0</v>
      </c>
      <c r="AA413" s="10">
        <v>44939.0</v>
      </c>
      <c r="AB413" s="80">
        <v>518.0</v>
      </c>
      <c r="AC413" s="80">
        <v>-2458.0</v>
      </c>
      <c r="AD413" s="80">
        <v>2356.0</v>
      </c>
      <c r="AE413" s="80">
        <v>-520.0</v>
      </c>
    </row>
    <row r="414">
      <c r="A414" s="28">
        <f>'SAMLET_alle regnskab'!B423</f>
        <v>3</v>
      </c>
      <c r="B414" s="80">
        <f>'SAMLET_alle regnskab'!A423</f>
        <v>20</v>
      </c>
      <c r="C414" s="28">
        <f>'SAMLET_alle regnskab'!U423</f>
        <v>-8</v>
      </c>
      <c r="D414" s="28">
        <f>'SAMLET_alle regnskab'!V423</f>
        <v>-8</v>
      </c>
      <c r="E414" s="28">
        <f>'SAMLET_alle regnskab'!W423</f>
        <v>8</v>
      </c>
      <c r="F414" s="28">
        <f>'SAMLET_alle regnskab'!X423</f>
        <v>8</v>
      </c>
      <c r="H414" s="80">
        <f t="shared" si="7"/>
        <v>20</v>
      </c>
      <c r="I414" s="28">
        <f t="shared" ref="I414:L414" si="1234">I413+C414</f>
        <v>714</v>
      </c>
      <c r="J414" s="28">
        <f t="shared" si="1234"/>
        <v>-1514</v>
      </c>
      <c r="K414" s="28">
        <f t="shared" si="1234"/>
        <v>652</v>
      </c>
      <c r="L414" s="28">
        <f t="shared" si="1234"/>
        <v>148</v>
      </c>
      <c r="N414" s="80">
        <f t="shared" si="25"/>
        <v>19</v>
      </c>
      <c r="O414" s="28">
        <f t="shared" ref="O414:R414" si="1235">O413+I407</f>
        <v>120906</v>
      </c>
      <c r="P414" s="28">
        <f t="shared" si="1235"/>
        <v>-253618</v>
      </c>
      <c r="Q414" s="28">
        <f t="shared" si="1235"/>
        <v>78158</v>
      </c>
      <c r="R414" s="28">
        <f t="shared" si="1235"/>
        <v>54554</v>
      </c>
      <c r="T414" s="80">
        <v>19.0</v>
      </c>
      <c r="U414" s="80">
        <f t="shared" ref="U414:X414" si="1236">U413+C407</f>
        <v>510</v>
      </c>
      <c r="V414" s="80">
        <f t="shared" si="1236"/>
        <v>-2466</v>
      </c>
      <c r="W414" s="80">
        <f t="shared" si="1236"/>
        <v>2364</v>
      </c>
      <c r="X414" s="80">
        <f t="shared" si="1236"/>
        <v>-512</v>
      </c>
      <c r="Z414" s="80">
        <v>19.0</v>
      </c>
      <c r="AA414" s="10">
        <v>44939.0</v>
      </c>
      <c r="AB414" s="80">
        <v>510.0</v>
      </c>
      <c r="AC414" s="80">
        <v>-2466.0</v>
      </c>
      <c r="AD414" s="80">
        <v>2364.0</v>
      </c>
      <c r="AE414" s="80">
        <v>-512.0</v>
      </c>
    </row>
    <row r="415">
      <c r="A415" s="28">
        <f>'SAMLET_alle regnskab'!B424</f>
        <v>4</v>
      </c>
      <c r="B415" s="80">
        <f>'SAMLET_alle regnskab'!A424</f>
        <v>20</v>
      </c>
      <c r="C415" s="28">
        <f>'SAMLET_alle regnskab'!U424</f>
        <v>16</v>
      </c>
      <c r="D415" s="28">
        <f>'SAMLET_alle regnskab'!V424</f>
        <v>-16</v>
      </c>
      <c r="E415" s="28">
        <f>'SAMLET_alle regnskab'!W424</f>
        <v>-16</v>
      </c>
      <c r="F415" s="28">
        <f>'SAMLET_alle regnskab'!X424</f>
        <v>16</v>
      </c>
      <c r="H415" s="80">
        <f t="shared" si="7"/>
        <v>20</v>
      </c>
      <c r="I415" s="28">
        <f t="shared" ref="I415:L415" si="1237">I414+C415</f>
        <v>730</v>
      </c>
      <c r="J415" s="28">
        <f t="shared" si="1237"/>
        <v>-1530</v>
      </c>
      <c r="K415" s="28">
        <f t="shared" si="1237"/>
        <v>636</v>
      </c>
      <c r="L415" s="28">
        <f t="shared" si="1237"/>
        <v>164</v>
      </c>
      <c r="N415" s="80">
        <f t="shared" si="25"/>
        <v>19</v>
      </c>
      <c r="O415" s="28">
        <f t="shared" ref="O415:R415" si="1238">O414+I408</f>
        <v>121622</v>
      </c>
      <c r="P415" s="28">
        <f t="shared" si="1238"/>
        <v>-255138</v>
      </c>
      <c r="Q415" s="28">
        <f t="shared" si="1238"/>
        <v>78792</v>
      </c>
      <c r="R415" s="28">
        <f t="shared" si="1238"/>
        <v>54724</v>
      </c>
      <c r="T415" s="80">
        <v>19.0</v>
      </c>
      <c r="U415" s="80">
        <f t="shared" ref="U415:X415" si="1239">U414+C408</f>
        <v>558</v>
      </c>
      <c r="V415" s="80">
        <f t="shared" si="1239"/>
        <v>-2482</v>
      </c>
      <c r="W415" s="80">
        <f t="shared" si="1239"/>
        <v>2348</v>
      </c>
      <c r="X415" s="80">
        <f t="shared" si="1239"/>
        <v>-528</v>
      </c>
      <c r="Z415" s="80">
        <v>19.0</v>
      </c>
      <c r="AA415" s="10">
        <v>44939.0</v>
      </c>
      <c r="AB415" s="80">
        <v>558.0</v>
      </c>
      <c r="AC415" s="80">
        <v>-2482.0</v>
      </c>
      <c r="AD415" s="80">
        <v>2348.0</v>
      </c>
      <c r="AE415" s="80">
        <v>-528.0</v>
      </c>
    </row>
    <row r="416">
      <c r="A416" s="28">
        <f>'SAMLET_alle regnskab'!B425</f>
        <v>5</v>
      </c>
      <c r="B416" s="80">
        <f>'SAMLET_alle regnskab'!A425</f>
        <v>20</v>
      </c>
      <c r="C416" s="28">
        <f>'SAMLET_alle regnskab'!U425</f>
        <v>24</v>
      </c>
      <c r="D416" s="28">
        <f>'SAMLET_alle regnskab'!V425</f>
        <v>-24</v>
      </c>
      <c r="E416" s="28">
        <f>'SAMLET_alle regnskab'!W425</f>
        <v>24</v>
      </c>
      <c r="F416" s="28">
        <f>'SAMLET_alle regnskab'!X425</f>
        <v>-24</v>
      </c>
      <c r="H416" s="80">
        <f t="shared" si="7"/>
        <v>20</v>
      </c>
      <c r="I416" s="28">
        <f t="shared" ref="I416:L416" si="1240">I415+C416</f>
        <v>754</v>
      </c>
      <c r="J416" s="28">
        <f t="shared" si="1240"/>
        <v>-1554</v>
      </c>
      <c r="K416" s="28">
        <f t="shared" si="1240"/>
        <v>660</v>
      </c>
      <c r="L416" s="28">
        <f t="shared" si="1240"/>
        <v>140</v>
      </c>
      <c r="N416" s="80">
        <f t="shared" si="25"/>
        <v>19</v>
      </c>
      <c r="O416" s="28">
        <f t="shared" ref="O416:R416" si="1241">O415+I409</f>
        <v>122332</v>
      </c>
      <c r="P416" s="28">
        <f t="shared" si="1241"/>
        <v>-256664</v>
      </c>
      <c r="Q416" s="28">
        <f t="shared" si="1241"/>
        <v>79432</v>
      </c>
      <c r="R416" s="28">
        <f t="shared" si="1241"/>
        <v>54900</v>
      </c>
      <c r="T416" s="80">
        <v>19.0</v>
      </c>
      <c r="U416" s="80">
        <f t="shared" ref="U416:X416" si="1242">U415+C409</f>
        <v>552</v>
      </c>
      <c r="V416" s="80">
        <f t="shared" si="1242"/>
        <v>-2488</v>
      </c>
      <c r="W416" s="80">
        <f t="shared" si="1242"/>
        <v>2354</v>
      </c>
      <c r="X416" s="80">
        <f t="shared" si="1242"/>
        <v>-522</v>
      </c>
      <c r="Z416" s="80">
        <v>19.0</v>
      </c>
      <c r="AA416" s="10">
        <v>44939.0</v>
      </c>
      <c r="AB416" s="80">
        <v>552.0</v>
      </c>
      <c r="AC416" s="80">
        <v>-2488.0</v>
      </c>
      <c r="AD416" s="80">
        <v>2354.0</v>
      </c>
      <c r="AE416" s="80">
        <v>-522.0</v>
      </c>
    </row>
    <row r="417">
      <c r="A417" s="28">
        <f>'SAMLET_alle regnskab'!B426</f>
        <v>6</v>
      </c>
      <c r="B417" s="80">
        <f>'SAMLET_alle regnskab'!A426</f>
        <v>20</v>
      </c>
      <c r="C417" s="28">
        <f>'SAMLET_alle regnskab'!U426</f>
        <v>-6</v>
      </c>
      <c r="D417" s="28">
        <f>'SAMLET_alle regnskab'!V426</f>
        <v>6</v>
      </c>
      <c r="E417" s="28">
        <f>'SAMLET_alle regnskab'!W426</f>
        <v>6</v>
      </c>
      <c r="F417" s="28">
        <f>'SAMLET_alle regnskab'!X426</f>
        <v>-6</v>
      </c>
      <c r="H417" s="80">
        <f t="shared" si="7"/>
        <v>20</v>
      </c>
      <c r="I417" s="28">
        <f t="shared" ref="I417:L417" si="1243">I416+C417</f>
        <v>748</v>
      </c>
      <c r="J417" s="28">
        <f t="shared" si="1243"/>
        <v>-1548</v>
      </c>
      <c r="K417" s="28">
        <f t="shared" si="1243"/>
        <v>666</v>
      </c>
      <c r="L417" s="28">
        <f t="shared" si="1243"/>
        <v>134</v>
      </c>
      <c r="N417" s="80">
        <f t="shared" si="25"/>
        <v>19</v>
      </c>
      <c r="O417" s="28">
        <f t="shared" ref="O417:R417" si="1244">O416+I410</f>
        <v>123050</v>
      </c>
      <c r="P417" s="28">
        <f t="shared" si="1244"/>
        <v>-258182</v>
      </c>
      <c r="Q417" s="28">
        <f t="shared" si="1244"/>
        <v>80080</v>
      </c>
      <c r="R417" s="28">
        <f t="shared" si="1244"/>
        <v>55052</v>
      </c>
      <c r="T417" s="80">
        <v>19.0</v>
      </c>
      <c r="U417" s="80">
        <f t="shared" ref="U417:X417" si="1245">U416+C410</f>
        <v>560</v>
      </c>
      <c r="V417" s="80">
        <f t="shared" si="1245"/>
        <v>-2480</v>
      </c>
      <c r="W417" s="80">
        <f t="shared" si="1245"/>
        <v>2362</v>
      </c>
      <c r="X417" s="80">
        <f t="shared" si="1245"/>
        <v>-546</v>
      </c>
      <c r="Z417" s="80">
        <v>19.0</v>
      </c>
      <c r="AA417" s="10">
        <v>44939.0</v>
      </c>
      <c r="AB417" s="80">
        <v>560.0</v>
      </c>
      <c r="AC417" s="80">
        <v>-2480.0</v>
      </c>
      <c r="AD417" s="80">
        <v>2362.0</v>
      </c>
      <c r="AE417" s="80">
        <v>-546.0</v>
      </c>
    </row>
    <row r="418">
      <c r="A418" s="28">
        <f>'SAMLET_alle regnskab'!B427</f>
        <v>7</v>
      </c>
      <c r="B418" s="80">
        <f>'SAMLET_alle regnskab'!A427</f>
        <v>20</v>
      </c>
      <c r="C418" s="28">
        <f>'SAMLET_alle regnskab'!U427</f>
        <v>32</v>
      </c>
      <c r="D418" s="28">
        <f>'SAMLET_alle regnskab'!V427</f>
        <v>-32</v>
      </c>
      <c r="E418" s="28">
        <f>'SAMLET_alle regnskab'!W427</f>
        <v>32</v>
      </c>
      <c r="F418" s="28">
        <f>'SAMLET_alle regnskab'!X427</f>
        <v>-32</v>
      </c>
      <c r="H418" s="80">
        <f t="shared" si="7"/>
        <v>20</v>
      </c>
      <c r="I418" s="28">
        <f t="shared" ref="I418:L418" si="1246">I417+C418</f>
        <v>780</v>
      </c>
      <c r="J418" s="28">
        <f t="shared" si="1246"/>
        <v>-1580</v>
      </c>
      <c r="K418" s="28">
        <f t="shared" si="1246"/>
        <v>698</v>
      </c>
      <c r="L418" s="28">
        <f t="shared" si="1246"/>
        <v>102</v>
      </c>
      <c r="N418" s="80">
        <f t="shared" si="25"/>
        <v>19</v>
      </c>
      <c r="O418" s="28">
        <f t="shared" ref="O418:R418" si="1247">O417+I411</f>
        <v>123776</v>
      </c>
      <c r="P418" s="28">
        <f t="shared" si="1247"/>
        <v>-259708</v>
      </c>
      <c r="Q418" s="28">
        <f t="shared" si="1247"/>
        <v>80720</v>
      </c>
      <c r="R418" s="28">
        <f t="shared" si="1247"/>
        <v>55212</v>
      </c>
      <c r="T418" s="80">
        <v>19.0</v>
      </c>
      <c r="U418" s="80">
        <f t="shared" ref="U418:X418" si="1248">U417+C411</f>
        <v>568</v>
      </c>
      <c r="V418" s="80">
        <f t="shared" si="1248"/>
        <v>-2488</v>
      </c>
      <c r="W418" s="80">
        <f t="shared" si="1248"/>
        <v>2354</v>
      </c>
      <c r="X418" s="80">
        <f t="shared" si="1248"/>
        <v>-538</v>
      </c>
      <c r="Z418" s="80">
        <v>19.0</v>
      </c>
      <c r="AA418" s="10">
        <v>44939.0</v>
      </c>
      <c r="AB418" s="80">
        <v>568.0</v>
      </c>
      <c r="AC418" s="80">
        <v>-2488.0</v>
      </c>
      <c r="AD418" s="80">
        <v>2354.0</v>
      </c>
      <c r="AE418" s="80">
        <v>-538.0</v>
      </c>
    </row>
    <row r="419">
      <c r="A419" s="28">
        <f>'SAMLET_alle regnskab'!B428</f>
        <v>8</v>
      </c>
      <c r="B419" s="80">
        <f>'SAMLET_alle regnskab'!A428</f>
        <v>20</v>
      </c>
      <c r="C419" s="28">
        <f>'SAMLET_alle regnskab'!U428</f>
        <v>-12</v>
      </c>
      <c r="D419" s="28">
        <f>'SAMLET_alle regnskab'!V428</f>
        <v>12</v>
      </c>
      <c r="E419" s="28">
        <f>'SAMLET_alle regnskab'!W428</f>
        <v>-12</v>
      </c>
      <c r="F419" s="28">
        <f>'SAMLET_alle regnskab'!X428</f>
        <v>12</v>
      </c>
      <c r="H419" s="80">
        <f t="shared" si="7"/>
        <v>20</v>
      </c>
      <c r="I419" s="28">
        <f t="shared" ref="I419:L419" si="1249">I418+C419</f>
        <v>768</v>
      </c>
      <c r="J419" s="28">
        <f t="shared" si="1249"/>
        <v>-1568</v>
      </c>
      <c r="K419" s="28">
        <f t="shared" si="1249"/>
        <v>686</v>
      </c>
      <c r="L419" s="28">
        <f t="shared" si="1249"/>
        <v>114</v>
      </c>
      <c r="N419" s="80">
        <f t="shared" si="25"/>
        <v>20</v>
      </c>
      <c r="O419" s="28">
        <f t="shared" ref="O419:R419" si="1250">O418+I412</f>
        <v>124490</v>
      </c>
      <c r="P419" s="28">
        <f t="shared" si="1250"/>
        <v>-261222</v>
      </c>
      <c r="Q419" s="28">
        <f t="shared" si="1250"/>
        <v>81372</v>
      </c>
      <c r="R419" s="28">
        <f t="shared" si="1250"/>
        <v>55360</v>
      </c>
      <c r="T419" s="80">
        <v>20.0</v>
      </c>
      <c r="U419" s="80">
        <f t="shared" ref="U419:X419" si="1251">U418+C412</f>
        <v>556</v>
      </c>
      <c r="V419" s="80">
        <f t="shared" si="1251"/>
        <v>-2476</v>
      </c>
      <c r="W419" s="80">
        <f t="shared" si="1251"/>
        <v>2366</v>
      </c>
      <c r="X419" s="80">
        <f t="shared" si="1251"/>
        <v>-550</v>
      </c>
      <c r="Z419" s="80">
        <v>20.0</v>
      </c>
      <c r="AA419" s="10">
        <v>44940.0</v>
      </c>
      <c r="AB419" s="80">
        <v>556.0</v>
      </c>
      <c r="AC419" s="80">
        <v>-2476.0</v>
      </c>
      <c r="AD419" s="80">
        <v>2366.0</v>
      </c>
      <c r="AE419" s="80">
        <v>-550.0</v>
      </c>
    </row>
    <row r="420">
      <c r="A420" s="28">
        <f>'SAMLET_alle regnskab'!B429</f>
        <v>9</v>
      </c>
      <c r="B420" s="80">
        <f>'SAMLET_alle regnskab'!A429</f>
        <v>20</v>
      </c>
      <c r="C420" s="28">
        <f>'SAMLET_alle regnskab'!U429</f>
        <v>24</v>
      </c>
      <c r="D420" s="28">
        <f>'SAMLET_alle regnskab'!V429</f>
        <v>24</v>
      </c>
      <c r="E420" s="28">
        <f>'SAMLET_alle regnskab'!W429</f>
        <v>-72</v>
      </c>
      <c r="F420" s="28">
        <f>'SAMLET_alle regnskab'!X429</f>
        <v>24</v>
      </c>
      <c r="H420" s="80">
        <f t="shared" si="7"/>
        <v>20</v>
      </c>
      <c r="I420" s="28">
        <f t="shared" ref="I420:L420" si="1252">I419+C420</f>
        <v>792</v>
      </c>
      <c r="J420" s="28">
        <f t="shared" si="1252"/>
        <v>-1544</v>
      </c>
      <c r="K420" s="28">
        <f t="shared" si="1252"/>
        <v>614</v>
      </c>
      <c r="L420" s="28">
        <f t="shared" si="1252"/>
        <v>138</v>
      </c>
      <c r="N420" s="80">
        <f t="shared" si="25"/>
        <v>20</v>
      </c>
      <c r="O420" s="28">
        <f t="shared" ref="O420:R420" si="1253">O419+I413</f>
        <v>125212</v>
      </c>
      <c r="P420" s="28">
        <f t="shared" si="1253"/>
        <v>-262728</v>
      </c>
      <c r="Q420" s="28">
        <f t="shared" si="1253"/>
        <v>82016</v>
      </c>
      <c r="R420" s="28">
        <f t="shared" si="1253"/>
        <v>55500</v>
      </c>
      <c r="T420" s="80">
        <v>20.0</v>
      </c>
      <c r="U420" s="80">
        <f t="shared" ref="U420:X420" si="1254">U419+C413</f>
        <v>564</v>
      </c>
      <c r="V420" s="80">
        <f t="shared" si="1254"/>
        <v>-2468</v>
      </c>
      <c r="W420" s="80">
        <f t="shared" si="1254"/>
        <v>2358</v>
      </c>
      <c r="X420" s="80">
        <f t="shared" si="1254"/>
        <v>-558</v>
      </c>
      <c r="Z420" s="80">
        <v>20.0</v>
      </c>
      <c r="AA420" s="10">
        <v>44940.0</v>
      </c>
      <c r="AB420" s="80">
        <v>564.0</v>
      </c>
      <c r="AC420" s="80">
        <v>-2468.0</v>
      </c>
      <c r="AD420" s="80">
        <v>2358.0</v>
      </c>
      <c r="AE420" s="80">
        <v>-558.0</v>
      </c>
    </row>
    <row r="421">
      <c r="A421" s="28">
        <f>'SAMLET_alle regnskab'!B430</f>
        <v>10</v>
      </c>
      <c r="B421" s="80">
        <f>'SAMLET_alle regnskab'!A430</f>
        <v>20</v>
      </c>
      <c r="C421" s="28">
        <f>'SAMLET_alle regnskab'!U430</f>
        <v>-12</v>
      </c>
      <c r="D421" s="28">
        <f>'SAMLET_alle regnskab'!V430</f>
        <v>12</v>
      </c>
      <c r="E421" s="28">
        <f>'SAMLET_alle regnskab'!W430</f>
        <v>12</v>
      </c>
      <c r="F421" s="28">
        <f>'SAMLET_alle regnskab'!X430</f>
        <v>-12</v>
      </c>
      <c r="H421" s="80">
        <f t="shared" si="7"/>
        <v>20</v>
      </c>
      <c r="I421" s="28">
        <f t="shared" ref="I421:L421" si="1255">I420+C421</f>
        <v>780</v>
      </c>
      <c r="J421" s="28">
        <f t="shared" si="1255"/>
        <v>-1532</v>
      </c>
      <c r="K421" s="28">
        <f t="shared" si="1255"/>
        <v>626</v>
      </c>
      <c r="L421" s="28">
        <f t="shared" si="1255"/>
        <v>126</v>
      </c>
      <c r="N421" s="80">
        <f t="shared" si="25"/>
        <v>20</v>
      </c>
      <c r="O421" s="28">
        <f t="shared" ref="O421:R421" si="1256">O420+I414</f>
        <v>125926</v>
      </c>
      <c r="P421" s="28">
        <f t="shared" si="1256"/>
        <v>-264242</v>
      </c>
      <c r="Q421" s="28">
        <f t="shared" si="1256"/>
        <v>82668</v>
      </c>
      <c r="R421" s="28">
        <f t="shared" si="1256"/>
        <v>55648</v>
      </c>
      <c r="T421" s="80">
        <v>20.0</v>
      </c>
      <c r="U421" s="80">
        <f t="shared" ref="U421:X421" si="1257">U420+C414</f>
        <v>556</v>
      </c>
      <c r="V421" s="80">
        <f t="shared" si="1257"/>
        <v>-2476</v>
      </c>
      <c r="W421" s="80">
        <f t="shared" si="1257"/>
        <v>2366</v>
      </c>
      <c r="X421" s="80">
        <f t="shared" si="1257"/>
        <v>-550</v>
      </c>
      <c r="Z421" s="80">
        <v>20.0</v>
      </c>
      <c r="AA421" s="10">
        <v>44940.0</v>
      </c>
      <c r="AB421" s="80">
        <v>556.0</v>
      </c>
      <c r="AC421" s="80">
        <v>-2476.0</v>
      </c>
      <c r="AD421" s="80">
        <v>2366.0</v>
      </c>
      <c r="AE421" s="80">
        <v>-550.0</v>
      </c>
    </row>
    <row r="422">
      <c r="A422" s="28">
        <f>'SAMLET_alle regnskab'!B431</f>
        <v>11</v>
      </c>
      <c r="B422" s="80">
        <f>'SAMLET_alle regnskab'!A431</f>
        <v>20</v>
      </c>
      <c r="C422" s="28">
        <f>'SAMLET_alle regnskab'!U431</f>
        <v>40</v>
      </c>
      <c r="D422" s="28">
        <f>'SAMLET_alle regnskab'!V431</f>
        <v>-40</v>
      </c>
      <c r="E422" s="28">
        <f>'SAMLET_alle regnskab'!W431</f>
        <v>40</v>
      </c>
      <c r="F422" s="28">
        <f>'SAMLET_alle regnskab'!X431</f>
        <v>-40</v>
      </c>
      <c r="H422" s="80">
        <f t="shared" si="7"/>
        <v>20</v>
      </c>
      <c r="I422" s="28">
        <f t="shared" ref="I422:L422" si="1258">I421+C422</f>
        <v>820</v>
      </c>
      <c r="J422" s="28">
        <f t="shared" si="1258"/>
        <v>-1572</v>
      </c>
      <c r="K422" s="28">
        <f t="shared" si="1258"/>
        <v>666</v>
      </c>
      <c r="L422" s="28">
        <f t="shared" si="1258"/>
        <v>86</v>
      </c>
      <c r="N422" s="80">
        <f t="shared" si="25"/>
        <v>20</v>
      </c>
      <c r="O422" s="28">
        <f t="shared" ref="O422:R422" si="1259">O421+I415</f>
        <v>126656</v>
      </c>
      <c r="P422" s="28">
        <f t="shared" si="1259"/>
        <v>-265772</v>
      </c>
      <c r="Q422" s="28">
        <f t="shared" si="1259"/>
        <v>83304</v>
      </c>
      <c r="R422" s="28">
        <f t="shared" si="1259"/>
        <v>55812</v>
      </c>
      <c r="T422" s="80">
        <v>20.0</v>
      </c>
      <c r="U422" s="80">
        <f t="shared" ref="U422:X422" si="1260">U421+C415</f>
        <v>572</v>
      </c>
      <c r="V422" s="80">
        <f t="shared" si="1260"/>
        <v>-2492</v>
      </c>
      <c r="W422" s="80">
        <f t="shared" si="1260"/>
        <v>2350</v>
      </c>
      <c r="X422" s="80">
        <f t="shared" si="1260"/>
        <v>-534</v>
      </c>
      <c r="Z422" s="80">
        <v>20.0</v>
      </c>
      <c r="AA422" s="10">
        <v>44940.0</v>
      </c>
      <c r="AB422" s="80">
        <v>572.0</v>
      </c>
      <c r="AC422" s="80">
        <v>-2492.0</v>
      </c>
      <c r="AD422" s="80">
        <v>2350.0</v>
      </c>
      <c r="AE422" s="80">
        <v>-534.0</v>
      </c>
    </row>
    <row r="423">
      <c r="A423" s="28">
        <f>'SAMLET_alle regnskab'!B432</f>
        <v>12</v>
      </c>
      <c r="B423" s="80">
        <f>'SAMLET_alle regnskab'!A432</f>
        <v>20</v>
      </c>
      <c r="C423" s="28">
        <f>'SAMLET_alle regnskab'!U432</f>
        <v>12</v>
      </c>
      <c r="D423" s="28">
        <f>'SAMLET_alle regnskab'!V432</f>
        <v>-4</v>
      </c>
      <c r="E423" s="28">
        <f>'SAMLET_alle regnskab'!W432</f>
        <v>-4</v>
      </c>
      <c r="F423" s="28">
        <f>'SAMLET_alle regnskab'!X432</f>
        <v>-4</v>
      </c>
      <c r="H423" s="80">
        <f t="shared" si="7"/>
        <v>20</v>
      </c>
      <c r="I423" s="28">
        <f t="shared" ref="I423:L423" si="1261">I422+C423</f>
        <v>832</v>
      </c>
      <c r="J423" s="28">
        <f t="shared" si="1261"/>
        <v>-1576</v>
      </c>
      <c r="K423" s="28">
        <f t="shared" si="1261"/>
        <v>662</v>
      </c>
      <c r="L423" s="28">
        <f t="shared" si="1261"/>
        <v>82</v>
      </c>
      <c r="N423" s="80">
        <f t="shared" si="25"/>
        <v>20</v>
      </c>
      <c r="O423" s="28">
        <f t="shared" ref="O423:R423" si="1262">O422+I416</f>
        <v>127410</v>
      </c>
      <c r="P423" s="28">
        <f t="shared" si="1262"/>
        <v>-267326</v>
      </c>
      <c r="Q423" s="28">
        <f t="shared" si="1262"/>
        <v>83964</v>
      </c>
      <c r="R423" s="28">
        <f t="shared" si="1262"/>
        <v>55952</v>
      </c>
      <c r="T423" s="80">
        <v>20.0</v>
      </c>
      <c r="U423" s="80">
        <f t="shared" ref="U423:X423" si="1263">U422+C416</f>
        <v>596</v>
      </c>
      <c r="V423" s="80">
        <f t="shared" si="1263"/>
        <v>-2516</v>
      </c>
      <c r="W423" s="80">
        <f t="shared" si="1263"/>
        <v>2374</v>
      </c>
      <c r="X423" s="80">
        <f t="shared" si="1263"/>
        <v>-558</v>
      </c>
      <c r="Z423" s="80">
        <v>20.0</v>
      </c>
      <c r="AA423" s="10">
        <v>44940.0</v>
      </c>
      <c r="AB423" s="80">
        <v>596.0</v>
      </c>
      <c r="AC423" s="80">
        <v>-2516.0</v>
      </c>
      <c r="AD423" s="80">
        <v>2374.0</v>
      </c>
      <c r="AE423" s="80">
        <v>-558.0</v>
      </c>
    </row>
    <row r="424">
      <c r="A424" s="28">
        <f>'SAMLET_alle regnskab'!B433</f>
        <v>13</v>
      </c>
      <c r="B424" s="80">
        <f>'SAMLET_alle regnskab'!A433</f>
        <v>20</v>
      </c>
      <c r="C424" s="28">
        <f>'SAMLET_alle regnskab'!U433</f>
        <v>2</v>
      </c>
      <c r="D424" s="28">
        <f>'SAMLET_alle regnskab'!V433</f>
        <v>2</v>
      </c>
      <c r="E424" s="28">
        <f>'SAMLET_alle regnskab'!W433</f>
        <v>-2</v>
      </c>
      <c r="F424" s="28">
        <f>'SAMLET_alle regnskab'!X433</f>
        <v>-2</v>
      </c>
      <c r="H424" s="80">
        <f t="shared" si="7"/>
        <v>20</v>
      </c>
      <c r="I424" s="28">
        <f t="shared" ref="I424:L424" si="1264">I423+C424</f>
        <v>834</v>
      </c>
      <c r="J424" s="28">
        <f t="shared" si="1264"/>
        <v>-1574</v>
      </c>
      <c r="K424" s="28">
        <f t="shared" si="1264"/>
        <v>660</v>
      </c>
      <c r="L424" s="28">
        <f t="shared" si="1264"/>
        <v>80</v>
      </c>
      <c r="N424" s="80">
        <f t="shared" si="25"/>
        <v>20</v>
      </c>
      <c r="O424" s="28">
        <f t="shared" ref="O424:R424" si="1265">O423+I417</f>
        <v>128158</v>
      </c>
      <c r="P424" s="28">
        <f t="shared" si="1265"/>
        <v>-268874</v>
      </c>
      <c r="Q424" s="28">
        <f t="shared" si="1265"/>
        <v>84630</v>
      </c>
      <c r="R424" s="28">
        <f t="shared" si="1265"/>
        <v>56086</v>
      </c>
      <c r="T424" s="80">
        <v>20.0</v>
      </c>
      <c r="U424" s="80">
        <f t="shared" ref="U424:X424" si="1266">U423+C417</f>
        <v>590</v>
      </c>
      <c r="V424" s="80">
        <f t="shared" si="1266"/>
        <v>-2510</v>
      </c>
      <c r="W424" s="80">
        <f t="shared" si="1266"/>
        <v>2380</v>
      </c>
      <c r="X424" s="80">
        <f t="shared" si="1266"/>
        <v>-564</v>
      </c>
      <c r="Z424" s="80">
        <v>20.0</v>
      </c>
      <c r="AA424" s="10">
        <v>44940.0</v>
      </c>
      <c r="AB424" s="80">
        <v>590.0</v>
      </c>
      <c r="AC424" s="80">
        <v>-2510.0</v>
      </c>
      <c r="AD424" s="80">
        <v>2380.0</v>
      </c>
      <c r="AE424" s="80">
        <v>-564.0</v>
      </c>
    </row>
    <row r="425">
      <c r="A425" s="28">
        <f>'SAMLET_alle regnskab'!B434</f>
        <v>14</v>
      </c>
      <c r="B425" s="80">
        <f>'SAMLET_alle regnskab'!A434</f>
        <v>20</v>
      </c>
      <c r="C425" s="28">
        <f>'SAMLET_alle regnskab'!U434</f>
        <v>-16</v>
      </c>
      <c r="D425" s="28">
        <f>'SAMLET_alle regnskab'!V434</f>
        <v>-16</v>
      </c>
      <c r="E425" s="28">
        <f>'SAMLET_alle regnskab'!W434</f>
        <v>16</v>
      </c>
      <c r="F425" s="28">
        <f>'SAMLET_alle regnskab'!X434</f>
        <v>16</v>
      </c>
      <c r="H425" s="80">
        <f t="shared" si="7"/>
        <v>20</v>
      </c>
      <c r="I425" s="28">
        <f t="shared" ref="I425:L425" si="1267">I424+C425</f>
        <v>818</v>
      </c>
      <c r="J425" s="28">
        <f t="shared" si="1267"/>
        <v>-1590</v>
      </c>
      <c r="K425" s="28">
        <f t="shared" si="1267"/>
        <v>676</v>
      </c>
      <c r="L425" s="28">
        <f t="shared" si="1267"/>
        <v>96</v>
      </c>
      <c r="N425" s="80">
        <f t="shared" si="25"/>
        <v>20</v>
      </c>
      <c r="O425" s="28">
        <f t="shared" ref="O425:R425" si="1268">O424+I418</f>
        <v>128938</v>
      </c>
      <c r="P425" s="28">
        <f t="shared" si="1268"/>
        <v>-270454</v>
      </c>
      <c r="Q425" s="28">
        <f t="shared" si="1268"/>
        <v>85328</v>
      </c>
      <c r="R425" s="28">
        <f t="shared" si="1268"/>
        <v>56188</v>
      </c>
      <c r="T425" s="80">
        <v>20.0</v>
      </c>
      <c r="U425" s="80">
        <f t="shared" ref="U425:X425" si="1269">U424+C418</f>
        <v>622</v>
      </c>
      <c r="V425" s="80">
        <f t="shared" si="1269"/>
        <v>-2542</v>
      </c>
      <c r="W425" s="80">
        <f t="shared" si="1269"/>
        <v>2412</v>
      </c>
      <c r="X425" s="80">
        <f t="shared" si="1269"/>
        <v>-596</v>
      </c>
      <c r="Z425" s="80">
        <v>20.0</v>
      </c>
      <c r="AA425" s="10">
        <v>44940.0</v>
      </c>
      <c r="AB425" s="80">
        <v>622.0</v>
      </c>
      <c r="AC425" s="80">
        <v>-2542.0</v>
      </c>
      <c r="AD425" s="80">
        <v>2412.0</v>
      </c>
      <c r="AE425" s="80">
        <v>-596.0</v>
      </c>
    </row>
    <row r="426">
      <c r="A426" s="28">
        <f>'SAMLET_alle regnskab'!B435</f>
        <v>15</v>
      </c>
      <c r="B426" s="80">
        <f>'SAMLET_alle regnskab'!A435</f>
        <v>20</v>
      </c>
      <c r="C426" s="28">
        <f>'SAMLET_alle regnskab'!U435</f>
        <v>-8</v>
      </c>
      <c r="D426" s="28">
        <f>'SAMLET_alle regnskab'!V435</f>
        <v>-8</v>
      </c>
      <c r="E426" s="28">
        <f>'SAMLET_alle regnskab'!W435</f>
        <v>8</v>
      </c>
      <c r="F426" s="28">
        <f>'SAMLET_alle regnskab'!X435</f>
        <v>8</v>
      </c>
      <c r="H426" s="80">
        <f t="shared" si="7"/>
        <v>20</v>
      </c>
      <c r="I426" s="28">
        <f t="shared" ref="I426:L426" si="1270">I425+C426</f>
        <v>810</v>
      </c>
      <c r="J426" s="28">
        <f t="shared" si="1270"/>
        <v>-1598</v>
      </c>
      <c r="K426" s="28">
        <f t="shared" si="1270"/>
        <v>684</v>
      </c>
      <c r="L426" s="28">
        <f t="shared" si="1270"/>
        <v>104</v>
      </c>
      <c r="N426" s="80">
        <f t="shared" si="25"/>
        <v>20</v>
      </c>
      <c r="O426" s="28">
        <f t="shared" ref="O426:R426" si="1271">O425+I419</f>
        <v>129706</v>
      </c>
      <c r="P426" s="28">
        <f t="shared" si="1271"/>
        <v>-272022</v>
      </c>
      <c r="Q426" s="28">
        <f t="shared" si="1271"/>
        <v>86014</v>
      </c>
      <c r="R426" s="28">
        <f t="shared" si="1271"/>
        <v>56302</v>
      </c>
      <c r="T426" s="80">
        <v>20.0</v>
      </c>
      <c r="U426" s="80">
        <f t="shared" ref="U426:X426" si="1272">U425+C419</f>
        <v>610</v>
      </c>
      <c r="V426" s="80">
        <f t="shared" si="1272"/>
        <v>-2530</v>
      </c>
      <c r="W426" s="80">
        <f t="shared" si="1272"/>
        <v>2400</v>
      </c>
      <c r="X426" s="80">
        <f t="shared" si="1272"/>
        <v>-584</v>
      </c>
      <c r="Z426" s="80">
        <v>20.0</v>
      </c>
      <c r="AA426" s="10">
        <v>44940.0</v>
      </c>
      <c r="AB426" s="80">
        <v>610.0</v>
      </c>
      <c r="AC426" s="80">
        <v>-2530.0</v>
      </c>
      <c r="AD426" s="80">
        <v>2400.0</v>
      </c>
      <c r="AE426" s="80">
        <v>-584.0</v>
      </c>
    </row>
    <row r="427">
      <c r="A427" s="28">
        <f>'SAMLET_alle regnskab'!B436</f>
        <v>16</v>
      </c>
      <c r="B427" s="80">
        <f>'SAMLET_alle regnskab'!A436</f>
        <v>20</v>
      </c>
      <c r="C427" s="28">
        <f>'SAMLET_alle regnskab'!U436</f>
        <v>40</v>
      </c>
      <c r="D427" s="28">
        <f>'SAMLET_alle regnskab'!V436</f>
        <v>40</v>
      </c>
      <c r="E427" s="28">
        <f>'SAMLET_alle regnskab'!W436</f>
        <v>-40</v>
      </c>
      <c r="F427" s="28">
        <f>'SAMLET_alle regnskab'!X436</f>
        <v>-40</v>
      </c>
      <c r="H427" s="80">
        <f t="shared" si="7"/>
        <v>20</v>
      </c>
      <c r="I427" s="28">
        <f t="shared" ref="I427:L427" si="1273">I426+C427</f>
        <v>850</v>
      </c>
      <c r="J427" s="28">
        <f t="shared" si="1273"/>
        <v>-1558</v>
      </c>
      <c r="K427" s="28">
        <f t="shared" si="1273"/>
        <v>644</v>
      </c>
      <c r="L427" s="28">
        <f t="shared" si="1273"/>
        <v>64</v>
      </c>
      <c r="N427" s="80">
        <f t="shared" si="25"/>
        <v>20</v>
      </c>
      <c r="O427" s="28">
        <f t="shared" ref="O427:R427" si="1274">O426+I420</f>
        <v>130498</v>
      </c>
      <c r="P427" s="28">
        <f t="shared" si="1274"/>
        <v>-273566</v>
      </c>
      <c r="Q427" s="28">
        <f t="shared" si="1274"/>
        <v>86628</v>
      </c>
      <c r="R427" s="28">
        <f t="shared" si="1274"/>
        <v>56440</v>
      </c>
      <c r="T427" s="80">
        <v>20.0</v>
      </c>
      <c r="U427" s="80">
        <f t="shared" ref="U427:X427" si="1275">U426+C420</f>
        <v>634</v>
      </c>
      <c r="V427" s="80">
        <f t="shared" si="1275"/>
        <v>-2506</v>
      </c>
      <c r="W427" s="80">
        <f t="shared" si="1275"/>
        <v>2328</v>
      </c>
      <c r="X427" s="80">
        <f t="shared" si="1275"/>
        <v>-560</v>
      </c>
      <c r="Z427" s="80">
        <v>20.0</v>
      </c>
      <c r="AA427" s="10">
        <v>44940.0</v>
      </c>
      <c r="AB427" s="80">
        <v>634.0</v>
      </c>
      <c r="AC427" s="80">
        <v>-2506.0</v>
      </c>
      <c r="AD427" s="80">
        <v>2328.0</v>
      </c>
      <c r="AE427" s="80">
        <v>-560.0</v>
      </c>
    </row>
    <row r="428">
      <c r="A428" s="28">
        <f>'SAMLET_alle regnskab'!B437</f>
        <v>17</v>
      </c>
      <c r="B428" s="80">
        <f>'SAMLET_alle regnskab'!A437</f>
        <v>20</v>
      </c>
      <c r="C428" s="28">
        <f>'SAMLET_alle regnskab'!U437</f>
        <v>-8</v>
      </c>
      <c r="D428" s="28">
        <f>'SAMLET_alle regnskab'!V437</f>
        <v>8</v>
      </c>
      <c r="E428" s="28">
        <f>'SAMLET_alle regnskab'!W437</f>
        <v>-8</v>
      </c>
      <c r="F428" s="28">
        <f>'SAMLET_alle regnskab'!X437</f>
        <v>8</v>
      </c>
      <c r="H428" s="80">
        <f t="shared" si="7"/>
        <v>20</v>
      </c>
      <c r="I428" s="28">
        <f t="shared" ref="I428:L428" si="1276">I427+C428</f>
        <v>842</v>
      </c>
      <c r="J428" s="28">
        <f t="shared" si="1276"/>
        <v>-1550</v>
      </c>
      <c r="K428" s="28">
        <f t="shared" si="1276"/>
        <v>636</v>
      </c>
      <c r="L428" s="28">
        <f t="shared" si="1276"/>
        <v>72</v>
      </c>
      <c r="N428" s="80">
        <f t="shared" si="25"/>
        <v>20</v>
      </c>
      <c r="O428" s="28">
        <f t="shared" ref="O428:R428" si="1277">O427+I421</f>
        <v>131278</v>
      </c>
      <c r="P428" s="28">
        <f t="shared" si="1277"/>
        <v>-275098</v>
      </c>
      <c r="Q428" s="28">
        <f t="shared" si="1277"/>
        <v>87254</v>
      </c>
      <c r="R428" s="28">
        <f t="shared" si="1277"/>
        <v>56566</v>
      </c>
      <c r="T428" s="80">
        <v>20.0</v>
      </c>
      <c r="U428" s="80">
        <f t="shared" ref="U428:X428" si="1278">U427+C421</f>
        <v>622</v>
      </c>
      <c r="V428" s="80">
        <f t="shared" si="1278"/>
        <v>-2494</v>
      </c>
      <c r="W428" s="80">
        <f t="shared" si="1278"/>
        <v>2340</v>
      </c>
      <c r="X428" s="80">
        <f t="shared" si="1278"/>
        <v>-572</v>
      </c>
      <c r="Z428" s="80">
        <v>20.0</v>
      </c>
      <c r="AA428" s="10">
        <v>44940.0</v>
      </c>
      <c r="AB428" s="80">
        <v>622.0</v>
      </c>
      <c r="AC428" s="80">
        <v>-2494.0</v>
      </c>
      <c r="AD428" s="80">
        <v>2340.0</v>
      </c>
      <c r="AE428" s="80">
        <v>-572.0</v>
      </c>
    </row>
    <row r="429">
      <c r="A429" s="28">
        <f>'SAMLET_alle regnskab'!B438</f>
        <v>18</v>
      </c>
      <c r="B429" s="80">
        <f>'SAMLET_alle regnskab'!A438</f>
        <v>20</v>
      </c>
      <c r="C429" s="28">
        <f>'SAMLET_alle regnskab'!U438</f>
        <v>8</v>
      </c>
      <c r="D429" s="28">
        <f>'SAMLET_alle regnskab'!V438</f>
        <v>-24</v>
      </c>
      <c r="E429" s="28">
        <f>'SAMLET_alle regnskab'!W438</f>
        <v>8</v>
      </c>
      <c r="F429" s="28">
        <f>'SAMLET_alle regnskab'!X438</f>
        <v>8</v>
      </c>
      <c r="H429" s="80">
        <f t="shared" si="7"/>
        <v>20</v>
      </c>
      <c r="I429" s="28">
        <f t="shared" ref="I429:L429" si="1279">I428+C429</f>
        <v>850</v>
      </c>
      <c r="J429" s="28">
        <f t="shared" si="1279"/>
        <v>-1574</v>
      </c>
      <c r="K429" s="28">
        <f t="shared" si="1279"/>
        <v>644</v>
      </c>
      <c r="L429" s="28">
        <f t="shared" si="1279"/>
        <v>80</v>
      </c>
      <c r="N429" s="80">
        <f t="shared" si="25"/>
        <v>20</v>
      </c>
      <c r="O429" s="28">
        <f t="shared" ref="O429:R429" si="1280">O428+I422</f>
        <v>132098</v>
      </c>
      <c r="P429" s="28">
        <f t="shared" si="1280"/>
        <v>-276670</v>
      </c>
      <c r="Q429" s="28">
        <f t="shared" si="1280"/>
        <v>87920</v>
      </c>
      <c r="R429" s="28">
        <f t="shared" si="1280"/>
        <v>56652</v>
      </c>
      <c r="T429" s="80">
        <v>20.0</v>
      </c>
      <c r="U429" s="80">
        <f t="shared" ref="U429:X429" si="1281">U428+C422</f>
        <v>662</v>
      </c>
      <c r="V429" s="80">
        <f t="shared" si="1281"/>
        <v>-2534</v>
      </c>
      <c r="W429" s="80">
        <f t="shared" si="1281"/>
        <v>2380</v>
      </c>
      <c r="X429" s="80">
        <f t="shared" si="1281"/>
        <v>-612</v>
      </c>
      <c r="Z429" s="80">
        <v>20.0</v>
      </c>
      <c r="AA429" s="10">
        <v>44940.0</v>
      </c>
      <c r="AB429" s="80">
        <v>662.0</v>
      </c>
      <c r="AC429" s="80">
        <v>-2534.0</v>
      </c>
      <c r="AD429" s="80">
        <v>2380.0</v>
      </c>
      <c r="AE429" s="80">
        <v>-612.0</v>
      </c>
    </row>
    <row r="430">
      <c r="A430" s="28">
        <f>'SAMLET_alle regnskab'!B439</f>
        <v>19</v>
      </c>
      <c r="B430" s="80">
        <f>'SAMLET_alle regnskab'!A439</f>
        <v>20</v>
      </c>
      <c r="C430" s="28">
        <f>'SAMLET_alle regnskab'!U439</f>
        <v>32</v>
      </c>
      <c r="D430" s="28">
        <f>'SAMLET_alle regnskab'!V439</f>
        <v>-32</v>
      </c>
      <c r="E430" s="28">
        <f>'SAMLET_alle regnskab'!W439</f>
        <v>-32</v>
      </c>
      <c r="F430" s="28">
        <f>'SAMLET_alle regnskab'!X439</f>
        <v>32</v>
      </c>
      <c r="H430" s="80">
        <f t="shared" si="7"/>
        <v>20</v>
      </c>
      <c r="I430" s="28">
        <f t="shared" ref="I430:L430" si="1282">I429+C430</f>
        <v>882</v>
      </c>
      <c r="J430" s="28">
        <f t="shared" si="1282"/>
        <v>-1606</v>
      </c>
      <c r="K430" s="28">
        <f t="shared" si="1282"/>
        <v>612</v>
      </c>
      <c r="L430" s="28">
        <f t="shared" si="1282"/>
        <v>112</v>
      </c>
      <c r="N430" s="80">
        <f t="shared" si="25"/>
        <v>20</v>
      </c>
      <c r="O430" s="28">
        <f t="shared" ref="O430:R430" si="1283">O429+I423</f>
        <v>132930</v>
      </c>
      <c r="P430" s="28">
        <f t="shared" si="1283"/>
        <v>-278246</v>
      </c>
      <c r="Q430" s="28">
        <f t="shared" si="1283"/>
        <v>88582</v>
      </c>
      <c r="R430" s="28">
        <f t="shared" si="1283"/>
        <v>56734</v>
      </c>
      <c r="T430" s="80">
        <v>20.0</v>
      </c>
      <c r="U430" s="80">
        <f t="shared" ref="U430:X430" si="1284">U429+C423</f>
        <v>674</v>
      </c>
      <c r="V430" s="80">
        <f t="shared" si="1284"/>
        <v>-2538</v>
      </c>
      <c r="W430" s="80">
        <f t="shared" si="1284"/>
        <v>2376</v>
      </c>
      <c r="X430" s="80">
        <f t="shared" si="1284"/>
        <v>-616</v>
      </c>
      <c r="Z430" s="80">
        <v>20.0</v>
      </c>
      <c r="AA430" s="10">
        <v>44940.0</v>
      </c>
      <c r="AB430" s="80">
        <v>674.0</v>
      </c>
      <c r="AC430" s="80">
        <v>-2538.0</v>
      </c>
      <c r="AD430" s="80">
        <v>2376.0</v>
      </c>
      <c r="AE430" s="80">
        <v>-616.0</v>
      </c>
    </row>
    <row r="431">
      <c r="A431" s="28">
        <f>'SAMLET_alle regnskab'!B440</f>
        <v>20</v>
      </c>
      <c r="B431" s="80">
        <f>'SAMLET_alle regnskab'!A440</f>
        <v>20</v>
      </c>
      <c r="C431" s="28">
        <f>'SAMLET_alle regnskab'!U440</f>
        <v>36</v>
      </c>
      <c r="D431" s="28">
        <f>'SAMLET_alle regnskab'!V440</f>
        <v>-12</v>
      </c>
      <c r="E431" s="28">
        <f>'SAMLET_alle regnskab'!W440</f>
        <v>-12</v>
      </c>
      <c r="F431" s="28">
        <f>'SAMLET_alle regnskab'!X440</f>
        <v>-12</v>
      </c>
      <c r="H431" s="80">
        <f t="shared" si="7"/>
        <v>20</v>
      </c>
      <c r="I431" s="28">
        <f t="shared" ref="I431:L431" si="1285">I430+C431</f>
        <v>918</v>
      </c>
      <c r="J431" s="28">
        <f t="shared" si="1285"/>
        <v>-1618</v>
      </c>
      <c r="K431" s="28">
        <f t="shared" si="1285"/>
        <v>600</v>
      </c>
      <c r="L431" s="28">
        <f t="shared" si="1285"/>
        <v>100</v>
      </c>
      <c r="N431" s="80">
        <f t="shared" si="25"/>
        <v>20</v>
      </c>
      <c r="O431" s="28">
        <f t="shared" ref="O431:R431" si="1286">O430+I424</f>
        <v>133764</v>
      </c>
      <c r="P431" s="28">
        <f t="shared" si="1286"/>
        <v>-279820</v>
      </c>
      <c r="Q431" s="28">
        <f t="shared" si="1286"/>
        <v>89242</v>
      </c>
      <c r="R431" s="28">
        <f t="shared" si="1286"/>
        <v>56814</v>
      </c>
      <c r="T431" s="80">
        <v>20.0</v>
      </c>
      <c r="U431" s="80">
        <f t="shared" ref="U431:X431" si="1287">U430+C424</f>
        <v>676</v>
      </c>
      <c r="V431" s="80">
        <f t="shared" si="1287"/>
        <v>-2536</v>
      </c>
      <c r="W431" s="80">
        <f t="shared" si="1287"/>
        <v>2374</v>
      </c>
      <c r="X431" s="80">
        <f t="shared" si="1287"/>
        <v>-618</v>
      </c>
      <c r="Z431" s="80">
        <v>20.0</v>
      </c>
      <c r="AA431" s="10">
        <v>44940.0</v>
      </c>
      <c r="AB431" s="80">
        <v>676.0</v>
      </c>
      <c r="AC431" s="80">
        <v>-2536.0</v>
      </c>
      <c r="AD431" s="80">
        <v>2374.0</v>
      </c>
      <c r="AE431" s="80">
        <v>-618.0</v>
      </c>
    </row>
    <row r="432">
      <c r="A432" s="28">
        <f>'SAMLET_alle regnskab'!B441</f>
        <v>21</v>
      </c>
      <c r="B432" s="80">
        <f>'SAMLET_alle regnskab'!A441</f>
        <v>20</v>
      </c>
      <c r="C432" s="28">
        <f>'SAMLET_alle regnskab'!U441</f>
        <v>8</v>
      </c>
      <c r="D432" s="28">
        <f>'SAMLET_alle regnskab'!V441</f>
        <v>-8</v>
      </c>
      <c r="E432" s="28">
        <f>'SAMLET_alle regnskab'!W441</f>
        <v>8</v>
      </c>
      <c r="F432" s="28">
        <f>'SAMLET_alle regnskab'!X441</f>
        <v>-8</v>
      </c>
      <c r="H432" s="80">
        <f t="shared" si="7"/>
        <v>20</v>
      </c>
      <c r="I432" s="28">
        <f t="shared" ref="I432:L432" si="1288">I431+C432</f>
        <v>926</v>
      </c>
      <c r="J432" s="28">
        <f t="shared" si="1288"/>
        <v>-1626</v>
      </c>
      <c r="K432" s="28">
        <f t="shared" si="1288"/>
        <v>608</v>
      </c>
      <c r="L432" s="28">
        <f t="shared" si="1288"/>
        <v>92</v>
      </c>
      <c r="N432" s="80">
        <f t="shared" si="25"/>
        <v>20</v>
      </c>
      <c r="O432" s="28">
        <f t="shared" ref="O432:R432" si="1289">O431+I425</f>
        <v>134582</v>
      </c>
      <c r="P432" s="28">
        <f t="shared" si="1289"/>
        <v>-281410</v>
      </c>
      <c r="Q432" s="28">
        <f t="shared" si="1289"/>
        <v>89918</v>
      </c>
      <c r="R432" s="28">
        <f t="shared" si="1289"/>
        <v>56910</v>
      </c>
      <c r="T432" s="80">
        <v>20.0</v>
      </c>
      <c r="U432" s="80">
        <f t="shared" ref="U432:X432" si="1290">U431+C425</f>
        <v>660</v>
      </c>
      <c r="V432" s="80">
        <f t="shared" si="1290"/>
        <v>-2552</v>
      </c>
      <c r="W432" s="80">
        <f t="shared" si="1290"/>
        <v>2390</v>
      </c>
      <c r="X432" s="80">
        <f t="shared" si="1290"/>
        <v>-602</v>
      </c>
      <c r="Z432" s="80">
        <v>20.0</v>
      </c>
      <c r="AA432" s="10">
        <v>44940.0</v>
      </c>
      <c r="AB432" s="80">
        <v>660.0</v>
      </c>
      <c r="AC432" s="80">
        <v>-2552.0</v>
      </c>
      <c r="AD432" s="80">
        <v>2390.0</v>
      </c>
      <c r="AE432" s="80">
        <v>-602.0</v>
      </c>
    </row>
    <row r="433">
      <c r="A433" s="28">
        <f>'SAMLET_alle regnskab'!B442</f>
        <v>22</v>
      </c>
      <c r="B433" s="80">
        <f>'SAMLET_alle regnskab'!A442</f>
        <v>20</v>
      </c>
      <c r="C433" s="28">
        <f>'SAMLET_alle regnskab'!U442</f>
        <v>-8</v>
      </c>
      <c r="D433" s="28">
        <f>'SAMLET_alle regnskab'!V442</f>
        <v>24</v>
      </c>
      <c r="E433" s="28">
        <f>'SAMLET_alle regnskab'!W442</f>
        <v>-8</v>
      </c>
      <c r="F433" s="28">
        <f>'SAMLET_alle regnskab'!X442</f>
        <v>-8</v>
      </c>
      <c r="H433" s="80">
        <f t="shared" si="7"/>
        <v>20</v>
      </c>
      <c r="I433" s="28">
        <f t="shared" ref="I433:L433" si="1291">I432+C433</f>
        <v>918</v>
      </c>
      <c r="J433" s="28">
        <f t="shared" si="1291"/>
        <v>-1602</v>
      </c>
      <c r="K433" s="28">
        <f t="shared" si="1291"/>
        <v>600</v>
      </c>
      <c r="L433" s="28">
        <f t="shared" si="1291"/>
        <v>84</v>
      </c>
      <c r="N433" s="80">
        <f t="shared" si="25"/>
        <v>20</v>
      </c>
      <c r="O433" s="28">
        <f t="shared" ref="O433:R433" si="1292">O432+I426</f>
        <v>135392</v>
      </c>
      <c r="P433" s="28">
        <f t="shared" si="1292"/>
        <v>-283008</v>
      </c>
      <c r="Q433" s="28">
        <f t="shared" si="1292"/>
        <v>90602</v>
      </c>
      <c r="R433" s="28">
        <f t="shared" si="1292"/>
        <v>57014</v>
      </c>
      <c r="T433" s="80">
        <v>20.0</v>
      </c>
      <c r="U433" s="80">
        <f t="shared" ref="U433:X433" si="1293">U432+C426</f>
        <v>652</v>
      </c>
      <c r="V433" s="80">
        <f t="shared" si="1293"/>
        <v>-2560</v>
      </c>
      <c r="W433" s="80">
        <f t="shared" si="1293"/>
        <v>2398</v>
      </c>
      <c r="X433" s="80">
        <f t="shared" si="1293"/>
        <v>-594</v>
      </c>
      <c r="Z433" s="80">
        <v>20.0</v>
      </c>
      <c r="AA433" s="10">
        <v>44940.0</v>
      </c>
      <c r="AB433" s="80">
        <v>652.0</v>
      </c>
      <c r="AC433" s="80">
        <v>-2560.0</v>
      </c>
      <c r="AD433" s="80">
        <v>2398.0</v>
      </c>
      <c r="AE433" s="80">
        <v>-594.0</v>
      </c>
    </row>
    <row r="434">
      <c r="A434" s="28">
        <f>'SAMLET_alle regnskab'!B443</f>
        <v>23</v>
      </c>
      <c r="B434" s="80">
        <f>'SAMLET_alle regnskab'!A443</f>
        <v>20</v>
      </c>
      <c r="C434" s="28">
        <f>'SAMLET_alle regnskab'!U443</f>
        <v>32</v>
      </c>
      <c r="D434" s="28">
        <f>'SAMLET_alle regnskab'!V443</f>
        <v>-32</v>
      </c>
      <c r="E434" s="28">
        <f>'SAMLET_alle regnskab'!W443</f>
        <v>32</v>
      </c>
      <c r="F434" s="28">
        <f>'SAMLET_alle regnskab'!X443</f>
        <v>-32</v>
      </c>
      <c r="H434" s="80">
        <f t="shared" si="7"/>
        <v>20</v>
      </c>
      <c r="I434" s="28">
        <f t="shared" ref="I434:L434" si="1294">I433+C434</f>
        <v>950</v>
      </c>
      <c r="J434" s="28">
        <f t="shared" si="1294"/>
        <v>-1634</v>
      </c>
      <c r="K434" s="28">
        <f t="shared" si="1294"/>
        <v>632</v>
      </c>
      <c r="L434" s="28">
        <f t="shared" si="1294"/>
        <v>52</v>
      </c>
      <c r="N434" s="80">
        <f t="shared" si="25"/>
        <v>20</v>
      </c>
      <c r="O434" s="28">
        <f t="shared" ref="O434:R434" si="1295">O433+I427</f>
        <v>136242</v>
      </c>
      <c r="P434" s="28">
        <f t="shared" si="1295"/>
        <v>-284566</v>
      </c>
      <c r="Q434" s="28">
        <f t="shared" si="1295"/>
        <v>91246</v>
      </c>
      <c r="R434" s="28">
        <f t="shared" si="1295"/>
        <v>57078</v>
      </c>
      <c r="T434" s="80">
        <v>20.0</v>
      </c>
      <c r="U434" s="80">
        <f t="shared" ref="U434:X434" si="1296">U433+C427</f>
        <v>692</v>
      </c>
      <c r="V434" s="80">
        <f t="shared" si="1296"/>
        <v>-2520</v>
      </c>
      <c r="W434" s="80">
        <f t="shared" si="1296"/>
        <v>2358</v>
      </c>
      <c r="X434" s="80">
        <f t="shared" si="1296"/>
        <v>-634</v>
      </c>
      <c r="Z434" s="80">
        <v>20.0</v>
      </c>
      <c r="AA434" s="10">
        <v>44940.0</v>
      </c>
      <c r="AB434" s="80">
        <v>692.0</v>
      </c>
      <c r="AC434" s="80">
        <v>-2520.0</v>
      </c>
      <c r="AD434" s="80">
        <v>2358.0</v>
      </c>
      <c r="AE434" s="80">
        <v>-634.0</v>
      </c>
    </row>
    <row r="435">
      <c r="A435" s="28">
        <f>'SAMLET_alle regnskab'!B444</f>
        <v>24</v>
      </c>
      <c r="B435" s="80">
        <f>'SAMLET_alle regnskab'!A444</f>
        <v>20</v>
      </c>
      <c r="C435" s="28">
        <f>'SAMLET_alle regnskab'!U444</f>
        <v>40</v>
      </c>
      <c r="D435" s="28">
        <f>'SAMLET_alle regnskab'!V444</f>
        <v>-40</v>
      </c>
      <c r="E435" s="28">
        <f>'SAMLET_alle regnskab'!W444</f>
        <v>-40</v>
      </c>
      <c r="F435" s="28">
        <f>'SAMLET_alle regnskab'!X444</f>
        <v>40</v>
      </c>
      <c r="H435" s="80">
        <f t="shared" si="7"/>
        <v>20</v>
      </c>
      <c r="I435" s="28">
        <f t="shared" ref="I435:L435" si="1297">I434+C435</f>
        <v>990</v>
      </c>
      <c r="J435" s="28">
        <f t="shared" si="1297"/>
        <v>-1674</v>
      </c>
      <c r="K435" s="28">
        <f t="shared" si="1297"/>
        <v>592</v>
      </c>
      <c r="L435" s="28">
        <f t="shared" si="1297"/>
        <v>92</v>
      </c>
      <c r="N435" s="80">
        <f t="shared" si="25"/>
        <v>20</v>
      </c>
      <c r="O435" s="28">
        <f t="shared" ref="O435:R435" si="1298">O434+I428</f>
        <v>137084</v>
      </c>
      <c r="P435" s="28">
        <f t="shared" si="1298"/>
        <v>-286116</v>
      </c>
      <c r="Q435" s="28">
        <f t="shared" si="1298"/>
        <v>91882</v>
      </c>
      <c r="R435" s="28">
        <f t="shared" si="1298"/>
        <v>57150</v>
      </c>
      <c r="T435" s="80">
        <v>20.0</v>
      </c>
      <c r="U435" s="80">
        <f t="shared" ref="U435:X435" si="1299">U434+C428</f>
        <v>684</v>
      </c>
      <c r="V435" s="80">
        <f t="shared" si="1299"/>
        <v>-2512</v>
      </c>
      <c r="W435" s="80">
        <f t="shared" si="1299"/>
        <v>2350</v>
      </c>
      <c r="X435" s="80">
        <f t="shared" si="1299"/>
        <v>-626</v>
      </c>
      <c r="Z435" s="80">
        <v>20.0</v>
      </c>
      <c r="AA435" s="10">
        <v>44940.0</v>
      </c>
      <c r="AB435" s="80">
        <v>684.0</v>
      </c>
      <c r="AC435" s="80">
        <v>-2512.0</v>
      </c>
      <c r="AD435" s="80">
        <v>2350.0</v>
      </c>
      <c r="AE435" s="80">
        <v>-626.0</v>
      </c>
    </row>
    <row r="436">
      <c r="A436" s="28">
        <f>'SAMLET_alle regnskab'!B445</f>
        <v>25</v>
      </c>
      <c r="B436" s="80">
        <f>'SAMLET_alle regnskab'!A445</f>
        <v>20</v>
      </c>
      <c r="C436" s="28">
        <f>'SAMLET_alle regnskab'!U445</f>
        <v>8</v>
      </c>
      <c r="D436" s="28">
        <f>'SAMLET_alle regnskab'!V445</f>
        <v>-8</v>
      </c>
      <c r="E436" s="28">
        <f>'SAMLET_alle regnskab'!W445</f>
        <v>-8</v>
      </c>
      <c r="F436" s="28">
        <f>'SAMLET_alle regnskab'!X445</f>
        <v>8</v>
      </c>
      <c r="H436" s="80">
        <f t="shared" si="7"/>
        <v>20</v>
      </c>
      <c r="I436" s="28">
        <f t="shared" ref="I436:L436" si="1300">I435+C436</f>
        <v>998</v>
      </c>
      <c r="J436" s="28">
        <f t="shared" si="1300"/>
        <v>-1682</v>
      </c>
      <c r="K436" s="28">
        <f t="shared" si="1300"/>
        <v>584</v>
      </c>
      <c r="L436" s="28">
        <f t="shared" si="1300"/>
        <v>100</v>
      </c>
      <c r="N436" s="80">
        <f t="shared" si="25"/>
        <v>20</v>
      </c>
      <c r="O436" s="28">
        <f t="shared" ref="O436:R436" si="1301">O435+I429</f>
        <v>137934</v>
      </c>
      <c r="P436" s="28">
        <f t="shared" si="1301"/>
        <v>-287690</v>
      </c>
      <c r="Q436" s="28">
        <f t="shared" si="1301"/>
        <v>92526</v>
      </c>
      <c r="R436" s="28">
        <f t="shared" si="1301"/>
        <v>57230</v>
      </c>
      <c r="T436" s="80">
        <v>20.0</v>
      </c>
      <c r="U436" s="80">
        <f t="shared" ref="U436:X436" si="1302">U435+C429</f>
        <v>692</v>
      </c>
      <c r="V436" s="80">
        <f t="shared" si="1302"/>
        <v>-2536</v>
      </c>
      <c r="W436" s="80">
        <f t="shared" si="1302"/>
        <v>2358</v>
      </c>
      <c r="X436" s="80">
        <f t="shared" si="1302"/>
        <v>-618</v>
      </c>
      <c r="Z436" s="80">
        <v>20.0</v>
      </c>
      <c r="AA436" s="10">
        <v>44940.0</v>
      </c>
      <c r="AB436" s="80">
        <v>692.0</v>
      </c>
      <c r="AC436" s="80">
        <v>-2536.0</v>
      </c>
      <c r="AD436" s="80">
        <v>2358.0</v>
      </c>
      <c r="AE436" s="80">
        <v>-618.0</v>
      </c>
    </row>
    <row r="437">
      <c r="A437" s="28">
        <f>'SAMLET_alle regnskab'!B446</f>
        <v>26</v>
      </c>
      <c r="B437" s="80">
        <f>'SAMLET_alle regnskab'!A446</f>
        <v>20</v>
      </c>
      <c r="C437" s="28">
        <f>'SAMLET_alle regnskab'!U446</f>
        <v>-20</v>
      </c>
      <c r="D437" s="28">
        <f>'SAMLET_alle regnskab'!V446</f>
        <v>20</v>
      </c>
      <c r="E437" s="28">
        <f>'SAMLET_alle regnskab'!W446</f>
        <v>-20</v>
      </c>
      <c r="F437" s="28">
        <f>'SAMLET_alle regnskab'!X446</f>
        <v>20</v>
      </c>
      <c r="H437" s="80">
        <f t="shared" si="7"/>
        <v>20</v>
      </c>
      <c r="I437" s="28">
        <f t="shared" ref="I437:L437" si="1303">I436+C437</f>
        <v>978</v>
      </c>
      <c r="J437" s="28">
        <f t="shared" si="1303"/>
        <v>-1662</v>
      </c>
      <c r="K437" s="28">
        <f t="shared" si="1303"/>
        <v>564</v>
      </c>
      <c r="L437" s="28">
        <f t="shared" si="1303"/>
        <v>120</v>
      </c>
      <c r="N437" s="80">
        <f t="shared" si="25"/>
        <v>20</v>
      </c>
      <c r="O437" s="28">
        <f t="shared" ref="O437:R437" si="1304">O436+I430</f>
        <v>138816</v>
      </c>
      <c r="P437" s="28">
        <f t="shared" si="1304"/>
        <v>-289296</v>
      </c>
      <c r="Q437" s="28">
        <f t="shared" si="1304"/>
        <v>93138</v>
      </c>
      <c r="R437" s="28">
        <f t="shared" si="1304"/>
        <v>57342</v>
      </c>
      <c r="T437" s="80">
        <v>20.0</v>
      </c>
      <c r="U437" s="80">
        <f t="shared" ref="U437:X437" si="1305">U436+C430</f>
        <v>724</v>
      </c>
      <c r="V437" s="80">
        <f t="shared" si="1305"/>
        <v>-2568</v>
      </c>
      <c r="W437" s="80">
        <f t="shared" si="1305"/>
        <v>2326</v>
      </c>
      <c r="X437" s="80">
        <f t="shared" si="1305"/>
        <v>-586</v>
      </c>
      <c r="Z437" s="80">
        <v>20.0</v>
      </c>
      <c r="AA437" s="10">
        <v>44940.0</v>
      </c>
      <c r="AB437" s="80">
        <v>724.0</v>
      </c>
      <c r="AC437" s="80">
        <v>-2568.0</v>
      </c>
      <c r="AD437" s="80">
        <v>2326.0</v>
      </c>
      <c r="AE437" s="80">
        <v>-586.0</v>
      </c>
    </row>
    <row r="438">
      <c r="A438" s="28">
        <f>'SAMLET_alle regnskab'!B447</f>
        <v>27</v>
      </c>
      <c r="B438" s="80">
        <f>'SAMLET_alle regnskab'!A447</f>
        <v>20</v>
      </c>
      <c r="C438" s="28">
        <f>'SAMLET_alle regnskab'!U447</f>
        <v>16</v>
      </c>
      <c r="D438" s="28">
        <f>'SAMLET_alle regnskab'!V447</f>
        <v>-16</v>
      </c>
      <c r="E438" s="28">
        <f>'SAMLET_alle regnskab'!W447</f>
        <v>16</v>
      </c>
      <c r="F438" s="28">
        <f>'SAMLET_alle regnskab'!X447</f>
        <v>-16</v>
      </c>
      <c r="H438" s="80">
        <f t="shared" si="7"/>
        <v>20</v>
      </c>
      <c r="I438" s="28">
        <f t="shared" ref="I438:L438" si="1306">I437+C438</f>
        <v>994</v>
      </c>
      <c r="J438" s="28">
        <f t="shared" si="1306"/>
        <v>-1678</v>
      </c>
      <c r="K438" s="28">
        <f t="shared" si="1306"/>
        <v>580</v>
      </c>
      <c r="L438" s="28">
        <f t="shared" si="1306"/>
        <v>104</v>
      </c>
      <c r="N438" s="80">
        <f t="shared" si="25"/>
        <v>20</v>
      </c>
      <c r="O438" s="28">
        <f t="shared" ref="O438:R438" si="1307">O437+I431</f>
        <v>139734</v>
      </c>
      <c r="P438" s="28">
        <f t="shared" si="1307"/>
        <v>-290914</v>
      </c>
      <c r="Q438" s="28">
        <f t="shared" si="1307"/>
        <v>93738</v>
      </c>
      <c r="R438" s="28">
        <f t="shared" si="1307"/>
        <v>57442</v>
      </c>
      <c r="T438" s="80">
        <v>20.0</v>
      </c>
      <c r="U438" s="80">
        <f t="shared" ref="U438:X438" si="1308">U437+C431</f>
        <v>760</v>
      </c>
      <c r="V438" s="80">
        <f t="shared" si="1308"/>
        <v>-2580</v>
      </c>
      <c r="W438" s="80">
        <f t="shared" si="1308"/>
        <v>2314</v>
      </c>
      <c r="X438" s="80">
        <f t="shared" si="1308"/>
        <v>-598</v>
      </c>
      <c r="Z438" s="80">
        <v>20.0</v>
      </c>
      <c r="AA438" s="10">
        <v>44940.0</v>
      </c>
      <c r="AB438" s="80">
        <v>760.0</v>
      </c>
      <c r="AC438" s="80">
        <v>-2580.0</v>
      </c>
      <c r="AD438" s="80">
        <v>2314.0</v>
      </c>
      <c r="AE438" s="80">
        <v>-598.0</v>
      </c>
    </row>
    <row r="439">
      <c r="A439" s="28">
        <f>'SAMLET_alle regnskab'!B448</f>
        <v>28</v>
      </c>
      <c r="B439" s="80">
        <f>'SAMLET_alle regnskab'!A448</f>
        <v>20</v>
      </c>
      <c r="C439" s="28">
        <f>'SAMLET_alle regnskab'!U448</f>
        <v>-16</v>
      </c>
      <c r="D439" s="28">
        <f>'SAMLET_alle regnskab'!V448</f>
        <v>16</v>
      </c>
      <c r="E439" s="28">
        <f>'SAMLET_alle regnskab'!W448</f>
        <v>-16</v>
      </c>
      <c r="F439" s="28">
        <f>'SAMLET_alle regnskab'!X448</f>
        <v>16</v>
      </c>
      <c r="H439" s="80">
        <f t="shared" si="7"/>
        <v>20</v>
      </c>
      <c r="I439" s="28">
        <f t="shared" ref="I439:L439" si="1309">I438+C439</f>
        <v>978</v>
      </c>
      <c r="J439" s="28">
        <f t="shared" si="1309"/>
        <v>-1662</v>
      </c>
      <c r="K439" s="28">
        <f t="shared" si="1309"/>
        <v>564</v>
      </c>
      <c r="L439" s="28">
        <f t="shared" si="1309"/>
        <v>120</v>
      </c>
      <c r="N439" s="80">
        <f t="shared" si="25"/>
        <v>20</v>
      </c>
      <c r="O439" s="28">
        <f t="shared" ref="O439:R439" si="1310">O438+I432</f>
        <v>140660</v>
      </c>
      <c r="P439" s="28">
        <f t="shared" si="1310"/>
        <v>-292540</v>
      </c>
      <c r="Q439" s="28">
        <f t="shared" si="1310"/>
        <v>94346</v>
      </c>
      <c r="R439" s="28">
        <f t="shared" si="1310"/>
        <v>57534</v>
      </c>
      <c r="T439" s="80">
        <v>20.0</v>
      </c>
      <c r="U439" s="80">
        <f t="shared" ref="U439:X439" si="1311">U438+C432</f>
        <v>768</v>
      </c>
      <c r="V439" s="80">
        <f t="shared" si="1311"/>
        <v>-2588</v>
      </c>
      <c r="W439" s="80">
        <f t="shared" si="1311"/>
        <v>2322</v>
      </c>
      <c r="X439" s="80">
        <f t="shared" si="1311"/>
        <v>-606</v>
      </c>
      <c r="Z439" s="80">
        <v>20.0</v>
      </c>
      <c r="AA439" s="10">
        <v>44940.0</v>
      </c>
      <c r="AB439" s="80">
        <v>768.0</v>
      </c>
      <c r="AC439" s="80">
        <v>-2588.0</v>
      </c>
      <c r="AD439" s="80">
        <v>2322.0</v>
      </c>
      <c r="AE439" s="80">
        <v>-606.0</v>
      </c>
    </row>
    <row r="440">
      <c r="A440" s="28">
        <f>'SAMLET_alle regnskab'!B449</f>
        <v>29</v>
      </c>
      <c r="B440" s="80">
        <f>'SAMLET_alle regnskab'!A449</f>
        <v>20</v>
      </c>
      <c r="C440" s="28">
        <f>'SAMLET_alle regnskab'!U449</f>
        <v>48</v>
      </c>
      <c r="D440" s="28">
        <f>'SAMLET_alle regnskab'!V449</f>
        <v>48</v>
      </c>
      <c r="E440" s="28">
        <f>'SAMLET_alle regnskab'!W449</f>
        <v>-48</v>
      </c>
      <c r="F440" s="28">
        <f>'SAMLET_alle regnskab'!X449</f>
        <v>-48</v>
      </c>
      <c r="H440" s="80">
        <f t="shared" si="7"/>
        <v>20</v>
      </c>
      <c r="I440" s="28">
        <f t="shared" ref="I440:L440" si="1312">I439+C440</f>
        <v>1026</v>
      </c>
      <c r="J440" s="28">
        <f t="shared" si="1312"/>
        <v>-1614</v>
      </c>
      <c r="K440" s="28">
        <f t="shared" si="1312"/>
        <v>516</v>
      </c>
      <c r="L440" s="28">
        <f t="shared" si="1312"/>
        <v>72</v>
      </c>
      <c r="N440" s="80">
        <f t="shared" si="25"/>
        <v>20</v>
      </c>
      <c r="O440" s="28">
        <f t="shared" ref="O440:R440" si="1313">O439+I433</f>
        <v>141578</v>
      </c>
      <c r="P440" s="28">
        <f t="shared" si="1313"/>
        <v>-294142</v>
      </c>
      <c r="Q440" s="28">
        <f t="shared" si="1313"/>
        <v>94946</v>
      </c>
      <c r="R440" s="28">
        <f t="shared" si="1313"/>
        <v>57618</v>
      </c>
      <c r="T440" s="80">
        <v>20.0</v>
      </c>
      <c r="U440" s="80">
        <f t="shared" ref="U440:X440" si="1314">U439+C433</f>
        <v>760</v>
      </c>
      <c r="V440" s="80">
        <f t="shared" si="1314"/>
        <v>-2564</v>
      </c>
      <c r="W440" s="80">
        <f t="shared" si="1314"/>
        <v>2314</v>
      </c>
      <c r="X440" s="80">
        <f t="shared" si="1314"/>
        <v>-614</v>
      </c>
      <c r="Z440" s="80">
        <v>20.0</v>
      </c>
      <c r="AA440" s="10">
        <v>44940.0</v>
      </c>
      <c r="AB440" s="80">
        <v>760.0</v>
      </c>
      <c r="AC440" s="80">
        <v>-2564.0</v>
      </c>
      <c r="AD440" s="80">
        <v>2314.0</v>
      </c>
      <c r="AE440" s="80">
        <v>-614.0</v>
      </c>
    </row>
    <row r="441">
      <c r="A441" s="28">
        <f>'SAMLET_alle regnskab'!B450</f>
        <v>30</v>
      </c>
      <c r="B441" s="80">
        <f>'SAMLET_alle regnskab'!A450</f>
        <v>20</v>
      </c>
      <c r="C441" s="28">
        <f>'SAMLET_alle regnskab'!U450</f>
        <v>12</v>
      </c>
      <c r="D441" s="28">
        <f>'SAMLET_alle regnskab'!V450</f>
        <v>-12</v>
      </c>
      <c r="E441" s="28">
        <f>'SAMLET_alle regnskab'!W450</f>
        <v>-12</v>
      </c>
      <c r="F441" s="28">
        <f>'SAMLET_alle regnskab'!X450</f>
        <v>12</v>
      </c>
      <c r="H441" s="80">
        <f t="shared" si="7"/>
        <v>20</v>
      </c>
      <c r="I441" s="28">
        <f t="shared" ref="I441:L441" si="1315">I440+C441</f>
        <v>1038</v>
      </c>
      <c r="J441" s="28">
        <f t="shared" si="1315"/>
        <v>-1626</v>
      </c>
      <c r="K441" s="28">
        <f t="shared" si="1315"/>
        <v>504</v>
      </c>
      <c r="L441" s="28">
        <f t="shared" si="1315"/>
        <v>84</v>
      </c>
      <c r="N441" s="80">
        <f t="shared" si="25"/>
        <v>20</v>
      </c>
      <c r="O441" s="28">
        <f t="shared" ref="O441:R441" si="1316">O440+I434</f>
        <v>142528</v>
      </c>
      <c r="P441" s="28">
        <f t="shared" si="1316"/>
        <v>-295776</v>
      </c>
      <c r="Q441" s="28">
        <f t="shared" si="1316"/>
        <v>95578</v>
      </c>
      <c r="R441" s="28">
        <f t="shared" si="1316"/>
        <v>57670</v>
      </c>
      <c r="T441" s="80">
        <v>20.0</v>
      </c>
      <c r="U441" s="80">
        <f t="shared" ref="U441:X441" si="1317">U440+C434</f>
        <v>792</v>
      </c>
      <c r="V441" s="80">
        <f t="shared" si="1317"/>
        <v>-2596</v>
      </c>
      <c r="W441" s="80">
        <f t="shared" si="1317"/>
        <v>2346</v>
      </c>
      <c r="X441" s="80">
        <f t="shared" si="1317"/>
        <v>-646</v>
      </c>
      <c r="Z441" s="80">
        <v>20.0</v>
      </c>
      <c r="AA441" s="10">
        <v>44940.0</v>
      </c>
      <c r="AB441" s="80">
        <v>792.0</v>
      </c>
      <c r="AC441" s="80">
        <v>-2596.0</v>
      </c>
      <c r="AD441" s="80">
        <v>2346.0</v>
      </c>
      <c r="AE441" s="80">
        <v>-646.0</v>
      </c>
    </row>
    <row r="442">
      <c r="A442" s="28">
        <f>'SAMLET_alle regnskab'!B451</f>
        <v>1</v>
      </c>
      <c r="B442" s="80">
        <f>'SAMLET_alle regnskab'!A451</f>
        <v>21</v>
      </c>
      <c r="C442" s="28">
        <f>'SAMLET_alle regnskab'!U451</f>
        <v>-64</v>
      </c>
      <c r="D442" s="28">
        <f>'SAMLET_alle regnskab'!V451</f>
        <v>64</v>
      </c>
      <c r="E442" s="28">
        <f>'SAMLET_alle regnskab'!W451</f>
        <v>-64</v>
      </c>
      <c r="F442" s="28">
        <f>'SAMLET_alle regnskab'!X451</f>
        <v>64</v>
      </c>
      <c r="H442" s="80">
        <f t="shared" si="7"/>
        <v>21</v>
      </c>
      <c r="I442" s="28">
        <f t="shared" ref="I442:L442" si="1318">I441+C442</f>
        <v>974</v>
      </c>
      <c r="J442" s="28">
        <f t="shared" si="1318"/>
        <v>-1562</v>
      </c>
      <c r="K442" s="28">
        <f t="shared" si="1318"/>
        <v>440</v>
      </c>
      <c r="L442" s="28">
        <f t="shared" si="1318"/>
        <v>148</v>
      </c>
      <c r="N442" s="80">
        <f t="shared" si="25"/>
        <v>20</v>
      </c>
      <c r="O442" s="28">
        <f t="shared" ref="O442:R442" si="1319">O441+I435</f>
        <v>143518</v>
      </c>
      <c r="P442" s="28">
        <f t="shared" si="1319"/>
        <v>-297450</v>
      </c>
      <c r="Q442" s="28">
        <f t="shared" si="1319"/>
        <v>96170</v>
      </c>
      <c r="R442" s="28">
        <f t="shared" si="1319"/>
        <v>57762</v>
      </c>
      <c r="T442" s="80">
        <v>20.0</v>
      </c>
      <c r="U442" s="80">
        <f t="shared" ref="U442:X442" si="1320">U441+C435</f>
        <v>832</v>
      </c>
      <c r="V442" s="80">
        <f t="shared" si="1320"/>
        <v>-2636</v>
      </c>
      <c r="W442" s="80">
        <f t="shared" si="1320"/>
        <v>2306</v>
      </c>
      <c r="X442" s="80">
        <f t="shared" si="1320"/>
        <v>-606</v>
      </c>
      <c r="Z442" s="80">
        <v>20.0</v>
      </c>
      <c r="AA442" s="10">
        <v>44940.0</v>
      </c>
      <c r="AB442" s="80">
        <v>832.0</v>
      </c>
      <c r="AC442" s="80">
        <v>-2636.0</v>
      </c>
      <c r="AD442" s="80">
        <v>2306.0</v>
      </c>
      <c r="AE442" s="80">
        <v>-606.0</v>
      </c>
    </row>
    <row r="443">
      <c r="A443" s="28">
        <f>'SAMLET_alle regnskab'!B452</f>
        <v>2</v>
      </c>
      <c r="B443" s="80">
        <f>'SAMLET_alle regnskab'!A452</f>
        <v>21</v>
      </c>
      <c r="C443" s="28">
        <f>'SAMLET_alle regnskab'!U452</f>
        <v>12</v>
      </c>
      <c r="D443" s="28">
        <f>'SAMLET_alle regnskab'!V452</f>
        <v>-12</v>
      </c>
      <c r="E443" s="28">
        <f>'SAMLET_alle regnskab'!W452</f>
        <v>-12</v>
      </c>
      <c r="F443" s="28">
        <f>'SAMLET_alle regnskab'!X452</f>
        <v>12</v>
      </c>
      <c r="H443" s="80">
        <f t="shared" si="7"/>
        <v>21</v>
      </c>
      <c r="I443" s="28">
        <f t="shared" ref="I443:L443" si="1321">I442+C443</f>
        <v>986</v>
      </c>
      <c r="J443" s="28">
        <f t="shared" si="1321"/>
        <v>-1574</v>
      </c>
      <c r="K443" s="28">
        <f t="shared" si="1321"/>
        <v>428</v>
      </c>
      <c r="L443" s="28">
        <f t="shared" si="1321"/>
        <v>160</v>
      </c>
      <c r="N443" s="80">
        <f t="shared" si="25"/>
        <v>20</v>
      </c>
      <c r="O443" s="28">
        <f t="shared" ref="O443:R443" si="1322">O442+I436</f>
        <v>144516</v>
      </c>
      <c r="P443" s="28">
        <f t="shared" si="1322"/>
        <v>-299132</v>
      </c>
      <c r="Q443" s="28">
        <f t="shared" si="1322"/>
        <v>96754</v>
      </c>
      <c r="R443" s="28">
        <f t="shared" si="1322"/>
        <v>57862</v>
      </c>
      <c r="T443" s="80">
        <v>20.0</v>
      </c>
      <c r="U443" s="80">
        <f t="shared" ref="U443:X443" si="1323">U442+C436</f>
        <v>840</v>
      </c>
      <c r="V443" s="80">
        <f t="shared" si="1323"/>
        <v>-2644</v>
      </c>
      <c r="W443" s="80">
        <f t="shared" si="1323"/>
        <v>2298</v>
      </c>
      <c r="X443" s="80">
        <f t="shared" si="1323"/>
        <v>-598</v>
      </c>
      <c r="Z443" s="80">
        <v>20.0</v>
      </c>
      <c r="AA443" s="10">
        <v>44940.0</v>
      </c>
      <c r="AB443" s="80">
        <v>840.0</v>
      </c>
      <c r="AC443" s="80">
        <v>-2644.0</v>
      </c>
      <c r="AD443" s="80">
        <v>2298.0</v>
      </c>
      <c r="AE443" s="80">
        <v>-598.0</v>
      </c>
    </row>
    <row r="444">
      <c r="A444" s="28">
        <f>'SAMLET_alle regnskab'!B453</f>
        <v>3</v>
      </c>
      <c r="B444" s="80">
        <f>'SAMLET_alle regnskab'!A453</f>
        <v>21</v>
      </c>
      <c r="C444" s="28">
        <f>'SAMLET_alle regnskab'!U453</f>
        <v>-16</v>
      </c>
      <c r="D444" s="28">
        <f>'SAMLET_alle regnskab'!V453</f>
        <v>16</v>
      </c>
      <c r="E444" s="28">
        <f>'SAMLET_alle regnskab'!W453</f>
        <v>16</v>
      </c>
      <c r="F444" s="28">
        <f>'SAMLET_alle regnskab'!X453</f>
        <v>-16</v>
      </c>
      <c r="H444" s="80">
        <f t="shared" si="7"/>
        <v>21</v>
      </c>
      <c r="I444" s="28">
        <f t="shared" ref="I444:L444" si="1324">I443+C444</f>
        <v>970</v>
      </c>
      <c r="J444" s="28">
        <f t="shared" si="1324"/>
        <v>-1558</v>
      </c>
      <c r="K444" s="28">
        <f t="shared" si="1324"/>
        <v>444</v>
      </c>
      <c r="L444" s="28">
        <f t="shared" si="1324"/>
        <v>144</v>
      </c>
      <c r="N444" s="80">
        <f t="shared" si="25"/>
        <v>20</v>
      </c>
      <c r="O444" s="28">
        <f t="shared" ref="O444:R444" si="1325">O443+I437</f>
        <v>145494</v>
      </c>
      <c r="P444" s="28">
        <f t="shared" si="1325"/>
        <v>-300794</v>
      </c>
      <c r="Q444" s="28">
        <f t="shared" si="1325"/>
        <v>97318</v>
      </c>
      <c r="R444" s="28">
        <f t="shared" si="1325"/>
        <v>57982</v>
      </c>
      <c r="T444" s="80">
        <v>20.0</v>
      </c>
      <c r="U444" s="80">
        <f t="shared" ref="U444:X444" si="1326">U443+C437</f>
        <v>820</v>
      </c>
      <c r="V444" s="80">
        <f t="shared" si="1326"/>
        <v>-2624</v>
      </c>
      <c r="W444" s="80">
        <f t="shared" si="1326"/>
        <v>2278</v>
      </c>
      <c r="X444" s="80">
        <f t="shared" si="1326"/>
        <v>-578</v>
      </c>
      <c r="Z444" s="80">
        <v>20.0</v>
      </c>
      <c r="AA444" s="10">
        <v>44940.0</v>
      </c>
      <c r="AB444" s="80">
        <v>820.0</v>
      </c>
      <c r="AC444" s="80">
        <v>-2624.0</v>
      </c>
      <c r="AD444" s="80">
        <v>2278.0</v>
      </c>
      <c r="AE444" s="80">
        <v>-578.0</v>
      </c>
    </row>
    <row r="445">
      <c r="A445" s="28">
        <f>'SAMLET_alle regnskab'!B454</f>
        <v>4</v>
      </c>
      <c r="B445" s="80">
        <f>'SAMLET_alle regnskab'!A454</f>
        <v>21</v>
      </c>
      <c r="C445" s="28">
        <f>'SAMLET_alle regnskab'!U454</f>
        <v>32</v>
      </c>
      <c r="D445" s="28">
        <f>'SAMLET_alle regnskab'!V454</f>
        <v>-32</v>
      </c>
      <c r="E445" s="28">
        <f>'SAMLET_alle regnskab'!W454</f>
        <v>32</v>
      </c>
      <c r="F445" s="28">
        <f>'SAMLET_alle regnskab'!X454</f>
        <v>-32</v>
      </c>
      <c r="H445" s="80">
        <f t="shared" si="7"/>
        <v>21</v>
      </c>
      <c r="I445" s="28">
        <f t="shared" ref="I445:L445" si="1327">I444+C445</f>
        <v>1002</v>
      </c>
      <c r="J445" s="28">
        <f t="shared" si="1327"/>
        <v>-1590</v>
      </c>
      <c r="K445" s="28">
        <f t="shared" si="1327"/>
        <v>476</v>
      </c>
      <c r="L445" s="28">
        <f t="shared" si="1327"/>
        <v>112</v>
      </c>
      <c r="N445" s="80">
        <f t="shared" si="25"/>
        <v>20</v>
      </c>
      <c r="O445" s="28">
        <f t="shared" ref="O445:R445" si="1328">O444+I438</f>
        <v>146488</v>
      </c>
      <c r="P445" s="28">
        <f t="shared" si="1328"/>
        <v>-302472</v>
      </c>
      <c r="Q445" s="28">
        <f t="shared" si="1328"/>
        <v>97898</v>
      </c>
      <c r="R445" s="28">
        <f t="shared" si="1328"/>
        <v>58086</v>
      </c>
      <c r="T445" s="80">
        <v>20.0</v>
      </c>
      <c r="U445" s="80">
        <f t="shared" ref="U445:X445" si="1329">U444+C438</f>
        <v>836</v>
      </c>
      <c r="V445" s="80">
        <f t="shared" si="1329"/>
        <v>-2640</v>
      </c>
      <c r="W445" s="80">
        <f t="shared" si="1329"/>
        <v>2294</v>
      </c>
      <c r="X445" s="80">
        <f t="shared" si="1329"/>
        <v>-594</v>
      </c>
      <c r="Z445" s="80">
        <v>20.0</v>
      </c>
      <c r="AA445" s="10">
        <v>44940.0</v>
      </c>
      <c r="AB445" s="80">
        <v>836.0</v>
      </c>
      <c r="AC445" s="80">
        <v>-2640.0</v>
      </c>
      <c r="AD445" s="80">
        <v>2294.0</v>
      </c>
      <c r="AE445" s="80">
        <v>-594.0</v>
      </c>
    </row>
    <row r="446">
      <c r="A446" s="28">
        <f>'SAMLET_alle regnskab'!B455</f>
        <v>5</v>
      </c>
      <c r="B446" s="80">
        <f>'SAMLET_alle regnskab'!A455</f>
        <v>21</v>
      </c>
      <c r="C446" s="28">
        <f>'SAMLET_alle regnskab'!U455</f>
        <v>8</v>
      </c>
      <c r="D446" s="28">
        <f>'SAMLET_alle regnskab'!V455</f>
        <v>-8</v>
      </c>
      <c r="E446" s="28">
        <f>'SAMLET_alle regnskab'!W455</f>
        <v>8</v>
      </c>
      <c r="F446" s="28">
        <f>'SAMLET_alle regnskab'!X455</f>
        <v>-8</v>
      </c>
      <c r="H446" s="80">
        <f t="shared" si="7"/>
        <v>21</v>
      </c>
      <c r="I446" s="28">
        <f t="shared" ref="I446:L446" si="1330">I445+C446</f>
        <v>1010</v>
      </c>
      <c r="J446" s="28">
        <f t="shared" si="1330"/>
        <v>-1598</v>
      </c>
      <c r="K446" s="28">
        <f t="shared" si="1330"/>
        <v>484</v>
      </c>
      <c r="L446" s="28">
        <f t="shared" si="1330"/>
        <v>104</v>
      </c>
      <c r="N446" s="80">
        <f t="shared" si="25"/>
        <v>20</v>
      </c>
      <c r="O446" s="28">
        <f t="shared" ref="O446:R446" si="1331">O445+I439</f>
        <v>147466</v>
      </c>
      <c r="P446" s="28">
        <f t="shared" si="1331"/>
        <v>-304134</v>
      </c>
      <c r="Q446" s="28">
        <f t="shared" si="1331"/>
        <v>98462</v>
      </c>
      <c r="R446" s="28">
        <f t="shared" si="1331"/>
        <v>58206</v>
      </c>
      <c r="T446" s="80">
        <v>20.0</v>
      </c>
      <c r="U446" s="80">
        <f t="shared" ref="U446:X446" si="1332">U445+C439</f>
        <v>820</v>
      </c>
      <c r="V446" s="80">
        <f t="shared" si="1332"/>
        <v>-2624</v>
      </c>
      <c r="W446" s="80">
        <f t="shared" si="1332"/>
        <v>2278</v>
      </c>
      <c r="X446" s="80">
        <f t="shared" si="1332"/>
        <v>-578</v>
      </c>
      <c r="Z446" s="80">
        <v>20.0</v>
      </c>
      <c r="AA446" s="10">
        <v>44940.0</v>
      </c>
      <c r="AB446" s="80">
        <v>820.0</v>
      </c>
      <c r="AC446" s="80">
        <v>-2624.0</v>
      </c>
      <c r="AD446" s="80">
        <v>2278.0</v>
      </c>
      <c r="AE446" s="80">
        <v>-578.0</v>
      </c>
    </row>
    <row r="447">
      <c r="A447" s="28">
        <f>'SAMLET_alle regnskab'!B456</f>
        <v>6</v>
      </c>
      <c r="B447" s="80">
        <f>'SAMLET_alle regnskab'!A456</f>
        <v>21</v>
      </c>
      <c r="C447" s="28">
        <f>'SAMLET_alle regnskab'!U456</f>
        <v>8</v>
      </c>
      <c r="D447" s="28">
        <f>'SAMLET_alle regnskab'!V456</f>
        <v>8</v>
      </c>
      <c r="E447" s="28">
        <f>'SAMLET_alle regnskab'!W456</f>
        <v>8</v>
      </c>
      <c r="F447" s="28">
        <f>'SAMLET_alle regnskab'!X456</f>
        <v>-24</v>
      </c>
      <c r="H447" s="80">
        <f t="shared" si="7"/>
        <v>21</v>
      </c>
      <c r="I447" s="28">
        <f t="shared" ref="I447:L447" si="1333">I446+C447</f>
        <v>1018</v>
      </c>
      <c r="J447" s="28">
        <f t="shared" si="1333"/>
        <v>-1590</v>
      </c>
      <c r="K447" s="28">
        <f t="shared" si="1333"/>
        <v>492</v>
      </c>
      <c r="L447" s="28">
        <f t="shared" si="1333"/>
        <v>80</v>
      </c>
      <c r="N447" s="80">
        <f t="shared" si="25"/>
        <v>20</v>
      </c>
      <c r="O447" s="28">
        <f t="shared" ref="O447:R447" si="1334">O446+I440</f>
        <v>148492</v>
      </c>
      <c r="P447" s="28">
        <f t="shared" si="1334"/>
        <v>-305748</v>
      </c>
      <c r="Q447" s="28">
        <f t="shared" si="1334"/>
        <v>98978</v>
      </c>
      <c r="R447" s="28">
        <f t="shared" si="1334"/>
        <v>58278</v>
      </c>
      <c r="T447" s="80">
        <v>20.0</v>
      </c>
      <c r="U447" s="80">
        <f t="shared" ref="U447:X447" si="1335">U446+C440</f>
        <v>868</v>
      </c>
      <c r="V447" s="80">
        <f t="shared" si="1335"/>
        <v>-2576</v>
      </c>
      <c r="W447" s="80">
        <f t="shared" si="1335"/>
        <v>2230</v>
      </c>
      <c r="X447" s="80">
        <f t="shared" si="1335"/>
        <v>-626</v>
      </c>
      <c r="Z447" s="80">
        <v>20.0</v>
      </c>
      <c r="AA447" s="10">
        <v>44940.0</v>
      </c>
      <c r="AB447" s="80">
        <v>868.0</v>
      </c>
      <c r="AC447" s="80">
        <v>-2576.0</v>
      </c>
      <c r="AD447" s="80">
        <v>2230.0</v>
      </c>
      <c r="AE447" s="80">
        <v>-626.0</v>
      </c>
    </row>
    <row r="448">
      <c r="A448" s="28">
        <f>'SAMLET_alle regnskab'!B457</f>
        <v>7</v>
      </c>
      <c r="B448" s="80">
        <f>'SAMLET_alle regnskab'!A457</f>
        <v>21</v>
      </c>
      <c r="C448" s="28">
        <f>'SAMLET_alle regnskab'!U457</f>
        <v>-8</v>
      </c>
      <c r="D448" s="28">
        <f>'SAMLET_alle regnskab'!V457</f>
        <v>8</v>
      </c>
      <c r="E448" s="28">
        <f>'SAMLET_alle regnskab'!W457</f>
        <v>-8</v>
      </c>
      <c r="F448" s="28">
        <f>'SAMLET_alle regnskab'!X457</f>
        <v>8</v>
      </c>
      <c r="H448" s="80">
        <f t="shared" si="7"/>
        <v>21</v>
      </c>
      <c r="I448" s="28">
        <f t="shared" ref="I448:L448" si="1336">I447+C448</f>
        <v>1010</v>
      </c>
      <c r="J448" s="28">
        <f t="shared" si="1336"/>
        <v>-1582</v>
      </c>
      <c r="K448" s="28">
        <f t="shared" si="1336"/>
        <v>484</v>
      </c>
      <c r="L448" s="28">
        <f t="shared" si="1336"/>
        <v>88</v>
      </c>
      <c r="N448" s="80">
        <f t="shared" si="25"/>
        <v>20</v>
      </c>
      <c r="O448" s="28">
        <f t="shared" ref="O448:R448" si="1337">O447+I441</f>
        <v>149530</v>
      </c>
      <c r="P448" s="28">
        <f t="shared" si="1337"/>
        <v>-307374</v>
      </c>
      <c r="Q448" s="28">
        <f t="shared" si="1337"/>
        <v>99482</v>
      </c>
      <c r="R448" s="28">
        <f t="shared" si="1337"/>
        <v>58362</v>
      </c>
      <c r="T448" s="80">
        <v>20.0</v>
      </c>
      <c r="U448" s="80">
        <f t="shared" ref="U448:X448" si="1338">U447+C441</f>
        <v>880</v>
      </c>
      <c r="V448" s="80">
        <f t="shared" si="1338"/>
        <v>-2588</v>
      </c>
      <c r="W448" s="80">
        <f t="shared" si="1338"/>
        <v>2218</v>
      </c>
      <c r="X448" s="80">
        <f t="shared" si="1338"/>
        <v>-614</v>
      </c>
      <c r="Z448" s="80">
        <v>20.0</v>
      </c>
      <c r="AA448" s="10">
        <v>44940.0</v>
      </c>
      <c r="AB448" s="80">
        <v>880.0</v>
      </c>
      <c r="AC448" s="80">
        <v>-2588.0</v>
      </c>
      <c r="AD448" s="80">
        <v>2218.0</v>
      </c>
      <c r="AE448" s="80">
        <v>-614.0</v>
      </c>
    </row>
    <row r="449">
      <c r="A449" s="28">
        <f>'SAMLET_alle regnskab'!B458</f>
        <v>8</v>
      </c>
      <c r="B449" s="80">
        <f>'SAMLET_alle regnskab'!A458</f>
        <v>21</v>
      </c>
      <c r="C449" s="28">
        <f>'SAMLET_alle regnskab'!U458</f>
        <v>-60</v>
      </c>
      <c r="D449" s="28">
        <f>'SAMLET_alle regnskab'!V458</f>
        <v>20</v>
      </c>
      <c r="E449" s="28">
        <f>'SAMLET_alle regnskab'!W458</f>
        <v>20</v>
      </c>
      <c r="F449" s="28">
        <f>'SAMLET_alle regnskab'!X458</f>
        <v>20</v>
      </c>
      <c r="H449" s="80">
        <f t="shared" si="7"/>
        <v>21</v>
      </c>
      <c r="I449" s="28">
        <f t="shared" ref="I449:L449" si="1339">I448+C449</f>
        <v>950</v>
      </c>
      <c r="J449" s="28">
        <f t="shared" si="1339"/>
        <v>-1562</v>
      </c>
      <c r="K449" s="28">
        <f t="shared" si="1339"/>
        <v>504</v>
      </c>
      <c r="L449" s="28">
        <f t="shared" si="1339"/>
        <v>108</v>
      </c>
      <c r="N449" s="80">
        <f t="shared" si="25"/>
        <v>21</v>
      </c>
      <c r="O449" s="28">
        <f t="shared" ref="O449:R449" si="1340">O448+I442</f>
        <v>150504</v>
      </c>
      <c r="P449" s="28">
        <f t="shared" si="1340"/>
        <v>-308936</v>
      </c>
      <c r="Q449" s="28">
        <f t="shared" si="1340"/>
        <v>99922</v>
      </c>
      <c r="R449" s="28">
        <f t="shared" si="1340"/>
        <v>58510</v>
      </c>
      <c r="T449" s="80">
        <v>21.0</v>
      </c>
      <c r="U449" s="80">
        <f t="shared" ref="U449:X449" si="1341">U448+C442</f>
        <v>816</v>
      </c>
      <c r="V449" s="80">
        <f t="shared" si="1341"/>
        <v>-2524</v>
      </c>
      <c r="W449" s="80">
        <f t="shared" si="1341"/>
        <v>2154</v>
      </c>
      <c r="X449" s="80">
        <f t="shared" si="1341"/>
        <v>-550</v>
      </c>
      <c r="Z449" s="80">
        <v>21.0</v>
      </c>
      <c r="AA449" s="10">
        <v>45085.0</v>
      </c>
      <c r="AB449" s="80">
        <v>816.0</v>
      </c>
      <c r="AC449" s="80">
        <v>-2524.0</v>
      </c>
      <c r="AD449" s="80">
        <v>2154.0</v>
      </c>
      <c r="AE449" s="80">
        <v>-550.0</v>
      </c>
    </row>
    <row r="450">
      <c r="A450" s="28">
        <f>'SAMLET_alle regnskab'!B459</f>
        <v>9</v>
      </c>
      <c r="B450" s="80">
        <f>'SAMLET_alle regnskab'!A459</f>
        <v>21</v>
      </c>
      <c r="C450" s="28">
        <f>'SAMLET_alle regnskab'!U459</f>
        <v>-24</v>
      </c>
      <c r="D450" s="28">
        <f>'SAMLET_alle regnskab'!V459</f>
        <v>-24</v>
      </c>
      <c r="E450" s="28">
        <f>'SAMLET_alle regnskab'!W459</f>
        <v>24</v>
      </c>
      <c r="F450" s="28">
        <f>'SAMLET_alle regnskab'!X459</f>
        <v>24</v>
      </c>
      <c r="H450" s="80">
        <f t="shared" si="7"/>
        <v>21</v>
      </c>
      <c r="I450" s="28">
        <f t="shared" ref="I450:L450" si="1342">I449+C450</f>
        <v>926</v>
      </c>
      <c r="J450" s="28">
        <f t="shared" si="1342"/>
        <v>-1586</v>
      </c>
      <c r="K450" s="28">
        <f t="shared" si="1342"/>
        <v>528</v>
      </c>
      <c r="L450" s="28">
        <f t="shared" si="1342"/>
        <v>132</v>
      </c>
      <c r="N450" s="80">
        <f t="shared" si="25"/>
        <v>21</v>
      </c>
      <c r="O450" s="28">
        <f t="shared" ref="O450:R450" si="1343">O449+I443</f>
        <v>151490</v>
      </c>
      <c r="P450" s="28">
        <f t="shared" si="1343"/>
        <v>-310510</v>
      </c>
      <c r="Q450" s="28">
        <f t="shared" si="1343"/>
        <v>100350</v>
      </c>
      <c r="R450" s="28">
        <f t="shared" si="1343"/>
        <v>58670</v>
      </c>
      <c r="T450" s="80">
        <v>21.0</v>
      </c>
      <c r="U450" s="80">
        <f t="shared" ref="U450:X450" si="1344">U449+C443</f>
        <v>828</v>
      </c>
      <c r="V450" s="80">
        <f t="shared" si="1344"/>
        <v>-2536</v>
      </c>
      <c r="W450" s="80">
        <f t="shared" si="1344"/>
        <v>2142</v>
      </c>
      <c r="X450" s="80">
        <f t="shared" si="1344"/>
        <v>-538</v>
      </c>
      <c r="Z450" s="80">
        <v>21.0</v>
      </c>
      <c r="AA450" s="10">
        <v>45085.0</v>
      </c>
      <c r="AB450" s="80">
        <v>828.0</v>
      </c>
      <c r="AC450" s="80">
        <v>-2536.0</v>
      </c>
      <c r="AD450" s="80">
        <v>2142.0</v>
      </c>
      <c r="AE450" s="80">
        <v>-538.0</v>
      </c>
    </row>
    <row r="451">
      <c r="A451" s="28">
        <f>'SAMLET_alle regnskab'!B460</f>
        <v>10</v>
      </c>
      <c r="B451" s="80">
        <f>'SAMLET_alle regnskab'!A460</f>
        <v>21</v>
      </c>
      <c r="C451" s="28">
        <f>'SAMLET_alle regnskab'!U460</f>
        <v>8</v>
      </c>
      <c r="D451" s="28">
        <f>'SAMLET_alle regnskab'!V460</f>
        <v>8</v>
      </c>
      <c r="E451" s="28">
        <f>'SAMLET_alle regnskab'!W460</f>
        <v>8</v>
      </c>
      <c r="F451" s="28">
        <f>'SAMLET_alle regnskab'!X460</f>
        <v>-24</v>
      </c>
      <c r="H451" s="80">
        <f t="shared" si="7"/>
        <v>21</v>
      </c>
      <c r="I451" s="28">
        <f t="shared" ref="I451:L451" si="1345">I450+C451</f>
        <v>934</v>
      </c>
      <c r="J451" s="28">
        <f t="shared" si="1345"/>
        <v>-1578</v>
      </c>
      <c r="K451" s="28">
        <f t="shared" si="1345"/>
        <v>536</v>
      </c>
      <c r="L451" s="28">
        <f t="shared" si="1345"/>
        <v>108</v>
      </c>
      <c r="N451" s="80">
        <f t="shared" si="25"/>
        <v>21</v>
      </c>
      <c r="O451" s="28">
        <f t="shared" ref="O451:R451" si="1346">O450+I444</f>
        <v>152460</v>
      </c>
      <c r="P451" s="28">
        <f t="shared" si="1346"/>
        <v>-312068</v>
      </c>
      <c r="Q451" s="28">
        <f t="shared" si="1346"/>
        <v>100794</v>
      </c>
      <c r="R451" s="28">
        <f t="shared" si="1346"/>
        <v>58814</v>
      </c>
      <c r="T451" s="80">
        <v>21.0</v>
      </c>
      <c r="U451" s="80">
        <f t="shared" ref="U451:X451" si="1347">U450+C444</f>
        <v>812</v>
      </c>
      <c r="V451" s="80">
        <f t="shared" si="1347"/>
        <v>-2520</v>
      </c>
      <c r="W451" s="80">
        <f t="shared" si="1347"/>
        <v>2158</v>
      </c>
      <c r="X451" s="80">
        <f t="shared" si="1347"/>
        <v>-554</v>
      </c>
      <c r="Z451" s="80">
        <v>21.0</v>
      </c>
      <c r="AA451" s="10">
        <v>45085.0</v>
      </c>
      <c r="AB451" s="80">
        <v>812.0</v>
      </c>
      <c r="AC451" s="80">
        <v>-2520.0</v>
      </c>
      <c r="AD451" s="80">
        <v>2158.0</v>
      </c>
      <c r="AE451" s="80">
        <v>-554.0</v>
      </c>
    </row>
    <row r="452">
      <c r="A452" s="28">
        <f>'SAMLET_alle regnskab'!B461</f>
        <v>11</v>
      </c>
      <c r="B452" s="80">
        <f>'SAMLET_alle regnskab'!A461</f>
        <v>21</v>
      </c>
      <c r="C452" s="28">
        <f>'SAMLET_alle regnskab'!U461</f>
        <v>8</v>
      </c>
      <c r="D452" s="28">
        <f>'SAMLET_alle regnskab'!V461</f>
        <v>-8</v>
      </c>
      <c r="E452" s="28">
        <f>'SAMLET_alle regnskab'!W461</f>
        <v>8</v>
      </c>
      <c r="F452" s="28">
        <f>'SAMLET_alle regnskab'!X461</f>
        <v>-8</v>
      </c>
      <c r="H452" s="80">
        <f t="shared" si="7"/>
        <v>21</v>
      </c>
      <c r="I452" s="28">
        <f t="shared" ref="I452:L452" si="1348">I451+C452</f>
        <v>942</v>
      </c>
      <c r="J452" s="28">
        <f t="shared" si="1348"/>
        <v>-1586</v>
      </c>
      <c r="K452" s="28">
        <f t="shared" si="1348"/>
        <v>544</v>
      </c>
      <c r="L452" s="28">
        <f t="shared" si="1348"/>
        <v>100</v>
      </c>
      <c r="N452" s="80">
        <f t="shared" si="25"/>
        <v>21</v>
      </c>
      <c r="O452" s="28">
        <f t="shared" ref="O452:R452" si="1349">O451+I445</f>
        <v>153462</v>
      </c>
      <c r="P452" s="28">
        <f t="shared" si="1349"/>
        <v>-313658</v>
      </c>
      <c r="Q452" s="28">
        <f t="shared" si="1349"/>
        <v>101270</v>
      </c>
      <c r="R452" s="28">
        <f t="shared" si="1349"/>
        <v>58926</v>
      </c>
      <c r="T452" s="80">
        <v>21.0</v>
      </c>
      <c r="U452" s="80">
        <f t="shared" ref="U452:X452" si="1350">U451+C445</f>
        <v>844</v>
      </c>
      <c r="V452" s="80">
        <f t="shared" si="1350"/>
        <v>-2552</v>
      </c>
      <c r="W452" s="80">
        <f t="shared" si="1350"/>
        <v>2190</v>
      </c>
      <c r="X452" s="80">
        <f t="shared" si="1350"/>
        <v>-586</v>
      </c>
      <c r="Z452" s="80">
        <v>21.0</v>
      </c>
      <c r="AA452" s="10">
        <v>45085.0</v>
      </c>
      <c r="AB452" s="80">
        <v>844.0</v>
      </c>
      <c r="AC452" s="80">
        <v>-2552.0</v>
      </c>
      <c r="AD452" s="80">
        <v>2190.0</v>
      </c>
      <c r="AE452" s="80">
        <v>-586.0</v>
      </c>
    </row>
    <row r="453">
      <c r="A453" s="28">
        <f>'SAMLET_alle regnskab'!B462</f>
        <v>12</v>
      </c>
      <c r="B453" s="80">
        <f>'SAMLET_alle regnskab'!A462</f>
        <v>21</v>
      </c>
      <c r="C453" s="28">
        <f>'SAMLET_alle regnskab'!U462</f>
        <v>48</v>
      </c>
      <c r="D453" s="28">
        <f>'SAMLET_alle regnskab'!V462</f>
        <v>-48</v>
      </c>
      <c r="E453" s="28">
        <f>'SAMLET_alle regnskab'!W462</f>
        <v>-48</v>
      </c>
      <c r="F453" s="28">
        <f>'SAMLET_alle regnskab'!X462</f>
        <v>48</v>
      </c>
      <c r="H453" s="80">
        <f t="shared" si="7"/>
        <v>21</v>
      </c>
      <c r="I453" s="28">
        <f t="shared" ref="I453:L453" si="1351">I452+C453</f>
        <v>990</v>
      </c>
      <c r="J453" s="28">
        <f t="shared" si="1351"/>
        <v>-1634</v>
      </c>
      <c r="K453" s="28">
        <f t="shared" si="1351"/>
        <v>496</v>
      </c>
      <c r="L453" s="28">
        <f t="shared" si="1351"/>
        <v>148</v>
      </c>
      <c r="N453" s="80">
        <f t="shared" si="25"/>
        <v>21</v>
      </c>
      <c r="O453" s="28">
        <f t="shared" ref="O453:R453" si="1352">O452+I446</f>
        <v>154472</v>
      </c>
      <c r="P453" s="28">
        <f t="shared" si="1352"/>
        <v>-315256</v>
      </c>
      <c r="Q453" s="28">
        <f t="shared" si="1352"/>
        <v>101754</v>
      </c>
      <c r="R453" s="28">
        <f t="shared" si="1352"/>
        <v>59030</v>
      </c>
      <c r="T453" s="80">
        <v>21.0</v>
      </c>
      <c r="U453" s="80">
        <f t="shared" ref="U453:X453" si="1353">U452+C446</f>
        <v>852</v>
      </c>
      <c r="V453" s="80">
        <f t="shared" si="1353"/>
        <v>-2560</v>
      </c>
      <c r="W453" s="80">
        <f t="shared" si="1353"/>
        <v>2198</v>
      </c>
      <c r="X453" s="80">
        <f t="shared" si="1353"/>
        <v>-594</v>
      </c>
      <c r="Z453" s="80">
        <v>21.0</v>
      </c>
      <c r="AA453" s="10">
        <v>45085.0</v>
      </c>
      <c r="AB453" s="80">
        <v>852.0</v>
      </c>
      <c r="AC453" s="80">
        <v>-2560.0</v>
      </c>
      <c r="AD453" s="80">
        <v>2198.0</v>
      </c>
      <c r="AE453" s="80">
        <v>-594.0</v>
      </c>
    </row>
    <row r="454">
      <c r="A454" s="28">
        <f>'SAMLET_alle regnskab'!B463</f>
        <v>13</v>
      </c>
      <c r="B454" s="80">
        <f>'SAMLET_alle regnskab'!A463</f>
        <v>21</v>
      </c>
      <c r="C454" s="28">
        <f>'SAMLET_alle regnskab'!U463</f>
        <v>4</v>
      </c>
      <c r="D454" s="28">
        <f>'SAMLET_alle regnskab'!V463</f>
        <v>-4</v>
      </c>
      <c r="E454" s="28">
        <f>'SAMLET_alle regnskab'!W463</f>
        <v>-4</v>
      </c>
      <c r="F454" s="28">
        <f>'SAMLET_alle regnskab'!X463</f>
        <v>4</v>
      </c>
      <c r="H454" s="80">
        <f t="shared" si="7"/>
        <v>21</v>
      </c>
      <c r="I454" s="28">
        <f t="shared" ref="I454:L454" si="1354">I453+C454</f>
        <v>994</v>
      </c>
      <c r="J454" s="28">
        <f t="shared" si="1354"/>
        <v>-1638</v>
      </c>
      <c r="K454" s="28">
        <f t="shared" si="1354"/>
        <v>492</v>
      </c>
      <c r="L454" s="28">
        <f t="shared" si="1354"/>
        <v>152</v>
      </c>
      <c r="N454" s="80">
        <f t="shared" si="25"/>
        <v>21</v>
      </c>
      <c r="O454" s="28">
        <f t="shared" ref="O454:R454" si="1355">O453+I447</f>
        <v>155490</v>
      </c>
      <c r="P454" s="28">
        <f t="shared" si="1355"/>
        <v>-316846</v>
      </c>
      <c r="Q454" s="28">
        <f t="shared" si="1355"/>
        <v>102246</v>
      </c>
      <c r="R454" s="28">
        <f t="shared" si="1355"/>
        <v>59110</v>
      </c>
      <c r="T454" s="80">
        <v>21.0</v>
      </c>
      <c r="U454" s="80">
        <f t="shared" ref="U454:X454" si="1356">U453+C447</f>
        <v>860</v>
      </c>
      <c r="V454" s="80">
        <f t="shared" si="1356"/>
        <v>-2552</v>
      </c>
      <c r="W454" s="80">
        <f t="shared" si="1356"/>
        <v>2206</v>
      </c>
      <c r="X454" s="80">
        <f t="shared" si="1356"/>
        <v>-618</v>
      </c>
      <c r="Z454" s="80">
        <v>21.0</v>
      </c>
      <c r="AA454" s="10">
        <v>45085.0</v>
      </c>
      <c r="AB454" s="80">
        <v>860.0</v>
      </c>
      <c r="AC454" s="80">
        <v>-2552.0</v>
      </c>
      <c r="AD454" s="80">
        <v>2206.0</v>
      </c>
      <c r="AE454" s="80">
        <v>-618.0</v>
      </c>
    </row>
    <row r="455">
      <c r="A455" s="28">
        <f>'SAMLET_alle regnskab'!B464</f>
        <v>14</v>
      </c>
      <c r="B455" s="80">
        <f>'SAMLET_alle regnskab'!A464</f>
        <v>21</v>
      </c>
      <c r="C455" s="28">
        <f>'SAMLET_alle regnskab'!U464</f>
        <v>-8</v>
      </c>
      <c r="D455" s="28">
        <f>'SAMLET_alle regnskab'!V464</f>
        <v>-8</v>
      </c>
      <c r="E455" s="28">
        <f>'SAMLET_alle regnskab'!W464</f>
        <v>24</v>
      </c>
      <c r="F455" s="28">
        <f>'SAMLET_alle regnskab'!X464</f>
        <v>-8</v>
      </c>
      <c r="H455" s="80">
        <f t="shared" si="7"/>
        <v>21</v>
      </c>
      <c r="I455" s="28">
        <f t="shared" ref="I455:L455" si="1357">I454+C455</f>
        <v>986</v>
      </c>
      <c r="J455" s="28">
        <f t="shared" si="1357"/>
        <v>-1646</v>
      </c>
      <c r="K455" s="28">
        <f t="shared" si="1357"/>
        <v>516</v>
      </c>
      <c r="L455" s="28">
        <f t="shared" si="1357"/>
        <v>144</v>
      </c>
      <c r="N455" s="80">
        <f t="shared" si="25"/>
        <v>21</v>
      </c>
      <c r="O455" s="28">
        <f t="shared" ref="O455:R455" si="1358">O454+I448</f>
        <v>156500</v>
      </c>
      <c r="P455" s="28">
        <f t="shared" si="1358"/>
        <v>-318428</v>
      </c>
      <c r="Q455" s="28">
        <f t="shared" si="1358"/>
        <v>102730</v>
      </c>
      <c r="R455" s="28">
        <f t="shared" si="1358"/>
        <v>59198</v>
      </c>
      <c r="T455" s="80">
        <v>21.0</v>
      </c>
      <c r="U455" s="80">
        <f t="shared" ref="U455:X455" si="1359">U454+C448</f>
        <v>852</v>
      </c>
      <c r="V455" s="80">
        <f t="shared" si="1359"/>
        <v>-2544</v>
      </c>
      <c r="W455" s="80">
        <f t="shared" si="1359"/>
        <v>2198</v>
      </c>
      <c r="X455" s="80">
        <f t="shared" si="1359"/>
        <v>-610</v>
      </c>
      <c r="Z455" s="80">
        <v>21.0</v>
      </c>
      <c r="AA455" s="10">
        <v>45085.0</v>
      </c>
      <c r="AB455" s="80">
        <v>852.0</v>
      </c>
      <c r="AC455" s="80">
        <v>-2544.0</v>
      </c>
      <c r="AD455" s="80">
        <v>2198.0</v>
      </c>
      <c r="AE455" s="80">
        <v>-610.0</v>
      </c>
    </row>
    <row r="456">
      <c r="A456" s="28">
        <f>'SAMLET_alle regnskab'!B465</f>
        <v>15</v>
      </c>
      <c r="B456" s="80">
        <f>'SAMLET_alle regnskab'!A465</f>
        <v>21</v>
      </c>
      <c r="C456" s="28">
        <f>'SAMLET_alle regnskab'!U465</f>
        <v>4</v>
      </c>
      <c r="D456" s="28">
        <f>'SAMLET_alle regnskab'!V465</f>
        <v>-12</v>
      </c>
      <c r="E456" s="28">
        <f>'SAMLET_alle regnskab'!W465</f>
        <v>4</v>
      </c>
      <c r="F456" s="28">
        <f>'SAMLET_alle regnskab'!X465</f>
        <v>4</v>
      </c>
      <c r="H456" s="80">
        <f t="shared" si="7"/>
        <v>21</v>
      </c>
      <c r="I456" s="28">
        <f t="shared" ref="I456:L456" si="1360">I455+C456</f>
        <v>990</v>
      </c>
      <c r="J456" s="28">
        <f t="shared" si="1360"/>
        <v>-1658</v>
      </c>
      <c r="K456" s="28">
        <f t="shared" si="1360"/>
        <v>520</v>
      </c>
      <c r="L456" s="28">
        <f t="shared" si="1360"/>
        <v>148</v>
      </c>
      <c r="N456" s="80">
        <f t="shared" si="25"/>
        <v>21</v>
      </c>
      <c r="O456" s="28">
        <f t="shared" ref="O456:R456" si="1361">O455+I449</f>
        <v>157450</v>
      </c>
      <c r="P456" s="28">
        <f t="shared" si="1361"/>
        <v>-319990</v>
      </c>
      <c r="Q456" s="28">
        <f t="shared" si="1361"/>
        <v>103234</v>
      </c>
      <c r="R456" s="28">
        <f t="shared" si="1361"/>
        <v>59306</v>
      </c>
      <c r="T456" s="80">
        <v>21.0</v>
      </c>
      <c r="U456" s="80">
        <f t="shared" ref="U456:X456" si="1362">U455+C449</f>
        <v>792</v>
      </c>
      <c r="V456" s="80">
        <f t="shared" si="1362"/>
        <v>-2524</v>
      </c>
      <c r="W456" s="80">
        <f t="shared" si="1362"/>
        <v>2218</v>
      </c>
      <c r="X456" s="80">
        <f t="shared" si="1362"/>
        <v>-590</v>
      </c>
      <c r="Z456" s="80">
        <v>21.0</v>
      </c>
      <c r="AA456" s="10">
        <v>45085.0</v>
      </c>
      <c r="AB456" s="80">
        <v>792.0</v>
      </c>
      <c r="AC456" s="80">
        <v>-2524.0</v>
      </c>
      <c r="AD456" s="80">
        <v>2218.0</v>
      </c>
      <c r="AE456" s="80">
        <v>-590.0</v>
      </c>
    </row>
    <row r="457">
      <c r="A457" s="28">
        <f>'SAMLET_alle regnskab'!B466</f>
        <v>16</v>
      </c>
      <c r="B457" s="80">
        <f>'SAMLET_alle regnskab'!A466</f>
        <v>21</v>
      </c>
      <c r="C457" s="28">
        <f>'SAMLET_alle regnskab'!U466</f>
        <v>-48</v>
      </c>
      <c r="D457" s="28">
        <f>'SAMLET_alle regnskab'!V466</f>
        <v>-48</v>
      </c>
      <c r="E457" s="28">
        <f>'SAMLET_alle regnskab'!W466</f>
        <v>48</v>
      </c>
      <c r="F457" s="28">
        <f>'SAMLET_alle regnskab'!X466</f>
        <v>48</v>
      </c>
      <c r="H457" s="80">
        <f t="shared" si="7"/>
        <v>21</v>
      </c>
      <c r="I457" s="28">
        <f t="shared" ref="I457:L457" si="1363">I456+C457</f>
        <v>942</v>
      </c>
      <c r="J457" s="28">
        <f t="shared" si="1363"/>
        <v>-1706</v>
      </c>
      <c r="K457" s="28">
        <f t="shared" si="1363"/>
        <v>568</v>
      </c>
      <c r="L457" s="28">
        <f t="shared" si="1363"/>
        <v>196</v>
      </c>
      <c r="N457" s="80">
        <f t="shared" si="25"/>
        <v>21</v>
      </c>
      <c r="O457" s="28">
        <f t="shared" ref="O457:R457" si="1364">O456+I450</f>
        <v>158376</v>
      </c>
      <c r="P457" s="28">
        <f t="shared" si="1364"/>
        <v>-321576</v>
      </c>
      <c r="Q457" s="28">
        <f t="shared" si="1364"/>
        <v>103762</v>
      </c>
      <c r="R457" s="28">
        <f t="shared" si="1364"/>
        <v>59438</v>
      </c>
      <c r="T457" s="80">
        <v>21.0</v>
      </c>
      <c r="U457" s="80">
        <f t="shared" ref="U457:X457" si="1365">U456+C450</f>
        <v>768</v>
      </c>
      <c r="V457" s="80">
        <f t="shared" si="1365"/>
        <v>-2548</v>
      </c>
      <c r="W457" s="80">
        <f t="shared" si="1365"/>
        <v>2242</v>
      </c>
      <c r="X457" s="80">
        <f t="shared" si="1365"/>
        <v>-566</v>
      </c>
      <c r="Z457" s="80">
        <v>21.0</v>
      </c>
      <c r="AA457" s="10">
        <v>45085.0</v>
      </c>
      <c r="AB457" s="80">
        <v>768.0</v>
      </c>
      <c r="AC457" s="80">
        <v>-2548.0</v>
      </c>
      <c r="AD457" s="80">
        <v>2242.0</v>
      </c>
      <c r="AE457" s="80">
        <v>-566.0</v>
      </c>
    </row>
    <row r="458">
      <c r="A458" s="28">
        <f>'SAMLET_alle regnskab'!B467</f>
        <v>17</v>
      </c>
      <c r="B458" s="80">
        <f>'SAMLET_alle regnskab'!A467</f>
        <v>21</v>
      </c>
      <c r="C458" s="28">
        <f>'SAMLET_alle regnskab'!U467</f>
        <v>-8</v>
      </c>
      <c r="D458" s="28">
        <f>'SAMLET_alle regnskab'!V467</f>
        <v>-8</v>
      </c>
      <c r="E458" s="28">
        <f>'SAMLET_alle regnskab'!W467</f>
        <v>8</v>
      </c>
      <c r="F458" s="28">
        <f>'SAMLET_alle regnskab'!X467</f>
        <v>8</v>
      </c>
      <c r="H458" s="80">
        <f t="shared" si="7"/>
        <v>21</v>
      </c>
      <c r="I458" s="28">
        <f t="shared" ref="I458:L458" si="1366">I457+C458</f>
        <v>934</v>
      </c>
      <c r="J458" s="28">
        <f t="shared" si="1366"/>
        <v>-1714</v>
      </c>
      <c r="K458" s="28">
        <f t="shared" si="1366"/>
        <v>576</v>
      </c>
      <c r="L458" s="28">
        <f t="shared" si="1366"/>
        <v>204</v>
      </c>
      <c r="N458" s="80">
        <f t="shared" si="25"/>
        <v>21</v>
      </c>
      <c r="O458" s="28">
        <f t="shared" ref="O458:R458" si="1367">O457+I451</f>
        <v>159310</v>
      </c>
      <c r="P458" s="28">
        <f t="shared" si="1367"/>
        <v>-323154</v>
      </c>
      <c r="Q458" s="28">
        <f t="shared" si="1367"/>
        <v>104298</v>
      </c>
      <c r="R458" s="28">
        <f t="shared" si="1367"/>
        <v>59546</v>
      </c>
      <c r="T458" s="80">
        <v>21.0</v>
      </c>
      <c r="U458" s="80">
        <f t="shared" ref="U458:X458" si="1368">U457+C451</f>
        <v>776</v>
      </c>
      <c r="V458" s="80">
        <f t="shared" si="1368"/>
        <v>-2540</v>
      </c>
      <c r="W458" s="80">
        <f t="shared" si="1368"/>
        <v>2250</v>
      </c>
      <c r="X458" s="80">
        <f t="shared" si="1368"/>
        <v>-590</v>
      </c>
      <c r="Z458" s="80">
        <v>21.0</v>
      </c>
      <c r="AA458" s="10">
        <v>45085.0</v>
      </c>
      <c r="AB458" s="80">
        <v>776.0</v>
      </c>
      <c r="AC458" s="80">
        <v>-2540.0</v>
      </c>
      <c r="AD458" s="80">
        <v>2250.0</v>
      </c>
      <c r="AE458" s="80">
        <v>-590.0</v>
      </c>
    </row>
    <row r="459">
      <c r="A459" s="28">
        <f>'SAMLET_alle regnskab'!B468</f>
        <v>18</v>
      </c>
      <c r="B459" s="80">
        <f>'SAMLET_alle regnskab'!A468</f>
        <v>21</v>
      </c>
      <c r="C459" s="28">
        <f>'SAMLET_alle regnskab'!U468</f>
        <v>8</v>
      </c>
      <c r="D459" s="28">
        <f>'SAMLET_alle regnskab'!V468</f>
        <v>-24</v>
      </c>
      <c r="E459" s="28">
        <f>'SAMLET_alle regnskab'!W468</f>
        <v>8</v>
      </c>
      <c r="F459" s="28">
        <f>'SAMLET_alle regnskab'!X468</f>
        <v>8</v>
      </c>
      <c r="H459" s="80">
        <f t="shared" si="7"/>
        <v>21</v>
      </c>
      <c r="I459" s="28">
        <f t="shared" ref="I459:L459" si="1369">I458+C459</f>
        <v>942</v>
      </c>
      <c r="J459" s="28">
        <f t="shared" si="1369"/>
        <v>-1738</v>
      </c>
      <c r="K459" s="28">
        <f t="shared" si="1369"/>
        <v>584</v>
      </c>
      <c r="L459" s="28">
        <f t="shared" si="1369"/>
        <v>212</v>
      </c>
      <c r="N459" s="80">
        <f t="shared" si="25"/>
        <v>21</v>
      </c>
      <c r="O459" s="28">
        <f t="shared" ref="O459:R459" si="1370">O458+I452</f>
        <v>160252</v>
      </c>
      <c r="P459" s="28">
        <f t="shared" si="1370"/>
        <v>-324740</v>
      </c>
      <c r="Q459" s="28">
        <f t="shared" si="1370"/>
        <v>104842</v>
      </c>
      <c r="R459" s="28">
        <f t="shared" si="1370"/>
        <v>59646</v>
      </c>
      <c r="T459" s="80">
        <v>21.0</v>
      </c>
      <c r="U459" s="80">
        <f t="shared" ref="U459:X459" si="1371">U458+C452</f>
        <v>784</v>
      </c>
      <c r="V459" s="80">
        <f t="shared" si="1371"/>
        <v>-2548</v>
      </c>
      <c r="W459" s="80">
        <f t="shared" si="1371"/>
        <v>2258</v>
      </c>
      <c r="X459" s="80">
        <f t="shared" si="1371"/>
        <v>-598</v>
      </c>
      <c r="Z459" s="80">
        <v>21.0</v>
      </c>
      <c r="AA459" s="10">
        <v>45085.0</v>
      </c>
      <c r="AB459" s="80">
        <v>784.0</v>
      </c>
      <c r="AC459" s="80">
        <v>-2548.0</v>
      </c>
      <c r="AD459" s="80">
        <v>2258.0</v>
      </c>
      <c r="AE459" s="80">
        <v>-598.0</v>
      </c>
    </row>
    <row r="460">
      <c r="A460" s="28">
        <f>'SAMLET_alle regnskab'!B469</f>
        <v>19</v>
      </c>
      <c r="B460" s="80">
        <f>'SAMLET_alle regnskab'!A469</f>
        <v>21</v>
      </c>
      <c r="C460" s="28">
        <f>'SAMLET_alle regnskab'!U469</f>
        <v>12</v>
      </c>
      <c r="D460" s="28">
        <f>'SAMLET_alle regnskab'!V469</f>
        <v>-12</v>
      </c>
      <c r="E460" s="28">
        <f>'SAMLET_alle regnskab'!W469</f>
        <v>-12</v>
      </c>
      <c r="F460" s="28">
        <f>'SAMLET_alle regnskab'!X469</f>
        <v>12</v>
      </c>
      <c r="H460" s="80">
        <f t="shared" si="7"/>
        <v>21</v>
      </c>
      <c r="I460" s="28">
        <f t="shared" ref="I460:L460" si="1372">I459+C460</f>
        <v>954</v>
      </c>
      <c r="J460" s="28">
        <f t="shared" si="1372"/>
        <v>-1750</v>
      </c>
      <c r="K460" s="28">
        <f t="shared" si="1372"/>
        <v>572</v>
      </c>
      <c r="L460" s="28">
        <f t="shared" si="1372"/>
        <v>224</v>
      </c>
      <c r="N460" s="80">
        <f t="shared" si="25"/>
        <v>21</v>
      </c>
      <c r="O460" s="28">
        <f t="shared" ref="O460:R460" si="1373">O459+I453</f>
        <v>161242</v>
      </c>
      <c r="P460" s="28">
        <f t="shared" si="1373"/>
        <v>-326374</v>
      </c>
      <c r="Q460" s="28">
        <f t="shared" si="1373"/>
        <v>105338</v>
      </c>
      <c r="R460" s="28">
        <f t="shared" si="1373"/>
        <v>59794</v>
      </c>
      <c r="T460" s="80">
        <v>21.0</v>
      </c>
      <c r="U460" s="80">
        <f t="shared" ref="U460:X460" si="1374">U459+C453</f>
        <v>832</v>
      </c>
      <c r="V460" s="80">
        <f t="shared" si="1374"/>
        <v>-2596</v>
      </c>
      <c r="W460" s="80">
        <f t="shared" si="1374"/>
        <v>2210</v>
      </c>
      <c r="X460" s="80">
        <f t="shared" si="1374"/>
        <v>-550</v>
      </c>
      <c r="Z460" s="80">
        <v>21.0</v>
      </c>
      <c r="AA460" s="10">
        <v>45085.0</v>
      </c>
      <c r="AB460" s="80">
        <v>832.0</v>
      </c>
      <c r="AC460" s="80">
        <v>-2596.0</v>
      </c>
      <c r="AD460" s="80">
        <v>2210.0</v>
      </c>
      <c r="AE460" s="80">
        <v>-550.0</v>
      </c>
    </row>
    <row r="461">
      <c r="A461" s="28">
        <f>'SAMLET_alle regnskab'!B470</f>
        <v>20</v>
      </c>
      <c r="B461" s="80">
        <f>'SAMLET_alle regnskab'!A470</f>
        <v>21</v>
      </c>
      <c r="C461" s="28">
        <f>'SAMLET_alle regnskab'!U470</f>
        <v>-4</v>
      </c>
      <c r="D461" s="28">
        <f>'SAMLET_alle regnskab'!V470</f>
        <v>-4</v>
      </c>
      <c r="E461" s="28">
        <f>'SAMLET_alle regnskab'!W470</f>
        <v>-4</v>
      </c>
      <c r="F461" s="28">
        <f>'SAMLET_alle regnskab'!X470</f>
        <v>12</v>
      </c>
      <c r="H461" s="80">
        <f t="shared" si="7"/>
        <v>21</v>
      </c>
      <c r="I461" s="28">
        <f t="shared" ref="I461:L461" si="1375">I460+C461</f>
        <v>950</v>
      </c>
      <c r="J461" s="28">
        <f t="shared" si="1375"/>
        <v>-1754</v>
      </c>
      <c r="K461" s="28">
        <f t="shared" si="1375"/>
        <v>568</v>
      </c>
      <c r="L461" s="28">
        <f t="shared" si="1375"/>
        <v>236</v>
      </c>
      <c r="N461" s="80">
        <f t="shared" si="25"/>
        <v>21</v>
      </c>
      <c r="O461" s="28">
        <f t="shared" ref="O461:R461" si="1376">O460+I454</f>
        <v>162236</v>
      </c>
      <c r="P461" s="28">
        <f t="shared" si="1376"/>
        <v>-328012</v>
      </c>
      <c r="Q461" s="28">
        <f t="shared" si="1376"/>
        <v>105830</v>
      </c>
      <c r="R461" s="28">
        <f t="shared" si="1376"/>
        <v>59946</v>
      </c>
      <c r="T461" s="80">
        <v>21.0</v>
      </c>
      <c r="U461" s="80">
        <f t="shared" ref="U461:X461" si="1377">U460+C454</f>
        <v>836</v>
      </c>
      <c r="V461" s="80">
        <f t="shared" si="1377"/>
        <v>-2600</v>
      </c>
      <c r="W461" s="80">
        <f t="shared" si="1377"/>
        <v>2206</v>
      </c>
      <c r="X461" s="80">
        <f t="shared" si="1377"/>
        <v>-546</v>
      </c>
      <c r="Z461" s="80">
        <v>21.0</v>
      </c>
      <c r="AA461" s="10">
        <v>45085.0</v>
      </c>
      <c r="AB461" s="80">
        <v>836.0</v>
      </c>
      <c r="AC461" s="80">
        <v>-2600.0</v>
      </c>
      <c r="AD461" s="80">
        <v>2206.0</v>
      </c>
      <c r="AE461" s="80">
        <v>-546.0</v>
      </c>
    </row>
    <row r="462">
      <c r="A462" s="28">
        <f>'SAMLET_alle regnskab'!B471</f>
        <v>21</v>
      </c>
      <c r="B462" s="80">
        <f>'SAMLET_alle regnskab'!A471</f>
        <v>21</v>
      </c>
      <c r="C462" s="28">
        <f>'SAMLET_alle regnskab'!U471</f>
        <v>-16</v>
      </c>
      <c r="D462" s="28">
        <f>'SAMLET_alle regnskab'!V471</f>
        <v>-16</v>
      </c>
      <c r="E462" s="28">
        <f>'SAMLET_alle regnskab'!W471</f>
        <v>48</v>
      </c>
      <c r="F462" s="28">
        <f>'SAMLET_alle regnskab'!X471</f>
        <v>-16</v>
      </c>
      <c r="H462" s="80">
        <f t="shared" si="7"/>
        <v>21</v>
      </c>
      <c r="I462" s="28">
        <f t="shared" ref="I462:L462" si="1378">I461+C462</f>
        <v>934</v>
      </c>
      <c r="J462" s="28">
        <f t="shared" si="1378"/>
        <v>-1770</v>
      </c>
      <c r="K462" s="28">
        <f t="shared" si="1378"/>
        <v>616</v>
      </c>
      <c r="L462" s="28">
        <f t="shared" si="1378"/>
        <v>220</v>
      </c>
      <c r="N462" s="80">
        <f t="shared" si="25"/>
        <v>21</v>
      </c>
      <c r="O462" s="28">
        <f t="shared" ref="O462:R462" si="1379">O461+I455</f>
        <v>163222</v>
      </c>
      <c r="P462" s="28">
        <f t="shared" si="1379"/>
        <v>-329658</v>
      </c>
      <c r="Q462" s="28">
        <f t="shared" si="1379"/>
        <v>106346</v>
      </c>
      <c r="R462" s="28">
        <f t="shared" si="1379"/>
        <v>60090</v>
      </c>
      <c r="T462" s="80">
        <v>21.0</v>
      </c>
      <c r="U462" s="80">
        <f t="shared" ref="U462:X462" si="1380">U461+C455</f>
        <v>828</v>
      </c>
      <c r="V462" s="80">
        <f t="shared" si="1380"/>
        <v>-2608</v>
      </c>
      <c r="W462" s="80">
        <f t="shared" si="1380"/>
        <v>2230</v>
      </c>
      <c r="X462" s="80">
        <f t="shared" si="1380"/>
        <v>-554</v>
      </c>
      <c r="Z462" s="80">
        <v>21.0</v>
      </c>
      <c r="AA462" s="10">
        <v>45085.0</v>
      </c>
      <c r="AB462" s="80">
        <v>828.0</v>
      </c>
      <c r="AC462" s="80">
        <v>-2608.0</v>
      </c>
      <c r="AD462" s="80">
        <v>2230.0</v>
      </c>
      <c r="AE462" s="80">
        <v>-554.0</v>
      </c>
    </row>
    <row r="463">
      <c r="A463" s="28">
        <f>'SAMLET_alle regnskab'!B472</f>
        <v>22</v>
      </c>
      <c r="B463" s="80">
        <f>'SAMLET_alle regnskab'!A472</f>
        <v>21</v>
      </c>
      <c r="C463" s="28">
        <f>'SAMLET_alle regnskab'!U472</f>
        <v>24</v>
      </c>
      <c r="D463" s="28">
        <f>'SAMLET_alle regnskab'!V472</f>
        <v>-24</v>
      </c>
      <c r="E463" s="28">
        <f>'SAMLET_alle regnskab'!W472</f>
        <v>-24</v>
      </c>
      <c r="F463" s="28">
        <f>'SAMLET_alle regnskab'!X472</f>
        <v>24</v>
      </c>
      <c r="H463" s="80">
        <f t="shared" si="7"/>
        <v>21</v>
      </c>
      <c r="I463" s="28">
        <f t="shared" ref="I463:L463" si="1381">I462+C463</f>
        <v>958</v>
      </c>
      <c r="J463" s="28">
        <f t="shared" si="1381"/>
        <v>-1794</v>
      </c>
      <c r="K463" s="28">
        <f t="shared" si="1381"/>
        <v>592</v>
      </c>
      <c r="L463" s="28">
        <f t="shared" si="1381"/>
        <v>244</v>
      </c>
      <c r="N463" s="80">
        <f t="shared" si="25"/>
        <v>21</v>
      </c>
      <c r="O463" s="28">
        <f t="shared" ref="O463:R463" si="1382">O462+I456</f>
        <v>164212</v>
      </c>
      <c r="P463" s="28">
        <f t="shared" si="1382"/>
        <v>-331316</v>
      </c>
      <c r="Q463" s="28">
        <f t="shared" si="1382"/>
        <v>106866</v>
      </c>
      <c r="R463" s="28">
        <f t="shared" si="1382"/>
        <v>60238</v>
      </c>
      <c r="T463" s="80">
        <v>21.0</v>
      </c>
      <c r="U463" s="80">
        <f t="shared" ref="U463:X463" si="1383">U462+C456</f>
        <v>832</v>
      </c>
      <c r="V463" s="80">
        <f t="shared" si="1383"/>
        <v>-2620</v>
      </c>
      <c r="W463" s="80">
        <f t="shared" si="1383"/>
        <v>2234</v>
      </c>
      <c r="X463" s="80">
        <f t="shared" si="1383"/>
        <v>-550</v>
      </c>
      <c r="Z463" s="80">
        <v>21.0</v>
      </c>
      <c r="AA463" s="10">
        <v>45085.0</v>
      </c>
      <c r="AB463" s="80">
        <v>832.0</v>
      </c>
      <c r="AC463" s="80">
        <v>-2620.0</v>
      </c>
      <c r="AD463" s="80">
        <v>2234.0</v>
      </c>
      <c r="AE463" s="80">
        <v>-550.0</v>
      </c>
    </row>
    <row r="464">
      <c r="A464" s="80">
        <f>'SAMLET_alle regnskab'!B473</f>
        <v>1</v>
      </c>
      <c r="B464" s="80">
        <f>'SAMLET_alle regnskab'!A473</f>
        <v>22</v>
      </c>
      <c r="C464" s="80">
        <f>'SAMLET_alle regnskab'!U473</f>
        <v>-4</v>
      </c>
      <c r="D464" s="80">
        <f>'SAMLET_alle regnskab'!V473</f>
        <v>-4</v>
      </c>
      <c r="E464" s="80">
        <f>'SAMLET_alle regnskab'!W473</f>
        <v>-4</v>
      </c>
      <c r="F464" s="80">
        <f>'SAMLET_alle regnskab'!X473</f>
        <v>12</v>
      </c>
      <c r="H464" s="80">
        <f t="shared" si="7"/>
        <v>22</v>
      </c>
      <c r="I464" s="80">
        <f t="shared" ref="I464:L464" si="1384">I463+C464</f>
        <v>954</v>
      </c>
      <c r="J464" s="80">
        <f t="shared" si="1384"/>
        <v>-1798</v>
      </c>
      <c r="K464" s="80">
        <f t="shared" si="1384"/>
        <v>588</v>
      </c>
      <c r="L464" s="80">
        <f t="shared" si="1384"/>
        <v>256</v>
      </c>
      <c r="N464" s="80">
        <f t="shared" si="25"/>
        <v>21</v>
      </c>
      <c r="O464" s="28">
        <f t="shared" ref="O464:R464" si="1385">O463+I457</f>
        <v>165154</v>
      </c>
      <c r="P464" s="28">
        <f t="shared" si="1385"/>
        <v>-333022</v>
      </c>
      <c r="Q464" s="28">
        <f t="shared" si="1385"/>
        <v>107434</v>
      </c>
      <c r="R464" s="28">
        <f t="shared" si="1385"/>
        <v>60434</v>
      </c>
      <c r="T464" s="80">
        <v>21.0</v>
      </c>
      <c r="U464" s="80">
        <f t="shared" ref="U464:X464" si="1386">U463+C457</f>
        <v>784</v>
      </c>
      <c r="V464" s="80">
        <f t="shared" si="1386"/>
        <v>-2668</v>
      </c>
      <c r="W464" s="80">
        <f t="shared" si="1386"/>
        <v>2282</v>
      </c>
      <c r="X464" s="80">
        <f t="shared" si="1386"/>
        <v>-502</v>
      </c>
      <c r="Z464" s="80">
        <v>21.0</v>
      </c>
      <c r="AA464" s="10">
        <v>45085.0</v>
      </c>
      <c r="AB464" s="80">
        <v>784.0</v>
      </c>
      <c r="AC464" s="80">
        <v>-2668.0</v>
      </c>
      <c r="AD464" s="80">
        <v>2282.0</v>
      </c>
      <c r="AE464" s="80">
        <v>-502.0</v>
      </c>
    </row>
    <row r="465">
      <c r="A465" s="80">
        <f>'SAMLET_alle regnskab'!B474</f>
        <v>2</v>
      </c>
      <c r="B465" s="80">
        <f>'SAMLET_alle regnskab'!A474</f>
        <v>22</v>
      </c>
      <c r="C465" s="80">
        <f>'SAMLET_alle regnskab'!U474</f>
        <v>12</v>
      </c>
      <c r="D465" s="80">
        <f>'SAMLET_alle regnskab'!V474</f>
        <v>-12</v>
      </c>
      <c r="E465" s="80">
        <f>'SAMLET_alle regnskab'!W474</f>
        <v>-12</v>
      </c>
      <c r="F465" s="80">
        <f>'SAMLET_alle regnskab'!X474</f>
        <v>12</v>
      </c>
      <c r="H465" s="80">
        <f t="shared" si="7"/>
        <v>22</v>
      </c>
      <c r="I465" s="80">
        <f t="shared" ref="I465:L465" si="1387">I464+C465</f>
        <v>966</v>
      </c>
      <c r="J465" s="80">
        <f t="shared" si="1387"/>
        <v>-1810</v>
      </c>
      <c r="K465" s="80">
        <f t="shared" si="1387"/>
        <v>576</v>
      </c>
      <c r="L465" s="80">
        <f t="shared" si="1387"/>
        <v>268</v>
      </c>
      <c r="N465" s="80">
        <f t="shared" si="25"/>
        <v>21</v>
      </c>
      <c r="O465" s="28">
        <f t="shared" ref="O465:R465" si="1388">O464+I458</f>
        <v>166088</v>
      </c>
      <c r="P465" s="28">
        <f t="shared" si="1388"/>
        <v>-334736</v>
      </c>
      <c r="Q465" s="28">
        <f t="shared" si="1388"/>
        <v>108010</v>
      </c>
      <c r="R465" s="28">
        <f t="shared" si="1388"/>
        <v>60638</v>
      </c>
      <c r="T465" s="80">
        <v>21.0</v>
      </c>
      <c r="U465" s="80">
        <f t="shared" ref="U465:X465" si="1389">U464+C458</f>
        <v>776</v>
      </c>
      <c r="V465" s="80">
        <f t="shared" si="1389"/>
        <v>-2676</v>
      </c>
      <c r="W465" s="80">
        <f t="shared" si="1389"/>
        <v>2290</v>
      </c>
      <c r="X465" s="80">
        <f t="shared" si="1389"/>
        <v>-494</v>
      </c>
      <c r="Z465" s="80">
        <v>21.0</v>
      </c>
      <c r="AA465" s="10">
        <v>45085.0</v>
      </c>
      <c r="AB465" s="80">
        <v>776.0</v>
      </c>
      <c r="AC465" s="80">
        <v>-2676.0</v>
      </c>
      <c r="AD465" s="80">
        <v>2290.0</v>
      </c>
      <c r="AE465" s="80">
        <v>-494.0</v>
      </c>
    </row>
    <row r="466">
      <c r="A466" s="80">
        <f>'SAMLET_alle regnskab'!B475</f>
        <v>3</v>
      </c>
      <c r="B466" s="80">
        <f>'SAMLET_alle regnskab'!A475</f>
        <v>22</v>
      </c>
      <c r="C466" s="80">
        <f>'SAMLET_alle regnskab'!U475</f>
        <v>12</v>
      </c>
      <c r="D466" s="80">
        <f>'SAMLET_alle regnskab'!V475</f>
        <v>-12</v>
      </c>
      <c r="E466" s="80">
        <f>'SAMLET_alle regnskab'!W475</f>
        <v>-12</v>
      </c>
      <c r="F466" s="80">
        <f>'SAMLET_alle regnskab'!X475</f>
        <v>12</v>
      </c>
      <c r="H466" s="80">
        <f t="shared" si="7"/>
        <v>22</v>
      </c>
      <c r="I466" s="80">
        <f t="shared" ref="I466:L466" si="1390">I465+C466</f>
        <v>978</v>
      </c>
      <c r="J466" s="80">
        <f t="shared" si="1390"/>
        <v>-1822</v>
      </c>
      <c r="K466" s="80">
        <f t="shared" si="1390"/>
        <v>564</v>
      </c>
      <c r="L466" s="80">
        <f t="shared" si="1390"/>
        <v>280</v>
      </c>
      <c r="N466" s="80">
        <f t="shared" si="25"/>
        <v>21</v>
      </c>
      <c r="O466" s="28">
        <f t="shared" ref="O466:R466" si="1391">O465+I459</f>
        <v>167030</v>
      </c>
      <c r="P466" s="28">
        <f t="shared" si="1391"/>
        <v>-336474</v>
      </c>
      <c r="Q466" s="28">
        <f t="shared" si="1391"/>
        <v>108594</v>
      </c>
      <c r="R466" s="28">
        <f t="shared" si="1391"/>
        <v>60850</v>
      </c>
      <c r="T466" s="80">
        <v>21.0</v>
      </c>
      <c r="U466" s="80">
        <f t="shared" ref="U466:X466" si="1392">U465+C459</f>
        <v>784</v>
      </c>
      <c r="V466" s="80">
        <f t="shared" si="1392"/>
        <v>-2700</v>
      </c>
      <c r="W466" s="80">
        <f t="shared" si="1392"/>
        <v>2298</v>
      </c>
      <c r="X466" s="80">
        <f t="shared" si="1392"/>
        <v>-486</v>
      </c>
      <c r="Z466" s="80">
        <v>21.0</v>
      </c>
      <c r="AA466" s="10">
        <v>45085.0</v>
      </c>
      <c r="AB466" s="80">
        <v>784.0</v>
      </c>
      <c r="AC466" s="80">
        <v>-2700.0</v>
      </c>
      <c r="AD466" s="80">
        <v>2298.0</v>
      </c>
      <c r="AE466" s="80">
        <v>-486.0</v>
      </c>
    </row>
    <row r="467">
      <c r="A467" s="80">
        <f>'SAMLET_alle regnskab'!B476</f>
        <v>4</v>
      </c>
      <c r="B467" s="80">
        <f>'SAMLET_alle regnskab'!A476</f>
        <v>22</v>
      </c>
      <c r="C467" s="80">
        <f>'SAMLET_alle regnskab'!U476</f>
        <v>-12</v>
      </c>
      <c r="D467" s="80">
        <f>'SAMLET_alle regnskab'!V476</f>
        <v>4</v>
      </c>
      <c r="E467" s="80">
        <f>'SAMLET_alle regnskab'!W476</f>
        <v>4</v>
      </c>
      <c r="F467" s="80">
        <f>'SAMLET_alle regnskab'!X476</f>
        <v>4</v>
      </c>
      <c r="H467" s="80">
        <f t="shared" si="7"/>
        <v>22</v>
      </c>
      <c r="I467" s="80">
        <f t="shared" ref="I467:L467" si="1393">I466+C467</f>
        <v>966</v>
      </c>
      <c r="J467" s="80">
        <f t="shared" si="1393"/>
        <v>-1818</v>
      </c>
      <c r="K467" s="80">
        <f t="shared" si="1393"/>
        <v>568</v>
      </c>
      <c r="L467" s="80">
        <f t="shared" si="1393"/>
        <v>284</v>
      </c>
      <c r="N467" s="80">
        <f t="shared" si="25"/>
        <v>21</v>
      </c>
      <c r="O467" s="28">
        <f t="shared" ref="O467:R467" si="1394">O466+I460</f>
        <v>167984</v>
      </c>
      <c r="P467" s="28">
        <f t="shared" si="1394"/>
        <v>-338224</v>
      </c>
      <c r="Q467" s="28">
        <f t="shared" si="1394"/>
        <v>109166</v>
      </c>
      <c r="R467" s="28">
        <f t="shared" si="1394"/>
        <v>61074</v>
      </c>
      <c r="T467" s="80">
        <v>21.0</v>
      </c>
      <c r="U467" s="80">
        <f t="shared" ref="U467:X467" si="1395">U466+C460</f>
        <v>796</v>
      </c>
      <c r="V467" s="80">
        <f t="shared" si="1395"/>
        <v>-2712</v>
      </c>
      <c r="W467" s="80">
        <f t="shared" si="1395"/>
        <v>2286</v>
      </c>
      <c r="X467" s="80">
        <f t="shared" si="1395"/>
        <v>-474</v>
      </c>
      <c r="Z467" s="80">
        <v>21.0</v>
      </c>
      <c r="AA467" s="10">
        <v>45085.0</v>
      </c>
      <c r="AB467" s="80">
        <v>796.0</v>
      </c>
      <c r="AC467" s="80">
        <v>-2712.0</v>
      </c>
      <c r="AD467" s="80">
        <v>2286.0</v>
      </c>
      <c r="AE467" s="80">
        <v>-474.0</v>
      </c>
    </row>
    <row r="468">
      <c r="A468" s="80">
        <f>'SAMLET_alle regnskab'!B477</f>
        <v>5</v>
      </c>
      <c r="B468" s="80">
        <f>'SAMLET_alle regnskab'!A477</f>
        <v>22</v>
      </c>
      <c r="C468" s="80">
        <f>'SAMLET_alle regnskab'!U477</f>
        <v>24</v>
      </c>
      <c r="D468" s="80">
        <f>'SAMLET_alle regnskab'!V477</f>
        <v>-8</v>
      </c>
      <c r="E468" s="80">
        <f>'SAMLET_alle regnskab'!W477</f>
        <v>-8</v>
      </c>
      <c r="F468" s="80">
        <f>'SAMLET_alle regnskab'!X477</f>
        <v>-8</v>
      </c>
      <c r="H468" s="80">
        <f t="shared" si="7"/>
        <v>22</v>
      </c>
      <c r="I468" s="80">
        <f t="shared" ref="I468:L468" si="1396">I467+C468</f>
        <v>990</v>
      </c>
      <c r="J468" s="80">
        <f t="shared" si="1396"/>
        <v>-1826</v>
      </c>
      <c r="K468" s="80">
        <f t="shared" si="1396"/>
        <v>560</v>
      </c>
      <c r="L468" s="80">
        <f t="shared" si="1396"/>
        <v>276</v>
      </c>
      <c r="N468" s="80">
        <f t="shared" si="25"/>
        <v>21</v>
      </c>
      <c r="O468" s="28">
        <f t="shared" ref="O468:R468" si="1397">O467+I461</f>
        <v>168934</v>
      </c>
      <c r="P468" s="28">
        <f t="shared" si="1397"/>
        <v>-339978</v>
      </c>
      <c r="Q468" s="28">
        <f t="shared" si="1397"/>
        <v>109734</v>
      </c>
      <c r="R468" s="28">
        <f t="shared" si="1397"/>
        <v>61310</v>
      </c>
      <c r="T468" s="80">
        <v>21.0</v>
      </c>
      <c r="U468" s="80">
        <f t="shared" ref="U468:X468" si="1398">U467+C461</f>
        <v>792</v>
      </c>
      <c r="V468" s="80">
        <f t="shared" si="1398"/>
        <v>-2716</v>
      </c>
      <c r="W468" s="80">
        <f t="shared" si="1398"/>
        <v>2282</v>
      </c>
      <c r="X468" s="80">
        <f t="shared" si="1398"/>
        <v>-462</v>
      </c>
      <c r="Z468" s="80">
        <v>21.0</v>
      </c>
      <c r="AA468" s="10">
        <v>45085.0</v>
      </c>
      <c r="AB468" s="80">
        <v>792.0</v>
      </c>
      <c r="AC468" s="80">
        <v>-2716.0</v>
      </c>
      <c r="AD468" s="80">
        <v>2282.0</v>
      </c>
      <c r="AE468" s="80">
        <v>-462.0</v>
      </c>
    </row>
    <row r="469">
      <c r="A469" s="80">
        <f>'SAMLET_alle regnskab'!B478</f>
        <v>6</v>
      </c>
      <c r="B469" s="80">
        <f>'SAMLET_alle regnskab'!A478</f>
        <v>22</v>
      </c>
      <c r="C469" s="80">
        <f>'SAMLET_alle regnskab'!U478</f>
        <v>-224</v>
      </c>
      <c r="D469" s="80">
        <f>'SAMLET_alle regnskab'!V478</f>
        <v>-224</v>
      </c>
      <c r="E469" s="80">
        <f>'SAMLET_alle regnskab'!W478</f>
        <v>224</v>
      </c>
      <c r="F469" s="80">
        <f>'SAMLET_alle regnskab'!X478</f>
        <v>224</v>
      </c>
      <c r="H469" s="80">
        <f t="shared" si="7"/>
        <v>22</v>
      </c>
      <c r="I469" s="80">
        <f t="shared" ref="I469:L469" si="1399">I468+C469</f>
        <v>766</v>
      </c>
      <c r="J469" s="80">
        <f t="shared" si="1399"/>
        <v>-2050</v>
      </c>
      <c r="K469" s="80">
        <f t="shared" si="1399"/>
        <v>784</v>
      </c>
      <c r="L469" s="80">
        <f t="shared" si="1399"/>
        <v>500</v>
      </c>
      <c r="N469" s="80">
        <f t="shared" si="25"/>
        <v>21</v>
      </c>
      <c r="O469" s="28">
        <f t="shared" ref="O469:R469" si="1400">O468+I462</f>
        <v>169868</v>
      </c>
      <c r="P469" s="28">
        <f t="shared" si="1400"/>
        <v>-341748</v>
      </c>
      <c r="Q469" s="28">
        <f t="shared" si="1400"/>
        <v>110350</v>
      </c>
      <c r="R469" s="28">
        <f t="shared" si="1400"/>
        <v>61530</v>
      </c>
      <c r="T469" s="80">
        <v>21.0</v>
      </c>
      <c r="U469" s="80">
        <f t="shared" ref="U469:X469" si="1401">U468+C462</f>
        <v>776</v>
      </c>
      <c r="V469" s="80">
        <f t="shared" si="1401"/>
        <v>-2732</v>
      </c>
      <c r="W469" s="80">
        <f t="shared" si="1401"/>
        <v>2330</v>
      </c>
      <c r="X469" s="80">
        <f t="shared" si="1401"/>
        <v>-478</v>
      </c>
      <c r="Z469" s="80">
        <v>21.0</v>
      </c>
      <c r="AA469" s="10">
        <v>45085.0</v>
      </c>
      <c r="AB469" s="80">
        <v>776.0</v>
      </c>
      <c r="AC469" s="80">
        <v>-2732.0</v>
      </c>
      <c r="AD469" s="80">
        <v>2330.0</v>
      </c>
      <c r="AE469" s="80">
        <v>-478.0</v>
      </c>
    </row>
    <row r="470">
      <c r="A470" s="80">
        <f>'SAMLET_alle regnskab'!B479</f>
        <v>7</v>
      </c>
      <c r="B470" s="80">
        <f>'SAMLET_alle regnskab'!A479</f>
        <v>22</v>
      </c>
      <c r="C470" s="80">
        <f>'SAMLET_alle regnskab'!U479</f>
        <v>-16</v>
      </c>
      <c r="D470" s="80">
        <f>'SAMLET_alle regnskab'!V479</f>
        <v>-16</v>
      </c>
      <c r="E470" s="80">
        <f>'SAMLET_alle regnskab'!W479</f>
        <v>16</v>
      </c>
      <c r="F470" s="80">
        <f>'SAMLET_alle regnskab'!X479</f>
        <v>16</v>
      </c>
      <c r="H470" s="80">
        <f t="shared" si="7"/>
        <v>22</v>
      </c>
      <c r="I470" s="80">
        <f t="shared" ref="I470:L470" si="1402">I469+C470</f>
        <v>750</v>
      </c>
      <c r="J470" s="80">
        <f t="shared" si="1402"/>
        <v>-2066</v>
      </c>
      <c r="K470" s="80">
        <f t="shared" si="1402"/>
        <v>800</v>
      </c>
      <c r="L470" s="80">
        <f t="shared" si="1402"/>
        <v>516</v>
      </c>
      <c r="N470" s="80">
        <f t="shared" si="25"/>
        <v>21</v>
      </c>
      <c r="O470" s="28">
        <f t="shared" ref="O470:R470" si="1403">O469+I463</f>
        <v>170826</v>
      </c>
      <c r="P470" s="28">
        <f t="shared" si="1403"/>
        <v>-343542</v>
      </c>
      <c r="Q470" s="28">
        <f t="shared" si="1403"/>
        <v>110942</v>
      </c>
      <c r="R470" s="28">
        <f t="shared" si="1403"/>
        <v>61774</v>
      </c>
      <c r="T470" s="80">
        <v>21.0</v>
      </c>
      <c r="U470" s="80">
        <f t="shared" ref="U470:X470" si="1404">U469+C463</f>
        <v>800</v>
      </c>
      <c r="V470" s="80">
        <f t="shared" si="1404"/>
        <v>-2756</v>
      </c>
      <c r="W470" s="80">
        <f t="shared" si="1404"/>
        <v>2306</v>
      </c>
      <c r="X470" s="80">
        <f t="shared" si="1404"/>
        <v>-454</v>
      </c>
      <c r="Z470" s="80">
        <v>21.0</v>
      </c>
      <c r="AA470" s="10">
        <v>45085.0</v>
      </c>
      <c r="AB470" s="80">
        <v>800.0</v>
      </c>
      <c r="AC470" s="80">
        <v>-2756.0</v>
      </c>
      <c r="AD470" s="80">
        <v>2306.0</v>
      </c>
      <c r="AE470" s="80">
        <v>-454.0</v>
      </c>
    </row>
    <row r="471">
      <c r="A471" s="80">
        <f>'SAMLET_alle regnskab'!B480</f>
        <v>8</v>
      </c>
      <c r="B471" s="80">
        <f>'SAMLET_alle regnskab'!A480</f>
        <v>22</v>
      </c>
      <c r="C471" s="80">
        <f>'SAMLET_alle regnskab'!U480</f>
        <v>16</v>
      </c>
      <c r="D471" s="80">
        <f>'SAMLET_alle regnskab'!V480</f>
        <v>16</v>
      </c>
      <c r="E471" s="80">
        <f>'SAMLET_alle regnskab'!W480</f>
        <v>-16</v>
      </c>
      <c r="F471" s="80">
        <f>'SAMLET_alle regnskab'!X480</f>
        <v>-16</v>
      </c>
      <c r="H471" s="80">
        <f t="shared" si="7"/>
        <v>22</v>
      </c>
      <c r="I471" s="80">
        <f t="shared" ref="I471:L471" si="1405">I470+C471</f>
        <v>766</v>
      </c>
      <c r="J471" s="80">
        <f t="shared" si="1405"/>
        <v>-2050</v>
      </c>
      <c r="K471" s="80">
        <f t="shared" si="1405"/>
        <v>784</v>
      </c>
      <c r="L471" s="80">
        <f t="shared" si="1405"/>
        <v>500</v>
      </c>
      <c r="N471" s="80">
        <f t="shared" si="25"/>
        <v>22</v>
      </c>
      <c r="O471" s="80">
        <f t="shared" ref="O471:R471" si="1406">O470+I464</f>
        <v>171780</v>
      </c>
      <c r="P471" s="80">
        <f t="shared" si="1406"/>
        <v>-345340</v>
      </c>
      <c r="Q471" s="80">
        <f t="shared" si="1406"/>
        <v>111530</v>
      </c>
      <c r="R471" s="80">
        <f t="shared" si="1406"/>
        <v>62030</v>
      </c>
      <c r="T471" s="80">
        <v>22.0</v>
      </c>
      <c r="U471" s="80">
        <f t="shared" ref="U471:X471" si="1407">U470+C464</f>
        <v>796</v>
      </c>
      <c r="V471" s="80">
        <f t="shared" si="1407"/>
        <v>-2760</v>
      </c>
      <c r="W471" s="80">
        <f t="shared" si="1407"/>
        <v>2302</v>
      </c>
      <c r="X471" s="80">
        <f t="shared" si="1407"/>
        <v>-442</v>
      </c>
      <c r="Z471" s="80">
        <v>22.0</v>
      </c>
      <c r="AA471" s="10">
        <v>45199.0</v>
      </c>
      <c r="AB471" s="80">
        <v>796.0</v>
      </c>
      <c r="AC471" s="80">
        <v>-2760.0</v>
      </c>
      <c r="AD471" s="80">
        <v>2302.0</v>
      </c>
      <c r="AE471" s="80">
        <v>-442.0</v>
      </c>
    </row>
    <row r="472">
      <c r="A472" s="80">
        <f>'SAMLET_alle regnskab'!B481</f>
        <v>9</v>
      </c>
      <c r="B472" s="80">
        <f>'SAMLET_alle regnskab'!A481</f>
        <v>22</v>
      </c>
      <c r="C472" s="80">
        <f>'SAMLET_alle regnskab'!U481</f>
        <v>0</v>
      </c>
      <c r="D472" s="80">
        <f>'SAMLET_alle regnskab'!V481</f>
        <v>0</v>
      </c>
      <c r="E472" s="80">
        <f>'SAMLET_alle regnskab'!W481</f>
        <v>0</v>
      </c>
      <c r="F472" s="80">
        <f>'SAMLET_alle regnskab'!X481</f>
        <v>0</v>
      </c>
      <c r="H472" s="80">
        <f t="shared" si="7"/>
        <v>22</v>
      </c>
      <c r="I472" s="80">
        <f t="shared" ref="I472:L472" si="1408">I471+C472</f>
        <v>766</v>
      </c>
      <c r="J472" s="80">
        <f t="shared" si="1408"/>
        <v>-2050</v>
      </c>
      <c r="K472" s="80">
        <f t="shared" si="1408"/>
        <v>784</v>
      </c>
      <c r="L472" s="80">
        <f t="shared" si="1408"/>
        <v>500</v>
      </c>
      <c r="N472" s="80">
        <f t="shared" si="25"/>
        <v>22</v>
      </c>
      <c r="O472" s="80">
        <f t="shared" ref="O472:R472" si="1409">O471+I465</f>
        <v>172746</v>
      </c>
      <c r="P472" s="80">
        <f t="shared" si="1409"/>
        <v>-347150</v>
      </c>
      <c r="Q472" s="80">
        <f t="shared" si="1409"/>
        <v>112106</v>
      </c>
      <c r="R472" s="80">
        <f t="shared" si="1409"/>
        <v>62298</v>
      </c>
      <c r="T472" s="80">
        <v>22.0</v>
      </c>
      <c r="U472" s="80">
        <f t="shared" ref="U472:X472" si="1410">U471+C465</f>
        <v>808</v>
      </c>
      <c r="V472" s="80">
        <f t="shared" si="1410"/>
        <v>-2772</v>
      </c>
      <c r="W472" s="80">
        <f t="shared" si="1410"/>
        <v>2290</v>
      </c>
      <c r="X472" s="80">
        <f t="shared" si="1410"/>
        <v>-430</v>
      </c>
      <c r="Z472" s="80">
        <v>22.0</v>
      </c>
      <c r="AA472" s="10">
        <v>45199.0</v>
      </c>
      <c r="AB472" s="80">
        <v>808.0</v>
      </c>
      <c r="AC472" s="80">
        <v>-2772.0</v>
      </c>
      <c r="AD472" s="80">
        <v>2290.0</v>
      </c>
      <c r="AE472" s="80">
        <v>-430.0</v>
      </c>
    </row>
    <row r="473">
      <c r="A473" s="80">
        <f>'SAMLET_alle regnskab'!B482</f>
        <v>10</v>
      </c>
      <c r="B473" s="80">
        <f>'SAMLET_alle regnskab'!A482</f>
        <v>22</v>
      </c>
      <c r="C473" s="80">
        <f>'SAMLET_alle regnskab'!U482</f>
        <v>6</v>
      </c>
      <c r="D473" s="80">
        <f>'SAMLET_alle regnskab'!V482</f>
        <v>-6</v>
      </c>
      <c r="E473" s="80">
        <f>'SAMLET_alle regnskab'!W482</f>
        <v>6</v>
      </c>
      <c r="F473" s="80">
        <f>'SAMLET_alle regnskab'!X482</f>
        <v>-6</v>
      </c>
      <c r="H473" s="80">
        <f t="shared" si="7"/>
        <v>22</v>
      </c>
      <c r="I473" s="80">
        <f t="shared" ref="I473:L473" si="1411">I472+C473</f>
        <v>772</v>
      </c>
      <c r="J473" s="80">
        <f t="shared" si="1411"/>
        <v>-2056</v>
      </c>
      <c r="K473" s="80">
        <f t="shared" si="1411"/>
        <v>790</v>
      </c>
      <c r="L473" s="80">
        <f t="shared" si="1411"/>
        <v>494</v>
      </c>
      <c r="N473" s="80">
        <f t="shared" si="25"/>
        <v>22</v>
      </c>
      <c r="O473" s="80">
        <f t="shared" ref="O473:R473" si="1412">O472+I466</f>
        <v>173724</v>
      </c>
      <c r="P473" s="80">
        <f t="shared" si="1412"/>
        <v>-348972</v>
      </c>
      <c r="Q473" s="80">
        <f t="shared" si="1412"/>
        <v>112670</v>
      </c>
      <c r="R473" s="80">
        <f t="shared" si="1412"/>
        <v>62578</v>
      </c>
      <c r="T473" s="80">
        <v>22.0</v>
      </c>
      <c r="U473" s="80">
        <f t="shared" ref="U473:X473" si="1413">U472+C466</f>
        <v>820</v>
      </c>
      <c r="V473" s="80">
        <f t="shared" si="1413"/>
        <v>-2784</v>
      </c>
      <c r="W473" s="80">
        <f t="shared" si="1413"/>
        <v>2278</v>
      </c>
      <c r="X473" s="80">
        <f t="shared" si="1413"/>
        <v>-418</v>
      </c>
      <c r="Z473" s="80">
        <v>22.0</v>
      </c>
      <c r="AA473" s="10">
        <v>45199.0</v>
      </c>
      <c r="AB473" s="80">
        <v>820.0</v>
      </c>
      <c r="AC473" s="80">
        <v>-2784.0</v>
      </c>
      <c r="AD473" s="80">
        <v>2278.0</v>
      </c>
      <c r="AE473" s="80">
        <v>-418.0</v>
      </c>
    </row>
    <row r="474">
      <c r="A474" s="80">
        <f>'SAMLET_alle regnskab'!B483</f>
        <v>11</v>
      </c>
      <c r="B474" s="80">
        <f>'SAMLET_alle regnskab'!A483</f>
        <v>22</v>
      </c>
      <c r="C474" s="80">
        <f>'SAMLET_alle regnskab'!U483</f>
        <v>-16</v>
      </c>
      <c r="D474" s="80">
        <f>'SAMLET_alle regnskab'!V483</f>
        <v>-16</v>
      </c>
      <c r="E474" s="80">
        <f>'SAMLET_alle regnskab'!W483</f>
        <v>48</v>
      </c>
      <c r="F474" s="80">
        <f>'SAMLET_alle regnskab'!X483</f>
        <v>-16</v>
      </c>
      <c r="H474" s="80">
        <f t="shared" si="7"/>
        <v>22</v>
      </c>
      <c r="I474" s="80">
        <f t="shared" ref="I474:L474" si="1414">I473+C474</f>
        <v>756</v>
      </c>
      <c r="J474" s="80">
        <f t="shared" si="1414"/>
        <v>-2072</v>
      </c>
      <c r="K474" s="80">
        <f t="shared" si="1414"/>
        <v>838</v>
      </c>
      <c r="L474" s="80">
        <f t="shared" si="1414"/>
        <v>478</v>
      </c>
      <c r="N474" s="80">
        <f t="shared" si="25"/>
        <v>22</v>
      </c>
      <c r="O474" s="80">
        <f t="shared" ref="O474:R474" si="1415">O473+I467</f>
        <v>174690</v>
      </c>
      <c r="P474" s="80">
        <f t="shared" si="1415"/>
        <v>-350790</v>
      </c>
      <c r="Q474" s="80">
        <f t="shared" si="1415"/>
        <v>113238</v>
      </c>
      <c r="R474" s="80">
        <f t="shared" si="1415"/>
        <v>62862</v>
      </c>
      <c r="T474" s="80">
        <v>22.0</v>
      </c>
      <c r="U474" s="80">
        <f t="shared" ref="U474:X474" si="1416">U473+C467</f>
        <v>808</v>
      </c>
      <c r="V474" s="80">
        <f t="shared" si="1416"/>
        <v>-2780</v>
      </c>
      <c r="W474" s="80">
        <f t="shared" si="1416"/>
        <v>2282</v>
      </c>
      <c r="X474" s="80">
        <f t="shared" si="1416"/>
        <v>-414</v>
      </c>
      <c r="Z474" s="80">
        <v>22.0</v>
      </c>
      <c r="AA474" s="10">
        <v>45199.0</v>
      </c>
      <c r="AB474" s="80">
        <v>808.0</v>
      </c>
      <c r="AC474" s="80">
        <v>-2780.0</v>
      </c>
      <c r="AD474" s="80">
        <v>2282.0</v>
      </c>
      <c r="AE474" s="80">
        <v>-414.0</v>
      </c>
    </row>
    <row r="475">
      <c r="A475" s="80">
        <f>'SAMLET_alle regnskab'!B484</f>
        <v>12</v>
      </c>
      <c r="B475" s="80">
        <f>'SAMLET_alle regnskab'!A484</f>
        <v>22</v>
      </c>
      <c r="C475" s="80">
        <f>'SAMLET_alle regnskab'!U484</f>
        <v>-4</v>
      </c>
      <c r="D475" s="80">
        <f>'SAMLET_alle regnskab'!V484</f>
        <v>-4</v>
      </c>
      <c r="E475" s="80">
        <f>'SAMLET_alle regnskab'!W484</f>
        <v>4</v>
      </c>
      <c r="F475" s="80">
        <f>'SAMLET_alle regnskab'!X484</f>
        <v>4</v>
      </c>
      <c r="H475" s="80">
        <f t="shared" si="7"/>
        <v>22</v>
      </c>
      <c r="I475" s="80">
        <f t="shared" ref="I475:L475" si="1417">I474+C475</f>
        <v>752</v>
      </c>
      <c r="J475" s="80">
        <f t="shared" si="1417"/>
        <v>-2076</v>
      </c>
      <c r="K475" s="80">
        <f t="shared" si="1417"/>
        <v>842</v>
      </c>
      <c r="L475" s="80">
        <f t="shared" si="1417"/>
        <v>482</v>
      </c>
      <c r="N475" s="80">
        <f t="shared" si="25"/>
        <v>22</v>
      </c>
      <c r="O475" s="80">
        <f t="shared" ref="O475:R475" si="1418">O474+I468</f>
        <v>175680</v>
      </c>
      <c r="P475" s="80">
        <f t="shared" si="1418"/>
        <v>-352616</v>
      </c>
      <c r="Q475" s="80">
        <f t="shared" si="1418"/>
        <v>113798</v>
      </c>
      <c r="R475" s="80">
        <f t="shared" si="1418"/>
        <v>63138</v>
      </c>
      <c r="T475" s="80">
        <v>22.0</v>
      </c>
      <c r="U475" s="80">
        <f t="shared" ref="U475:X475" si="1419">U474+C468</f>
        <v>832</v>
      </c>
      <c r="V475" s="80">
        <f t="shared" si="1419"/>
        <v>-2788</v>
      </c>
      <c r="W475" s="80">
        <f t="shared" si="1419"/>
        <v>2274</v>
      </c>
      <c r="X475" s="80">
        <f t="shared" si="1419"/>
        <v>-422</v>
      </c>
      <c r="Z475" s="80">
        <v>22.0</v>
      </c>
      <c r="AA475" s="10">
        <v>45199.0</v>
      </c>
      <c r="AB475" s="80">
        <v>832.0</v>
      </c>
      <c r="AC475" s="80">
        <v>-2788.0</v>
      </c>
      <c r="AD475" s="80">
        <v>2274.0</v>
      </c>
      <c r="AE475" s="80">
        <v>-422.0</v>
      </c>
    </row>
    <row r="476">
      <c r="A476" s="80">
        <f>'SAMLET_alle regnskab'!B485</f>
        <v>13</v>
      </c>
      <c r="B476" s="80">
        <f>'SAMLET_alle regnskab'!A485</f>
        <v>22</v>
      </c>
      <c r="C476" s="80">
        <f>'SAMLET_alle regnskab'!U485</f>
        <v>-8</v>
      </c>
      <c r="D476" s="80">
        <f>'SAMLET_alle regnskab'!V485</f>
        <v>8</v>
      </c>
      <c r="E476" s="80">
        <f>'SAMLET_alle regnskab'!W485</f>
        <v>-8</v>
      </c>
      <c r="F476" s="80">
        <f>'SAMLET_alle regnskab'!X485</f>
        <v>8</v>
      </c>
      <c r="H476" s="80">
        <f t="shared" si="7"/>
        <v>22</v>
      </c>
      <c r="I476" s="80">
        <f t="shared" ref="I476:L476" si="1420">I475+C476</f>
        <v>744</v>
      </c>
      <c r="J476" s="80">
        <f t="shared" si="1420"/>
        <v>-2068</v>
      </c>
      <c r="K476" s="80">
        <f t="shared" si="1420"/>
        <v>834</v>
      </c>
      <c r="L476" s="80">
        <f t="shared" si="1420"/>
        <v>490</v>
      </c>
      <c r="N476" s="80">
        <f t="shared" si="25"/>
        <v>22</v>
      </c>
      <c r="O476" s="80">
        <f t="shared" ref="O476:R476" si="1421">O475+I469</f>
        <v>176446</v>
      </c>
      <c r="P476" s="80">
        <f t="shared" si="1421"/>
        <v>-354666</v>
      </c>
      <c r="Q476" s="80">
        <f t="shared" si="1421"/>
        <v>114582</v>
      </c>
      <c r="R476" s="80">
        <f t="shared" si="1421"/>
        <v>63638</v>
      </c>
      <c r="T476" s="80">
        <v>22.0</v>
      </c>
      <c r="U476" s="80">
        <f t="shared" ref="U476:X476" si="1422">U475+C469</f>
        <v>608</v>
      </c>
      <c r="V476" s="80">
        <f t="shared" si="1422"/>
        <v>-3012</v>
      </c>
      <c r="W476" s="80">
        <f t="shared" si="1422"/>
        <v>2498</v>
      </c>
      <c r="X476" s="80">
        <f t="shared" si="1422"/>
        <v>-198</v>
      </c>
      <c r="Z476" s="80">
        <v>22.0</v>
      </c>
      <c r="AA476" s="10">
        <v>45199.0</v>
      </c>
      <c r="AB476" s="80">
        <v>608.0</v>
      </c>
      <c r="AC476" s="80">
        <v>-3012.0</v>
      </c>
      <c r="AD476" s="80">
        <v>2498.0</v>
      </c>
      <c r="AE476" s="80">
        <v>-198.0</v>
      </c>
    </row>
    <row r="477">
      <c r="A477" s="80">
        <f>'SAMLET_alle regnskab'!B486</f>
        <v>14</v>
      </c>
      <c r="B477" s="80">
        <f>'SAMLET_alle regnskab'!A486</f>
        <v>22</v>
      </c>
      <c r="C477" s="80">
        <f>'SAMLET_alle regnskab'!U486</f>
        <v>8</v>
      </c>
      <c r="D477" s="80">
        <f>'SAMLET_alle regnskab'!V486</f>
        <v>8</v>
      </c>
      <c r="E477" s="80">
        <f>'SAMLET_alle regnskab'!W486</f>
        <v>-24</v>
      </c>
      <c r="F477" s="80">
        <f>'SAMLET_alle regnskab'!X486</f>
        <v>8</v>
      </c>
      <c r="H477" s="80">
        <f t="shared" si="7"/>
        <v>22</v>
      </c>
      <c r="I477" s="80">
        <f t="shared" ref="I477:L477" si="1423">I476+C477</f>
        <v>752</v>
      </c>
      <c r="J477" s="80">
        <f t="shared" si="1423"/>
        <v>-2060</v>
      </c>
      <c r="K477" s="80">
        <f t="shared" si="1423"/>
        <v>810</v>
      </c>
      <c r="L477" s="80">
        <f t="shared" si="1423"/>
        <v>498</v>
      </c>
      <c r="N477" s="80">
        <f t="shared" si="25"/>
        <v>22</v>
      </c>
      <c r="O477" s="80">
        <f t="shared" ref="O477:R477" si="1424">O476+I470</f>
        <v>177196</v>
      </c>
      <c r="P477" s="80">
        <f t="shared" si="1424"/>
        <v>-356732</v>
      </c>
      <c r="Q477" s="80">
        <f t="shared" si="1424"/>
        <v>115382</v>
      </c>
      <c r="R477" s="80">
        <f t="shared" si="1424"/>
        <v>64154</v>
      </c>
      <c r="T477" s="80">
        <v>22.0</v>
      </c>
      <c r="U477" s="80">
        <f t="shared" ref="U477:X477" si="1425">U476+C470</f>
        <v>592</v>
      </c>
      <c r="V477" s="80">
        <f t="shared" si="1425"/>
        <v>-3028</v>
      </c>
      <c r="W477" s="80">
        <f t="shared" si="1425"/>
        <v>2514</v>
      </c>
      <c r="X477" s="80">
        <f t="shared" si="1425"/>
        <v>-182</v>
      </c>
      <c r="Z477" s="80">
        <v>22.0</v>
      </c>
      <c r="AA477" s="10">
        <v>45199.0</v>
      </c>
      <c r="AB477" s="80">
        <v>592.0</v>
      </c>
      <c r="AC477" s="80">
        <v>-3028.0</v>
      </c>
      <c r="AD477" s="80">
        <v>2514.0</v>
      </c>
      <c r="AE477" s="80">
        <v>-182.0</v>
      </c>
    </row>
    <row r="478">
      <c r="A478" s="80">
        <f>'SAMLET_alle regnskab'!B487</f>
        <v>15</v>
      </c>
      <c r="B478" s="80">
        <f>'SAMLET_alle regnskab'!A487</f>
        <v>22</v>
      </c>
      <c r="C478" s="80">
        <f>'SAMLET_alle regnskab'!U487</f>
        <v>-8</v>
      </c>
      <c r="D478" s="80">
        <f>'SAMLET_alle regnskab'!V487</f>
        <v>24</v>
      </c>
      <c r="E478" s="80">
        <f>'SAMLET_alle regnskab'!W487</f>
        <v>-8</v>
      </c>
      <c r="F478" s="80">
        <f>'SAMLET_alle regnskab'!X487</f>
        <v>-8</v>
      </c>
      <c r="H478" s="80">
        <f t="shared" si="7"/>
        <v>22</v>
      </c>
      <c r="I478" s="80">
        <f t="shared" ref="I478:L478" si="1426">I477+C478</f>
        <v>744</v>
      </c>
      <c r="J478" s="80">
        <f t="shared" si="1426"/>
        <v>-2036</v>
      </c>
      <c r="K478" s="80">
        <f t="shared" si="1426"/>
        <v>802</v>
      </c>
      <c r="L478" s="80">
        <f t="shared" si="1426"/>
        <v>490</v>
      </c>
      <c r="N478" s="80">
        <f t="shared" si="25"/>
        <v>22</v>
      </c>
      <c r="O478" s="80">
        <f t="shared" ref="O478:R478" si="1427">O477+I471</f>
        <v>177962</v>
      </c>
      <c r="P478" s="80">
        <f t="shared" si="1427"/>
        <v>-358782</v>
      </c>
      <c r="Q478" s="80">
        <f t="shared" si="1427"/>
        <v>116166</v>
      </c>
      <c r="R478" s="80">
        <f t="shared" si="1427"/>
        <v>64654</v>
      </c>
      <c r="T478" s="80">
        <v>22.0</v>
      </c>
      <c r="U478" s="80">
        <f t="shared" ref="U478:X478" si="1428">U477+C471</f>
        <v>608</v>
      </c>
      <c r="V478" s="80">
        <f t="shared" si="1428"/>
        <v>-3012</v>
      </c>
      <c r="W478" s="80">
        <f t="shared" si="1428"/>
        <v>2498</v>
      </c>
      <c r="X478" s="80">
        <f t="shared" si="1428"/>
        <v>-198</v>
      </c>
      <c r="Z478" s="80">
        <v>22.0</v>
      </c>
      <c r="AA478" s="10">
        <v>45199.0</v>
      </c>
      <c r="AB478" s="80">
        <v>608.0</v>
      </c>
      <c r="AC478" s="80">
        <v>-3012.0</v>
      </c>
      <c r="AD478" s="80">
        <v>2498.0</v>
      </c>
      <c r="AE478" s="80">
        <v>-198.0</v>
      </c>
    </row>
    <row r="479">
      <c r="A479" s="80">
        <f>'SAMLET_alle regnskab'!B488</f>
        <v>16</v>
      </c>
      <c r="B479" s="80">
        <f>'SAMLET_alle regnskab'!A488</f>
        <v>22</v>
      </c>
      <c r="C479" s="80">
        <f>'SAMLET_alle regnskab'!U488</f>
        <v>12</v>
      </c>
      <c r="D479" s="80">
        <f>'SAMLET_alle regnskab'!V488</f>
        <v>12</v>
      </c>
      <c r="E479" s="80">
        <f>'SAMLET_alle regnskab'!W488</f>
        <v>12</v>
      </c>
      <c r="F479" s="80">
        <f>'SAMLET_alle regnskab'!X488</f>
        <v>-36</v>
      </c>
      <c r="H479" s="80">
        <f t="shared" si="7"/>
        <v>22</v>
      </c>
      <c r="I479" s="80">
        <f t="shared" ref="I479:L479" si="1429">I478+C479</f>
        <v>756</v>
      </c>
      <c r="J479" s="80">
        <f t="shared" si="1429"/>
        <v>-2024</v>
      </c>
      <c r="K479" s="80">
        <f t="shared" si="1429"/>
        <v>814</v>
      </c>
      <c r="L479" s="80">
        <f t="shared" si="1429"/>
        <v>454</v>
      </c>
      <c r="N479" s="80">
        <f t="shared" si="25"/>
        <v>22</v>
      </c>
      <c r="O479" s="80">
        <f t="shared" ref="O479:R479" si="1430">O478+I472</f>
        <v>178728</v>
      </c>
      <c r="P479" s="80">
        <f t="shared" si="1430"/>
        <v>-360832</v>
      </c>
      <c r="Q479" s="80">
        <f t="shared" si="1430"/>
        <v>116950</v>
      </c>
      <c r="R479" s="80">
        <f t="shared" si="1430"/>
        <v>65154</v>
      </c>
      <c r="T479" s="80">
        <v>22.0</v>
      </c>
      <c r="U479" s="80">
        <f t="shared" ref="U479:X479" si="1431">U478+C472</f>
        <v>608</v>
      </c>
      <c r="V479" s="80">
        <f t="shared" si="1431"/>
        <v>-3012</v>
      </c>
      <c r="W479" s="80">
        <f t="shared" si="1431"/>
        <v>2498</v>
      </c>
      <c r="X479" s="80">
        <f t="shared" si="1431"/>
        <v>-198</v>
      </c>
      <c r="Z479" s="80">
        <v>22.0</v>
      </c>
      <c r="AA479" s="10">
        <v>45199.0</v>
      </c>
      <c r="AB479" s="80">
        <v>608.0</v>
      </c>
      <c r="AC479" s="80">
        <v>-3012.0</v>
      </c>
      <c r="AD479" s="80">
        <v>2498.0</v>
      </c>
      <c r="AE479" s="80">
        <v>-198.0</v>
      </c>
    </row>
    <row r="480">
      <c r="A480" s="80">
        <f>'SAMLET_alle regnskab'!B489</f>
        <v>17</v>
      </c>
      <c r="B480" s="80">
        <f>'SAMLET_alle regnskab'!A489</f>
        <v>22</v>
      </c>
      <c r="C480" s="80">
        <f>'SAMLET_alle regnskab'!U489</f>
        <v>24</v>
      </c>
      <c r="D480" s="80">
        <f>'SAMLET_alle regnskab'!V489</f>
        <v>-8</v>
      </c>
      <c r="E480" s="80">
        <f>'SAMLET_alle regnskab'!W489</f>
        <v>-8</v>
      </c>
      <c r="F480" s="80">
        <f>'SAMLET_alle regnskab'!X489</f>
        <v>-8</v>
      </c>
      <c r="H480" s="80">
        <f t="shared" si="7"/>
        <v>22</v>
      </c>
      <c r="I480" s="80">
        <f t="shared" ref="I480:L480" si="1432">I479+C480</f>
        <v>780</v>
      </c>
      <c r="J480" s="80">
        <f t="shared" si="1432"/>
        <v>-2032</v>
      </c>
      <c r="K480" s="80">
        <f t="shared" si="1432"/>
        <v>806</v>
      </c>
      <c r="L480" s="80">
        <f t="shared" si="1432"/>
        <v>446</v>
      </c>
      <c r="N480" s="80">
        <f t="shared" si="25"/>
        <v>22</v>
      </c>
      <c r="O480" s="80">
        <f t="shared" ref="O480:R480" si="1433">O479+I473</f>
        <v>179500</v>
      </c>
      <c r="P480" s="80">
        <f t="shared" si="1433"/>
        <v>-362888</v>
      </c>
      <c r="Q480" s="80">
        <f t="shared" si="1433"/>
        <v>117740</v>
      </c>
      <c r="R480" s="80">
        <f t="shared" si="1433"/>
        <v>65648</v>
      </c>
      <c r="T480" s="80">
        <v>22.0</v>
      </c>
      <c r="U480" s="80">
        <f t="shared" ref="U480:X480" si="1434">U479+C473</f>
        <v>614</v>
      </c>
      <c r="V480" s="80">
        <f t="shared" si="1434"/>
        <v>-3018</v>
      </c>
      <c r="W480" s="80">
        <f t="shared" si="1434"/>
        <v>2504</v>
      </c>
      <c r="X480" s="80">
        <f t="shared" si="1434"/>
        <v>-204</v>
      </c>
      <c r="Z480" s="80">
        <v>22.0</v>
      </c>
      <c r="AA480" s="10">
        <v>45199.0</v>
      </c>
      <c r="AB480" s="80">
        <v>614.0</v>
      </c>
      <c r="AC480" s="80">
        <v>-3018.0</v>
      </c>
      <c r="AD480" s="80">
        <v>2504.0</v>
      </c>
      <c r="AE480" s="80">
        <v>-204.0</v>
      </c>
    </row>
    <row r="481">
      <c r="A481" s="80">
        <f>'SAMLET_alle regnskab'!B490</f>
        <v>18</v>
      </c>
      <c r="B481" s="80">
        <f>'SAMLET_alle regnskab'!A490</f>
        <v>22</v>
      </c>
      <c r="C481" s="80">
        <f>'SAMLET_alle regnskab'!U490</f>
        <v>-96</v>
      </c>
      <c r="D481" s="80">
        <f>'SAMLET_alle regnskab'!V490</f>
        <v>32</v>
      </c>
      <c r="E481" s="80">
        <f>'SAMLET_alle regnskab'!W490</f>
        <v>32</v>
      </c>
      <c r="F481" s="80">
        <f>'SAMLET_alle regnskab'!X490</f>
        <v>32</v>
      </c>
      <c r="H481" s="80">
        <f t="shared" si="7"/>
        <v>22</v>
      </c>
      <c r="I481" s="80">
        <f t="shared" ref="I481:L481" si="1435">I480+C481</f>
        <v>684</v>
      </c>
      <c r="J481" s="80">
        <f t="shared" si="1435"/>
        <v>-2000</v>
      </c>
      <c r="K481" s="80">
        <f t="shared" si="1435"/>
        <v>838</v>
      </c>
      <c r="L481" s="80">
        <f t="shared" si="1435"/>
        <v>478</v>
      </c>
      <c r="N481" s="80">
        <f t="shared" si="25"/>
        <v>22</v>
      </c>
      <c r="O481" s="80">
        <f t="shared" ref="O481:R481" si="1436">O480+I474</f>
        <v>180256</v>
      </c>
      <c r="P481" s="80">
        <f t="shared" si="1436"/>
        <v>-364960</v>
      </c>
      <c r="Q481" s="80">
        <f t="shared" si="1436"/>
        <v>118578</v>
      </c>
      <c r="R481" s="80">
        <f t="shared" si="1436"/>
        <v>66126</v>
      </c>
      <c r="T481" s="80">
        <v>22.0</v>
      </c>
      <c r="U481" s="80">
        <f t="shared" ref="U481:X481" si="1437">U480+C474</f>
        <v>598</v>
      </c>
      <c r="V481" s="80">
        <f t="shared" si="1437"/>
        <v>-3034</v>
      </c>
      <c r="W481" s="80">
        <f t="shared" si="1437"/>
        <v>2552</v>
      </c>
      <c r="X481" s="80">
        <f t="shared" si="1437"/>
        <v>-220</v>
      </c>
      <c r="Z481" s="80">
        <v>22.0</v>
      </c>
      <c r="AA481" s="10">
        <v>45199.0</v>
      </c>
      <c r="AB481" s="80">
        <v>598.0</v>
      </c>
      <c r="AC481" s="80">
        <v>-3034.0</v>
      </c>
      <c r="AD481" s="80">
        <v>2552.0</v>
      </c>
      <c r="AE481" s="80">
        <v>-220.0</v>
      </c>
    </row>
    <row r="482">
      <c r="A482" s="80">
        <f>'SAMLET_alle regnskab'!B491</f>
        <v>19</v>
      </c>
      <c r="B482" s="80">
        <f>'SAMLET_alle regnskab'!A491</f>
        <v>22</v>
      </c>
      <c r="C482" s="80">
        <f>'SAMLET_alle regnskab'!U491</f>
        <v>-16</v>
      </c>
      <c r="D482" s="80">
        <f>'SAMLET_alle regnskab'!V491</f>
        <v>-16</v>
      </c>
      <c r="E482" s="80">
        <f>'SAMLET_alle regnskab'!W491</f>
        <v>16</v>
      </c>
      <c r="F482" s="80">
        <f>'SAMLET_alle regnskab'!X491</f>
        <v>16</v>
      </c>
      <c r="H482" s="80">
        <f t="shared" si="7"/>
        <v>22</v>
      </c>
      <c r="I482" s="80">
        <f t="shared" ref="I482:L482" si="1438">I481+C482</f>
        <v>668</v>
      </c>
      <c r="J482" s="80">
        <f t="shared" si="1438"/>
        <v>-2016</v>
      </c>
      <c r="K482" s="80">
        <f t="shared" si="1438"/>
        <v>854</v>
      </c>
      <c r="L482" s="80">
        <f t="shared" si="1438"/>
        <v>494</v>
      </c>
      <c r="N482" s="80">
        <f t="shared" si="25"/>
        <v>22</v>
      </c>
      <c r="O482" s="80">
        <f t="shared" ref="O482:R482" si="1439">O481+I475</f>
        <v>181008</v>
      </c>
      <c r="P482" s="80">
        <f t="shared" si="1439"/>
        <v>-367036</v>
      </c>
      <c r="Q482" s="80">
        <f t="shared" si="1439"/>
        <v>119420</v>
      </c>
      <c r="R482" s="80">
        <f t="shared" si="1439"/>
        <v>66608</v>
      </c>
      <c r="T482" s="80">
        <v>22.0</v>
      </c>
      <c r="U482" s="80">
        <f t="shared" ref="U482:X482" si="1440">U481+C475</f>
        <v>594</v>
      </c>
      <c r="V482" s="80">
        <f t="shared" si="1440"/>
        <v>-3038</v>
      </c>
      <c r="W482" s="80">
        <f t="shared" si="1440"/>
        <v>2556</v>
      </c>
      <c r="X482" s="80">
        <f t="shared" si="1440"/>
        <v>-216</v>
      </c>
      <c r="Z482" s="80">
        <v>22.0</v>
      </c>
      <c r="AA482" s="10">
        <v>45199.0</v>
      </c>
      <c r="AB482" s="80">
        <v>594.0</v>
      </c>
      <c r="AC482" s="80">
        <v>-3038.0</v>
      </c>
      <c r="AD482" s="80">
        <v>2556.0</v>
      </c>
      <c r="AE482" s="80">
        <v>-216.0</v>
      </c>
    </row>
    <row r="483">
      <c r="A483" s="80">
        <f>'SAMLET_alle regnskab'!B492</f>
        <v>20</v>
      </c>
      <c r="B483" s="80">
        <f>'SAMLET_alle regnskab'!A492</f>
        <v>22</v>
      </c>
      <c r="C483" s="80">
        <f>'SAMLET_alle regnskab'!U492</f>
        <v>48</v>
      </c>
      <c r="D483" s="80">
        <f>'SAMLET_alle regnskab'!V492</f>
        <v>48</v>
      </c>
      <c r="E483" s="80">
        <f>'SAMLET_alle regnskab'!W492</f>
        <v>-48</v>
      </c>
      <c r="F483" s="80">
        <f>'SAMLET_alle regnskab'!X492</f>
        <v>-48</v>
      </c>
      <c r="H483" s="80">
        <f t="shared" si="7"/>
        <v>22</v>
      </c>
      <c r="I483" s="80">
        <f t="shared" ref="I483:L483" si="1441">I482+C483</f>
        <v>716</v>
      </c>
      <c r="J483" s="80">
        <f t="shared" si="1441"/>
        <v>-1968</v>
      </c>
      <c r="K483" s="80">
        <f t="shared" si="1441"/>
        <v>806</v>
      </c>
      <c r="L483" s="80">
        <f t="shared" si="1441"/>
        <v>446</v>
      </c>
      <c r="N483" s="80">
        <f t="shared" si="25"/>
        <v>22</v>
      </c>
      <c r="O483" s="80">
        <f t="shared" ref="O483:R483" si="1442">O482+I476</f>
        <v>181752</v>
      </c>
      <c r="P483" s="80">
        <f t="shared" si="1442"/>
        <v>-369104</v>
      </c>
      <c r="Q483" s="80">
        <f t="shared" si="1442"/>
        <v>120254</v>
      </c>
      <c r="R483" s="80">
        <f t="shared" si="1442"/>
        <v>67098</v>
      </c>
      <c r="T483" s="80">
        <v>22.0</v>
      </c>
      <c r="U483" s="80">
        <f t="shared" ref="U483:X483" si="1443">U482+C476</f>
        <v>586</v>
      </c>
      <c r="V483" s="80">
        <f t="shared" si="1443"/>
        <v>-3030</v>
      </c>
      <c r="W483" s="80">
        <f t="shared" si="1443"/>
        <v>2548</v>
      </c>
      <c r="X483" s="80">
        <f t="shared" si="1443"/>
        <v>-208</v>
      </c>
      <c r="Z483" s="80">
        <v>22.0</v>
      </c>
      <c r="AA483" s="10">
        <v>45199.0</v>
      </c>
      <c r="AB483" s="80">
        <v>586.0</v>
      </c>
      <c r="AC483" s="80">
        <v>-3030.0</v>
      </c>
      <c r="AD483" s="80">
        <v>2548.0</v>
      </c>
      <c r="AE483" s="80">
        <v>-208.0</v>
      </c>
    </row>
    <row r="484">
      <c r="A484" s="80">
        <f>'SAMLET_alle regnskab'!B493</f>
        <v>21</v>
      </c>
      <c r="B484" s="80">
        <f>'SAMLET_alle regnskab'!A493</f>
        <v>22</v>
      </c>
      <c r="C484" s="80">
        <f>'SAMLET_alle regnskab'!U493</f>
        <v>12</v>
      </c>
      <c r="D484" s="80">
        <f>'SAMLET_alle regnskab'!V493</f>
        <v>12</v>
      </c>
      <c r="E484" s="80">
        <f>'SAMLET_alle regnskab'!W493</f>
        <v>-12</v>
      </c>
      <c r="F484" s="80">
        <f>'SAMLET_alle regnskab'!X493</f>
        <v>-12</v>
      </c>
      <c r="H484" s="80">
        <f t="shared" si="7"/>
        <v>22</v>
      </c>
      <c r="I484" s="80">
        <f t="shared" ref="I484:L484" si="1444">I483+C484</f>
        <v>728</v>
      </c>
      <c r="J484" s="80">
        <f t="shared" si="1444"/>
        <v>-1956</v>
      </c>
      <c r="K484" s="80">
        <f t="shared" si="1444"/>
        <v>794</v>
      </c>
      <c r="L484" s="80">
        <f t="shared" si="1444"/>
        <v>434</v>
      </c>
      <c r="N484" s="80">
        <f t="shared" si="25"/>
        <v>22</v>
      </c>
      <c r="O484" s="80">
        <f t="shared" ref="O484:R484" si="1445">O483+I477</f>
        <v>182504</v>
      </c>
      <c r="P484" s="80">
        <f t="shared" si="1445"/>
        <v>-371164</v>
      </c>
      <c r="Q484" s="80">
        <f t="shared" si="1445"/>
        <v>121064</v>
      </c>
      <c r="R484" s="80">
        <f t="shared" si="1445"/>
        <v>67596</v>
      </c>
      <c r="T484" s="80">
        <v>22.0</v>
      </c>
      <c r="U484" s="80">
        <f t="shared" ref="U484:X484" si="1446">U483+C477</f>
        <v>594</v>
      </c>
      <c r="V484" s="80">
        <f t="shared" si="1446"/>
        <v>-3022</v>
      </c>
      <c r="W484" s="80">
        <f t="shared" si="1446"/>
        <v>2524</v>
      </c>
      <c r="X484" s="80">
        <f t="shared" si="1446"/>
        <v>-200</v>
      </c>
      <c r="Z484" s="80">
        <v>22.0</v>
      </c>
      <c r="AA484" s="10">
        <v>45199.0</v>
      </c>
      <c r="AB484" s="80">
        <v>594.0</v>
      </c>
      <c r="AC484" s="80">
        <v>-3022.0</v>
      </c>
      <c r="AD484" s="80">
        <v>2524.0</v>
      </c>
      <c r="AE484" s="80">
        <v>-200.0</v>
      </c>
    </row>
    <row r="485">
      <c r="A485" s="80">
        <f>'SAMLET_alle regnskab'!B494</f>
        <v>22</v>
      </c>
      <c r="B485" s="80">
        <f>'SAMLET_alle regnskab'!A494</f>
        <v>22</v>
      </c>
      <c r="C485" s="80">
        <f>'SAMLET_alle regnskab'!U494</f>
        <v>-8</v>
      </c>
      <c r="D485" s="80">
        <f>'SAMLET_alle regnskab'!V494</f>
        <v>24</v>
      </c>
      <c r="E485" s="80">
        <f>'SAMLET_alle regnskab'!W494</f>
        <v>-8</v>
      </c>
      <c r="F485" s="80">
        <f>'SAMLET_alle regnskab'!X494</f>
        <v>-8</v>
      </c>
      <c r="H485" s="80">
        <f t="shared" si="7"/>
        <v>22</v>
      </c>
      <c r="I485" s="80">
        <f t="shared" ref="I485:L485" si="1447">I484+C485</f>
        <v>720</v>
      </c>
      <c r="J485" s="80">
        <f t="shared" si="1447"/>
        <v>-1932</v>
      </c>
      <c r="K485" s="80">
        <f t="shared" si="1447"/>
        <v>786</v>
      </c>
      <c r="L485" s="80">
        <f t="shared" si="1447"/>
        <v>426</v>
      </c>
      <c r="N485" s="80">
        <f t="shared" si="25"/>
        <v>22</v>
      </c>
      <c r="O485" s="80">
        <f t="shared" ref="O485:R485" si="1448">O484+I478</f>
        <v>183248</v>
      </c>
      <c r="P485" s="80">
        <f t="shared" si="1448"/>
        <v>-373200</v>
      </c>
      <c r="Q485" s="80">
        <f t="shared" si="1448"/>
        <v>121866</v>
      </c>
      <c r="R485" s="80">
        <f t="shared" si="1448"/>
        <v>68086</v>
      </c>
      <c r="T485" s="80">
        <v>22.0</v>
      </c>
      <c r="U485" s="80">
        <f t="shared" ref="U485:X485" si="1449">U484+C478</f>
        <v>586</v>
      </c>
      <c r="V485" s="80">
        <f t="shared" si="1449"/>
        <v>-2998</v>
      </c>
      <c r="W485" s="80">
        <f t="shared" si="1449"/>
        <v>2516</v>
      </c>
      <c r="X485" s="80">
        <f t="shared" si="1449"/>
        <v>-208</v>
      </c>
      <c r="Z485" s="80">
        <v>22.0</v>
      </c>
      <c r="AA485" s="10">
        <v>45199.0</v>
      </c>
      <c r="AB485" s="80">
        <v>586.0</v>
      </c>
      <c r="AC485" s="80">
        <v>-2998.0</v>
      </c>
      <c r="AD485" s="80">
        <v>2516.0</v>
      </c>
      <c r="AE485" s="80">
        <v>-208.0</v>
      </c>
    </row>
    <row r="486">
      <c r="A486" s="80">
        <f>'SAMLET_alle regnskab'!B495</f>
        <v>23</v>
      </c>
      <c r="B486" s="80">
        <f>'SAMLET_alle regnskab'!A495</f>
        <v>22</v>
      </c>
      <c r="C486" s="80">
        <f>'SAMLET_alle regnskab'!U495</f>
        <v>8</v>
      </c>
      <c r="D486" s="80">
        <f>'SAMLET_alle regnskab'!V495</f>
        <v>-24</v>
      </c>
      <c r="E486" s="80">
        <f>'SAMLET_alle regnskab'!W495</f>
        <v>8</v>
      </c>
      <c r="F486" s="80">
        <f>'SAMLET_alle regnskab'!X495</f>
        <v>8</v>
      </c>
      <c r="H486" s="80">
        <f t="shared" si="7"/>
        <v>22</v>
      </c>
      <c r="I486" s="80">
        <f t="shared" ref="I486:L486" si="1450">I485+C486</f>
        <v>728</v>
      </c>
      <c r="J486" s="80">
        <f t="shared" si="1450"/>
        <v>-1956</v>
      </c>
      <c r="K486" s="80">
        <f t="shared" si="1450"/>
        <v>794</v>
      </c>
      <c r="L486" s="80">
        <f t="shared" si="1450"/>
        <v>434</v>
      </c>
      <c r="N486" s="80">
        <f t="shared" si="25"/>
        <v>22</v>
      </c>
      <c r="O486" s="80">
        <f t="shared" ref="O486:R486" si="1451">O485+I479</f>
        <v>184004</v>
      </c>
      <c r="P486" s="80">
        <f t="shared" si="1451"/>
        <v>-375224</v>
      </c>
      <c r="Q486" s="80">
        <f t="shared" si="1451"/>
        <v>122680</v>
      </c>
      <c r="R486" s="80">
        <f t="shared" si="1451"/>
        <v>68540</v>
      </c>
      <c r="T486" s="80">
        <v>22.0</v>
      </c>
      <c r="U486" s="80">
        <f t="shared" ref="U486:X486" si="1452">U485+C479</f>
        <v>598</v>
      </c>
      <c r="V486" s="80">
        <f t="shared" si="1452"/>
        <v>-2986</v>
      </c>
      <c r="W486" s="80">
        <f t="shared" si="1452"/>
        <v>2528</v>
      </c>
      <c r="X486" s="80">
        <f t="shared" si="1452"/>
        <v>-244</v>
      </c>
      <c r="Z486" s="80">
        <v>22.0</v>
      </c>
      <c r="AA486" s="10">
        <v>45199.0</v>
      </c>
      <c r="AB486" s="80">
        <v>598.0</v>
      </c>
      <c r="AC486" s="80">
        <v>-2986.0</v>
      </c>
      <c r="AD486" s="80">
        <v>2528.0</v>
      </c>
      <c r="AE486" s="80">
        <v>-244.0</v>
      </c>
    </row>
    <row r="487">
      <c r="A487" s="80">
        <f>'SAMLET_alle regnskab'!B496</f>
        <v>24</v>
      </c>
      <c r="B487" s="80">
        <f>'SAMLET_alle regnskab'!A496</f>
        <v>22</v>
      </c>
      <c r="C487" s="80">
        <f>'SAMLET_alle regnskab'!U496</f>
        <v>-96</v>
      </c>
      <c r="D487" s="80">
        <f>'SAMLET_alle regnskab'!V496</f>
        <v>-96</v>
      </c>
      <c r="E487" s="80">
        <f>'SAMLET_alle regnskab'!W496</f>
        <v>96</v>
      </c>
      <c r="F487" s="80">
        <f>'SAMLET_alle regnskab'!X496</f>
        <v>96</v>
      </c>
      <c r="H487" s="80">
        <f t="shared" si="7"/>
        <v>22</v>
      </c>
      <c r="I487" s="80">
        <f t="shared" ref="I487:L487" si="1453">I486+C487</f>
        <v>632</v>
      </c>
      <c r="J487" s="80">
        <f t="shared" si="1453"/>
        <v>-2052</v>
      </c>
      <c r="K487" s="80">
        <f t="shared" si="1453"/>
        <v>890</v>
      </c>
      <c r="L487" s="80">
        <f t="shared" si="1453"/>
        <v>530</v>
      </c>
      <c r="N487" s="80">
        <f t="shared" si="25"/>
        <v>22</v>
      </c>
      <c r="O487" s="80">
        <f t="shared" ref="O487:R487" si="1454">O486+I480</f>
        <v>184784</v>
      </c>
      <c r="P487" s="80">
        <f t="shared" si="1454"/>
        <v>-377256</v>
      </c>
      <c r="Q487" s="80">
        <f t="shared" si="1454"/>
        <v>123486</v>
      </c>
      <c r="R487" s="80">
        <f t="shared" si="1454"/>
        <v>68986</v>
      </c>
      <c r="T487" s="80">
        <v>22.0</v>
      </c>
      <c r="U487" s="80">
        <f t="shared" ref="U487:X487" si="1455">U486+C480</f>
        <v>622</v>
      </c>
      <c r="V487" s="80">
        <f t="shared" si="1455"/>
        <v>-2994</v>
      </c>
      <c r="W487" s="80">
        <f t="shared" si="1455"/>
        <v>2520</v>
      </c>
      <c r="X487" s="80">
        <f t="shared" si="1455"/>
        <v>-252</v>
      </c>
      <c r="Z487" s="80">
        <v>22.0</v>
      </c>
      <c r="AA487" s="10">
        <v>45199.0</v>
      </c>
      <c r="AB487" s="80">
        <v>622.0</v>
      </c>
      <c r="AC487" s="80">
        <v>-2994.0</v>
      </c>
      <c r="AD487" s="80">
        <v>2520.0</v>
      </c>
      <c r="AE487" s="80">
        <v>-252.0</v>
      </c>
    </row>
    <row r="488">
      <c r="A488" s="80">
        <f>'SAMLET_alle regnskab'!B497</f>
        <v>25</v>
      </c>
      <c r="B488" s="80">
        <f>'SAMLET_alle regnskab'!A497</f>
        <v>22</v>
      </c>
      <c r="C488" s="80">
        <f>'SAMLET_alle regnskab'!U497</f>
        <v>16</v>
      </c>
      <c r="D488" s="80">
        <f>'SAMLET_alle regnskab'!V497</f>
        <v>-16</v>
      </c>
      <c r="E488" s="80">
        <f>'SAMLET_alle regnskab'!W497</f>
        <v>16</v>
      </c>
      <c r="F488" s="80">
        <f>'SAMLET_alle regnskab'!X497</f>
        <v>-16</v>
      </c>
      <c r="H488" s="80">
        <f t="shared" si="7"/>
        <v>22</v>
      </c>
      <c r="I488" s="80">
        <f t="shared" ref="I488:L488" si="1456">I487+C488</f>
        <v>648</v>
      </c>
      <c r="J488" s="80">
        <f t="shared" si="1456"/>
        <v>-2068</v>
      </c>
      <c r="K488" s="80">
        <f t="shared" si="1456"/>
        <v>906</v>
      </c>
      <c r="L488" s="80">
        <f t="shared" si="1456"/>
        <v>514</v>
      </c>
      <c r="N488" s="80">
        <f t="shared" si="25"/>
        <v>22</v>
      </c>
      <c r="O488" s="80">
        <f t="shared" ref="O488:R488" si="1457">O487+I481</f>
        <v>185468</v>
      </c>
      <c r="P488" s="80">
        <f t="shared" si="1457"/>
        <v>-379256</v>
      </c>
      <c r="Q488" s="80">
        <f t="shared" si="1457"/>
        <v>124324</v>
      </c>
      <c r="R488" s="80">
        <f t="shared" si="1457"/>
        <v>69464</v>
      </c>
      <c r="T488" s="80">
        <v>22.0</v>
      </c>
      <c r="U488" s="80">
        <f t="shared" ref="U488:X488" si="1458">U487+C481</f>
        <v>526</v>
      </c>
      <c r="V488" s="80">
        <f t="shared" si="1458"/>
        <v>-2962</v>
      </c>
      <c r="W488" s="80">
        <f t="shared" si="1458"/>
        <v>2552</v>
      </c>
      <c r="X488" s="80">
        <f t="shared" si="1458"/>
        <v>-220</v>
      </c>
      <c r="Z488" s="80">
        <v>22.0</v>
      </c>
      <c r="AA488" s="10">
        <v>45199.0</v>
      </c>
      <c r="AB488" s="80">
        <v>526.0</v>
      </c>
      <c r="AC488" s="80">
        <v>-2962.0</v>
      </c>
      <c r="AD488" s="80">
        <v>2552.0</v>
      </c>
      <c r="AE488" s="80">
        <v>-220.0</v>
      </c>
    </row>
    <row r="489">
      <c r="A489" s="80">
        <f>'SAMLET_alle regnskab'!B498</f>
        <v>26</v>
      </c>
      <c r="B489" s="80">
        <f>'SAMLET_alle regnskab'!A498</f>
        <v>22</v>
      </c>
      <c r="C489" s="80">
        <f>'SAMLET_alle regnskab'!U498</f>
        <v>8</v>
      </c>
      <c r="D489" s="80">
        <f>'SAMLET_alle regnskab'!V498</f>
        <v>-8</v>
      </c>
      <c r="E489" s="80">
        <f>'SAMLET_alle regnskab'!W498</f>
        <v>-8</v>
      </c>
      <c r="F489" s="80">
        <f>'SAMLET_alle regnskab'!X498</f>
        <v>8</v>
      </c>
      <c r="H489" s="80">
        <f t="shared" si="7"/>
        <v>22</v>
      </c>
      <c r="I489" s="80">
        <f t="shared" ref="I489:L489" si="1459">I488+C489</f>
        <v>656</v>
      </c>
      <c r="J489" s="80">
        <f t="shared" si="1459"/>
        <v>-2076</v>
      </c>
      <c r="K489" s="80">
        <f t="shared" si="1459"/>
        <v>898</v>
      </c>
      <c r="L489" s="80">
        <f t="shared" si="1459"/>
        <v>522</v>
      </c>
      <c r="N489" s="80">
        <f t="shared" si="25"/>
        <v>22</v>
      </c>
      <c r="O489" s="80">
        <f t="shared" ref="O489:R489" si="1460">O488+I482</f>
        <v>186136</v>
      </c>
      <c r="P489" s="80">
        <f t="shared" si="1460"/>
        <v>-381272</v>
      </c>
      <c r="Q489" s="80">
        <f t="shared" si="1460"/>
        <v>125178</v>
      </c>
      <c r="R489" s="80">
        <f t="shared" si="1460"/>
        <v>69958</v>
      </c>
      <c r="T489" s="80">
        <v>22.0</v>
      </c>
      <c r="U489" s="80">
        <f t="shared" ref="U489:X489" si="1461">U488+C482</f>
        <v>510</v>
      </c>
      <c r="V489" s="80">
        <f t="shared" si="1461"/>
        <v>-2978</v>
      </c>
      <c r="W489" s="80">
        <f t="shared" si="1461"/>
        <v>2568</v>
      </c>
      <c r="X489" s="80">
        <f t="shared" si="1461"/>
        <v>-204</v>
      </c>
      <c r="Z489" s="80">
        <v>22.0</v>
      </c>
      <c r="AA489" s="10">
        <v>45199.0</v>
      </c>
      <c r="AB489" s="80">
        <v>510.0</v>
      </c>
      <c r="AC489" s="80">
        <v>-2978.0</v>
      </c>
      <c r="AD489" s="80">
        <v>2568.0</v>
      </c>
      <c r="AE489" s="80">
        <v>-204.0</v>
      </c>
    </row>
    <row r="490">
      <c r="A490" s="80">
        <f>'SAMLET_alle regnskab'!B499</f>
        <v>27</v>
      </c>
      <c r="B490" s="80">
        <f>'SAMLET_alle regnskab'!A499</f>
        <v>22</v>
      </c>
      <c r="C490" s="80">
        <f>'SAMLET_alle regnskab'!U499</f>
        <v>-4</v>
      </c>
      <c r="D490" s="80">
        <f>'SAMLET_alle regnskab'!V499</f>
        <v>-4</v>
      </c>
      <c r="E490" s="80">
        <f>'SAMLET_alle regnskab'!W499</f>
        <v>-4</v>
      </c>
      <c r="F490" s="80">
        <f>'SAMLET_alle regnskab'!X499</f>
        <v>12</v>
      </c>
      <c r="H490" s="80">
        <f t="shared" si="7"/>
        <v>22</v>
      </c>
      <c r="I490" s="80">
        <f t="shared" ref="I490:L490" si="1462">I489+C490</f>
        <v>652</v>
      </c>
      <c r="J490" s="80">
        <f t="shared" si="1462"/>
        <v>-2080</v>
      </c>
      <c r="K490" s="80">
        <f t="shared" si="1462"/>
        <v>894</v>
      </c>
      <c r="L490" s="80">
        <f t="shared" si="1462"/>
        <v>534</v>
      </c>
      <c r="N490" s="80">
        <f t="shared" si="25"/>
        <v>22</v>
      </c>
      <c r="O490" s="80">
        <f t="shared" ref="O490:R490" si="1463">O489+I483</f>
        <v>186852</v>
      </c>
      <c r="P490" s="80">
        <f t="shared" si="1463"/>
        <v>-383240</v>
      </c>
      <c r="Q490" s="80">
        <f t="shared" si="1463"/>
        <v>125984</v>
      </c>
      <c r="R490" s="80">
        <f t="shared" si="1463"/>
        <v>70404</v>
      </c>
      <c r="T490" s="80">
        <v>22.0</v>
      </c>
      <c r="U490" s="80">
        <f t="shared" ref="U490:X490" si="1464">U489+C483</f>
        <v>558</v>
      </c>
      <c r="V490" s="80">
        <f t="shared" si="1464"/>
        <v>-2930</v>
      </c>
      <c r="W490" s="80">
        <f t="shared" si="1464"/>
        <v>2520</v>
      </c>
      <c r="X490" s="80">
        <f t="shared" si="1464"/>
        <v>-252</v>
      </c>
      <c r="Z490" s="80">
        <v>22.0</v>
      </c>
      <c r="AA490" s="10">
        <v>45199.0</v>
      </c>
      <c r="AB490" s="80">
        <v>558.0</v>
      </c>
      <c r="AC490" s="80">
        <v>-2930.0</v>
      </c>
      <c r="AD490" s="80">
        <v>2520.0</v>
      </c>
      <c r="AE490" s="80">
        <v>-252.0</v>
      </c>
    </row>
    <row r="491">
      <c r="A491" s="80">
        <f>'SAMLET_alle regnskab'!B500</f>
        <v>28</v>
      </c>
      <c r="B491" s="80">
        <f>'SAMLET_alle regnskab'!A500</f>
        <v>22</v>
      </c>
      <c r="C491" s="80">
        <f>'SAMLET_alle regnskab'!U500</f>
        <v>80</v>
      </c>
      <c r="D491" s="80">
        <f>'SAMLET_alle regnskab'!V500</f>
        <v>-80</v>
      </c>
      <c r="E491" s="80">
        <f>'SAMLET_alle regnskab'!W500</f>
        <v>-80</v>
      </c>
      <c r="F491" s="80">
        <f>'SAMLET_alle regnskab'!X500</f>
        <v>80</v>
      </c>
      <c r="H491" s="80">
        <f t="shared" si="7"/>
        <v>22</v>
      </c>
      <c r="I491" s="80">
        <f t="shared" ref="I491:L491" si="1465">I490+C491</f>
        <v>732</v>
      </c>
      <c r="J491" s="80">
        <f t="shared" si="1465"/>
        <v>-2160</v>
      </c>
      <c r="K491" s="80">
        <f t="shared" si="1465"/>
        <v>814</v>
      </c>
      <c r="L491" s="80">
        <f t="shared" si="1465"/>
        <v>614</v>
      </c>
      <c r="N491" s="80">
        <f t="shared" si="25"/>
        <v>22</v>
      </c>
      <c r="O491" s="80">
        <f t="shared" ref="O491:R491" si="1466">O490+I484</f>
        <v>187580</v>
      </c>
      <c r="P491" s="80">
        <f t="shared" si="1466"/>
        <v>-385196</v>
      </c>
      <c r="Q491" s="80">
        <f t="shared" si="1466"/>
        <v>126778</v>
      </c>
      <c r="R491" s="80">
        <f t="shared" si="1466"/>
        <v>70838</v>
      </c>
      <c r="T491" s="80">
        <v>22.0</v>
      </c>
      <c r="U491" s="80">
        <f t="shared" ref="U491:X491" si="1467">U490+C484</f>
        <v>570</v>
      </c>
      <c r="V491" s="80">
        <f t="shared" si="1467"/>
        <v>-2918</v>
      </c>
      <c r="W491" s="80">
        <f t="shared" si="1467"/>
        <v>2508</v>
      </c>
      <c r="X491" s="80">
        <f t="shared" si="1467"/>
        <v>-264</v>
      </c>
      <c r="Z491" s="80">
        <v>22.0</v>
      </c>
      <c r="AA491" s="10">
        <v>45199.0</v>
      </c>
      <c r="AB491" s="80">
        <v>570.0</v>
      </c>
      <c r="AC491" s="80">
        <v>-2918.0</v>
      </c>
      <c r="AD491" s="80">
        <v>2508.0</v>
      </c>
      <c r="AE491" s="80">
        <v>-264.0</v>
      </c>
    </row>
    <row r="492">
      <c r="A492" s="80">
        <f>'SAMLET_alle regnskab'!B501</f>
        <v>29</v>
      </c>
      <c r="B492" s="80">
        <f>'SAMLET_alle regnskab'!A501</f>
        <v>22</v>
      </c>
      <c r="C492" s="80">
        <f>'SAMLET_alle regnskab'!U501</f>
        <v>-8</v>
      </c>
      <c r="D492" s="80">
        <f>'SAMLET_alle regnskab'!V501</f>
        <v>8</v>
      </c>
      <c r="E492" s="80">
        <f>'SAMLET_alle regnskab'!W501</f>
        <v>8</v>
      </c>
      <c r="F492" s="80">
        <f>'SAMLET_alle regnskab'!X501</f>
        <v>-8</v>
      </c>
      <c r="H492" s="80">
        <f t="shared" si="7"/>
        <v>22</v>
      </c>
      <c r="I492" s="80">
        <f t="shared" ref="I492:L492" si="1468">I491+C492</f>
        <v>724</v>
      </c>
      <c r="J492" s="80">
        <f t="shared" si="1468"/>
        <v>-2152</v>
      </c>
      <c r="K492" s="80">
        <f t="shared" si="1468"/>
        <v>822</v>
      </c>
      <c r="L492" s="80">
        <f t="shared" si="1468"/>
        <v>606</v>
      </c>
      <c r="N492" s="80">
        <f t="shared" si="25"/>
        <v>22</v>
      </c>
      <c r="O492" s="80">
        <f t="shared" ref="O492:R492" si="1469">O491+I485</f>
        <v>188300</v>
      </c>
      <c r="P492" s="80">
        <f t="shared" si="1469"/>
        <v>-387128</v>
      </c>
      <c r="Q492" s="80">
        <f t="shared" si="1469"/>
        <v>127564</v>
      </c>
      <c r="R492" s="80">
        <f t="shared" si="1469"/>
        <v>71264</v>
      </c>
      <c r="T492" s="80">
        <v>22.0</v>
      </c>
      <c r="U492" s="80">
        <f t="shared" ref="U492:X492" si="1470">U491+C485</f>
        <v>562</v>
      </c>
      <c r="V492" s="80">
        <f t="shared" si="1470"/>
        <v>-2894</v>
      </c>
      <c r="W492" s="80">
        <f t="shared" si="1470"/>
        <v>2500</v>
      </c>
      <c r="X492" s="80">
        <f t="shared" si="1470"/>
        <v>-272</v>
      </c>
      <c r="Z492" s="80">
        <v>22.0</v>
      </c>
      <c r="AA492" s="10">
        <v>45199.0</v>
      </c>
      <c r="AB492" s="80">
        <v>562.0</v>
      </c>
      <c r="AC492" s="80">
        <v>-2894.0</v>
      </c>
      <c r="AD492" s="80">
        <v>2500.0</v>
      </c>
      <c r="AE492" s="80">
        <v>-272.0</v>
      </c>
    </row>
    <row r="493">
      <c r="A493" s="80">
        <f>'SAMLET_alle regnskab'!B502</f>
        <v>30</v>
      </c>
      <c r="B493" s="80">
        <f>'SAMLET_alle regnskab'!A502</f>
        <v>22</v>
      </c>
      <c r="C493" s="80">
        <f>'SAMLET_alle regnskab'!U502</f>
        <v>16</v>
      </c>
      <c r="D493" s="80">
        <f>'SAMLET_alle regnskab'!V502</f>
        <v>-16</v>
      </c>
      <c r="E493" s="80">
        <f>'SAMLET_alle regnskab'!W502</f>
        <v>-16</v>
      </c>
      <c r="F493" s="80">
        <f>'SAMLET_alle regnskab'!X502</f>
        <v>16</v>
      </c>
      <c r="H493" s="80">
        <f t="shared" si="7"/>
        <v>22</v>
      </c>
      <c r="I493" s="80">
        <f t="shared" ref="I493:L493" si="1471">I492+C493</f>
        <v>740</v>
      </c>
      <c r="J493" s="80">
        <f t="shared" si="1471"/>
        <v>-2168</v>
      </c>
      <c r="K493" s="80">
        <f t="shared" si="1471"/>
        <v>806</v>
      </c>
      <c r="L493" s="80">
        <f t="shared" si="1471"/>
        <v>622</v>
      </c>
      <c r="N493" s="80">
        <f t="shared" si="25"/>
        <v>22</v>
      </c>
      <c r="O493" s="80">
        <f t="shared" ref="O493:R493" si="1472">O492+I486</f>
        <v>189028</v>
      </c>
      <c r="P493" s="80">
        <f t="shared" si="1472"/>
        <v>-389084</v>
      </c>
      <c r="Q493" s="80">
        <f t="shared" si="1472"/>
        <v>128358</v>
      </c>
      <c r="R493" s="80">
        <f t="shared" si="1472"/>
        <v>71698</v>
      </c>
      <c r="T493" s="80">
        <v>22.0</v>
      </c>
      <c r="U493" s="80">
        <f t="shared" ref="U493:X493" si="1473">U492+C486</f>
        <v>570</v>
      </c>
      <c r="V493" s="80">
        <f t="shared" si="1473"/>
        <v>-2918</v>
      </c>
      <c r="W493" s="80">
        <f t="shared" si="1473"/>
        <v>2508</v>
      </c>
      <c r="X493" s="80">
        <f t="shared" si="1473"/>
        <v>-264</v>
      </c>
      <c r="Z493" s="80">
        <v>22.0</v>
      </c>
      <c r="AA493" s="10">
        <v>45199.0</v>
      </c>
      <c r="AB493" s="80">
        <v>570.0</v>
      </c>
      <c r="AC493" s="80">
        <v>-2918.0</v>
      </c>
      <c r="AD493" s="80">
        <v>2508.0</v>
      </c>
      <c r="AE493" s="80">
        <v>-264.0</v>
      </c>
    </row>
    <row r="494">
      <c r="A494" s="80">
        <f>'SAMLET_alle regnskab'!B503</f>
        <v>31</v>
      </c>
      <c r="B494" s="80">
        <f>'SAMLET_alle regnskab'!A503</f>
        <v>22</v>
      </c>
      <c r="C494" s="80">
        <f>'SAMLET_alle regnskab'!U503</f>
        <v>8</v>
      </c>
      <c r="D494" s="80">
        <f>'SAMLET_alle regnskab'!V503</f>
        <v>8</v>
      </c>
      <c r="E494" s="80">
        <f>'SAMLET_alle regnskab'!W503</f>
        <v>8</v>
      </c>
      <c r="F494" s="80">
        <f>'SAMLET_alle regnskab'!X503</f>
        <v>-24</v>
      </c>
      <c r="H494" s="80">
        <f t="shared" si="7"/>
        <v>22</v>
      </c>
      <c r="I494" s="80">
        <f t="shared" ref="I494:L494" si="1474">I493+C494</f>
        <v>748</v>
      </c>
      <c r="J494" s="80">
        <f t="shared" si="1474"/>
        <v>-2160</v>
      </c>
      <c r="K494" s="80">
        <f t="shared" si="1474"/>
        <v>814</v>
      </c>
      <c r="L494" s="80">
        <f t="shared" si="1474"/>
        <v>598</v>
      </c>
      <c r="N494" s="80">
        <f t="shared" si="25"/>
        <v>22</v>
      </c>
      <c r="O494" s="80">
        <f t="shared" ref="O494:R494" si="1475">O493+I487</f>
        <v>189660</v>
      </c>
      <c r="P494" s="80">
        <f t="shared" si="1475"/>
        <v>-391136</v>
      </c>
      <c r="Q494" s="80">
        <f t="shared" si="1475"/>
        <v>129248</v>
      </c>
      <c r="R494" s="80">
        <f t="shared" si="1475"/>
        <v>72228</v>
      </c>
      <c r="T494" s="80">
        <v>22.0</v>
      </c>
      <c r="U494" s="80">
        <f t="shared" ref="U494:X494" si="1476">U493+C487</f>
        <v>474</v>
      </c>
      <c r="V494" s="80">
        <f t="shared" si="1476"/>
        <v>-3014</v>
      </c>
      <c r="W494" s="80">
        <f t="shared" si="1476"/>
        <v>2604</v>
      </c>
      <c r="X494" s="80">
        <f t="shared" si="1476"/>
        <v>-168</v>
      </c>
      <c r="Z494" s="80">
        <v>22.0</v>
      </c>
      <c r="AA494" s="10">
        <v>45199.0</v>
      </c>
      <c r="AB494" s="80">
        <v>474.0</v>
      </c>
      <c r="AC494" s="80">
        <v>-3014.0</v>
      </c>
      <c r="AD494" s="80">
        <v>2604.0</v>
      </c>
      <c r="AE494" s="80">
        <v>-168.0</v>
      </c>
    </row>
    <row r="495">
      <c r="A495" s="80">
        <f>'SAMLET_alle regnskab'!B504</f>
        <v>32</v>
      </c>
      <c r="B495" s="80">
        <f>'SAMLET_alle regnskab'!A504</f>
        <v>22</v>
      </c>
      <c r="C495" s="80">
        <f>'SAMLET_alle regnskab'!U504</f>
        <v>40</v>
      </c>
      <c r="D495" s="80">
        <f>'SAMLET_alle regnskab'!V504</f>
        <v>40</v>
      </c>
      <c r="E495" s="80">
        <f>'SAMLET_alle regnskab'!W504</f>
        <v>-40</v>
      </c>
      <c r="F495" s="80">
        <f>'SAMLET_alle regnskab'!X504</f>
        <v>-40</v>
      </c>
      <c r="H495" s="80">
        <f t="shared" si="7"/>
        <v>22</v>
      </c>
      <c r="I495" s="80">
        <f t="shared" ref="I495:L495" si="1477">I494+C495</f>
        <v>788</v>
      </c>
      <c r="J495" s="80">
        <f t="shared" si="1477"/>
        <v>-2120</v>
      </c>
      <c r="K495" s="80">
        <f t="shared" si="1477"/>
        <v>774</v>
      </c>
      <c r="L495" s="80">
        <f t="shared" si="1477"/>
        <v>558</v>
      </c>
      <c r="N495" s="80">
        <f t="shared" si="25"/>
        <v>22</v>
      </c>
      <c r="O495" s="80">
        <f t="shared" ref="O495:R495" si="1478">O494+I488</f>
        <v>190308</v>
      </c>
      <c r="P495" s="80">
        <f t="shared" si="1478"/>
        <v>-393204</v>
      </c>
      <c r="Q495" s="80">
        <f t="shared" si="1478"/>
        <v>130154</v>
      </c>
      <c r="R495" s="80">
        <f t="shared" si="1478"/>
        <v>72742</v>
      </c>
      <c r="T495" s="80">
        <v>22.0</v>
      </c>
      <c r="U495" s="80">
        <f t="shared" ref="U495:X495" si="1479">U494+C488</f>
        <v>490</v>
      </c>
      <c r="V495" s="80">
        <f t="shared" si="1479"/>
        <v>-3030</v>
      </c>
      <c r="W495" s="80">
        <f t="shared" si="1479"/>
        <v>2620</v>
      </c>
      <c r="X495" s="80">
        <f t="shared" si="1479"/>
        <v>-184</v>
      </c>
      <c r="Z495" s="80">
        <v>22.0</v>
      </c>
      <c r="AA495" s="10">
        <v>45199.0</v>
      </c>
      <c r="AB495" s="80">
        <v>490.0</v>
      </c>
      <c r="AC495" s="80">
        <v>-3030.0</v>
      </c>
      <c r="AD495" s="80">
        <v>2620.0</v>
      </c>
      <c r="AE495" s="80">
        <v>-184.0</v>
      </c>
    </row>
    <row r="496">
      <c r="A496" s="80">
        <f>'SAMLET_alle regnskab'!B505</f>
        <v>33</v>
      </c>
      <c r="B496" s="80">
        <f>'SAMLET_alle regnskab'!A505</f>
        <v>22</v>
      </c>
      <c r="C496" s="80">
        <f>'SAMLET_alle regnskab'!U505</f>
        <v>-32</v>
      </c>
      <c r="D496" s="80">
        <f>'SAMLET_alle regnskab'!V505</f>
        <v>-32</v>
      </c>
      <c r="E496" s="80">
        <f>'SAMLET_alle regnskab'!W505</f>
        <v>32</v>
      </c>
      <c r="F496" s="80">
        <f>'SAMLET_alle regnskab'!X505</f>
        <v>32</v>
      </c>
      <c r="H496" s="80">
        <f t="shared" si="7"/>
        <v>22</v>
      </c>
      <c r="I496" s="80">
        <f t="shared" ref="I496:L496" si="1480">I495+C496</f>
        <v>756</v>
      </c>
      <c r="J496" s="80">
        <f t="shared" si="1480"/>
        <v>-2152</v>
      </c>
      <c r="K496" s="80">
        <f t="shared" si="1480"/>
        <v>806</v>
      </c>
      <c r="L496" s="80">
        <f t="shared" si="1480"/>
        <v>590</v>
      </c>
      <c r="N496" s="80">
        <f t="shared" si="25"/>
        <v>22</v>
      </c>
      <c r="O496" s="80">
        <f t="shared" ref="O496:R496" si="1481">O495+I489</f>
        <v>190964</v>
      </c>
      <c r="P496" s="80">
        <f t="shared" si="1481"/>
        <v>-395280</v>
      </c>
      <c r="Q496" s="80">
        <f t="shared" si="1481"/>
        <v>131052</v>
      </c>
      <c r="R496" s="80">
        <f t="shared" si="1481"/>
        <v>73264</v>
      </c>
      <c r="T496" s="80">
        <v>22.0</v>
      </c>
      <c r="U496" s="80">
        <f t="shared" ref="U496:X496" si="1482">U495+C489</f>
        <v>498</v>
      </c>
      <c r="V496" s="80">
        <f t="shared" si="1482"/>
        <v>-3038</v>
      </c>
      <c r="W496" s="80">
        <f t="shared" si="1482"/>
        <v>2612</v>
      </c>
      <c r="X496" s="80">
        <f t="shared" si="1482"/>
        <v>-176</v>
      </c>
      <c r="Z496" s="80">
        <v>22.0</v>
      </c>
      <c r="AA496" s="10">
        <v>45199.0</v>
      </c>
      <c r="AB496" s="80">
        <v>498.0</v>
      </c>
      <c r="AC496" s="80">
        <v>-3038.0</v>
      </c>
      <c r="AD496" s="80">
        <v>2612.0</v>
      </c>
      <c r="AE496" s="80">
        <v>-176.0</v>
      </c>
    </row>
    <row r="497">
      <c r="A497" s="80">
        <f>'SAMLET_alle regnskab'!B506</f>
        <v>34</v>
      </c>
      <c r="B497" s="80">
        <f>'SAMLET_alle regnskab'!A506</f>
        <v>22</v>
      </c>
      <c r="C497" s="80">
        <f>'SAMLET_alle regnskab'!U506</f>
        <v>-72</v>
      </c>
      <c r="D497" s="80">
        <f>'SAMLET_alle regnskab'!V506</f>
        <v>24</v>
      </c>
      <c r="E497" s="80">
        <f>'SAMLET_alle regnskab'!W506</f>
        <v>24</v>
      </c>
      <c r="F497" s="80">
        <f>'SAMLET_alle regnskab'!X506</f>
        <v>24</v>
      </c>
      <c r="H497" s="80">
        <f t="shared" si="7"/>
        <v>22</v>
      </c>
      <c r="I497" s="80">
        <f t="shared" ref="I497:L497" si="1483">I496+C497</f>
        <v>684</v>
      </c>
      <c r="J497" s="80">
        <f t="shared" si="1483"/>
        <v>-2128</v>
      </c>
      <c r="K497" s="80">
        <f t="shared" si="1483"/>
        <v>830</v>
      </c>
      <c r="L497" s="80">
        <f t="shared" si="1483"/>
        <v>614</v>
      </c>
      <c r="N497" s="80">
        <f t="shared" si="25"/>
        <v>22</v>
      </c>
      <c r="O497" s="80">
        <f t="shared" ref="O497:R497" si="1484">O496+I490</f>
        <v>191616</v>
      </c>
      <c r="P497" s="80">
        <f t="shared" si="1484"/>
        <v>-397360</v>
      </c>
      <c r="Q497" s="80">
        <f t="shared" si="1484"/>
        <v>131946</v>
      </c>
      <c r="R497" s="80">
        <f t="shared" si="1484"/>
        <v>73798</v>
      </c>
      <c r="T497" s="80">
        <v>22.0</v>
      </c>
      <c r="U497" s="80">
        <f t="shared" ref="U497:X497" si="1485">U496+C490</f>
        <v>494</v>
      </c>
      <c r="V497" s="80">
        <f t="shared" si="1485"/>
        <v>-3042</v>
      </c>
      <c r="W497" s="80">
        <f t="shared" si="1485"/>
        <v>2608</v>
      </c>
      <c r="X497" s="80">
        <f t="shared" si="1485"/>
        <v>-164</v>
      </c>
      <c r="Z497" s="80">
        <v>22.0</v>
      </c>
      <c r="AA497" s="10">
        <v>45199.0</v>
      </c>
      <c r="AB497" s="80">
        <v>494.0</v>
      </c>
      <c r="AC497" s="80">
        <v>-3042.0</v>
      </c>
      <c r="AD497" s="80">
        <v>2608.0</v>
      </c>
      <c r="AE497" s="80">
        <v>-164.0</v>
      </c>
    </row>
    <row r="498">
      <c r="A498" s="80">
        <f>'SAMLET_alle regnskab'!B507</f>
        <v>35</v>
      </c>
      <c r="B498" s="80">
        <f>'SAMLET_alle regnskab'!A507</f>
        <v>22</v>
      </c>
      <c r="C498" s="80">
        <f>'SAMLET_alle regnskab'!U507</f>
        <v>-16</v>
      </c>
      <c r="D498" s="80">
        <f>'SAMLET_alle regnskab'!V507</f>
        <v>48</v>
      </c>
      <c r="E498" s="80">
        <f>'SAMLET_alle regnskab'!W507</f>
        <v>-16</v>
      </c>
      <c r="F498" s="80">
        <f>'SAMLET_alle regnskab'!X507</f>
        <v>-16</v>
      </c>
      <c r="H498" s="80">
        <f t="shared" si="7"/>
        <v>22</v>
      </c>
      <c r="I498" s="80">
        <f t="shared" ref="I498:L498" si="1486">I497+C498</f>
        <v>668</v>
      </c>
      <c r="J498" s="80">
        <f t="shared" si="1486"/>
        <v>-2080</v>
      </c>
      <c r="K498" s="80">
        <f t="shared" si="1486"/>
        <v>814</v>
      </c>
      <c r="L498" s="80">
        <f t="shared" si="1486"/>
        <v>598</v>
      </c>
      <c r="N498" s="80">
        <f t="shared" si="25"/>
        <v>22</v>
      </c>
      <c r="O498" s="80">
        <f t="shared" ref="O498:R498" si="1487">O497+I491</f>
        <v>192348</v>
      </c>
      <c r="P498" s="80">
        <f t="shared" si="1487"/>
        <v>-399520</v>
      </c>
      <c r="Q498" s="80">
        <f t="shared" si="1487"/>
        <v>132760</v>
      </c>
      <c r="R498" s="80">
        <f t="shared" si="1487"/>
        <v>74412</v>
      </c>
      <c r="T498" s="80">
        <v>22.0</v>
      </c>
      <c r="U498" s="80">
        <f t="shared" ref="U498:X498" si="1488">U497+C491</f>
        <v>574</v>
      </c>
      <c r="V498" s="80">
        <f t="shared" si="1488"/>
        <v>-3122</v>
      </c>
      <c r="W498" s="80">
        <f t="shared" si="1488"/>
        <v>2528</v>
      </c>
      <c r="X498" s="80">
        <f t="shared" si="1488"/>
        <v>-84</v>
      </c>
      <c r="Z498" s="80">
        <v>22.0</v>
      </c>
      <c r="AA498" s="10">
        <v>45199.0</v>
      </c>
      <c r="AB498" s="80">
        <v>574.0</v>
      </c>
      <c r="AC498" s="80">
        <v>-3122.0</v>
      </c>
      <c r="AD498" s="80">
        <v>2528.0</v>
      </c>
      <c r="AE498" s="80">
        <v>-84.0</v>
      </c>
    </row>
    <row r="499">
      <c r="A499" s="80">
        <f>'SAMLET_alle regnskab'!B508</f>
        <v>36</v>
      </c>
      <c r="B499" s="80">
        <f>'SAMLET_alle regnskab'!A508</f>
        <v>22</v>
      </c>
      <c r="C499" s="80">
        <f>'SAMLET_alle regnskab'!U508</f>
        <v>8</v>
      </c>
      <c r="D499" s="80">
        <f>'SAMLET_alle regnskab'!V508</f>
        <v>8</v>
      </c>
      <c r="E499" s="80">
        <f>'SAMLET_alle regnskab'!W508</f>
        <v>8</v>
      </c>
      <c r="F499" s="80">
        <f>'SAMLET_alle regnskab'!X508</f>
        <v>-24</v>
      </c>
      <c r="H499" s="80">
        <f t="shared" si="7"/>
        <v>22</v>
      </c>
      <c r="I499" s="80">
        <f t="shared" ref="I499:L499" si="1489">I498+C499</f>
        <v>676</v>
      </c>
      <c r="J499" s="80">
        <f t="shared" si="1489"/>
        <v>-2072</v>
      </c>
      <c r="K499" s="80">
        <f t="shared" si="1489"/>
        <v>822</v>
      </c>
      <c r="L499" s="80">
        <f t="shared" si="1489"/>
        <v>574</v>
      </c>
      <c r="N499" s="80">
        <f t="shared" si="25"/>
        <v>22</v>
      </c>
      <c r="O499" s="80">
        <f t="shared" ref="O499:R499" si="1490">O498+I492</f>
        <v>193072</v>
      </c>
      <c r="P499" s="80">
        <f t="shared" si="1490"/>
        <v>-401672</v>
      </c>
      <c r="Q499" s="80">
        <f t="shared" si="1490"/>
        <v>133582</v>
      </c>
      <c r="R499" s="80">
        <f t="shared" si="1490"/>
        <v>75018</v>
      </c>
      <c r="T499" s="80">
        <v>22.0</v>
      </c>
      <c r="U499" s="80">
        <f t="shared" ref="U499:X499" si="1491">U498+C492</f>
        <v>566</v>
      </c>
      <c r="V499" s="80">
        <f t="shared" si="1491"/>
        <v>-3114</v>
      </c>
      <c r="W499" s="80">
        <f t="shared" si="1491"/>
        <v>2536</v>
      </c>
      <c r="X499" s="80">
        <f t="shared" si="1491"/>
        <v>-92</v>
      </c>
      <c r="Z499" s="80">
        <v>22.0</v>
      </c>
      <c r="AA499" s="10">
        <v>45199.0</v>
      </c>
      <c r="AB499" s="80">
        <v>566.0</v>
      </c>
      <c r="AC499" s="80">
        <v>-3114.0</v>
      </c>
      <c r="AD499" s="80">
        <v>2536.0</v>
      </c>
      <c r="AE499" s="80">
        <v>-92.0</v>
      </c>
    </row>
    <row r="500">
      <c r="A500" s="80">
        <f>'SAMLET_alle regnskab'!B509</f>
        <v>37</v>
      </c>
      <c r="B500" s="80">
        <f>'SAMLET_alle regnskab'!A509</f>
        <v>22</v>
      </c>
      <c r="C500" s="80">
        <f>'SAMLET_alle regnskab'!U509</f>
        <v>12</v>
      </c>
      <c r="D500" s="80">
        <f>'SAMLET_alle regnskab'!V509</f>
        <v>-12</v>
      </c>
      <c r="E500" s="80">
        <f>'SAMLET_alle regnskab'!W509</f>
        <v>12</v>
      </c>
      <c r="F500" s="80">
        <f>'SAMLET_alle regnskab'!X509</f>
        <v>-12</v>
      </c>
      <c r="H500" s="80">
        <f t="shared" si="7"/>
        <v>22</v>
      </c>
      <c r="I500" s="80">
        <f t="shared" ref="I500:L500" si="1492">I499+C500</f>
        <v>688</v>
      </c>
      <c r="J500" s="80">
        <f t="shared" si="1492"/>
        <v>-2084</v>
      </c>
      <c r="K500" s="80">
        <f t="shared" si="1492"/>
        <v>834</v>
      </c>
      <c r="L500" s="80">
        <f t="shared" si="1492"/>
        <v>562</v>
      </c>
      <c r="N500" s="80">
        <f t="shared" si="25"/>
        <v>22</v>
      </c>
      <c r="O500" s="80">
        <f t="shared" ref="O500:R500" si="1493">O499+I493</f>
        <v>193812</v>
      </c>
      <c r="P500" s="80">
        <f t="shared" si="1493"/>
        <v>-403840</v>
      </c>
      <c r="Q500" s="80">
        <f t="shared" si="1493"/>
        <v>134388</v>
      </c>
      <c r="R500" s="80">
        <f t="shared" si="1493"/>
        <v>75640</v>
      </c>
      <c r="T500" s="80">
        <v>22.0</v>
      </c>
      <c r="U500" s="80">
        <f t="shared" ref="U500:X500" si="1494">U499+C493</f>
        <v>582</v>
      </c>
      <c r="V500" s="80">
        <f t="shared" si="1494"/>
        <v>-3130</v>
      </c>
      <c r="W500" s="80">
        <f t="shared" si="1494"/>
        <v>2520</v>
      </c>
      <c r="X500" s="80">
        <f t="shared" si="1494"/>
        <v>-76</v>
      </c>
      <c r="Z500" s="80">
        <v>22.0</v>
      </c>
      <c r="AA500" s="10">
        <v>45199.0</v>
      </c>
      <c r="AB500" s="80">
        <v>582.0</v>
      </c>
      <c r="AC500" s="80">
        <v>-3130.0</v>
      </c>
      <c r="AD500" s="80">
        <v>2520.0</v>
      </c>
      <c r="AE500" s="80">
        <v>-76.0</v>
      </c>
    </row>
    <row r="501">
      <c r="A501" s="80">
        <f>'SAMLET_alle regnskab'!B510</f>
        <v>38</v>
      </c>
      <c r="B501" s="80">
        <f>'SAMLET_alle regnskab'!A510</f>
        <v>22</v>
      </c>
      <c r="C501" s="80">
        <f>'SAMLET_alle regnskab'!U510</f>
        <v>-8</v>
      </c>
      <c r="D501" s="80">
        <f>'SAMLET_alle regnskab'!V510</f>
        <v>8</v>
      </c>
      <c r="E501" s="80">
        <f>'SAMLET_alle regnskab'!W510</f>
        <v>-8</v>
      </c>
      <c r="F501" s="80">
        <f>'SAMLET_alle regnskab'!X510</f>
        <v>8</v>
      </c>
      <c r="H501" s="80">
        <f t="shared" si="7"/>
        <v>22</v>
      </c>
      <c r="I501" s="80">
        <f t="shared" ref="I501:L501" si="1495">I500+C501</f>
        <v>680</v>
      </c>
      <c r="J501" s="80">
        <f t="shared" si="1495"/>
        <v>-2076</v>
      </c>
      <c r="K501" s="80">
        <f t="shared" si="1495"/>
        <v>826</v>
      </c>
      <c r="L501" s="80">
        <f t="shared" si="1495"/>
        <v>570</v>
      </c>
      <c r="N501" s="80">
        <f t="shared" si="25"/>
        <v>22</v>
      </c>
      <c r="O501" s="80">
        <f t="shared" ref="O501:R501" si="1496">O500+I494</f>
        <v>194560</v>
      </c>
      <c r="P501" s="80">
        <f t="shared" si="1496"/>
        <v>-406000</v>
      </c>
      <c r="Q501" s="80">
        <f t="shared" si="1496"/>
        <v>135202</v>
      </c>
      <c r="R501" s="80">
        <f t="shared" si="1496"/>
        <v>76238</v>
      </c>
      <c r="T501" s="80">
        <v>22.0</v>
      </c>
      <c r="U501" s="80">
        <f t="shared" ref="U501:X501" si="1497">U500+C494</f>
        <v>590</v>
      </c>
      <c r="V501" s="80">
        <f t="shared" si="1497"/>
        <v>-3122</v>
      </c>
      <c r="W501" s="80">
        <f t="shared" si="1497"/>
        <v>2528</v>
      </c>
      <c r="X501" s="80">
        <f t="shared" si="1497"/>
        <v>-100</v>
      </c>
      <c r="Z501" s="80">
        <v>22.0</v>
      </c>
      <c r="AA501" s="10">
        <v>45199.0</v>
      </c>
      <c r="AB501" s="80">
        <v>590.0</v>
      </c>
      <c r="AC501" s="80">
        <v>-3122.0</v>
      </c>
      <c r="AD501" s="80">
        <v>2528.0</v>
      </c>
      <c r="AE501" s="80">
        <v>-100.0</v>
      </c>
    </row>
    <row r="502">
      <c r="A502" s="80">
        <f>'SAMLET_alle regnskab'!B511</f>
        <v>39</v>
      </c>
      <c r="B502" s="80">
        <f>'SAMLET_alle regnskab'!A511</f>
        <v>22</v>
      </c>
      <c r="C502" s="80">
        <f>'SAMLET_alle regnskab'!U511</f>
        <v>-48</v>
      </c>
      <c r="D502" s="80">
        <f>'SAMLET_alle regnskab'!V511</f>
        <v>-48</v>
      </c>
      <c r="E502" s="80">
        <f>'SAMLET_alle regnskab'!W511</f>
        <v>48</v>
      </c>
      <c r="F502" s="80">
        <f>'SAMLET_alle regnskab'!X511</f>
        <v>48</v>
      </c>
      <c r="H502" s="80">
        <f t="shared" si="7"/>
        <v>22</v>
      </c>
      <c r="I502" s="80">
        <f t="shared" ref="I502:L502" si="1498">I501+C502</f>
        <v>632</v>
      </c>
      <c r="J502" s="80">
        <f t="shared" si="1498"/>
        <v>-2124</v>
      </c>
      <c r="K502" s="80">
        <f t="shared" si="1498"/>
        <v>874</v>
      </c>
      <c r="L502" s="80">
        <f t="shared" si="1498"/>
        <v>618</v>
      </c>
      <c r="N502" s="80">
        <f t="shared" si="25"/>
        <v>22</v>
      </c>
      <c r="O502" s="80">
        <f t="shared" ref="O502:R502" si="1499">O501+I495</f>
        <v>195348</v>
      </c>
      <c r="P502" s="80">
        <f t="shared" si="1499"/>
        <v>-408120</v>
      </c>
      <c r="Q502" s="80">
        <f t="shared" si="1499"/>
        <v>135976</v>
      </c>
      <c r="R502" s="80">
        <f t="shared" si="1499"/>
        <v>76796</v>
      </c>
      <c r="T502" s="80">
        <v>22.0</v>
      </c>
      <c r="U502" s="80">
        <f t="shared" ref="U502:X502" si="1500">U501+C495</f>
        <v>630</v>
      </c>
      <c r="V502" s="80">
        <f t="shared" si="1500"/>
        <v>-3082</v>
      </c>
      <c r="W502" s="80">
        <f t="shared" si="1500"/>
        <v>2488</v>
      </c>
      <c r="X502" s="80">
        <f t="shared" si="1500"/>
        <v>-140</v>
      </c>
      <c r="Z502" s="80">
        <v>22.0</v>
      </c>
      <c r="AA502" s="10">
        <v>45199.0</v>
      </c>
      <c r="AB502" s="80">
        <v>630.0</v>
      </c>
      <c r="AC502" s="80">
        <v>-3082.0</v>
      </c>
      <c r="AD502" s="80">
        <v>2488.0</v>
      </c>
      <c r="AE502" s="80">
        <v>-140.0</v>
      </c>
    </row>
    <row r="503">
      <c r="A503" s="28">
        <f>'SAMLET_alle regnskab'!B512</f>
        <v>1</v>
      </c>
      <c r="B503" s="80">
        <f>'SAMLET_alle regnskab'!A512</f>
        <v>23</v>
      </c>
      <c r="C503" s="28">
        <f>'SAMLET_alle regnskab'!U512</f>
        <v>6</v>
      </c>
      <c r="D503" s="28">
        <f>'SAMLET_alle regnskab'!V512</f>
        <v>-6</v>
      </c>
      <c r="E503" s="28">
        <f>'SAMLET_alle regnskab'!W512</f>
        <v>6</v>
      </c>
      <c r="F503" s="28">
        <f>'SAMLET_alle regnskab'!X512</f>
        <v>-6</v>
      </c>
      <c r="H503" s="80">
        <f t="shared" si="7"/>
        <v>23</v>
      </c>
      <c r="I503" s="80">
        <f t="shared" ref="I503:L503" si="1501">I502+C503</f>
        <v>638</v>
      </c>
      <c r="J503" s="80">
        <f t="shared" si="1501"/>
        <v>-2130</v>
      </c>
      <c r="K503" s="80">
        <f t="shared" si="1501"/>
        <v>880</v>
      </c>
      <c r="L503" s="80">
        <f t="shared" si="1501"/>
        <v>612</v>
      </c>
      <c r="N503" s="80">
        <f t="shared" si="25"/>
        <v>22</v>
      </c>
      <c r="O503" s="80">
        <f t="shared" ref="O503:R503" si="1502">O502+I496</f>
        <v>196104</v>
      </c>
      <c r="P503" s="80">
        <f t="shared" si="1502"/>
        <v>-410272</v>
      </c>
      <c r="Q503" s="80">
        <f t="shared" si="1502"/>
        <v>136782</v>
      </c>
      <c r="R503" s="80">
        <f t="shared" si="1502"/>
        <v>77386</v>
      </c>
      <c r="T503" s="80">
        <v>22.0</v>
      </c>
      <c r="U503" s="80">
        <f t="shared" ref="U503:X503" si="1503">U502+C496</f>
        <v>598</v>
      </c>
      <c r="V503" s="80">
        <f t="shared" si="1503"/>
        <v>-3114</v>
      </c>
      <c r="W503" s="80">
        <f t="shared" si="1503"/>
        <v>2520</v>
      </c>
      <c r="X503" s="80">
        <f t="shared" si="1503"/>
        <v>-108</v>
      </c>
      <c r="Z503" s="80">
        <v>22.0</v>
      </c>
      <c r="AA503" s="10">
        <v>45199.0</v>
      </c>
      <c r="AB503" s="80">
        <v>630.0</v>
      </c>
      <c r="AC503" s="80">
        <v>-3082.0</v>
      </c>
      <c r="AD503" s="80">
        <v>2488.0</v>
      </c>
      <c r="AE503" s="80">
        <v>-140.0</v>
      </c>
    </row>
    <row r="504">
      <c r="A504" s="28">
        <f>'SAMLET_alle regnskab'!B513</f>
        <v>2</v>
      </c>
      <c r="B504" s="80">
        <f>'SAMLET_alle regnskab'!A513</f>
        <v>23</v>
      </c>
      <c r="C504" s="28">
        <f>'SAMLET_alle regnskab'!U513</f>
        <v>-20</v>
      </c>
      <c r="D504" s="28">
        <f>'SAMLET_alle regnskab'!V513</f>
        <v>-20</v>
      </c>
      <c r="E504" s="28">
        <f>'SAMLET_alle regnskab'!W513</f>
        <v>20</v>
      </c>
      <c r="F504" s="28">
        <f>'SAMLET_alle regnskab'!X513</f>
        <v>20</v>
      </c>
      <c r="H504" s="80">
        <f t="shared" si="7"/>
        <v>23</v>
      </c>
      <c r="I504" s="80">
        <f t="shared" ref="I504:L504" si="1504">I503+C504</f>
        <v>618</v>
      </c>
      <c r="J504" s="80">
        <f t="shared" si="1504"/>
        <v>-2150</v>
      </c>
      <c r="K504" s="80">
        <f t="shared" si="1504"/>
        <v>900</v>
      </c>
      <c r="L504" s="80">
        <f t="shared" si="1504"/>
        <v>632</v>
      </c>
      <c r="N504" s="80">
        <f t="shared" si="25"/>
        <v>22</v>
      </c>
      <c r="O504" s="80">
        <f t="shared" ref="O504:R504" si="1505">O503+I497</f>
        <v>196788</v>
      </c>
      <c r="P504" s="80">
        <f t="shared" si="1505"/>
        <v>-412400</v>
      </c>
      <c r="Q504" s="80">
        <f t="shared" si="1505"/>
        <v>137612</v>
      </c>
      <c r="R504" s="80">
        <f t="shared" si="1505"/>
        <v>78000</v>
      </c>
      <c r="T504" s="80">
        <v>22.0</v>
      </c>
      <c r="U504" s="80">
        <f t="shared" ref="U504:X504" si="1506">U503+C497</f>
        <v>526</v>
      </c>
      <c r="V504" s="80">
        <f t="shared" si="1506"/>
        <v>-3090</v>
      </c>
      <c r="W504" s="80">
        <f t="shared" si="1506"/>
        <v>2544</v>
      </c>
      <c r="X504" s="80">
        <f t="shared" si="1506"/>
        <v>-84</v>
      </c>
      <c r="Z504" s="80">
        <v>22.0</v>
      </c>
      <c r="AA504" s="10">
        <v>45199.0</v>
      </c>
      <c r="AB504" s="80">
        <v>630.0</v>
      </c>
      <c r="AC504" s="80">
        <v>-3082.0</v>
      </c>
      <c r="AD504" s="80">
        <v>2488.0</v>
      </c>
      <c r="AE504" s="80">
        <v>-140.0</v>
      </c>
    </row>
    <row r="505">
      <c r="A505" s="28">
        <f>'SAMLET_alle regnskab'!B514</f>
        <v>3</v>
      </c>
      <c r="B505" s="80">
        <f>'SAMLET_alle regnskab'!A514</f>
        <v>23</v>
      </c>
      <c r="C505" s="28">
        <f>'SAMLET_alle regnskab'!U514</f>
        <v>64</v>
      </c>
      <c r="D505" s="28">
        <f>'SAMLET_alle regnskab'!V514</f>
        <v>-64</v>
      </c>
      <c r="E505" s="28">
        <f>'SAMLET_alle regnskab'!W514</f>
        <v>64</v>
      </c>
      <c r="F505" s="28">
        <f>'SAMLET_alle regnskab'!X514</f>
        <v>-64</v>
      </c>
      <c r="H505" s="80">
        <f t="shared" si="7"/>
        <v>23</v>
      </c>
      <c r="I505" s="80">
        <f t="shared" ref="I505:L505" si="1507">I504+C505</f>
        <v>682</v>
      </c>
      <c r="J505" s="80">
        <f t="shared" si="1507"/>
        <v>-2214</v>
      </c>
      <c r="K505" s="80">
        <f t="shared" si="1507"/>
        <v>964</v>
      </c>
      <c r="L505" s="80">
        <f t="shared" si="1507"/>
        <v>568</v>
      </c>
      <c r="N505" s="80">
        <f t="shared" si="25"/>
        <v>22</v>
      </c>
      <c r="O505" s="80">
        <f t="shared" ref="O505:R505" si="1508">O504+I498</f>
        <v>197456</v>
      </c>
      <c r="P505" s="80">
        <f t="shared" si="1508"/>
        <v>-414480</v>
      </c>
      <c r="Q505" s="80">
        <f t="shared" si="1508"/>
        <v>138426</v>
      </c>
      <c r="R505" s="80">
        <f t="shared" si="1508"/>
        <v>78598</v>
      </c>
      <c r="T505" s="80">
        <v>22.0</v>
      </c>
      <c r="U505" s="80">
        <f t="shared" ref="U505:X505" si="1509">U504+C498</f>
        <v>510</v>
      </c>
      <c r="V505" s="80">
        <f t="shared" si="1509"/>
        <v>-3042</v>
      </c>
      <c r="W505" s="80">
        <f t="shared" si="1509"/>
        <v>2528</v>
      </c>
      <c r="X505" s="80">
        <f t="shared" si="1509"/>
        <v>-100</v>
      </c>
      <c r="Z505" s="80">
        <v>22.0</v>
      </c>
      <c r="AA505" s="10">
        <v>45199.0</v>
      </c>
      <c r="AB505" s="80">
        <v>630.0</v>
      </c>
      <c r="AC505" s="80">
        <v>-3082.0</v>
      </c>
      <c r="AD505" s="80">
        <v>2488.0</v>
      </c>
      <c r="AE505" s="80">
        <v>-140.0</v>
      </c>
    </row>
    <row r="506">
      <c r="A506" s="28">
        <f>'SAMLET_alle regnskab'!B515</f>
        <v>4</v>
      </c>
      <c r="B506" s="80">
        <f>'SAMLET_alle regnskab'!A515</f>
        <v>23</v>
      </c>
      <c r="C506" s="28">
        <f>'SAMLET_alle regnskab'!U515</f>
        <v>-32</v>
      </c>
      <c r="D506" s="28">
        <f>'SAMLET_alle regnskab'!V515</f>
        <v>-32</v>
      </c>
      <c r="E506" s="28">
        <f>'SAMLET_alle regnskab'!W515</f>
        <v>32</v>
      </c>
      <c r="F506" s="28">
        <f>'SAMLET_alle regnskab'!X515</f>
        <v>32</v>
      </c>
      <c r="H506" s="80">
        <f t="shared" si="7"/>
        <v>23</v>
      </c>
      <c r="I506" s="80">
        <f t="shared" ref="I506:L506" si="1510">I505+C506</f>
        <v>650</v>
      </c>
      <c r="J506" s="80">
        <f t="shared" si="1510"/>
        <v>-2246</v>
      </c>
      <c r="K506" s="80">
        <f t="shared" si="1510"/>
        <v>996</v>
      </c>
      <c r="L506" s="80">
        <f t="shared" si="1510"/>
        <v>600</v>
      </c>
      <c r="N506" s="80">
        <f t="shared" si="25"/>
        <v>22</v>
      </c>
      <c r="O506" s="80">
        <f t="shared" ref="O506:R506" si="1511">O505+I499</f>
        <v>198132</v>
      </c>
      <c r="P506" s="80">
        <f t="shared" si="1511"/>
        <v>-416552</v>
      </c>
      <c r="Q506" s="80">
        <f t="shared" si="1511"/>
        <v>139248</v>
      </c>
      <c r="R506" s="80">
        <f t="shared" si="1511"/>
        <v>79172</v>
      </c>
      <c r="T506" s="80">
        <v>22.0</v>
      </c>
      <c r="U506" s="80">
        <f t="shared" ref="U506:X506" si="1512">U505+C499</f>
        <v>518</v>
      </c>
      <c r="V506" s="80">
        <f t="shared" si="1512"/>
        <v>-3034</v>
      </c>
      <c r="W506" s="80">
        <f t="shared" si="1512"/>
        <v>2536</v>
      </c>
      <c r="X506" s="80">
        <f t="shared" si="1512"/>
        <v>-124</v>
      </c>
      <c r="Z506" s="80">
        <v>22.0</v>
      </c>
      <c r="AA506" s="10">
        <v>45199.0</v>
      </c>
      <c r="AB506" s="80">
        <v>630.0</v>
      </c>
      <c r="AC506" s="80">
        <v>-3082.0</v>
      </c>
      <c r="AD506" s="80">
        <v>2488.0</v>
      </c>
      <c r="AE506" s="80">
        <v>-140.0</v>
      </c>
    </row>
    <row r="507">
      <c r="A507" s="28">
        <f>'SAMLET_alle regnskab'!B516</f>
        <v>5</v>
      </c>
      <c r="B507" s="80">
        <f>'SAMLET_alle regnskab'!A516</f>
        <v>23</v>
      </c>
      <c r="C507" s="28">
        <f>'SAMLET_alle regnskab'!U516</f>
        <v>12</v>
      </c>
      <c r="D507" s="28">
        <f>'SAMLET_alle regnskab'!V516</f>
        <v>-12</v>
      </c>
      <c r="E507" s="28">
        <f>'SAMLET_alle regnskab'!W516</f>
        <v>12</v>
      </c>
      <c r="F507" s="28">
        <f>'SAMLET_alle regnskab'!X516</f>
        <v>-12</v>
      </c>
      <c r="H507" s="80">
        <f t="shared" si="7"/>
        <v>23</v>
      </c>
      <c r="I507" s="80">
        <f t="shared" ref="I507:L507" si="1513">I506+C507</f>
        <v>662</v>
      </c>
      <c r="J507" s="80">
        <f t="shared" si="1513"/>
        <v>-2258</v>
      </c>
      <c r="K507" s="80">
        <f t="shared" si="1513"/>
        <v>1008</v>
      </c>
      <c r="L507" s="80">
        <f t="shared" si="1513"/>
        <v>588</v>
      </c>
      <c r="N507" s="80">
        <f t="shared" si="25"/>
        <v>22</v>
      </c>
      <c r="O507" s="80">
        <f t="shared" ref="O507:R507" si="1514">O506+I500</f>
        <v>198820</v>
      </c>
      <c r="P507" s="80">
        <f t="shared" si="1514"/>
        <v>-418636</v>
      </c>
      <c r="Q507" s="80">
        <f t="shared" si="1514"/>
        <v>140082</v>
      </c>
      <c r="R507" s="80">
        <f t="shared" si="1514"/>
        <v>79734</v>
      </c>
      <c r="T507" s="80">
        <v>22.0</v>
      </c>
      <c r="U507" s="80">
        <f t="shared" ref="U507:X507" si="1515">U506+C500</f>
        <v>530</v>
      </c>
      <c r="V507" s="80">
        <f t="shared" si="1515"/>
        <v>-3046</v>
      </c>
      <c r="W507" s="80">
        <f t="shared" si="1515"/>
        <v>2548</v>
      </c>
      <c r="X507" s="80">
        <f t="shared" si="1515"/>
        <v>-136</v>
      </c>
      <c r="Z507" s="80">
        <v>22.0</v>
      </c>
      <c r="AA507" s="10">
        <v>45199.0</v>
      </c>
      <c r="AB507" s="80">
        <v>630.0</v>
      </c>
      <c r="AC507" s="80">
        <v>-3082.0</v>
      </c>
      <c r="AD507" s="80">
        <v>2488.0</v>
      </c>
      <c r="AE507" s="80">
        <v>-140.0</v>
      </c>
    </row>
    <row r="508">
      <c r="A508" s="28">
        <f>'SAMLET_alle regnskab'!B517</f>
        <v>6</v>
      </c>
      <c r="B508" s="80">
        <f>'SAMLET_alle regnskab'!A517</f>
        <v>23</v>
      </c>
      <c r="C508" s="28">
        <f>'SAMLET_alle regnskab'!U517</f>
        <v>4</v>
      </c>
      <c r="D508" s="28">
        <f>'SAMLET_alle regnskab'!V517</f>
        <v>-12</v>
      </c>
      <c r="E508" s="28">
        <f>'SAMLET_alle regnskab'!W517</f>
        <v>4</v>
      </c>
      <c r="F508" s="28">
        <f>'SAMLET_alle regnskab'!X517</f>
        <v>4</v>
      </c>
      <c r="H508" s="80">
        <f t="shared" si="7"/>
        <v>23</v>
      </c>
      <c r="I508" s="80">
        <f t="shared" ref="I508:L508" si="1516">I507+C508</f>
        <v>666</v>
      </c>
      <c r="J508" s="80">
        <f t="shared" si="1516"/>
        <v>-2270</v>
      </c>
      <c r="K508" s="80">
        <f t="shared" si="1516"/>
        <v>1012</v>
      </c>
      <c r="L508" s="80">
        <f t="shared" si="1516"/>
        <v>592</v>
      </c>
      <c r="N508" s="80">
        <f t="shared" si="25"/>
        <v>22</v>
      </c>
      <c r="O508" s="80">
        <f t="shared" ref="O508:R508" si="1517">O507+I501</f>
        <v>199500</v>
      </c>
      <c r="P508" s="80">
        <f t="shared" si="1517"/>
        <v>-420712</v>
      </c>
      <c r="Q508" s="80">
        <f t="shared" si="1517"/>
        <v>140908</v>
      </c>
      <c r="R508" s="80">
        <f t="shared" si="1517"/>
        <v>80304</v>
      </c>
      <c r="T508" s="80">
        <v>22.0</v>
      </c>
      <c r="U508" s="80">
        <f t="shared" ref="U508:X508" si="1518">U507+C501</f>
        <v>522</v>
      </c>
      <c r="V508" s="80">
        <f t="shared" si="1518"/>
        <v>-3038</v>
      </c>
      <c r="W508" s="80">
        <f t="shared" si="1518"/>
        <v>2540</v>
      </c>
      <c r="X508" s="80">
        <f t="shared" si="1518"/>
        <v>-128</v>
      </c>
      <c r="Z508" s="80">
        <v>22.0</v>
      </c>
      <c r="AA508" s="10">
        <v>45199.0</v>
      </c>
      <c r="AB508" s="80">
        <v>630.0</v>
      </c>
      <c r="AC508" s="80">
        <v>-3082.0</v>
      </c>
      <c r="AD508" s="80">
        <v>2488.0</v>
      </c>
      <c r="AE508" s="80">
        <v>-140.0</v>
      </c>
    </row>
    <row r="509">
      <c r="A509" s="28">
        <f>'SAMLET_alle regnskab'!B518</f>
        <v>7</v>
      </c>
      <c r="B509" s="80">
        <f>'SAMLET_alle regnskab'!A518</f>
        <v>23</v>
      </c>
      <c r="C509" s="28">
        <f>'SAMLET_alle regnskab'!U518</f>
        <v>-40</v>
      </c>
      <c r="D509" s="28">
        <f>'SAMLET_alle regnskab'!V518</f>
        <v>-40</v>
      </c>
      <c r="E509" s="28">
        <f>'SAMLET_alle regnskab'!W518</f>
        <v>40</v>
      </c>
      <c r="F509" s="28">
        <f>'SAMLET_alle regnskab'!X518</f>
        <v>40</v>
      </c>
      <c r="H509" s="80">
        <f t="shared" si="7"/>
        <v>23</v>
      </c>
      <c r="I509" s="80">
        <f t="shared" ref="I509:L509" si="1519">I508+C509</f>
        <v>626</v>
      </c>
      <c r="J509" s="80">
        <f t="shared" si="1519"/>
        <v>-2310</v>
      </c>
      <c r="K509" s="80">
        <f t="shared" si="1519"/>
        <v>1052</v>
      </c>
      <c r="L509" s="80">
        <f t="shared" si="1519"/>
        <v>632</v>
      </c>
      <c r="N509" s="80">
        <f t="shared" si="25"/>
        <v>22</v>
      </c>
      <c r="O509" s="80">
        <f t="shared" ref="O509:R509" si="1520">O508+I502</f>
        <v>200132</v>
      </c>
      <c r="P509" s="80">
        <f t="shared" si="1520"/>
        <v>-422836</v>
      </c>
      <c r="Q509" s="80">
        <f t="shared" si="1520"/>
        <v>141782</v>
      </c>
      <c r="R509" s="80">
        <f t="shared" si="1520"/>
        <v>80922</v>
      </c>
      <c r="T509" s="80">
        <v>22.0</v>
      </c>
      <c r="U509" s="80">
        <f t="shared" ref="U509:X509" si="1521">U508+C502</f>
        <v>474</v>
      </c>
      <c r="V509" s="80">
        <f t="shared" si="1521"/>
        <v>-3086</v>
      </c>
      <c r="W509" s="80">
        <f t="shared" si="1521"/>
        <v>2588</v>
      </c>
      <c r="X509" s="80">
        <f t="shared" si="1521"/>
        <v>-80</v>
      </c>
      <c r="Z509" s="80">
        <v>22.0</v>
      </c>
      <c r="AA509" s="10">
        <v>45199.0</v>
      </c>
      <c r="AB509" s="80">
        <v>630.0</v>
      </c>
      <c r="AC509" s="80">
        <v>-3082.0</v>
      </c>
      <c r="AD509" s="80">
        <v>2488.0</v>
      </c>
      <c r="AE509" s="80">
        <v>-140.0</v>
      </c>
    </row>
    <row r="510">
      <c r="A510" s="28">
        <f>'SAMLET_alle regnskab'!B519</f>
        <v>8</v>
      </c>
      <c r="B510" s="80">
        <f>'SAMLET_alle regnskab'!A519</f>
        <v>23</v>
      </c>
      <c r="C510" s="28">
        <f>'SAMLET_alle regnskab'!U519</f>
        <v>-8</v>
      </c>
      <c r="D510" s="28">
        <f>'SAMLET_alle regnskab'!V519</f>
        <v>24</v>
      </c>
      <c r="E510" s="28">
        <f>'SAMLET_alle regnskab'!W519</f>
        <v>-8</v>
      </c>
      <c r="F510" s="28">
        <f>'SAMLET_alle regnskab'!X519</f>
        <v>-8</v>
      </c>
      <c r="H510" s="80">
        <f t="shared" si="7"/>
        <v>23</v>
      </c>
      <c r="I510" s="80">
        <f t="shared" ref="I510:L510" si="1522">I509+C510</f>
        <v>618</v>
      </c>
      <c r="J510" s="80">
        <f t="shared" si="1522"/>
        <v>-2286</v>
      </c>
      <c r="K510" s="80">
        <f t="shared" si="1522"/>
        <v>1044</v>
      </c>
      <c r="L510" s="80">
        <f t="shared" si="1522"/>
        <v>624</v>
      </c>
      <c r="N510" s="80">
        <f t="shared" si="25"/>
        <v>23</v>
      </c>
      <c r="O510" s="80">
        <f t="shared" ref="O510:R510" si="1523">O509+I503</f>
        <v>200770</v>
      </c>
      <c r="P510" s="80">
        <f t="shared" si="1523"/>
        <v>-424966</v>
      </c>
      <c r="Q510" s="80">
        <f t="shared" si="1523"/>
        <v>142662</v>
      </c>
      <c r="R510" s="80">
        <f t="shared" si="1523"/>
        <v>81534</v>
      </c>
      <c r="T510" s="80">
        <v>22.0</v>
      </c>
      <c r="U510" s="80">
        <f t="shared" ref="U510:X510" si="1524">U509+C503</f>
        <v>480</v>
      </c>
      <c r="V510" s="80">
        <f t="shared" si="1524"/>
        <v>-3092</v>
      </c>
      <c r="W510" s="80">
        <f t="shared" si="1524"/>
        <v>2594</v>
      </c>
      <c r="X510" s="80">
        <f t="shared" si="1524"/>
        <v>-86</v>
      </c>
      <c r="Z510" s="80">
        <v>22.0</v>
      </c>
      <c r="AA510" s="10">
        <v>45199.0</v>
      </c>
      <c r="AB510" s="80">
        <v>630.0</v>
      </c>
      <c r="AC510" s="80">
        <v>-3082.0</v>
      </c>
      <c r="AD510" s="80">
        <v>2488.0</v>
      </c>
      <c r="AE510" s="80">
        <v>-140.0</v>
      </c>
    </row>
    <row r="511">
      <c r="A511" s="28">
        <f>'SAMLET_alle regnskab'!B520</f>
        <v>9</v>
      </c>
      <c r="B511" s="80">
        <f>'SAMLET_alle regnskab'!A520</f>
        <v>23</v>
      </c>
      <c r="C511" s="28">
        <f>'SAMLET_alle regnskab'!U520</f>
        <v>-24</v>
      </c>
      <c r="D511" s="28">
        <f>'SAMLET_alle regnskab'!V520</f>
        <v>24</v>
      </c>
      <c r="E511" s="28">
        <f>'SAMLET_alle regnskab'!W520</f>
        <v>-24</v>
      </c>
      <c r="F511" s="28">
        <f>'SAMLET_alle regnskab'!X520</f>
        <v>24</v>
      </c>
      <c r="H511" s="80">
        <f t="shared" si="7"/>
        <v>23</v>
      </c>
      <c r="I511" s="80">
        <f t="shared" ref="I511:L511" si="1525">I510+C511</f>
        <v>594</v>
      </c>
      <c r="J511" s="80">
        <f t="shared" si="1525"/>
        <v>-2262</v>
      </c>
      <c r="K511" s="80">
        <f t="shared" si="1525"/>
        <v>1020</v>
      </c>
      <c r="L511" s="80">
        <f t="shared" si="1525"/>
        <v>648</v>
      </c>
      <c r="N511" s="80">
        <f t="shared" si="25"/>
        <v>23</v>
      </c>
      <c r="O511" s="80">
        <f t="shared" ref="O511:R511" si="1526">O510+I504</f>
        <v>201388</v>
      </c>
      <c r="P511" s="80">
        <f t="shared" si="1526"/>
        <v>-427116</v>
      </c>
      <c r="Q511" s="80">
        <f t="shared" si="1526"/>
        <v>143562</v>
      </c>
      <c r="R511" s="80">
        <f t="shared" si="1526"/>
        <v>82166</v>
      </c>
      <c r="T511" s="80">
        <v>22.0</v>
      </c>
      <c r="U511" s="80">
        <f t="shared" ref="U511:X511" si="1527">U510+C504</f>
        <v>460</v>
      </c>
      <c r="V511" s="80">
        <f t="shared" si="1527"/>
        <v>-3112</v>
      </c>
      <c r="W511" s="80">
        <f t="shared" si="1527"/>
        <v>2614</v>
      </c>
      <c r="X511" s="80">
        <f t="shared" si="1527"/>
        <v>-66</v>
      </c>
      <c r="Z511" s="80">
        <v>22.0</v>
      </c>
      <c r="AA511" s="10">
        <v>45199.0</v>
      </c>
      <c r="AB511" s="80">
        <v>630.0</v>
      </c>
      <c r="AC511" s="80">
        <v>-3082.0</v>
      </c>
      <c r="AD511" s="80">
        <v>2488.0</v>
      </c>
      <c r="AE511" s="80">
        <v>-140.0</v>
      </c>
    </row>
    <row r="512">
      <c r="A512" s="28">
        <f>'SAMLET_alle regnskab'!B521</f>
        <v>10</v>
      </c>
      <c r="B512" s="80">
        <f>'SAMLET_alle regnskab'!A521</f>
        <v>23</v>
      </c>
      <c r="C512" s="28">
        <f>'SAMLET_alle regnskab'!U521</f>
        <v>0</v>
      </c>
      <c r="D512" s="28">
        <f>'SAMLET_alle regnskab'!V521</f>
        <v>12</v>
      </c>
      <c r="E512" s="28">
        <f>'SAMLET_alle regnskab'!W521</f>
        <v>-12</v>
      </c>
      <c r="F512" s="28">
        <f>'SAMLET_alle regnskab'!X521</f>
        <v>0</v>
      </c>
      <c r="H512" s="80">
        <f t="shared" si="7"/>
        <v>23</v>
      </c>
      <c r="I512" s="80">
        <f t="shared" ref="I512:L512" si="1528">I511+C512</f>
        <v>594</v>
      </c>
      <c r="J512" s="80">
        <f t="shared" si="1528"/>
        <v>-2250</v>
      </c>
      <c r="K512" s="80">
        <f t="shared" si="1528"/>
        <v>1008</v>
      </c>
      <c r="L512" s="80">
        <f t="shared" si="1528"/>
        <v>648</v>
      </c>
      <c r="N512" s="80">
        <f t="shared" si="25"/>
        <v>23</v>
      </c>
      <c r="O512" s="80">
        <f t="shared" ref="O512:R512" si="1529">O511+I505</f>
        <v>202070</v>
      </c>
      <c r="P512" s="80">
        <f t="shared" si="1529"/>
        <v>-429330</v>
      </c>
      <c r="Q512" s="80">
        <f t="shared" si="1529"/>
        <v>144526</v>
      </c>
      <c r="R512" s="80">
        <f t="shared" si="1529"/>
        <v>82734</v>
      </c>
      <c r="T512" s="80">
        <v>22.0</v>
      </c>
      <c r="U512" s="80">
        <f t="shared" ref="U512:X512" si="1530">U511+C505</f>
        <v>524</v>
      </c>
      <c r="V512" s="80">
        <f t="shared" si="1530"/>
        <v>-3176</v>
      </c>
      <c r="W512" s="80">
        <f t="shared" si="1530"/>
        <v>2678</v>
      </c>
      <c r="X512" s="80">
        <f t="shared" si="1530"/>
        <v>-130</v>
      </c>
      <c r="Z512" s="80">
        <v>22.0</v>
      </c>
      <c r="AA512" s="10">
        <v>45199.0</v>
      </c>
      <c r="AB512" s="80">
        <v>630.0</v>
      </c>
      <c r="AC512" s="80">
        <v>-3082.0</v>
      </c>
      <c r="AD512" s="80">
        <v>2488.0</v>
      </c>
      <c r="AE512" s="80">
        <v>-140.0</v>
      </c>
    </row>
    <row r="513">
      <c r="A513" s="28">
        <f>'SAMLET_alle regnskab'!B522</f>
        <v>11</v>
      </c>
      <c r="B513" s="80">
        <f>'SAMLET_alle regnskab'!A522</f>
        <v>23</v>
      </c>
      <c r="C513" s="28">
        <f>'SAMLET_alle regnskab'!U522</f>
        <v>16</v>
      </c>
      <c r="D513" s="28">
        <f>'SAMLET_alle regnskab'!V522</f>
        <v>16</v>
      </c>
      <c r="E513" s="28">
        <f>'SAMLET_alle regnskab'!W522</f>
        <v>-16</v>
      </c>
      <c r="F513" s="28">
        <f>'SAMLET_alle regnskab'!X522</f>
        <v>-16</v>
      </c>
      <c r="H513" s="80">
        <f t="shared" si="7"/>
        <v>23</v>
      </c>
      <c r="I513" s="80">
        <f t="shared" ref="I513:L513" si="1531">I512+C513</f>
        <v>610</v>
      </c>
      <c r="J513" s="80">
        <f t="shared" si="1531"/>
        <v>-2234</v>
      </c>
      <c r="K513" s="80">
        <f t="shared" si="1531"/>
        <v>992</v>
      </c>
      <c r="L513" s="80">
        <f t="shared" si="1531"/>
        <v>632</v>
      </c>
      <c r="N513" s="80">
        <f t="shared" si="25"/>
        <v>23</v>
      </c>
      <c r="O513" s="80">
        <f t="shared" ref="O513:R513" si="1532">O512+I506</f>
        <v>202720</v>
      </c>
      <c r="P513" s="80">
        <f t="shared" si="1532"/>
        <v>-431576</v>
      </c>
      <c r="Q513" s="80">
        <f t="shared" si="1532"/>
        <v>145522</v>
      </c>
      <c r="R513" s="80">
        <f t="shared" si="1532"/>
        <v>83334</v>
      </c>
      <c r="T513" s="80">
        <v>22.0</v>
      </c>
      <c r="U513" s="80">
        <f t="shared" ref="U513:X513" si="1533">U512+C506</f>
        <v>492</v>
      </c>
      <c r="V513" s="80">
        <f t="shared" si="1533"/>
        <v>-3208</v>
      </c>
      <c r="W513" s="80">
        <f t="shared" si="1533"/>
        <v>2710</v>
      </c>
      <c r="X513" s="80">
        <f t="shared" si="1533"/>
        <v>-98</v>
      </c>
      <c r="Z513" s="80">
        <v>22.0</v>
      </c>
      <c r="AA513" s="10">
        <v>45199.0</v>
      </c>
      <c r="AB513" s="80">
        <v>630.0</v>
      </c>
      <c r="AC513" s="80">
        <v>-3082.0</v>
      </c>
      <c r="AD513" s="80">
        <v>2488.0</v>
      </c>
      <c r="AE513" s="80">
        <v>-140.0</v>
      </c>
    </row>
    <row r="514">
      <c r="A514" s="28">
        <f>'SAMLET_alle regnskab'!B523</f>
        <v>12</v>
      </c>
      <c r="B514" s="80">
        <f>'SAMLET_alle regnskab'!A523</f>
        <v>23</v>
      </c>
      <c r="C514" s="28">
        <f>'SAMLET_alle regnskab'!U523</f>
        <v>-4</v>
      </c>
      <c r="D514" s="28">
        <f>'SAMLET_alle regnskab'!V523</f>
        <v>-4</v>
      </c>
      <c r="E514" s="28">
        <f>'SAMLET_alle regnskab'!W523</f>
        <v>-4</v>
      </c>
      <c r="F514" s="28">
        <f>'SAMLET_alle regnskab'!X523</f>
        <v>12</v>
      </c>
      <c r="H514" s="80">
        <f t="shared" si="7"/>
        <v>23</v>
      </c>
      <c r="I514" s="80">
        <f t="shared" ref="I514:L514" si="1534">I513+C514</f>
        <v>606</v>
      </c>
      <c r="J514" s="80">
        <f t="shared" si="1534"/>
        <v>-2238</v>
      </c>
      <c r="K514" s="80">
        <f t="shared" si="1534"/>
        <v>988</v>
      </c>
      <c r="L514" s="80">
        <f t="shared" si="1534"/>
        <v>644</v>
      </c>
      <c r="N514" s="80">
        <f t="shared" si="25"/>
        <v>23</v>
      </c>
      <c r="O514" s="80">
        <f t="shared" ref="O514:R514" si="1535">O513+I507</f>
        <v>203382</v>
      </c>
      <c r="P514" s="80">
        <f t="shared" si="1535"/>
        <v>-433834</v>
      </c>
      <c r="Q514" s="80">
        <f t="shared" si="1535"/>
        <v>146530</v>
      </c>
      <c r="R514" s="80">
        <f t="shared" si="1535"/>
        <v>83922</v>
      </c>
      <c r="T514" s="80">
        <v>22.0</v>
      </c>
      <c r="U514" s="80">
        <f t="shared" ref="U514:X514" si="1536">U513+C507</f>
        <v>504</v>
      </c>
      <c r="V514" s="80">
        <f t="shared" si="1536"/>
        <v>-3220</v>
      </c>
      <c r="W514" s="80">
        <f t="shared" si="1536"/>
        <v>2722</v>
      </c>
      <c r="X514" s="80">
        <f t="shared" si="1536"/>
        <v>-110</v>
      </c>
      <c r="Z514" s="80">
        <v>22.0</v>
      </c>
      <c r="AA514" s="10">
        <v>45199.0</v>
      </c>
      <c r="AB514" s="80">
        <v>630.0</v>
      </c>
      <c r="AC514" s="80">
        <v>-3082.0</v>
      </c>
      <c r="AD514" s="80">
        <v>2488.0</v>
      </c>
      <c r="AE514" s="80">
        <v>-140.0</v>
      </c>
    </row>
    <row r="515">
      <c r="A515" s="28">
        <f>'SAMLET_alle regnskab'!B524</f>
        <v>13</v>
      </c>
      <c r="B515" s="80">
        <f>'SAMLET_alle regnskab'!A524</f>
        <v>23</v>
      </c>
      <c r="C515" s="28">
        <f>'SAMLET_alle regnskab'!U524</f>
        <v>48</v>
      </c>
      <c r="D515" s="28">
        <f>'SAMLET_alle regnskab'!V524</f>
        <v>48</v>
      </c>
      <c r="E515" s="28">
        <f>'SAMLET_alle regnskab'!W524</f>
        <v>-48</v>
      </c>
      <c r="F515" s="28">
        <f>'SAMLET_alle regnskab'!X524</f>
        <v>-48</v>
      </c>
      <c r="H515" s="80">
        <f t="shared" si="7"/>
        <v>23</v>
      </c>
      <c r="I515" s="80">
        <f t="shared" ref="I515:L515" si="1537">I514+C515</f>
        <v>654</v>
      </c>
      <c r="J515" s="80">
        <f t="shared" si="1537"/>
        <v>-2190</v>
      </c>
      <c r="K515" s="80">
        <f t="shared" si="1537"/>
        <v>940</v>
      </c>
      <c r="L515" s="80">
        <f t="shared" si="1537"/>
        <v>596</v>
      </c>
      <c r="N515" s="80">
        <f t="shared" si="25"/>
        <v>23</v>
      </c>
      <c r="O515" s="80">
        <f t="shared" ref="O515:R515" si="1538">O514+I508</f>
        <v>204048</v>
      </c>
      <c r="P515" s="80">
        <f t="shared" si="1538"/>
        <v>-436104</v>
      </c>
      <c r="Q515" s="80">
        <f t="shared" si="1538"/>
        <v>147542</v>
      </c>
      <c r="R515" s="80">
        <f t="shared" si="1538"/>
        <v>84514</v>
      </c>
      <c r="T515" s="80">
        <v>22.0</v>
      </c>
      <c r="U515" s="80">
        <f t="shared" ref="U515:X515" si="1539">U514+C508</f>
        <v>508</v>
      </c>
      <c r="V515" s="80">
        <f t="shared" si="1539"/>
        <v>-3232</v>
      </c>
      <c r="W515" s="80">
        <f t="shared" si="1539"/>
        <v>2726</v>
      </c>
      <c r="X515" s="80">
        <f t="shared" si="1539"/>
        <v>-106</v>
      </c>
      <c r="Z515" s="80">
        <v>22.0</v>
      </c>
      <c r="AA515" s="10">
        <v>45199.0</v>
      </c>
      <c r="AB515" s="80">
        <v>630.0</v>
      </c>
      <c r="AC515" s="80">
        <v>-3082.0</v>
      </c>
      <c r="AD515" s="80">
        <v>2488.0</v>
      </c>
      <c r="AE515" s="80">
        <v>-140.0</v>
      </c>
    </row>
    <row r="516">
      <c r="A516" s="28">
        <f>'SAMLET_alle regnskab'!B525</f>
        <v>14</v>
      </c>
      <c r="B516" s="80">
        <f>'SAMLET_alle regnskab'!A525</f>
        <v>23</v>
      </c>
      <c r="C516" s="28">
        <f>'SAMLET_alle regnskab'!U525</f>
        <v>-16</v>
      </c>
      <c r="D516" s="28">
        <f>'SAMLET_alle regnskab'!V525</f>
        <v>16</v>
      </c>
      <c r="E516" s="28">
        <f>'SAMLET_alle regnskab'!W525</f>
        <v>16</v>
      </c>
      <c r="F516" s="28">
        <f>'SAMLET_alle regnskab'!X525</f>
        <v>-16</v>
      </c>
      <c r="H516" s="80">
        <f t="shared" si="7"/>
        <v>23</v>
      </c>
      <c r="I516" s="80">
        <f t="shared" ref="I516:L516" si="1540">I515+C516</f>
        <v>638</v>
      </c>
      <c r="J516" s="80">
        <f t="shared" si="1540"/>
        <v>-2174</v>
      </c>
      <c r="K516" s="80">
        <f t="shared" si="1540"/>
        <v>956</v>
      </c>
      <c r="L516" s="80">
        <f t="shared" si="1540"/>
        <v>580</v>
      </c>
      <c r="N516" s="80">
        <f t="shared" si="25"/>
        <v>23</v>
      </c>
      <c r="O516" s="80">
        <f t="shared" ref="O516:R516" si="1541">O515+I509</f>
        <v>204674</v>
      </c>
      <c r="P516" s="80">
        <f t="shared" si="1541"/>
        <v>-438414</v>
      </c>
      <c r="Q516" s="80">
        <f t="shared" si="1541"/>
        <v>148594</v>
      </c>
      <c r="R516" s="80">
        <f t="shared" si="1541"/>
        <v>85146</v>
      </c>
      <c r="T516" s="80">
        <v>22.0</v>
      </c>
      <c r="U516" s="80">
        <f t="shared" ref="U516:X516" si="1542">U515+C509</f>
        <v>468</v>
      </c>
      <c r="V516" s="80">
        <f t="shared" si="1542"/>
        <v>-3272</v>
      </c>
      <c r="W516" s="80">
        <f t="shared" si="1542"/>
        <v>2766</v>
      </c>
      <c r="X516" s="80">
        <f t="shared" si="1542"/>
        <v>-66</v>
      </c>
      <c r="Z516" s="80">
        <v>22.0</v>
      </c>
      <c r="AA516" s="10">
        <v>45199.0</v>
      </c>
      <c r="AB516" s="80">
        <v>630.0</v>
      </c>
      <c r="AC516" s="80">
        <v>-3082.0</v>
      </c>
      <c r="AD516" s="80">
        <v>2488.0</v>
      </c>
      <c r="AE516" s="80">
        <v>-140.0</v>
      </c>
    </row>
    <row r="517">
      <c r="A517" s="28">
        <f>'SAMLET_alle regnskab'!B526</f>
        <v>15</v>
      </c>
      <c r="B517" s="80">
        <f>'SAMLET_alle regnskab'!A526</f>
        <v>23</v>
      </c>
      <c r="C517" s="28">
        <f>'SAMLET_alle regnskab'!U526</f>
        <v>-256</v>
      </c>
      <c r="D517" s="28">
        <f>'SAMLET_alle regnskab'!V526</f>
        <v>-256</v>
      </c>
      <c r="E517" s="28">
        <f>'SAMLET_alle regnskab'!W526</f>
        <v>256</v>
      </c>
      <c r="F517" s="28">
        <f>'SAMLET_alle regnskab'!X526</f>
        <v>256</v>
      </c>
      <c r="H517" s="80">
        <f t="shared" si="7"/>
        <v>23</v>
      </c>
      <c r="I517" s="80">
        <f t="shared" ref="I517:L517" si="1543">I516+C517</f>
        <v>382</v>
      </c>
      <c r="J517" s="80">
        <f t="shared" si="1543"/>
        <v>-2430</v>
      </c>
      <c r="K517" s="80">
        <f t="shared" si="1543"/>
        <v>1212</v>
      </c>
      <c r="L517" s="80">
        <f t="shared" si="1543"/>
        <v>836</v>
      </c>
      <c r="N517" s="80">
        <f t="shared" si="25"/>
        <v>23</v>
      </c>
      <c r="O517" s="80">
        <f t="shared" ref="O517:R517" si="1544">O516+I510</f>
        <v>205292</v>
      </c>
      <c r="P517" s="80">
        <f t="shared" si="1544"/>
        <v>-440700</v>
      </c>
      <c r="Q517" s="80">
        <f t="shared" si="1544"/>
        <v>149638</v>
      </c>
      <c r="R517" s="80">
        <f t="shared" si="1544"/>
        <v>85770</v>
      </c>
      <c r="T517" s="80">
        <v>22.0</v>
      </c>
      <c r="U517" s="80">
        <f t="shared" ref="U517:X517" si="1545">U516+C510</f>
        <v>460</v>
      </c>
      <c r="V517" s="80">
        <f t="shared" si="1545"/>
        <v>-3248</v>
      </c>
      <c r="W517" s="80">
        <f t="shared" si="1545"/>
        <v>2758</v>
      </c>
      <c r="X517" s="80">
        <f t="shared" si="1545"/>
        <v>-74</v>
      </c>
      <c r="Z517" s="80">
        <v>22.0</v>
      </c>
      <c r="AA517" s="10">
        <v>45199.0</v>
      </c>
      <c r="AB517" s="80">
        <v>630.0</v>
      </c>
      <c r="AC517" s="80">
        <v>-3082.0</v>
      </c>
      <c r="AD517" s="80">
        <v>2488.0</v>
      </c>
      <c r="AE517" s="80">
        <v>-140.0</v>
      </c>
    </row>
    <row r="518">
      <c r="A518" s="28">
        <f>'SAMLET_alle regnskab'!B527</f>
        <v>16</v>
      </c>
      <c r="B518" s="80">
        <f>'SAMLET_alle regnskab'!A527</f>
        <v>23</v>
      </c>
      <c r="C518" s="28">
        <f>'SAMLET_alle regnskab'!U527</f>
        <v>-4</v>
      </c>
      <c r="D518" s="28">
        <f>'SAMLET_alle regnskab'!V527</f>
        <v>-4</v>
      </c>
      <c r="E518" s="28">
        <f>'SAMLET_alle regnskab'!W527</f>
        <v>-4</v>
      </c>
      <c r="F518" s="28">
        <f>'SAMLET_alle regnskab'!X527</f>
        <v>12</v>
      </c>
      <c r="H518" s="80">
        <f t="shared" si="7"/>
        <v>23</v>
      </c>
      <c r="I518" s="80">
        <f t="shared" ref="I518:L518" si="1546">I517+C518</f>
        <v>378</v>
      </c>
      <c r="J518" s="80">
        <f t="shared" si="1546"/>
        <v>-2434</v>
      </c>
      <c r="K518" s="80">
        <f t="shared" si="1546"/>
        <v>1208</v>
      </c>
      <c r="L518" s="80">
        <f t="shared" si="1546"/>
        <v>848</v>
      </c>
      <c r="N518" s="80">
        <f t="shared" si="25"/>
        <v>23</v>
      </c>
      <c r="O518" s="80">
        <f t="shared" ref="O518:R518" si="1547">O517+I511</f>
        <v>205886</v>
      </c>
      <c r="P518" s="80">
        <f t="shared" si="1547"/>
        <v>-442962</v>
      </c>
      <c r="Q518" s="80">
        <f t="shared" si="1547"/>
        <v>150658</v>
      </c>
      <c r="R518" s="80">
        <f t="shared" si="1547"/>
        <v>86418</v>
      </c>
      <c r="T518" s="80">
        <v>22.0</v>
      </c>
      <c r="U518" s="80">
        <f t="shared" ref="U518:X518" si="1548">U517+C511</f>
        <v>436</v>
      </c>
      <c r="V518" s="80">
        <f t="shared" si="1548"/>
        <v>-3224</v>
      </c>
      <c r="W518" s="80">
        <f t="shared" si="1548"/>
        <v>2734</v>
      </c>
      <c r="X518" s="80">
        <f t="shared" si="1548"/>
        <v>-50</v>
      </c>
      <c r="Z518" s="80">
        <v>22.0</v>
      </c>
      <c r="AA518" s="10">
        <v>45199.0</v>
      </c>
      <c r="AB518" s="80">
        <v>630.0</v>
      </c>
      <c r="AC518" s="80">
        <v>-3082.0</v>
      </c>
      <c r="AD518" s="80">
        <v>2488.0</v>
      </c>
      <c r="AE518" s="80">
        <v>-140.0</v>
      </c>
    </row>
    <row r="519">
      <c r="A519" s="28">
        <f>'SAMLET_alle regnskab'!B528</f>
        <v>17</v>
      </c>
      <c r="B519" s="80">
        <f>'SAMLET_alle regnskab'!A528</f>
        <v>23</v>
      </c>
      <c r="C519" s="28">
        <f>'SAMLET_alle regnskab'!U528</f>
        <v>-12</v>
      </c>
      <c r="D519" s="28">
        <f>'SAMLET_alle regnskab'!V528</f>
        <v>-12</v>
      </c>
      <c r="E519" s="28">
        <f>'SAMLET_alle regnskab'!W528</f>
        <v>12</v>
      </c>
      <c r="F519" s="28">
        <f>'SAMLET_alle regnskab'!X528</f>
        <v>12</v>
      </c>
      <c r="H519" s="80">
        <f t="shared" si="7"/>
        <v>23</v>
      </c>
      <c r="I519" s="80">
        <f t="shared" ref="I519:L519" si="1549">I518+C519</f>
        <v>366</v>
      </c>
      <c r="J519" s="80">
        <f t="shared" si="1549"/>
        <v>-2446</v>
      </c>
      <c r="K519" s="80">
        <f t="shared" si="1549"/>
        <v>1220</v>
      </c>
      <c r="L519" s="80">
        <f t="shared" si="1549"/>
        <v>860</v>
      </c>
      <c r="N519" s="80">
        <f t="shared" si="25"/>
        <v>23</v>
      </c>
      <c r="O519" s="80">
        <f t="shared" ref="O519:R519" si="1550">O518+I512</f>
        <v>206480</v>
      </c>
      <c r="P519" s="80">
        <f t="shared" si="1550"/>
        <v>-445212</v>
      </c>
      <c r="Q519" s="80">
        <f t="shared" si="1550"/>
        <v>151666</v>
      </c>
      <c r="R519" s="80">
        <f t="shared" si="1550"/>
        <v>87066</v>
      </c>
      <c r="T519" s="80">
        <v>22.0</v>
      </c>
      <c r="U519" s="80">
        <f t="shared" ref="U519:X519" si="1551">U518+C512</f>
        <v>436</v>
      </c>
      <c r="V519" s="80">
        <f t="shared" si="1551"/>
        <v>-3212</v>
      </c>
      <c r="W519" s="80">
        <f t="shared" si="1551"/>
        <v>2722</v>
      </c>
      <c r="X519" s="80">
        <f t="shared" si="1551"/>
        <v>-50</v>
      </c>
      <c r="Z519" s="80">
        <v>22.0</v>
      </c>
      <c r="AA519" s="10">
        <v>45199.0</v>
      </c>
      <c r="AB519" s="80">
        <v>630.0</v>
      </c>
      <c r="AC519" s="80">
        <v>-3082.0</v>
      </c>
      <c r="AD519" s="80">
        <v>2488.0</v>
      </c>
      <c r="AE519" s="80">
        <v>-140.0</v>
      </c>
    </row>
    <row r="520">
      <c r="A520" s="28">
        <f>'SAMLET_alle regnskab'!B529</f>
        <v>18</v>
      </c>
      <c r="B520" s="80">
        <f>'SAMLET_alle regnskab'!A529</f>
        <v>23</v>
      </c>
      <c r="C520" s="28">
        <f>'SAMLET_alle regnskab'!U529</f>
        <v>-4</v>
      </c>
      <c r="D520" s="28">
        <f>'SAMLET_alle regnskab'!V529</f>
        <v>12</v>
      </c>
      <c r="E520" s="28">
        <f>'SAMLET_alle regnskab'!W529</f>
        <v>-4</v>
      </c>
      <c r="F520" s="28">
        <f>'SAMLET_alle regnskab'!X529</f>
        <v>-4</v>
      </c>
      <c r="H520" s="80">
        <f t="shared" si="7"/>
        <v>23</v>
      </c>
      <c r="I520" s="80">
        <f t="shared" ref="I520:L520" si="1552">I519+C520</f>
        <v>362</v>
      </c>
      <c r="J520" s="80">
        <f t="shared" si="1552"/>
        <v>-2434</v>
      </c>
      <c r="K520" s="80">
        <f t="shared" si="1552"/>
        <v>1216</v>
      </c>
      <c r="L520" s="80">
        <f t="shared" si="1552"/>
        <v>856</v>
      </c>
      <c r="N520" s="80">
        <f t="shared" si="25"/>
        <v>23</v>
      </c>
      <c r="O520" s="80">
        <f t="shared" ref="O520:R520" si="1553">O519+I513</f>
        <v>207090</v>
      </c>
      <c r="P520" s="80">
        <f t="shared" si="1553"/>
        <v>-447446</v>
      </c>
      <c r="Q520" s="80">
        <f t="shared" si="1553"/>
        <v>152658</v>
      </c>
      <c r="R520" s="80">
        <f t="shared" si="1553"/>
        <v>87698</v>
      </c>
      <c r="T520" s="80">
        <v>22.0</v>
      </c>
      <c r="U520" s="80">
        <f t="shared" ref="U520:X520" si="1554">U519+C513</f>
        <v>452</v>
      </c>
      <c r="V520" s="80">
        <f t="shared" si="1554"/>
        <v>-3196</v>
      </c>
      <c r="W520" s="80">
        <f t="shared" si="1554"/>
        <v>2706</v>
      </c>
      <c r="X520" s="80">
        <f t="shared" si="1554"/>
        <v>-66</v>
      </c>
      <c r="Z520" s="80">
        <v>22.0</v>
      </c>
      <c r="AA520" s="10">
        <v>45199.0</v>
      </c>
      <c r="AB520" s="80">
        <v>630.0</v>
      </c>
      <c r="AC520" s="80">
        <v>-3082.0</v>
      </c>
      <c r="AD520" s="80">
        <v>2488.0</v>
      </c>
      <c r="AE520" s="80">
        <v>-140.0</v>
      </c>
    </row>
    <row r="521">
      <c r="A521" s="28">
        <f>'SAMLET_alle regnskab'!B530</f>
        <v>19</v>
      </c>
      <c r="B521" s="80">
        <f>'SAMLET_alle regnskab'!A530</f>
        <v>23</v>
      </c>
      <c r="C521" s="28">
        <f>'SAMLET_alle regnskab'!U530</f>
        <v>-24</v>
      </c>
      <c r="D521" s="28">
        <f>'SAMLET_alle regnskab'!V530</f>
        <v>24</v>
      </c>
      <c r="E521" s="28">
        <f>'SAMLET_alle regnskab'!W530</f>
        <v>24</v>
      </c>
      <c r="F521" s="28">
        <f>'SAMLET_alle regnskab'!X530</f>
        <v>-24</v>
      </c>
      <c r="H521" s="80">
        <f t="shared" si="7"/>
        <v>23</v>
      </c>
      <c r="I521" s="80">
        <f t="shared" ref="I521:L521" si="1555">I520+C521</f>
        <v>338</v>
      </c>
      <c r="J521" s="80">
        <f t="shared" si="1555"/>
        <v>-2410</v>
      </c>
      <c r="K521" s="80">
        <f t="shared" si="1555"/>
        <v>1240</v>
      </c>
      <c r="L521" s="80">
        <f t="shared" si="1555"/>
        <v>832</v>
      </c>
      <c r="N521" s="80">
        <f t="shared" si="25"/>
        <v>23</v>
      </c>
      <c r="O521" s="80">
        <f t="shared" ref="O521:R521" si="1556">O520+I514</f>
        <v>207696</v>
      </c>
      <c r="P521" s="80">
        <f t="shared" si="1556"/>
        <v>-449684</v>
      </c>
      <c r="Q521" s="80">
        <f t="shared" si="1556"/>
        <v>153646</v>
      </c>
      <c r="R521" s="80">
        <f t="shared" si="1556"/>
        <v>88342</v>
      </c>
      <c r="T521" s="80">
        <v>22.0</v>
      </c>
      <c r="U521" s="80">
        <f t="shared" ref="U521:X521" si="1557">U520+C514</f>
        <v>448</v>
      </c>
      <c r="V521" s="80">
        <f t="shared" si="1557"/>
        <v>-3200</v>
      </c>
      <c r="W521" s="80">
        <f t="shared" si="1557"/>
        <v>2702</v>
      </c>
      <c r="X521" s="80">
        <f t="shared" si="1557"/>
        <v>-54</v>
      </c>
      <c r="Z521" s="80">
        <v>22.0</v>
      </c>
      <c r="AA521" s="10">
        <v>45199.0</v>
      </c>
      <c r="AB521" s="80">
        <v>630.0</v>
      </c>
      <c r="AC521" s="80">
        <v>-3082.0</v>
      </c>
      <c r="AD521" s="80">
        <v>2488.0</v>
      </c>
      <c r="AE521" s="80">
        <v>-140.0</v>
      </c>
    </row>
    <row r="522">
      <c r="A522" s="28">
        <f>'SAMLET_alle regnskab'!B531</f>
        <v>1</v>
      </c>
      <c r="B522" s="80">
        <f>'SAMLET_alle regnskab'!A531</f>
        <v>24</v>
      </c>
      <c r="C522" s="28">
        <f>'SAMLET_alle regnskab'!U531</f>
        <v>-4</v>
      </c>
      <c r="D522" s="28">
        <f>'SAMLET_alle regnskab'!V531</f>
        <v>-4</v>
      </c>
      <c r="E522" s="28">
        <f>'SAMLET_alle regnskab'!W531</f>
        <v>-4</v>
      </c>
      <c r="F522" s="28">
        <f>'SAMLET_alle regnskab'!X531</f>
        <v>12</v>
      </c>
      <c r="H522" s="80">
        <f t="shared" si="7"/>
        <v>24</v>
      </c>
      <c r="I522" s="80">
        <f t="shared" ref="I522:L522" si="1558">I521+C522</f>
        <v>334</v>
      </c>
      <c r="J522" s="80">
        <f t="shared" si="1558"/>
        <v>-2414</v>
      </c>
      <c r="K522" s="80">
        <f t="shared" si="1558"/>
        <v>1236</v>
      </c>
      <c r="L522" s="80">
        <f t="shared" si="1558"/>
        <v>844</v>
      </c>
      <c r="N522" s="80">
        <f t="shared" si="25"/>
        <v>23</v>
      </c>
      <c r="O522" s="80">
        <f t="shared" ref="O522:R522" si="1559">O521+I515</f>
        <v>208350</v>
      </c>
      <c r="P522" s="80">
        <f t="shared" si="1559"/>
        <v>-451874</v>
      </c>
      <c r="Q522" s="80">
        <f t="shared" si="1559"/>
        <v>154586</v>
      </c>
      <c r="R522" s="80">
        <f t="shared" si="1559"/>
        <v>88938</v>
      </c>
      <c r="T522" s="80">
        <v>22.0</v>
      </c>
      <c r="U522" s="80">
        <f t="shared" ref="U522:X522" si="1560">U521+C515</f>
        <v>496</v>
      </c>
      <c r="V522" s="80">
        <f t="shared" si="1560"/>
        <v>-3152</v>
      </c>
      <c r="W522" s="80">
        <f t="shared" si="1560"/>
        <v>2654</v>
      </c>
      <c r="X522" s="80">
        <f t="shared" si="1560"/>
        <v>-102</v>
      </c>
      <c r="Z522" s="80">
        <v>22.0</v>
      </c>
      <c r="AA522" s="10">
        <v>45199.0</v>
      </c>
      <c r="AB522" s="80">
        <v>630.0</v>
      </c>
      <c r="AC522" s="80">
        <v>-3082.0</v>
      </c>
      <c r="AD522" s="80">
        <v>2488.0</v>
      </c>
      <c r="AE522" s="80">
        <v>-140.0</v>
      </c>
    </row>
    <row r="523">
      <c r="A523" s="28">
        <f>'SAMLET_alle regnskab'!B532</f>
        <v>2</v>
      </c>
      <c r="B523" s="80">
        <f>'SAMLET_alle regnskab'!A532</f>
        <v>24</v>
      </c>
      <c r="C523" s="28">
        <f>'SAMLET_alle regnskab'!U532</f>
        <v>12</v>
      </c>
      <c r="D523" s="28">
        <f>'SAMLET_alle regnskab'!V532</f>
        <v>12</v>
      </c>
      <c r="E523" s="28">
        <f>'SAMLET_alle regnskab'!W532</f>
        <v>-36</v>
      </c>
      <c r="F523" s="28">
        <f>'SAMLET_alle regnskab'!X532</f>
        <v>12</v>
      </c>
      <c r="H523" s="80">
        <f t="shared" si="7"/>
        <v>24</v>
      </c>
      <c r="I523" s="80">
        <f t="shared" ref="I523:L523" si="1561">I522+C523</f>
        <v>346</v>
      </c>
      <c r="J523" s="80">
        <f t="shared" si="1561"/>
        <v>-2402</v>
      </c>
      <c r="K523" s="80">
        <f t="shared" si="1561"/>
        <v>1200</v>
      </c>
      <c r="L523" s="80">
        <f t="shared" si="1561"/>
        <v>856</v>
      </c>
      <c r="N523" s="80">
        <f t="shared" si="25"/>
        <v>23</v>
      </c>
      <c r="O523" s="80">
        <f t="shared" ref="O523:R523" si="1562">O522+I516</f>
        <v>208988</v>
      </c>
      <c r="P523" s="80">
        <f t="shared" si="1562"/>
        <v>-454048</v>
      </c>
      <c r="Q523" s="80">
        <f t="shared" si="1562"/>
        <v>155542</v>
      </c>
      <c r="R523" s="80">
        <f t="shared" si="1562"/>
        <v>89518</v>
      </c>
      <c r="T523" s="80">
        <v>22.0</v>
      </c>
      <c r="U523" s="80">
        <f t="shared" ref="U523:X523" si="1563">U522+C516</f>
        <v>480</v>
      </c>
      <c r="V523" s="80">
        <f t="shared" si="1563"/>
        <v>-3136</v>
      </c>
      <c r="W523" s="80">
        <f t="shared" si="1563"/>
        <v>2670</v>
      </c>
      <c r="X523" s="80">
        <f t="shared" si="1563"/>
        <v>-118</v>
      </c>
      <c r="Z523" s="80">
        <v>22.0</v>
      </c>
      <c r="AA523" s="10">
        <v>45199.0</v>
      </c>
      <c r="AB523" s="80">
        <v>630.0</v>
      </c>
      <c r="AC523" s="80">
        <v>-3082.0</v>
      </c>
      <c r="AD523" s="80">
        <v>2488.0</v>
      </c>
      <c r="AE523" s="80">
        <v>-140.0</v>
      </c>
    </row>
    <row r="524">
      <c r="A524" s="28">
        <f>'SAMLET_alle regnskab'!B533</f>
        <v>3</v>
      </c>
      <c r="B524" s="80">
        <f>'SAMLET_alle regnskab'!A533</f>
        <v>24</v>
      </c>
      <c r="C524" s="28">
        <f>'SAMLET_alle regnskab'!U533</f>
        <v>-8</v>
      </c>
      <c r="D524" s="28">
        <f>'SAMLET_alle regnskab'!V533</f>
        <v>8</v>
      </c>
      <c r="E524" s="28">
        <f>'SAMLET_alle regnskab'!W533</f>
        <v>8</v>
      </c>
      <c r="F524" s="28">
        <f>'SAMLET_alle regnskab'!X533</f>
        <v>-8</v>
      </c>
      <c r="H524" s="80">
        <f t="shared" si="7"/>
        <v>24</v>
      </c>
      <c r="I524" s="80">
        <f t="shared" ref="I524:L524" si="1564">I523+C524</f>
        <v>338</v>
      </c>
      <c r="J524" s="80">
        <f t="shared" si="1564"/>
        <v>-2394</v>
      </c>
      <c r="K524" s="80">
        <f t="shared" si="1564"/>
        <v>1208</v>
      </c>
      <c r="L524" s="80">
        <f t="shared" si="1564"/>
        <v>848</v>
      </c>
      <c r="N524" s="80">
        <f t="shared" si="25"/>
        <v>23</v>
      </c>
      <c r="O524" s="80">
        <f t="shared" ref="O524:R524" si="1565">O523+I517</f>
        <v>209370</v>
      </c>
      <c r="P524" s="80">
        <f t="shared" si="1565"/>
        <v>-456478</v>
      </c>
      <c r="Q524" s="80">
        <f t="shared" si="1565"/>
        <v>156754</v>
      </c>
      <c r="R524" s="80">
        <f t="shared" si="1565"/>
        <v>90354</v>
      </c>
      <c r="T524" s="80">
        <v>22.0</v>
      </c>
      <c r="U524" s="80">
        <f t="shared" ref="U524:X524" si="1566">U523+C517</f>
        <v>224</v>
      </c>
      <c r="V524" s="80">
        <f t="shared" si="1566"/>
        <v>-3392</v>
      </c>
      <c r="W524" s="80">
        <f t="shared" si="1566"/>
        <v>2926</v>
      </c>
      <c r="X524" s="80">
        <f t="shared" si="1566"/>
        <v>138</v>
      </c>
      <c r="Z524" s="80">
        <v>22.0</v>
      </c>
      <c r="AA524" s="10">
        <v>45199.0</v>
      </c>
      <c r="AB524" s="80">
        <v>630.0</v>
      </c>
      <c r="AC524" s="80">
        <v>-3082.0</v>
      </c>
      <c r="AD524" s="80">
        <v>2488.0</v>
      </c>
      <c r="AE524" s="80">
        <v>-140.0</v>
      </c>
    </row>
    <row r="525">
      <c r="A525" s="28">
        <f>'SAMLET_alle regnskab'!B534</f>
        <v>4</v>
      </c>
      <c r="B525" s="80">
        <f>'SAMLET_alle regnskab'!A534</f>
        <v>24</v>
      </c>
      <c r="C525" s="28">
        <f>'SAMLET_alle regnskab'!U534</f>
        <v>-8</v>
      </c>
      <c r="D525" s="28">
        <f>'SAMLET_alle regnskab'!V534</f>
        <v>-8</v>
      </c>
      <c r="E525" s="28">
        <f>'SAMLET_alle regnskab'!W534</f>
        <v>-8</v>
      </c>
      <c r="F525" s="28">
        <f>'SAMLET_alle regnskab'!X534</f>
        <v>24</v>
      </c>
      <c r="H525" s="80">
        <f t="shared" si="7"/>
        <v>24</v>
      </c>
      <c r="I525" s="80">
        <f t="shared" ref="I525:L525" si="1567">I524+C525</f>
        <v>330</v>
      </c>
      <c r="J525" s="80">
        <f t="shared" si="1567"/>
        <v>-2402</v>
      </c>
      <c r="K525" s="80">
        <f t="shared" si="1567"/>
        <v>1200</v>
      </c>
      <c r="L525" s="80">
        <f t="shared" si="1567"/>
        <v>872</v>
      </c>
      <c r="N525" s="80">
        <f t="shared" si="25"/>
        <v>23</v>
      </c>
      <c r="O525" s="80">
        <f t="shared" ref="O525:R525" si="1568">O524+I518</f>
        <v>209748</v>
      </c>
      <c r="P525" s="80">
        <f t="shared" si="1568"/>
        <v>-458912</v>
      </c>
      <c r="Q525" s="80">
        <f t="shared" si="1568"/>
        <v>157962</v>
      </c>
      <c r="R525" s="80">
        <f t="shared" si="1568"/>
        <v>91202</v>
      </c>
      <c r="T525" s="80">
        <v>22.0</v>
      </c>
      <c r="U525" s="80">
        <f t="shared" ref="U525:X525" si="1569">U524+C518</f>
        <v>220</v>
      </c>
      <c r="V525" s="80">
        <f t="shared" si="1569"/>
        <v>-3396</v>
      </c>
      <c r="W525" s="80">
        <f t="shared" si="1569"/>
        <v>2922</v>
      </c>
      <c r="X525" s="80">
        <f t="shared" si="1569"/>
        <v>150</v>
      </c>
      <c r="Z525" s="80">
        <v>22.0</v>
      </c>
      <c r="AA525" s="10">
        <v>45199.0</v>
      </c>
      <c r="AB525" s="80">
        <v>630.0</v>
      </c>
      <c r="AC525" s="80">
        <v>-3082.0</v>
      </c>
      <c r="AD525" s="80">
        <v>2488.0</v>
      </c>
      <c r="AE525" s="80">
        <v>-140.0</v>
      </c>
    </row>
    <row r="526">
      <c r="A526" s="28">
        <f>'SAMLET_alle regnskab'!B535</f>
        <v>5</v>
      </c>
      <c r="B526" s="80">
        <f>'SAMLET_alle regnskab'!A535</f>
        <v>24</v>
      </c>
      <c r="C526" s="28">
        <f>'SAMLET_alle regnskab'!U535</f>
        <v>12</v>
      </c>
      <c r="D526" s="28">
        <f>'SAMLET_alle regnskab'!V535</f>
        <v>-4</v>
      </c>
      <c r="E526" s="28">
        <f>'SAMLET_alle regnskab'!W535</f>
        <v>-4</v>
      </c>
      <c r="F526" s="28">
        <f>'SAMLET_alle regnskab'!X535</f>
        <v>-4</v>
      </c>
      <c r="H526" s="80">
        <f t="shared" si="7"/>
        <v>24</v>
      </c>
      <c r="I526" s="80">
        <f t="shared" ref="I526:L526" si="1570">I525+C526</f>
        <v>342</v>
      </c>
      <c r="J526" s="80">
        <f t="shared" si="1570"/>
        <v>-2406</v>
      </c>
      <c r="K526" s="80">
        <f t="shared" si="1570"/>
        <v>1196</v>
      </c>
      <c r="L526" s="80">
        <f t="shared" si="1570"/>
        <v>868</v>
      </c>
      <c r="N526" s="80">
        <f t="shared" si="25"/>
        <v>23</v>
      </c>
      <c r="O526" s="80">
        <f t="shared" ref="O526:R526" si="1571">O525+I519</f>
        <v>210114</v>
      </c>
      <c r="P526" s="80">
        <f t="shared" si="1571"/>
        <v>-461358</v>
      </c>
      <c r="Q526" s="80">
        <f t="shared" si="1571"/>
        <v>159182</v>
      </c>
      <c r="R526" s="80">
        <f t="shared" si="1571"/>
        <v>92062</v>
      </c>
      <c r="T526" s="80">
        <v>22.0</v>
      </c>
      <c r="U526" s="80">
        <f t="shared" ref="U526:X526" si="1572">U525+C519</f>
        <v>208</v>
      </c>
      <c r="V526" s="80">
        <f t="shared" si="1572"/>
        <v>-3408</v>
      </c>
      <c r="W526" s="80">
        <f t="shared" si="1572"/>
        <v>2934</v>
      </c>
      <c r="X526" s="80">
        <f t="shared" si="1572"/>
        <v>162</v>
      </c>
      <c r="Z526" s="80">
        <v>22.0</v>
      </c>
      <c r="AA526" s="10">
        <v>45199.0</v>
      </c>
      <c r="AB526" s="80">
        <v>630.0</v>
      </c>
      <c r="AC526" s="80">
        <v>-3082.0</v>
      </c>
      <c r="AD526" s="80">
        <v>2488.0</v>
      </c>
      <c r="AE526" s="80">
        <v>-140.0</v>
      </c>
    </row>
    <row r="527">
      <c r="A527" s="28">
        <f>'SAMLET_alle regnskab'!B536</f>
        <v>6</v>
      </c>
      <c r="B527" s="80">
        <f>'SAMLET_alle regnskab'!A536</f>
        <v>24</v>
      </c>
      <c r="C527" s="28">
        <f>'SAMLET_alle regnskab'!U536</f>
        <v>48</v>
      </c>
      <c r="D527" s="28">
        <f>'SAMLET_alle regnskab'!V536</f>
        <v>-48</v>
      </c>
      <c r="E527" s="28">
        <f>'SAMLET_alle regnskab'!W536</f>
        <v>48</v>
      </c>
      <c r="F527" s="28">
        <f>'SAMLET_alle regnskab'!X536</f>
        <v>-48</v>
      </c>
      <c r="H527" s="80">
        <f t="shared" si="7"/>
        <v>24</v>
      </c>
      <c r="I527" s="80">
        <f t="shared" ref="I527:L527" si="1573">I526+C527</f>
        <v>390</v>
      </c>
      <c r="J527" s="80">
        <f t="shared" si="1573"/>
        <v>-2454</v>
      </c>
      <c r="K527" s="80">
        <f t="shared" si="1573"/>
        <v>1244</v>
      </c>
      <c r="L527" s="80">
        <f t="shared" si="1573"/>
        <v>820</v>
      </c>
      <c r="N527" s="80">
        <f t="shared" si="25"/>
        <v>23</v>
      </c>
      <c r="O527" s="80">
        <f t="shared" ref="O527:R527" si="1574">O526+I520</f>
        <v>210476</v>
      </c>
      <c r="P527" s="80">
        <f t="shared" si="1574"/>
        <v>-463792</v>
      </c>
      <c r="Q527" s="80">
        <f t="shared" si="1574"/>
        <v>160398</v>
      </c>
      <c r="R527" s="80">
        <f t="shared" si="1574"/>
        <v>92918</v>
      </c>
      <c r="T527" s="80">
        <v>22.0</v>
      </c>
      <c r="U527" s="80">
        <f t="shared" ref="U527:X527" si="1575">U526+C520</f>
        <v>204</v>
      </c>
      <c r="V527" s="80">
        <f t="shared" si="1575"/>
        <v>-3396</v>
      </c>
      <c r="W527" s="80">
        <f t="shared" si="1575"/>
        <v>2930</v>
      </c>
      <c r="X527" s="80">
        <f t="shared" si="1575"/>
        <v>158</v>
      </c>
      <c r="Z527" s="80">
        <v>22.0</v>
      </c>
      <c r="AA527" s="10">
        <v>45199.0</v>
      </c>
      <c r="AB527" s="80">
        <v>630.0</v>
      </c>
      <c r="AC527" s="80">
        <v>-3082.0</v>
      </c>
      <c r="AD527" s="80">
        <v>2488.0</v>
      </c>
      <c r="AE527" s="80">
        <v>-140.0</v>
      </c>
    </row>
    <row r="528">
      <c r="A528" s="28">
        <f>'SAMLET_alle regnskab'!B537</f>
        <v>7</v>
      </c>
      <c r="B528" s="80">
        <f>'SAMLET_alle regnskab'!A537</f>
        <v>24</v>
      </c>
      <c r="C528" s="28">
        <f>'SAMLET_alle regnskab'!U537</f>
        <v>4</v>
      </c>
      <c r="D528" s="28">
        <f>'SAMLET_alle regnskab'!V537</f>
        <v>-12</v>
      </c>
      <c r="E528" s="28">
        <f>'SAMLET_alle regnskab'!W537</f>
        <v>4</v>
      </c>
      <c r="F528" s="28">
        <f>'SAMLET_alle regnskab'!X537</f>
        <v>4</v>
      </c>
      <c r="H528" s="80">
        <f t="shared" si="7"/>
        <v>24</v>
      </c>
      <c r="I528" s="80">
        <f t="shared" ref="I528:L528" si="1576">I527+C528</f>
        <v>394</v>
      </c>
      <c r="J528" s="80">
        <f t="shared" si="1576"/>
        <v>-2466</v>
      </c>
      <c r="K528" s="80">
        <f t="shared" si="1576"/>
        <v>1248</v>
      </c>
      <c r="L528" s="80">
        <f t="shared" si="1576"/>
        <v>824</v>
      </c>
      <c r="N528" s="80">
        <f t="shared" si="25"/>
        <v>23</v>
      </c>
      <c r="O528" s="80">
        <f t="shared" ref="O528:R528" si="1577">O527+I521</f>
        <v>210814</v>
      </c>
      <c r="P528" s="80">
        <f t="shared" si="1577"/>
        <v>-466202</v>
      </c>
      <c r="Q528" s="80">
        <f t="shared" si="1577"/>
        <v>161638</v>
      </c>
      <c r="R528" s="80">
        <f t="shared" si="1577"/>
        <v>93750</v>
      </c>
      <c r="T528" s="80">
        <v>22.0</v>
      </c>
      <c r="U528" s="80">
        <f t="shared" ref="U528:X528" si="1578">U527+C521</f>
        <v>180</v>
      </c>
      <c r="V528" s="80">
        <f t="shared" si="1578"/>
        <v>-3372</v>
      </c>
      <c r="W528" s="80">
        <f t="shared" si="1578"/>
        <v>2954</v>
      </c>
      <c r="X528" s="80">
        <f t="shared" si="1578"/>
        <v>134</v>
      </c>
      <c r="Z528" s="80">
        <v>22.0</v>
      </c>
      <c r="AA528" s="10">
        <v>45199.0</v>
      </c>
      <c r="AB528" s="80">
        <v>630.0</v>
      </c>
      <c r="AC528" s="80">
        <v>-3082.0</v>
      </c>
      <c r="AD528" s="80">
        <v>2488.0</v>
      </c>
      <c r="AE528" s="80">
        <v>-140.0</v>
      </c>
    </row>
    <row r="529">
      <c r="A529" s="28">
        <f>'SAMLET_alle regnskab'!B538</f>
        <v>8</v>
      </c>
      <c r="B529" s="80">
        <f>'SAMLET_alle regnskab'!A538</f>
        <v>24</v>
      </c>
      <c r="C529" s="28">
        <f>'SAMLET_alle regnskab'!U538</f>
        <v>-8</v>
      </c>
      <c r="D529" s="28">
        <f>'SAMLET_alle regnskab'!V538</f>
        <v>-8</v>
      </c>
      <c r="E529" s="28">
        <f>'SAMLET_alle regnskab'!W538</f>
        <v>8</v>
      </c>
      <c r="F529" s="28">
        <f>'SAMLET_alle regnskab'!X538</f>
        <v>8</v>
      </c>
      <c r="H529" s="80">
        <f t="shared" si="7"/>
        <v>24</v>
      </c>
      <c r="I529" s="80">
        <f t="shared" ref="I529:L529" si="1579">I528+C529</f>
        <v>386</v>
      </c>
      <c r="J529" s="80">
        <f t="shared" si="1579"/>
        <v>-2474</v>
      </c>
      <c r="K529" s="80">
        <f t="shared" si="1579"/>
        <v>1256</v>
      </c>
      <c r="L529" s="80">
        <f t="shared" si="1579"/>
        <v>832</v>
      </c>
      <c r="N529" s="80">
        <f t="shared" si="25"/>
        <v>24</v>
      </c>
      <c r="O529" s="80">
        <f t="shared" ref="O529:R529" si="1580">O528+I522</f>
        <v>211148</v>
      </c>
      <c r="P529" s="80">
        <f t="shared" si="1580"/>
        <v>-468616</v>
      </c>
      <c r="Q529" s="80">
        <f t="shared" si="1580"/>
        <v>162874</v>
      </c>
      <c r="R529" s="80">
        <f t="shared" si="1580"/>
        <v>94594</v>
      </c>
      <c r="T529" s="80">
        <v>22.0</v>
      </c>
      <c r="U529" s="80">
        <f t="shared" ref="U529:X529" si="1581">U528+C522</f>
        <v>176</v>
      </c>
      <c r="V529" s="80">
        <f t="shared" si="1581"/>
        <v>-3376</v>
      </c>
      <c r="W529" s="80">
        <f t="shared" si="1581"/>
        <v>2950</v>
      </c>
      <c r="X529" s="80">
        <f t="shared" si="1581"/>
        <v>146</v>
      </c>
      <c r="Z529" s="80">
        <v>22.0</v>
      </c>
      <c r="AA529" s="10">
        <v>45199.0</v>
      </c>
      <c r="AB529" s="80">
        <v>630.0</v>
      </c>
      <c r="AC529" s="80">
        <v>-3082.0</v>
      </c>
      <c r="AD529" s="80">
        <v>2488.0</v>
      </c>
      <c r="AE529" s="80">
        <v>-140.0</v>
      </c>
    </row>
    <row r="530">
      <c r="A530" s="28">
        <f>'SAMLET_alle regnskab'!B539</f>
        <v>9</v>
      </c>
      <c r="B530" s="80">
        <f>'SAMLET_alle regnskab'!A539</f>
        <v>24</v>
      </c>
      <c r="C530" s="28">
        <f>'SAMLET_alle regnskab'!U539</f>
        <v>-8</v>
      </c>
      <c r="D530" s="28">
        <f>'SAMLET_alle regnskab'!V539</f>
        <v>-8</v>
      </c>
      <c r="E530" s="28">
        <f>'SAMLET_alle regnskab'!W539</f>
        <v>-8</v>
      </c>
      <c r="F530" s="28">
        <f>'SAMLET_alle regnskab'!X539</f>
        <v>24</v>
      </c>
      <c r="H530" s="80">
        <f t="shared" si="7"/>
        <v>24</v>
      </c>
      <c r="I530" s="80">
        <f t="shared" ref="I530:L530" si="1582">I529+C530</f>
        <v>378</v>
      </c>
      <c r="J530" s="80">
        <f t="shared" si="1582"/>
        <v>-2482</v>
      </c>
      <c r="K530" s="80">
        <f t="shared" si="1582"/>
        <v>1248</v>
      </c>
      <c r="L530" s="80">
        <f t="shared" si="1582"/>
        <v>856</v>
      </c>
      <c r="N530" s="80">
        <f t="shared" si="25"/>
        <v>24</v>
      </c>
      <c r="O530" s="80">
        <f t="shared" ref="O530:R530" si="1583">O529+I523</f>
        <v>211494</v>
      </c>
      <c r="P530" s="80">
        <f t="shared" si="1583"/>
        <v>-471018</v>
      </c>
      <c r="Q530" s="80">
        <f t="shared" si="1583"/>
        <v>164074</v>
      </c>
      <c r="R530" s="80">
        <f t="shared" si="1583"/>
        <v>95450</v>
      </c>
      <c r="T530" s="80">
        <v>22.0</v>
      </c>
      <c r="U530" s="80">
        <f t="shared" ref="U530:X530" si="1584">U529+C523</f>
        <v>188</v>
      </c>
      <c r="V530" s="80">
        <f t="shared" si="1584"/>
        <v>-3364</v>
      </c>
      <c r="W530" s="80">
        <f t="shared" si="1584"/>
        <v>2914</v>
      </c>
      <c r="X530" s="80">
        <f t="shared" si="1584"/>
        <v>158</v>
      </c>
      <c r="Z530" s="80">
        <v>22.0</v>
      </c>
      <c r="AA530" s="10">
        <v>45199.0</v>
      </c>
      <c r="AB530" s="80">
        <v>630.0</v>
      </c>
      <c r="AC530" s="80">
        <v>-3082.0</v>
      </c>
      <c r="AD530" s="80">
        <v>2488.0</v>
      </c>
      <c r="AE530" s="80">
        <v>-140.0</v>
      </c>
    </row>
    <row r="531">
      <c r="A531" s="28">
        <f>'SAMLET_alle regnskab'!B540</f>
        <v>10</v>
      </c>
      <c r="B531" s="80">
        <f>'SAMLET_alle regnskab'!A540</f>
        <v>24</v>
      </c>
      <c r="C531" s="28">
        <f>'SAMLET_alle regnskab'!U540</f>
        <v>-12</v>
      </c>
      <c r="D531" s="28">
        <f>'SAMLET_alle regnskab'!V540</f>
        <v>-12</v>
      </c>
      <c r="E531" s="28">
        <f>'SAMLET_alle regnskab'!W540</f>
        <v>12</v>
      </c>
      <c r="F531" s="28">
        <f>'SAMLET_alle regnskab'!X540</f>
        <v>12</v>
      </c>
      <c r="H531" s="80">
        <f t="shared" si="7"/>
        <v>24</v>
      </c>
      <c r="I531" s="80">
        <f t="shared" ref="I531:L531" si="1585">I530+C531</f>
        <v>366</v>
      </c>
      <c r="J531" s="80">
        <f t="shared" si="1585"/>
        <v>-2494</v>
      </c>
      <c r="K531" s="80">
        <f t="shared" si="1585"/>
        <v>1260</v>
      </c>
      <c r="L531" s="80">
        <f t="shared" si="1585"/>
        <v>868</v>
      </c>
      <c r="N531" s="80">
        <f t="shared" si="25"/>
        <v>24</v>
      </c>
      <c r="O531" s="80">
        <f t="shared" ref="O531:R531" si="1586">O530+I524</f>
        <v>211832</v>
      </c>
      <c r="P531" s="80">
        <f t="shared" si="1586"/>
        <v>-473412</v>
      </c>
      <c r="Q531" s="80">
        <f t="shared" si="1586"/>
        <v>165282</v>
      </c>
      <c r="R531" s="80">
        <f t="shared" si="1586"/>
        <v>96298</v>
      </c>
      <c r="T531" s="80">
        <v>22.0</v>
      </c>
      <c r="U531" s="80">
        <f t="shared" ref="U531:X531" si="1587">U530+C524</f>
        <v>180</v>
      </c>
      <c r="V531" s="80">
        <f t="shared" si="1587"/>
        <v>-3356</v>
      </c>
      <c r="W531" s="80">
        <f t="shared" si="1587"/>
        <v>2922</v>
      </c>
      <c r="X531" s="80">
        <f t="shared" si="1587"/>
        <v>150</v>
      </c>
      <c r="Z531" s="80">
        <v>22.0</v>
      </c>
      <c r="AA531" s="10">
        <v>45199.0</v>
      </c>
      <c r="AB531" s="80">
        <v>630.0</v>
      </c>
      <c r="AC531" s="80">
        <v>-3082.0</v>
      </c>
      <c r="AD531" s="80">
        <v>2488.0</v>
      </c>
      <c r="AE531" s="80">
        <v>-140.0</v>
      </c>
    </row>
    <row r="532">
      <c r="A532" s="28">
        <f>'SAMLET_alle regnskab'!B541</f>
        <v>11</v>
      </c>
      <c r="B532" s="80">
        <f>'SAMLET_alle regnskab'!A541</f>
        <v>24</v>
      </c>
      <c r="C532" s="28">
        <f>'SAMLET_alle regnskab'!U541</f>
        <v>-8</v>
      </c>
      <c r="D532" s="28">
        <f>'SAMLET_alle regnskab'!V541</f>
        <v>24</v>
      </c>
      <c r="E532" s="28">
        <f>'SAMLET_alle regnskab'!W541</f>
        <v>-8</v>
      </c>
      <c r="F532" s="28">
        <f>'SAMLET_alle regnskab'!X541</f>
        <v>-8</v>
      </c>
      <c r="H532" s="80">
        <f t="shared" si="7"/>
        <v>24</v>
      </c>
      <c r="I532" s="80">
        <f t="shared" ref="I532:L532" si="1588">I531+C532</f>
        <v>358</v>
      </c>
      <c r="J532" s="80">
        <f t="shared" si="1588"/>
        <v>-2470</v>
      </c>
      <c r="K532" s="80">
        <f t="shared" si="1588"/>
        <v>1252</v>
      </c>
      <c r="L532" s="80">
        <f t="shared" si="1588"/>
        <v>860</v>
      </c>
      <c r="N532" s="80">
        <f t="shared" si="25"/>
        <v>24</v>
      </c>
      <c r="O532" s="80">
        <f t="shared" ref="O532:R532" si="1589">O531+I525</f>
        <v>212162</v>
      </c>
      <c r="P532" s="80">
        <f t="shared" si="1589"/>
        <v>-475814</v>
      </c>
      <c r="Q532" s="80">
        <f t="shared" si="1589"/>
        <v>166482</v>
      </c>
      <c r="R532" s="80">
        <f t="shared" si="1589"/>
        <v>97170</v>
      </c>
      <c r="T532" s="80">
        <v>22.0</v>
      </c>
      <c r="U532" s="80">
        <f t="shared" ref="U532:X532" si="1590">U531+C525</f>
        <v>172</v>
      </c>
      <c r="V532" s="80">
        <f t="shared" si="1590"/>
        <v>-3364</v>
      </c>
      <c r="W532" s="80">
        <f t="shared" si="1590"/>
        <v>2914</v>
      </c>
      <c r="X532" s="80">
        <f t="shared" si="1590"/>
        <v>174</v>
      </c>
      <c r="Z532" s="80">
        <v>22.0</v>
      </c>
      <c r="AA532" s="10">
        <v>45199.0</v>
      </c>
      <c r="AB532" s="80">
        <v>630.0</v>
      </c>
      <c r="AC532" s="80">
        <v>-3082.0</v>
      </c>
      <c r="AD532" s="80">
        <v>2488.0</v>
      </c>
      <c r="AE532" s="80">
        <v>-140.0</v>
      </c>
    </row>
    <row r="533">
      <c r="A533" s="28">
        <f>'SAMLET_alle regnskab'!B542</f>
        <v>12</v>
      </c>
      <c r="B533" s="80">
        <f>'SAMLET_alle regnskab'!A542</f>
        <v>24</v>
      </c>
      <c r="C533" s="28">
        <f>'SAMLET_alle regnskab'!U542</f>
        <v>10</v>
      </c>
      <c r="D533" s="28">
        <f>'SAMLET_alle regnskab'!V542</f>
        <v>-10</v>
      </c>
      <c r="E533" s="28">
        <f>'SAMLET_alle regnskab'!W542</f>
        <v>-10</v>
      </c>
      <c r="F533" s="28">
        <f>'SAMLET_alle regnskab'!X542</f>
        <v>10</v>
      </c>
      <c r="H533" s="80">
        <f t="shared" si="7"/>
        <v>24</v>
      </c>
      <c r="I533" s="80">
        <f t="shared" ref="I533:L533" si="1591">I532+C533</f>
        <v>368</v>
      </c>
      <c r="J533" s="80">
        <f t="shared" si="1591"/>
        <v>-2480</v>
      </c>
      <c r="K533" s="80">
        <f t="shared" si="1591"/>
        <v>1242</v>
      </c>
      <c r="L533" s="80">
        <f t="shared" si="1591"/>
        <v>870</v>
      </c>
      <c r="N533" s="80">
        <f t="shared" si="25"/>
        <v>24</v>
      </c>
      <c r="O533" s="80">
        <f t="shared" ref="O533:R533" si="1592">O532+I526</f>
        <v>212504</v>
      </c>
      <c r="P533" s="80">
        <f t="shared" si="1592"/>
        <v>-478220</v>
      </c>
      <c r="Q533" s="80">
        <f t="shared" si="1592"/>
        <v>167678</v>
      </c>
      <c r="R533" s="80">
        <f t="shared" si="1592"/>
        <v>98038</v>
      </c>
      <c r="T533" s="80">
        <v>22.0</v>
      </c>
      <c r="U533" s="80">
        <f t="shared" ref="U533:X533" si="1593">U532+C526</f>
        <v>184</v>
      </c>
      <c r="V533" s="80">
        <f t="shared" si="1593"/>
        <v>-3368</v>
      </c>
      <c r="W533" s="80">
        <f t="shared" si="1593"/>
        <v>2910</v>
      </c>
      <c r="X533" s="80">
        <f t="shared" si="1593"/>
        <v>170</v>
      </c>
      <c r="Z533" s="80">
        <v>22.0</v>
      </c>
      <c r="AA533" s="10">
        <v>45199.0</v>
      </c>
      <c r="AB533" s="80">
        <v>630.0</v>
      </c>
      <c r="AC533" s="80">
        <v>-3082.0</v>
      </c>
      <c r="AD533" s="80">
        <v>2488.0</v>
      </c>
      <c r="AE533" s="80">
        <v>-140.0</v>
      </c>
    </row>
    <row r="534">
      <c r="A534" s="28">
        <f>'SAMLET_alle regnskab'!B543</f>
        <v>13</v>
      </c>
      <c r="B534" s="80">
        <f>'SAMLET_alle regnskab'!A543</f>
        <v>24</v>
      </c>
      <c r="C534" s="28">
        <f>'SAMLET_alle regnskab'!U543</f>
        <v>-6</v>
      </c>
      <c r="D534" s="28">
        <f>'SAMLET_alle regnskab'!V543</f>
        <v>-6</v>
      </c>
      <c r="E534" s="28">
        <f>'SAMLET_alle regnskab'!W543</f>
        <v>6</v>
      </c>
      <c r="F534" s="28">
        <f>'SAMLET_alle regnskab'!X543</f>
        <v>6</v>
      </c>
      <c r="H534" s="80">
        <f t="shared" si="7"/>
        <v>24</v>
      </c>
      <c r="I534" s="80">
        <f t="shared" ref="I534:L534" si="1594">I533+C534</f>
        <v>362</v>
      </c>
      <c r="J534" s="80">
        <f t="shared" si="1594"/>
        <v>-2486</v>
      </c>
      <c r="K534" s="80">
        <f t="shared" si="1594"/>
        <v>1248</v>
      </c>
      <c r="L534" s="80">
        <f t="shared" si="1594"/>
        <v>876</v>
      </c>
      <c r="N534" s="80">
        <f t="shared" si="25"/>
        <v>24</v>
      </c>
      <c r="O534" s="80">
        <f t="shared" ref="O534:R534" si="1595">O533+I527</f>
        <v>212894</v>
      </c>
      <c r="P534" s="80">
        <f t="shared" si="1595"/>
        <v>-480674</v>
      </c>
      <c r="Q534" s="80">
        <f t="shared" si="1595"/>
        <v>168922</v>
      </c>
      <c r="R534" s="80">
        <f t="shared" si="1595"/>
        <v>98858</v>
      </c>
      <c r="T534" s="80">
        <v>22.0</v>
      </c>
      <c r="U534" s="80">
        <f t="shared" ref="U534:X534" si="1596">U533+C527</f>
        <v>232</v>
      </c>
      <c r="V534" s="80">
        <f t="shared" si="1596"/>
        <v>-3416</v>
      </c>
      <c r="W534" s="80">
        <f t="shared" si="1596"/>
        <v>2958</v>
      </c>
      <c r="X534" s="80">
        <f t="shared" si="1596"/>
        <v>122</v>
      </c>
      <c r="Z534" s="80">
        <v>22.0</v>
      </c>
      <c r="AA534" s="10">
        <v>45199.0</v>
      </c>
      <c r="AB534" s="80">
        <v>630.0</v>
      </c>
      <c r="AC534" s="80">
        <v>-3082.0</v>
      </c>
      <c r="AD534" s="80">
        <v>2488.0</v>
      </c>
      <c r="AE534" s="80">
        <v>-140.0</v>
      </c>
    </row>
    <row r="535">
      <c r="A535" s="28">
        <f>'SAMLET_alle regnskab'!B544</f>
        <v>14</v>
      </c>
      <c r="B535" s="80">
        <f>'SAMLET_alle regnskab'!A544</f>
        <v>24</v>
      </c>
      <c r="C535" s="28">
        <f>'SAMLET_alle regnskab'!U544</f>
        <v>-32</v>
      </c>
      <c r="D535" s="28">
        <f>'SAMLET_alle regnskab'!V544</f>
        <v>-32</v>
      </c>
      <c r="E535" s="28">
        <f>'SAMLET_alle regnskab'!W544</f>
        <v>32</v>
      </c>
      <c r="F535" s="28">
        <f>'SAMLET_alle regnskab'!X544</f>
        <v>32</v>
      </c>
      <c r="H535" s="80">
        <f t="shared" si="7"/>
        <v>24</v>
      </c>
      <c r="I535" s="80">
        <f t="shared" ref="I535:L535" si="1597">I534+C535</f>
        <v>330</v>
      </c>
      <c r="J535" s="80">
        <f t="shared" si="1597"/>
        <v>-2518</v>
      </c>
      <c r="K535" s="80">
        <f t="shared" si="1597"/>
        <v>1280</v>
      </c>
      <c r="L535" s="80">
        <f t="shared" si="1597"/>
        <v>908</v>
      </c>
      <c r="N535" s="80">
        <f t="shared" si="25"/>
        <v>24</v>
      </c>
      <c r="O535" s="80">
        <f t="shared" ref="O535:R535" si="1598">O534+I528</f>
        <v>213288</v>
      </c>
      <c r="P535" s="80">
        <f t="shared" si="1598"/>
        <v>-483140</v>
      </c>
      <c r="Q535" s="80">
        <f t="shared" si="1598"/>
        <v>170170</v>
      </c>
      <c r="R535" s="80">
        <f t="shared" si="1598"/>
        <v>99682</v>
      </c>
      <c r="T535" s="80">
        <v>22.0</v>
      </c>
      <c r="U535" s="80">
        <f t="shared" ref="U535:X535" si="1599">U534+C528</f>
        <v>236</v>
      </c>
      <c r="V535" s="80">
        <f t="shared" si="1599"/>
        <v>-3428</v>
      </c>
      <c r="W535" s="80">
        <f t="shared" si="1599"/>
        <v>2962</v>
      </c>
      <c r="X535" s="80">
        <f t="shared" si="1599"/>
        <v>126</v>
      </c>
      <c r="Z535" s="80">
        <v>22.0</v>
      </c>
      <c r="AA535" s="10">
        <v>45199.0</v>
      </c>
      <c r="AB535" s="80">
        <v>630.0</v>
      </c>
      <c r="AC535" s="80">
        <v>-3082.0</v>
      </c>
      <c r="AD535" s="80">
        <v>2488.0</v>
      </c>
      <c r="AE535" s="80">
        <v>-140.0</v>
      </c>
    </row>
    <row r="536">
      <c r="A536" s="28">
        <f>'SAMLET_alle regnskab'!B545</f>
        <v>15</v>
      </c>
      <c r="B536" s="80">
        <f>'SAMLET_alle regnskab'!A545</f>
        <v>24</v>
      </c>
      <c r="C536" s="28">
        <f>'SAMLET_alle regnskab'!U545</f>
        <v>12</v>
      </c>
      <c r="D536" s="28">
        <f>'SAMLET_alle regnskab'!V545</f>
        <v>-4</v>
      </c>
      <c r="E536" s="28">
        <f>'SAMLET_alle regnskab'!W545</f>
        <v>-4</v>
      </c>
      <c r="F536" s="28">
        <f>'SAMLET_alle regnskab'!X545</f>
        <v>-4</v>
      </c>
      <c r="H536" s="80">
        <f t="shared" si="7"/>
        <v>24</v>
      </c>
      <c r="I536" s="80">
        <f t="shared" ref="I536:L536" si="1600">I535+C536</f>
        <v>342</v>
      </c>
      <c r="J536" s="80">
        <f t="shared" si="1600"/>
        <v>-2522</v>
      </c>
      <c r="K536" s="80">
        <f t="shared" si="1600"/>
        <v>1276</v>
      </c>
      <c r="L536" s="80">
        <f t="shared" si="1600"/>
        <v>904</v>
      </c>
      <c r="N536" s="80">
        <f t="shared" si="25"/>
        <v>24</v>
      </c>
      <c r="O536" s="80">
        <f t="shared" ref="O536:R536" si="1601">O535+I529</f>
        <v>213674</v>
      </c>
      <c r="P536" s="80">
        <f t="shared" si="1601"/>
        <v>-485614</v>
      </c>
      <c r="Q536" s="80">
        <f t="shared" si="1601"/>
        <v>171426</v>
      </c>
      <c r="R536" s="80">
        <f t="shared" si="1601"/>
        <v>100514</v>
      </c>
      <c r="T536" s="80">
        <v>22.0</v>
      </c>
      <c r="U536" s="80">
        <f t="shared" ref="U536:X536" si="1602">U535+C529</f>
        <v>228</v>
      </c>
      <c r="V536" s="80">
        <f t="shared" si="1602"/>
        <v>-3436</v>
      </c>
      <c r="W536" s="80">
        <f t="shared" si="1602"/>
        <v>2970</v>
      </c>
      <c r="X536" s="80">
        <f t="shared" si="1602"/>
        <v>134</v>
      </c>
      <c r="Z536" s="80">
        <v>22.0</v>
      </c>
      <c r="AA536" s="10">
        <v>45199.0</v>
      </c>
      <c r="AB536" s="80">
        <v>630.0</v>
      </c>
      <c r="AC536" s="80">
        <v>-3082.0</v>
      </c>
      <c r="AD536" s="80">
        <v>2488.0</v>
      </c>
      <c r="AE536" s="80">
        <v>-140.0</v>
      </c>
    </row>
    <row r="537">
      <c r="A537" s="28">
        <f>'SAMLET_alle regnskab'!B546</f>
        <v>16</v>
      </c>
      <c r="B537" s="80">
        <f>'SAMLET_alle regnskab'!A546</f>
        <v>24</v>
      </c>
      <c r="C537" s="28">
        <f>'SAMLET_alle regnskab'!U546</f>
        <v>36</v>
      </c>
      <c r="D537" s="28">
        <f>'SAMLET_alle regnskab'!V546</f>
        <v>36</v>
      </c>
      <c r="E537" s="28">
        <f>'SAMLET_alle regnskab'!W546</f>
        <v>-36</v>
      </c>
      <c r="F537" s="28">
        <f>'SAMLET_alle regnskab'!X546</f>
        <v>-36</v>
      </c>
      <c r="H537" s="80">
        <f t="shared" si="7"/>
        <v>24</v>
      </c>
      <c r="I537" s="80">
        <f t="shared" ref="I537:L537" si="1603">I536+C537</f>
        <v>378</v>
      </c>
      <c r="J537" s="80">
        <f t="shared" si="1603"/>
        <v>-2486</v>
      </c>
      <c r="K537" s="80">
        <f t="shared" si="1603"/>
        <v>1240</v>
      </c>
      <c r="L537" s="80">
        <f t="shared" si="1603"/>
        <v>868</v>
      </c>
      <c r="N537" s="80">
        <f t="shared" si="25"/>
        <v>24</v>
      </c>
      <c r="O537" s="80">
        <f t="shared" ref="O537:R537" si="1604">O536+I530</f>
        <v>214052</v>
      </c>
      <c r="P537" s="80">
        <f t="shared" si="1604"/>
        <v>-488096</v>
      </c>
      <c r="Q537" s="80">
        <f t="shared" si="1604"/>
        <v>172674</v>
      </c>
      <c r="R537" s="80">
        <f t="shared" si="1604"/>
        <v>101370</v>
      </c>
      <c r="T537" s="80">
        <v>22.0</v>
      </c>
      <c r="U537" s="80">
        <f t="shared" ref="U537:X537" si="1605">U536+C530</f>
        <v>220</v>
      </c>
      <c r="V537" s="80">
        <f t="shared" si="1605"/>
        <v>-3444</v>
      </c>
      <c r="W537" s="80">
        <f t="shared" si="1605"/>
        <v>2962</v>
      </c>
      <c r="X537" s="80">
        <f t="shared" si="1605"/>
        <v>158</v>
      </c>
      <c r="Z537" s="80">
        <v>22.0</v>
      </c>
      <c r="AA537" s="10">
        <v>45199.0</v>
      </c>
      <c r="AB537" s="80">
        <v>630.0</v>
      </c>
      <c r="AC537" s="80">
        <v>-3082.0</v>
      </c>
      <c r="AD537" s="80">
        <v>2488.0</v>
      </c>
      <c r="AE537" s="80">
        <v>-140.0</v>
      </c>
    </row>
    <row r="538">
      <c r="A538" s="28">
        <f>'SAMLET_alle regnskab'!B547</f>
        <v>17</v>
      </c>
      <c r="B538" s="80">
        <f>'SAMLET_alle regnskab'!A547</f>
        <v>24</v>
      </c>
      <c r="C538" s="28">
        <f>'SAMLET_alle regnskab'!U547</f>
        <v>-8</v>
      </c>
      <c r="D538" s="28">
        <f>'SAMLET_alle regnskab'!V547</f>
        <v>8</v>
      </c>
      <c r="E538" s="28">
        <f>'SAMLET_alle regnskab'!W547</f>
        <v>8</v>
      </c>
      <c r="F538" s="28">
        <f>'SAMLET_alle regnskab'!X547</f>
        <v>-8</v>
      </c>
      <c r="H538" s="80">
        <f t="shared" si="7"/>
        <v>24</v>
      </c>
      <c r="I538" s="80">
        <f t="shared" ref="I538:L538" si="1606">I537+C538</f>
        <v>370</v>
      </c>
      <c r="J538" s="80">
        <f t="shared" si="1606"/>
        <v>-2478</v>
      </c>
      <c r="K538" s="80">
        <f t="shared" si="1606"/>
        <v>1248</v>
      </c>
      <c r="L538" s="80">
        <f t="shared" si="1606"/>
        <v>860</v>
      </c>
      <c r="N538" s="80">
        <f t="shared" si="25"/>
        <v>24</v>
      </c>
      <c r="O538" s="80">
        <f t="shared" ref="O538:R538" si="1607">O537+I531</f>
        <v>214418</v>
      </c>
      <c r="P538" s="80">
        <f t="shared" si="1607"/>
        <v>-490590</v>
      </c>
      <c r="Q538" s="80">
        <f t="shared" si="1607"/>
        <v>173934</v>
      </c>
      <c r="R538" s="80">
        <f t="shared" si="1607"/>
        <v>102238</v>
      </c>
      <c r="T538" s="80">
        <v>22.0</v>
      </c>
      <c r="U538" s="80">
        <f t="shared" ref="U538:X538" si="1608">U537+C531</f>
        <v>208</v>
      </c>
      <c r="V538" s="80">
        <f t="shared" si="1608"/>
        <v>-3456</v>
      </c>
      <c r="W538" s="80">
        <f t="shared" si="1608"/>
        <v>2974</v>
      </c>
      <c r="X538" s="80">
        <f t="shared" si="1608"/>
        <v>170</v>
      </c>
      <c r="Z538" s="80">
        <v>22.0</v>
      </c>
      <c r="AA538" s="10">
        <v>45199.0</v>
      </c>
      <c r="AB538" s="80">
        <v>630.0</v>
      </c>
      <c r="AC538" s="80">
        <v>-3082.0</v>
      </c>
      <c r="AD538" s="80">
        <v>2488.0</v>
      </c>
      <c r="AE538" s="80">
        <v>-140.0</v>
      </c>
    </row>
    <row r="539">
      <c r="A539" s="28">
        <f>'SAMLET_alle regnskab'!B548</f>
        <v>1</v>
      </c>
      <c r="B539" s="80">
        <f>'SAMLET_alle regnskab'!A548</f>
        <v>25</v>
      </c>
      <c r="C539" s="28">
        <f>'SAMLET_alle regnskab'!U548</f>
        <v>8</v>
      </c>
      <c r="D539" s="28">
        <f>'SAMLET_alle regnskab'!V548</f>
        <v>8</v>
      </c>
      <c r="E539" s="28">
        <f>'SAMLET_alle regnskab'!W548</f>
        <v>-24</v>
      </c>
      <c r="F539" s="28">
        <f>'SAMLET_alle regnskab'!X548</f>
        <v>8</v>
      </c>
      <c r="H539" s="80">
        <f t="shared" si="7"/>
        <v>25</v>
      </c>
      <c r="I539" s="80">
        <f t="shared" ref="I539:L539" si="1609">I538+C539</f>
        <v>378</v>
      </c>
      <c r="J539" s="80">
        <f t="shared" si="1609"/>
        <v>-2470</v>
      </c>
      <c r="K539" s="80">
        <f t="shared" si="1609"/>
        <v>1224</v>
      </c>
      <c r="L539" s="80">
        <f t="shared" si="1609"/>
        <v>868</v>
      </c>
      <c r="N539" s="80">
        <f t="shared" si="25"/>
        <v>24</v>
      </c>
      <c r="O539" s="80">
        <f t="shared" ref="O539:R539" si="1610">O538+I532</f>
        <v>214776</v>
      </c>
      <c r="P539" s="80">
        <f t="shared" si="1610"/>
        <v>-493060</v>
      </c>
      <c r="Q539" s="80">
        <f t="shared" si="1610"/>
        <v>175186</v>
      </c>
      <c r="R539" s="80">
        <f t="shared" si="1610"/>
        <v>103098</v>
      </c>
      <c r="T539" s="80">
        <v>22.0</v>
      </c>
      <c r="U539" s="80">
        <f t="shared" ref="U539:X539" si="1611">U538+C532</f>
        <v>200</v>
      </c>
      <c r="V539" s="80">
        <f t="shared" si="1611"/>
        <v>-3432</v>
      </c>
      <c r="W539" s="80">
        <f t="shared" si="1611"/>
        <v>2966</v>
      </c>
      <c r="X539" s="80">
        <f t="shared" si="1611"/>
        <v>162</v>
      </c>
      <c r="Z539" s="80">
        <v>22.0</v>
      </c>
      <c r="AA539" s="10">
        <v>45199.0</v>
      </c>
      <c r="AB539" s="80">
        <v>630.0</v>
      </c>
      <c r="AC539" s="80">
        <v>-3082.0</v>
      </c>
      <c r="AD539" s="80">
        <v>2488.0</v>
      </c>
      <c r="AE539" s="80">
        <v>-140.0</v>
      </c>
    </row>
    <row r="540">
      <c r="A540" s="28">
        <f>'SAMLET_alle regnskab'!B549</f>
        <v>2</v>
      </c>
      <c r="B540" s="80">
        <f>'SAMLET_alle regnskab'!A549</f>
        <v>25</v>
      </c>
      <c r="C540" s="28">
        <f>'SAMLET_alle regnskab'!U549</f>
        <v>12</v>
      </c>
      <c r="D540" s="28">
        <f>'SAMLET_alle regnskab'!V549</f>
        <v>4</v>
      </c>
      <c r="E540" s="28">
        <f>'SAMLET_alle regnskab'!W549</f>
        <v>-20</v>
      </c>
      <c r="F540" s="28">
        <f>'SAMLET_alle regnskab'!X549</f>
        <v>4</v>
      </c>
      <c r="H540" s="80">
        <f t="shared" si="7"/>
        <v>25</v>
      </c>
      <c r="I540" s="80">
        <f t="shared" ref="I540:L540" si="1612">I539+C540</f>
        <v>390</v>
      </c>
      <c r="J540" s="80">
        <f t="shared" si="1612"/>
        <v>-2466</v>
      </c>
      <c r="K540" s="80">
        <f t="shared" si="1612"/>
        <v>1204</v>
      </c>
      <c r="L540" s="80">
        <f t="shared" si="1612"/>
        <v>872</v>
      </c>
      <c r="N540" s="80">
        <f t="shared" si="25"/>
        <v>24</v>
      </c>
      <c r="O540" s="80">
        <f t="shared" ref="O540:R540" si="1613">O539+I533</f>
        <v>215144</v>
      </c>
      <c r="P540" s="80">
        <f t="shared" si="1613"/>
        <v>-495540</v>
      </c>
      <c r="Q540" s="80">
        <f t="shared" si="1613"/>
        <v>176428</v>
      </c>
      <c r="R540" s="80">
        <f t="shared" si="1613"/>
        <v>103968</v>
      </c>
      <c r="T540" s="80">
        <v>22.0</v>
      </c>
      <c r="U540" s="80">
        <f t="shared" ref="U540:X540" si="1614">U539+C533</f>
        <v>210</v>
      </c>
      <c r="V540" s="80">
        <f t="shared" si="1614"/>
        <v>-3442</v>
      </c>
      <c r="W540" s="80">
        <f t="shared" si="1614"/>
        <v>2956</v>
      </c>
      <c r="X540" s="80">
        <f t="shared" si="1614"/>
        <v>172</v>
      </c>
      <c r="Z540" s="80">
        <v>22.0</v>
      </c>
      <c r="AA540" s="10">
        <v>45199.0</v>
      </c>
      <c r="AB540" s="80">
        <v>630.0</v>
      </c>
      <c r="AC540" s="80">
        <v>-3082.0</v>
      </c>
      <c r="AD540" s="80">
        <v>2488.0</v>
      </c>
      <c r="AE540" s="80">
        <v>-140.0</v>
      </c>
    </row>
    <row r="541">
      <c r="A541" s="28">
        <f>'SAMLET_alle regnskab'!B550</f>
        <v>3</v>
      </c>
      <c r="B541" s="80">
        <f>'SAMLET_alle regnskab'!A550</f>
        <v>25</v>
      </c>
      <c r="C541" s="28">
        <f>'SAMLET_alle regnskab'!U550</f>
        <v>-4</v>
      </c>
      <c r="D541" s="28">
        <f>'SAMLET_alle regnskab'!V550</f>
        <v>20</v>
      </c>
      <c r="E541" s="28">
        <f>'SAMLET_alle regnskab'!W550</f>
        <v>-4</v>
      </c>
      <c r="F541" s="28">
        <f>'SAMLET_alle regnskab'!X550</f>
        <v>-12</v>
      </c>
      <c r="H541" s="80">
        <f t="shared" si="7"/>
        <v>25</v>
      </c>
      <c r="I541" s="80">
        <f t="shared" ref="I541:L541" si="1615">I540+C541</f>
        <v>386</v>
      </c>
      <c r="J541" s="80">
        <f t="shared" si="1615"/>
        <v>-2446</v>
      </c>
      <c r="K541" s="80">
        <f t="shared" si="1615"/>
        <v>1200</v>
      </c>
      <c r="L541" s="80">
        <f t="shared" si="1615"/>
        <v>860</v>
      </c>
      <c r="N541" s="80">
        <f t="shared" si="25"/>
        <v>24</v>
      </c>
      <c r="O541" s="80">
        <f t="shared" ref="O541:R541" si="1616">O540+I534</f>
        <v>215506</v>
      </c>
      <c r="P541" s="80">
        <f t="shared" si="1616"/>
        <v>-498026</v>
      </c>
      <c r="Q541" s="80">
        <f t="shared" si="1616"/>
        <v>177676</v>
      </c>
      <c r="R541" s="80">
        <f t="shared" si="1616"/>
        <v>104844</v>
      </c>
      <c r="T541" s="80">
        <v>22.0</v>
      </c>
      <c r="U541" s="80">
        <f t="shared" ref="U541:X541" si="1617">U540+C534</f>
        <v>204</v>
      </c>
      <c r="V541" s="80">
        <f t="shared" si="1617"/>
        <v>-3448</v>
      </c>
      <c r="W541" s="80">
        <f t="shared" si="1617"/>
        <v>2962</v>
      </c>
      <c r="X541" s="80">
        <f t="shared" si="1617"/>
        <v>178</v>
      </c>
      <c r="Z541" s="80">
        <v>22.0</v>
      </c>
      <c r="AA541" s="10">
        <v>45199.0</v>
      </c>
      <c r="AB541" s="80">
        <v>630.0</v>
      </c>
      <c r="AC541" s="80">
        <v>-3082.0</v>
      </c>
      <c r="AD541" s="80">
        <v>2488.0</v>
      </c>
      <c r="AE541" s="80">
        <v>-140.0</v>
      </c>
    </row>
    <row r="542">
      <c r="A542" s="28">
        <f>'SAMLET_alle regnskab'!B551</f>
        <v>4</v>
      </c>
      <c r="B542" s="80">
        <f>'SAMLET_alle regnskab'!A551</f>
        <v>25</v>
      </c>
      <c r="C542" s="28">
        <f>'SAMLET_alle regnskab'!U551</f>
        <v>28</v>
      </c>
      <c r="D542" s="28">
        <f>'SAMLET_alle regnskab'!V551</f>
        <v>-12</v>
      </c>
      <c r="E542" s="28">
        <f>'SAMLET_alle regnskab'!W551</f>
        <v>28</v>
      </c>
      <c r="F542" s="28">
        <f>'SAMLET_alle regnskab'!X551</f>
        <v>-44</v>
      </c>
      <c r="H542" s="80">
        <f t="shared" si="7"/>
        <v>25</v>
      </c>
      <c r="I542" s="80">
        <f t="shared" ref="I542:L542" si="1618">I541+C542</f>
        <v>414</v>
      </c>
      <c r="J542" s="80">
        <f t="shared" si="1618"/>
        <v>-2458</v>
      </c>
      <c r="K542" s="80">
        <f t="shared" si="1618"/>
        <v>1228</v>
      </c>
      <c r="L542" s="80">
        <f t="shared" si="1618"/>
        <v>816</v>
      </c>
      <c r="N542" s="80">
        <f t="shared" si="25"/>
        <v>24</v>
      </c>
      <c r="O542" s="80">
        <f t="shared" ref="O542:R542" si="1619">O541+I535</f>
        <v>215836</v>
      </c>
      <c r="P542" s="80">
        <f t="shared" si="1619"/>
        <v>-500544</v>
      </c>
      <c r="Q542" s="80">
        <f t="shared" si="1619"/>
        <v>178956</v>
      </c>
      <c r="R542" s="80">
        <f t="shared" si="1619"/>
        <v>105752</v>
      </c>
      <c r="T542" s="80">
        <v>22.0</v>
      </c>
      <c r="U542" s="80">
        <f t="shared" ref="U542:X542" si="1620">U541+C535</f>
        <v>172</v>
      </c>
      <c r="V542" s="80">
        <f t="shared" si="1620"/>
        <v>-3480</v>
      </c>
      <c r="W542" s="80">
        <f t="shared" si="1620"/>
        <v>2994</v>
      </c>
      <c r="X542" s="80">
        <f t="shared" si="1620"/>
        <v>210</v>
      </c>
      <c r="Z542" s="80">
        <v>22.0</v>
      </c>
      <c r="AA542" s="10">
        <v>45199.0</v>
      </c>
      <c r="AB542" s="80">
        <v>630.0</v>
      </c>
      <c r="AC542" s="80">
        <v>-3082.0</v>
      </c>
      <c r="AD542" s="80">
        <v>2488.0</v>
      </c>
      <c r="AE542" s="80">
        <v>-140.0</v>
      </c>
    </row>
    <row r="543">
      <c r="A543" s="28">
        <f>'SAMLET_alle regnskab'!B552</f>
        <v>5</v>
      </c>
      <c r="B543" s="80">
        <f>'SAMLET_alle regnskab'!A552</f>
        <v>25</v>
      </c>
      <c r="C543" s="28">
        <f>'SAMLET_alle regnskab'!U552</f>
        <v>40</v>
      </c>
      <c r="D543" s="28">
        <f>'SAMLET_alle regnskab'!V552</f>
        <v>0</v>
      </c>
      <c r="E543" s="28">
        <f>'SAMLET_alle regnskab'!W552</f>
        <v>16</v>
      </c>
      <c r="F543" s="28">
        <f>'SAMLET_alle regnskab'!X552</f>
        <v>-56</v>
      </c>
      <c r="H543" s="80">
        <f t="shared" si="7"/>
        <v>25</v>
      </c>
      <c r="I543" s="80">
        <f t="shared" ref="I543:L543" si="1621">I542+C543</f>
        <v>454</v>
      </c>
      <c r="J543" s="80">
        <f t="shared" si="1621"/>
        <v>-2458</v>
      </c>
      <c r="K543" s="80">
        <f t="shared" si="1621"/>
        <v>1244</v>
      </c>
      <c r="L543" s="80">
        <f t="shared" si="1621"/>
        <v>760</v>
      </c>
      <c r="N543" s="80">
        <f t="shared" si="25"/>
        <v>24</v>
      </c>
      <c r="O543" s="80">
        <f t="shared" ref="O543:R543" si="1622">O542+I536</f>
        <v>216178</v>
      </c>
      <c r="P543" s="80">
        <f t="shared" si="1622"/>
        <v>-503066</v>
      </c>
      <c r="Q543" s="80">
        <f t="shared" si="1622"/>
        <v>180232</v>
      </c>
      <c r="R543" s="80">
        <f t="shared" si="1622"/>
        <v>106656</v>
      </c>
      <c r="T543" s="80">
        <v>22.0</v>
      </c>
      <c r="U543" s="80">
        <f t="shared" ref="U543:X543" si="1623">U542+C536</f>
        <v>184</v>
      </c>
      <c r="V543" s="80">
        <f t="shared" si="1623"/>
        <v>-3484</v>
      </c>
      <c r="W543" s="80">
        <f t="shared" si="1623"/>
        <v>2990</v>
      </c>
      <c r="X543" s="80">
        <f t="shared" si="1623"/>
        <v>206</v>
      </c>
      <c r="Z543" s="80">
        <v>22.0</v>
      </c>
      <c r="AA543" s="10">
        <v>45199.0</v>
      </c>
      <c r="AB543" s="80">
        <v>630.0</v>
      </c>
      <c r="AC543" s="80">
        <v>-3082.0</v>
      </c>
      <c r="AD543" s="80">
        <v>2488.0</v>
      </c>
      <c r="AE543" s="80">
        <v>-140.0</v>
      </c>
    </row>
    <row r="544">
      <c r="A544" s="28">
        <f>'SAMLET_alle regnskab'!B553</f>
        <v>6</v>
      </c>
      <c r="B544" s="80">
        <f>'SAMLET_alle regnskab'!A553</f>
        <v>25</v>
      </c>
      <c r="C544" s="28">
        <f>'SAMLET_alle regnskab'!U553</f>
        <v>56</v>
      </c>
      <c r="D544" s="28">
        <f>'SAMLET_alle regnskab'!V553</f>
        <v>-16</v>
      </c>
      <c r="E544" s="28">
        <f>'SAMLET_alle regnskab'!W553</f>
        <v>0</v>
      </c>
      <c r="F544" s="28">
        <f>'SAMLET_alle regnskab'!X553</f>
        <v>-40</v>
      </c>
      <c r="H544" s="80">
        <f t="shared" si="7"/>
        <v>25</v>
      </c>
      <c r="I544" s="80">
        <f t="shared" ref="I544:L544" si="1624">I543+C544</f>
        <v>510</v>
      </c>
      <c r="J544" s="80">
        <f t="shared" si="1624"/>
        <v>-2474</v>
      </c>
      <c r="K544" s="80">
        <f t="shared" si="1624"/>
        <v>1244</v>
      </c>
      <c r="L544" s="80">
        <f t="shared" si="1624"/>
        <v>720</v>
      </c>
      <c r="N544" s="80">
        <f t="shared" si="25"/>
        <v>24</v>
      </c>
      <c r="O544" s="80">
        <f t="shared" ref="O544:R544" si="1625">O543+I537</f>
        <v>216556</v>
      </c>
      <c r="P544" s="80">
        <f t="shared" si="1625"/>
        <v>-505552</v>
      </c>
      <c r="Q544" s="80">
        <f t="shared" si="1625"/>
        <v>181472</v>
      </c>
      <c r="R544" s="80">
        <f t="shared" si="1625"/>
        <v>107524</v>
      </c>
      <c r="T544" s="80">
        <v>22.0</v>
      </c>
      <c r="U544" s="80">
        <f t="shared" ref="U544:X544" si="1626">U543+C537</f>
        <v>220</v>
      </c>
      <c r="V544" s="80">
        <f t="shared" si="1626"/>
        <v>-3448</v>
      </c>
      <c r="W544" s="80">
        <f t="shared" si="1626"/>
        <v>2954</v>
      </c>
      <c r="X544" s="80">
        <f t="shared" si="1626"/>
        <v>170</v>
      </c>
      <c r="Z544" s="80">
        <v>22.0</v>
      </c>
      <c r="AA544" s="10">
        <v>45199.0</v>
      </c>
      <c r="AB544" s="80">
        <v>630.0</v>
      </c>
      <c r="AC544" s="80">
        <v>-3082.0</v>
      </c>
      <c r="AD544" s="80">
        <v>2488.0</v>
      </c>
      <c r="AE544" s="80">
        <v>-140.0</v>
      </c>
    </row>
    <row r="545">
      <c r="A545" s="28">
        <f>'SAMLET_alle regnskab'!B554</f>
        <v>7</v>
      </c>
      <c r="B545" s="80">
        <f>'SAMLET_alle regnskab'!A554</f>
        <v>25</v>
      </c>
      <c r="C545" s="28">
        <f>'SAMLET_alle regnskab'!U554</f>
        <v>88</v>
      </c>
      <c r="D545" s="28">
        <f>'SAMLET_alle regnskab'!V554</f>
        <v>-48</v>
      </c>
      <c r="E545" s="28">
        <f>'SAMLET_alle regnskab'!W554</f>
        <v>32</v>
      </c>
      <c r="F545" s="28">
        <f>'SAMLET_alle regnskab'!X554</f>
        <v>-72</v>
      </c>
      <c r="H545" s="80">
        <f t="shared" si="7"/>
        <v>25</v>
      </c>
      <c r="I545" s="80">
        <f t="shared" ref="I545:L545" si="1627">I544+C545</f>
        <v>598</v>
      </c>
      <c r="J545" s="80">
        <f t="shared" si="1627"/>
        <v>-2522</v>
      </c>
      <c r="K545" s="80">
        <f t="shared" si="1627"/>
        <v>1276</v>
      </c>
      <c r="L545" s="80">
        <f t="shared" si="1627"/>
        <v>648</v>
      </c>
      <c r="N545" s="80">
        <f t="shared" si="25"/>
        <v>24</v>
      </c>
      <c r="O545" s="80">
        <f t="shared" ref="O545:R545" si="1628">O544+I538</f>
        <v>216926</v>
      </c>
      <c r="P545" s="80">
        <f t="shared" si="1628"/>
        <v>-508030</v>
      </c>
      <c r="Q545" s="80">
        <f t="shared" si="1628"/>
        <v>182720</v>
      </c>
      <c r="R545" s="80">
        <f t="shared" si="1628"/>
        <v>108384</v>
      </c>
      <c r="T545" s="80">
        <v>22.0</v>
      </c>
      <c r="U545" s="80">
        <f t="shared" ref="U545:X545" si="1629">U544+C538</f>
        <v>212</v>
      </c>
      <c r="V545" s="80">
        <f t="shared" si="1629"/>
        <v>-3440</v>
      </c>
      <c r="W545" s="80">
        <f t="shared" si="1629"/>
        <v>2962</v>
      </c>
      <c r="X545" s="80">
        <f t="shared" si="1629"/>
        <v>162</v>
      </c>
      <c r="Z545" s="80">
        <v>22.0</v>
      </c>
      <c r="AA545" s="10">
        <v>45199.0</v>
      </c>
      <c r="AB545" s="80">
        <v>630.0</v>
      </c>
      <c r="AC545" s="80">
        <v>-3082.0</v>
      </c>
      <c r="AD545" s="80">
        <v>2488.0</v>
      </c>
      <c r="AE545" s="80">
        <v>-140.0</v>
      </c>
    </row>
    <row r="546">
      <c r="A546" s="28">
        <f>'SAMLET_alle regnskab'!B555</f>
        <v>8</v>
      </c>
      <c r="B546" s="80">
        <f>'SAMLET_alle regnskab'!A555</f>
        <v>25</v>
      </c>
      <c r="C546" s="28">
        <f>'SAMLET_alle regnskab'!U555</f>
        <v>84</v>
      </c>
      <c r="D546" s="28">
        <f>'SAMLET_alle regnskab'!V555</f>
        <v>-52</v>
      </c>
      <c r="E546" s="28">
        <f>'SAMLET_alle regnskab'!W555</f>
        <v>28</v>
      </c>
      <c r="F546" s="28">
        <f>'SAMLET_alle regnskab'!X555</f>
        <v>-60</v>
      </c>
      <c r="H546" s="80">
        <f t="shared" si="7"/>
        <v>25</v>
      </c>
      <c r="I546" s="80">
        <f t="shared" ref="I546:L546" si="1630">I545+C546</f>
        <v>682</v>
      </c>
      <c r="J546" s="80">
        <f t="shared" si="1630"/>
        <v>-2574</v>
      </c>
      <c r="K546" s="80">
        <f t="shared" si="1630"/>
        <v>1304</v>
      </c>
      <c r="L546" s="80">
        <f t="shared" si="1630"/>
        <v>588</v>
      </c>
      <c r="N546" s="80">
        <f t="shared" si="25"/>
        <v>25</v>
      </c>
      <c r="O546" s="80">
        <f t="shared" ref="O546:R546" si="1631">O545+I539</f>
        <v>217304</v>
      </c>
      <c r="P546" s="80">
        <f t="shared" si="1631"/>
        <v>-510500</v>
      </c>
      <c r="Q546" s="80">
        <f t="shared" si="1631"/>
        <v>183944</v>
      </c>
      <c r="R546" s="80">
        <f t="shared" si="1631"/>
        <v>109252</v>
      </c>
      <c r="T546" s="80">
        <v>22.0</v>
      </c>
      <c r="U546" s="80">
        <f t="shared" ref="U546:X546" si="1632">U545+C539</f>
        <v>220</v>
      </c>
      <c r="V546" s="80">
        <f t="shared" si="1632"/>
        <v>-3432</v>
      </c>
      <c r="W546" s="80">
        <f t="shared" si="1632"/>
        <v>2938</v>
      </c>
      <c r="X546" s="80">
        <f t="shared" si="1632"/>
        <v>170</v>
      </c>
      <c r="Z546" s="80">
        <v>22.0</v>
      </c>
      <c r="AA546" s="10">
        <v>45199.0</v>
      </c>
      <c r="AB546" s="80">
        <v>630.0</v>
      </c>
      <c r="AC546" s="80">
        <v>-3082.0</v>
      </c>
      <c r="AD546" s="80">
        <v>2488.0</v>
      </c>
      <c r="AE546" s="80">
        <v>-140.0</v>
      </c>
    </row>
    <row r="547">
      <c r="A547" s="28">
        <f>'SAMLET_alle regnskab'!B556</f>
        <v>9</v>
      </c>
      <c r="B547" s="80">
        <f>'SAMLET_alle regnskab'!A556</f>
        <v>25</v>
      </c>
      <c r="C547" s="28">
        <f>'SAMLET_alle regnskab'!U556</f>
        <v>-80</v>
      </c>
      <c r="D547" s="28">
        <f>'SAMLET_alle regnskab'!V556</f>
        <v>80</v>
      </c>
      <c r="E547" s="28">
        <f>'SAMLET_alle regnskab'!W556</f>
        <v>80</v>
      </c>
      <c r="F547" s="28">
        <f>'SAMLET_alle regnskab'!X556</f>
        <v>-80</v>
      </c>
      <c r="H547" s="80">
        <f t="shared" si="7"/>
        <v>25</v>
      </c>
      <c r="I547" s="80">
        <f t="shared" ref="I547:L547" si="1633">I546+C547</f>
        <v>602</v>
      </c>
      <c r="J547" s="80">
        <f t="shared" si="1633"/>
        <v>-2494</v>
      </c>
      <c r="K547" s="80">
        <f t="shared" si="1633"/>
        <v>1384</v>
      </c>
      <c r="L547" s="80">
        <f t="shared" si="1633"/>
        <v>508</v>
      </c>
      <c r="N547" s="80">
        <f t="shared" si="25"/>
        <v>25</v>
      </c>
      <c r="O547" s="80">
        <f t="shared" ref="O547:R547" si="1634">O546+I540</f>
        <v>217694</v>
      </c>
      <c r="P547" s="80">
        <f t="shared" si="1634"/>
        <v>-512966</v>
      </c>
      <c r="Q547" s="80">
        <f t="shared" si="1634"/>
        <v>185148</v>
      </c>
      <c r="R547" s="80">
        <f t="shared" si="1634"/>
        <v>110124</v>
      </c>
      <c r="T547" s="80">
        <v>22.0</v>
      </c>
      <c r="U547" s="80">
        <f t="shared" ref="U547:X547" si="1635">U546+C540</f>
        <v>232</v>
      </c>
      <c r="V547" s="80">
        <f t="shared" si="1635"/>
        <v>-3428</v>
      </c>
      <c r="W547" s="80">
        <f t="shared" si="1635"/>
        <v>2918</v>
      </c>
      <c r="X547" s="80">
        <f t="shared" si="1635"/>
        <v>174</v>
      </c>
      <c r="Z547" s="80">
        <v>22.0</v>
      </c>
      <c r="AA547" s="10">
        <v>45199.0</v>
      </c>
      <c r="AB547" s="80">
        <v>630.0</v>
      </c>
      <c r="AC547" s="80">
        <v>-3082.0</v>
      </c>
      <c r="AD547" s="80">
        <v>2488.0</v>
      </c>
      <c r="AE547" s="80">
        <v>-140.0</v>
      </c>
    </row>
    <row r="548">
      <c r="A548" s="28">
        <f>'SAMLET_alle regnskab'!B557</f>
        <v>10</v>
      </c>
      <c r="B548" s="80">
        <f>'SAMLET_alle regnskab'!A557</f>
        <v>25</v>
      </c>
      <c r="C548" s="28">
        <f>'SAMLET_alle regnskab'!U557</f>
        <v>-8</v>
      </c>
      <c r="D548" s="28">
        <f>'SAMLET_alle regnskab'!V557</f>
        <v>-8</v>
      </c>
      <c r="E548" s="28">
        <f>'SAMLET_alle regnskab'!W557</f>
        <v>8</v>
      </c>
      <c r="F548" s="28">
        <f>'SAMLET_alle regnskab'!X557</f>
        <v>8</v>
      </c>
      <c r="H548" s="80">
        <f t="shared" si="7"/>
        <v>25</v>
      </c>
      <c r="I548" s="80">
        <f t="shared" ref="I548:L548" si="1636">I547+C548</f>
        <v>594</v>
      </c>
      <c r="J548" s="80">
        <f t="shared" si="1636"/>
        <v>-2502</v>
      </c>
      <c r="K548" s="80">
        <f t="shared" si="1636"/>
        <v>1392</v>
      </c>
      <c r="L548" s="80">
        <f t="shared" si="1636"/>
        <v>516</v>
      </c>
      <c r="N548" s="80">
        <f t="shared" si="25"/>
        <v>25</v>
      </c>
      <c r="O548" s="80">
        <f t="shared" ref="O548:R548" si="1637">O547+I541</f>
        <v>218080</v>
      </c>
      <c r="P548" s="80">
        <f t="shared" si="1637"/>
        <v>-515412</v>
      </c>
      <c r="Q548" s="80">
        <f t="shared" si="1637"/>
        <v>186348</v>
      </c>
      <c r="R548" s="80">
        <f t="shared" si="1637"/>
        <v>110984</v>
      </c>
      <c r="T548" s="80">
        <v>22.0</v>
      </c>
      <c r="U548" s="80">
        <f t="shared" ref="U548:X548" si="1638">U547+C541</f>
        <v>228</v>
      </c>
      <c r="V548" s="80">
        <f t="shared" si="1638"/>
        <v>-3408</v>
      </c>
      <c r="W548" s="80">
        <f t="shared" si="1638"/>
        <v>2914</v>
      </c>
      <c r="X548" s="80">
        <f t="shared" si="1638"/>
        <v>162</v>
      </c>
      <c r="Z548" s="80">
        <v>22.0</v>
      </c>
      <c r="AA548" s="10">
        <v>45199.0</v>
      </c>
      <c r="AB548" s="80">
        <v>630.0</v>
      </c>
      <c r="AC548" s="80">
        <v>-3082.0</v>
      </c>
      <c r="AD548" s="80">
        <v>2488.0</v>
      </c>
      <c r="AE548" s="80">
        <v>-140.0</v>
      </c>
    </row>
    <row r="549">
      <c r="A549" s="28">
        <f>'SAMLET_alle regnskab'!B558</f>
        <v>11</v>
      </c>
      <c r="B549" s="80">
        <f>'SAMLET_alle regnskab'!A558</f>
        <v>25</v>
      </c>
      <c r="C549" s="28">
        <f>'SAMLET_alle regnskab'!U558</f>
        <v>8</v>
      </c>
      <c r="D549" s="28">
        <f>'SAMLET_alle regnskab'!V558</f>
        <v>-24</v>
      </c>
      <c r="E549" s="28">
        <f>'SAMLET_alle regnskab'!W558</f>
        <v>8</v>
      </c>
      <c r="F549" s="28">
        <f>'SAMLET_alle regnskab'!X558</f>
        <v>8</v>
      </c>
      <c r="H549" s="80">
        <f t="shared" si="7"/>
        <v>25</v>
      </c>
      <c r="I549" s="80">
        <f t="shared" ref="I549:L549" si="1639">I548+C549</f>
        <v>602</v>
      </c>
      <c r="J549" s="80">
        <f t="shared" si="1639"/>
        <v>-2526</v>
      </c>
      <c r="K549" s="80">
        <f t="shared" si="1639"/>
        <v>1400</v>
      </c>
      <c r="L549" s="80">
        <f t="shared" si="1639"/>
        <v>524</v>
      </c>
      <c r="N549" s="80">
        <f t="shared" si="25"/>
        <v>25</v>
      </c>
      <c r="O549" s="80">
        <f t="shared" ref="O549:R549" si="1640">O548+I542</f>
        <v>218494</v>
      </c>
      <c r="P549" s="80">
        <f t="shared" si="1640"/>
        <v>-517870</v>
      </c>
      <c r="Q549" s="80">
        <f t="shared" si="1640"/>
        <v>187576</v>
      </c>
      <c r="R549" s="80">
        <f t="shared" si="1640"/>
        <v>111800</v>
      </c>
      <c r="T549" s="80">
        <v>22.0</v>
      </c>
      <c r="U549" s="80">
        <f t="shared" ref="U549:X549" si="1641">U548+C542</f>
        <v>256</v>
      </c>
      <c r="V549" s="80">
        <f t="shared" si="1641"/>
        <v>-3420</v>
      </c>
      <c r="W549" s="80">
        <f t="shared" si="1641"/>
        <v>2942</v>
      </c>
      <c r="X549" s="80">
        <f t="shared" si="1641"/>
        <v>118</v>
      </c>
      <c r="Z549" s="80">
        <v>22.0</v>
      </c>
      <c r="AA549" s="10">
        <v>45199.0</v>
      </c>
      <c r="AB549" s="80">
        <v>630.0</v>
      </c>
      <c r="AC549" s="80">
        <v>-3082.0</v>
      </c>
      <c r="AD549" s="80">
        <v>2488.0</v>
      </c>
      <c r="AE549" s="80">
        <v>-140.0</v>
      </c>
    </row>
    <row r="550">
      <c r="A550" s="28">
        <f>'SAMLET_alle regnskab'!B559</f>
        <v>12</v>
      </c>
      <c r="B550" s="80">
        <f>'SAMLET_alle regnskab'!A559</f>
        <v>25</v>
      </c>
      <c r="C550" s="28">
        <f>'SAMLET_alle regnskab'!U559</f>
        <v>12</v>
      </c>
      <c r="D550" s="28">
        <f>'SAMLET_alle regnskab'!V559</f>
        <v>-12</v>
      </c>
      <c r="E550" s="28">
        <f>'SAMLET_alle regnskab'!W559</f>
        <v>-12</v>
      </c>
      <c r="F550" s="28">
        <f>'SAMLET_alle regnskab'!X559</f>
        <v>12</v>
      </c>
      <c r="H550" s="80">
        <f t="shared" si="7"/>
        <v>25</v>
      </c>
      <c r="I550" s="80">
        <f t="shared" ref="I550:L550" si="1642">I549+C550</f>
        <v>614</v>
      </c>
      <c r="J550" s="80">
        <f t="shared" si="1642"/>
        <v>-2538</v>
      </c>
      <c r="K550" s="80">
        <f t="shared" si="1642"/>
        <v>1388</v>
      </c>
      <c r="L550" s="80">
        <f t="shared" si="1642"/>
        <v>536</v>
      </c>
      <c r="N550" s="80">
        <f t="shared" si="25"/>
        <v>25</v>
      </c>
      <c r="O550" s="80">
        <f t="shared" ref="O550:R550" si="1643">O549+I543</f>
        <v>218948</v>
      </c>
      <c r="P550" s="80">
        <f t="shared" si="1643"/>
        <v>-520328</v>
      </c>
      <c r="Q550" s="80">
        <f t="shared" si="1643"/>
        <v>188820</v>
      </c>
      <c r="R550" s="80">
        <f t="shared" si="1643"/>
        <v>112560</v>
      </c>
      <c r="T550" s="80">
        <v>22.0</v>
      </c>
      <c r="U550" s="80">
        <f t="shared" ref="U550:X550" si="1644">U549+C543</f>
        <v>296</v>
      </c>
      <c r="V550" s="80">
        <f t="shared" si="1644"/>
        <v>-3420</v>
      </c>
      <c r="W550" s="80">
        <f t="shared" si="1644"/>
        <v>2958</v>
      </c>
      <c r="X550" s="80">
        <f t="shared" si="1644"/>
        <v>62</v>
      </c>
      <c r="Z550" s="80">
        <v>22.0</v>
      </c>
      <c r="AA550" s="10">
        <v>45199.0</v>
      </c>
      <c r="AB550" s="80">
        <v>630.0</v>
      </c>
      <c r="AC550" s="80">
        <v>-3082.0</v>
      </c>
      <c r="AD550" s="80">
        <v>2488.0</v>
      </c>
      <c r="AE550" s="80">
        <v>-140.0</v>
      </c>
    </row>
    <row r="551">
      <c r="A551" s="28">
        <f>'SAMLET_alle regnskab'!B560</f>
        <v>13</v>
      </c>
      <c r="B551" s="80">
        <f>'SAMLET_alle regnskab'!A560</f>
        <v>25</v>
      </c>
      <c r="C551" s="28">
        <f>'SAMLET_alle regnskab'!U560</f>
        <v>-16</v>
      </c>
      <c r="D551" s="28">
        <f>'SAMLET_alle regnskab'!V560</f>
        <v>-16</v>
      </c>
      <c r="E551" s="28">
        <f>'SAMLET_alle regnskab'!W560</f>
        <v>-16</v>
      </c>
      <c r="F551" s="28">
        <f>'SAMLET_alle regnskab'!X560</f>
        <v>48</v>
      </c>
      <c r="H551" s="80">
        <f t="shared" si="7"/>
        <v>25</v>
      </c>
      <c r="I551" s="80">
        <f t="shared" ref="I551:L551" si="1645">I550+C551</f>
        <v>598</v>
      </c>
      <c r="J551" s="80">
        <f t="shared" si="1645"/>
        <v>-2554</v>
      </c>
      <c r="K551" s="80">
        <f t="shared" si="1645"/>
        <v>1372</v>
      </c>
      <c r="L551" s="80">
        <f t="shared" si="1645"/>
        <v>584</v>
      </c>
      <c r="N551" s="80">
        <f t="shared" si="25"/>
        <v>25</v>
      </c>
      <c r="O551" s="80">
        <f t="shared" ref="O551:R551" si="1646">O550+I544</f>
        <v>219458</v>
      </c>
      <c r="P551" s="80">
        <f t="shared" si="1646"/>
        <v>-522802</v>
      </c>
      <c r="Q551" s="80">
        <f t="shared" si="1646"/>
        <v>190064</v>
      </c>
      <c r="R551" s="80">
        <f t="shared" si="1646"/>
        <v>113280</v>
      </c>
      <c r="T551" s="80">
        <v>22.0</v>
      </c>
      <c r="U551" s="80">
        <f t="shared" ref="U551:X551" si="1647">U550+C544</f>
        <v>352</v>
      </c>
      <c r="V551" s="80">
        <f t="shared" si="1647"/>
        <v>-3436</v>
      </c>
      <c r="W551" s="80">
        <f t="shared" si="1647"/>
        <v>2958</v>
      </c>
      <c r="X551" s="80">
        <f t="shared" si="1647"/>
        <v>22</v>
      </c>
      <c r="Z551" s="80">
        <v>22.0</v>
      </c>
      <c r="AA551" s="10">
        <v>45199.0</v>
      </c>
      <c r="AB551" s="80">
        <v>630.0</v>
      </c>
      <c r="AC551" s="80">
        <v>-3082.0</v>
      </c>
      <c r="AD551" s="80">
        <v>2488.0</v>
      </c>
      <c r="AE551" s="80">
        <v>-140.0</v>
      </c>
    </row>
    <row r="552">
      <c r="A552" s="28">
        <f>'SAMLET_alle regnskab'!B561</f>
        <v>14</v>
      </c>
      <c r="B552" s="80">
        <f>'SAMLET_alle regnskab'!A561</f>
        <v>25</v>
      </c>
      <c r="C552" s="28">
        <f>'SAMLET_alle regnskab'!U561</f>
        <v>32</v>
      </c>
      <c r="D552" s="28">
        <f>'SAMLET_alle regnskab'!V561</f>
        <v>32</v>
      </c>
      <c r="E552" s="28">
        <f>'SAMLET_alle regnskab'!W561</f>
        <v>-32</v>
      </c>
      <c r="F552" s="28">
        <f>'SAMLET_alle regnskab'!X561</f>
        <v>-32</v>
      </c>
      <c r="H552" s="80">
        <f t="shared" si="7"/>
        <v>25</v>
      </c>
      <c r="I552" s="80">
        <f t="shared" ref="I552:L552" si="1648">I551+C552</f>
        <v>630</v>
      </c>
      <c r="J552" s="80">
        <f t="shared" si="1648"/>
        <v>-2522</v>
      </c>
      <c r="K552" s="80">
        <f t="shared" si="1648"/>
        <v>1340</v>
      </c>
      <c r="L552" s="80">
        <f t="shared" si="1648"/>
        <v>552</v>
      </c>
      <c r="N552" s="80">
        <f t="shared" si="25"/>
        <v>25</v>
      </c>
      <c r="O552" s="80">
        <f t="shared" ref="O552:R552" si="1649">O551+I545</f>
        <v>220056</v>
      </c>
      <c r="P552" s="80">
        <f t="shared" si="1649"/>
        <v>-525324</v>
      </c>
      <c r="Q552" s="80">
        <f t="shared" si="1649"/>
        <v>191340</v>
      </c>
      <c r="R552" s="80">
        <f t="shared" si="1649"/>
        <v>113928</v>
      </c>
      <c r="T552" s="80">
        <v>22.0</v>
      </c>
      <c r="U552" s="80">
        <f t="shared" ref="U552:X552" si="1650">U551+C545</f>
        <v>440</v>
      </c>
      <c r="V552" s="80">
        <f t="shared" si="1650"/>
        <v>-3484</v>
      </c>
      <c r="W552" s="80">
        <f t="shared" si="1650"/>
        <v>2990</v>
      </c>
      <c r="X552" s="80">
        <f t="shared" si="1650"/>
        <v>-50</v>
      </c>
      <c r="Z552" s="80">
        <v>22.0</v>
      </c>
      <c r="AA552" s="10">
        <v>45199.0</v>
      </c>
      <c r="AB552" s="80">
        <v>630.0</v>
      </c>
      <c r="AC552" s="80">
        <v>-3082.0</v>
      </c>
      <c r="AD552" s="80">
        <v>2488.0</v>
      </c>
      <c r="AE552" s="80">
        <v>-140.0</v>
      </c>
    </row>
    <row r="553">
      <c r="A553" s="28">
        <f>'SAMLET_alle regnskab'!B562</f>
        <v>15</v>
      </c>
      <c r="B553" s="80">
        <f>'SAMLET_alle regnskab'!A562</f>
        <v>25</v>
      </c>
      <c r="C553" s="28">
        <f>'SAMLET_alle regnskab'!U562</f>
        <v>24</v>
      </c>
      <c r="D553" s="28">
        <f>'SAMLET_alle regnskab'!V562</f>
        <v>-8</v>
      </c>
      <c r="E553" s="28">
        <f>'SAMLET_alle regnskab'!W562</f>
        <v>-8</v>
      </c>
      <c r="F553" s="28">
        <f>'SAMLET_alle regnskab'!X562</f>
        <v>-8</v>
      </c>
      <c r="H553" s="80">
        <f t="shared" si="7"/>
        <v>25</v>
      </c>
      <c r="I553" s="80">
        <f t="shared" ref="I553:L553" si="1651">I552+C553</f>
        <v>654</v>
      </c>
      <c r="J553" s="80">
        <f t="shared" si="1651"/>
        <v>-2530</v>
      </c>
      <c r="K553" s="80">
        <f t="shared" si="1651"/>
        <v>1332</v>
      </c>
      <c r="L553" s="80">
        <f t="shared" si="1651"/>
        <v>544</v>
      </c>
      <c r="N553" s="80">
        <f t="shared" si="25"/>
        <v>25</v>
      </c>
      <c r="O553" s="80">
        <f t="shared" ref="O553:R553" si="1652">O552+I546</f>
        <v>220738</v>
      </c>
      <c r="P553" s="80">
        <f t="shared" si="1652"/>
        <v>-527898</v>
      </c>
      <c r="Q553" s="80">
        <f t="shared" si="1652"/>
        <v>192644</v>
      </c>
      <c r="R553" s="80">
        <f t="shared" si="1652"/>
        <v>114516</v>
      </c>
      <c r="T553" s="80">
        <v>22.0</v>
      </c>
      <c r="U553" s="80">
        <f t="shared" ref="U553:X553" si="1653">U552+C546</f>
        <v>524</v>
      </c>
      <c r="V553" s="80">
        <f t="shared" si="1653"/>
        <v>-3536</v>
      </c>
      <c r="W553" s="80">
        <f t="shared" si="1653"/>
        <v>3018</v>
      </c>
      <c r="X553" s="80">
        <f t="shared" si="1653"/>
        <v>-110</v>
      </c>
      <c r="Z553" s="80">
        <v>22.0</v>
      </c>
      <c r="AA553" s="10">
        <v>45199.0</v>
      </c>
      <c r="AB553" s="80">
        <v>630.0</v>
      </c>
      <c r="AC553" s="80">
        <v>-3082.0</v>
      </c>
      <c r="AD553" s="80">
        <v>2488.0</v>
      </c>
      <c r="AE553" s="80">
        <v>-140.0</v>
      </c>
    </row>
    <row r="554">
      <c r="A554" s="28">
        <f>'SAMLET_alle regnskab'!B563</f>
        <v>16</v>
      </c>
      <c r="B554" s="80">
        <f>'SAMLET_alle regnskab'!A563</f>
        <v>25</v>
      </c>
      <c r="C554" s="28">
        <f>'SAMLET_alle regnskab'!U563</f>
        <v>8</v>
      </c>
      <c r="D554" s="28">
        <f>'SAMLET_alle regnskab'!V563</f>
        <v>8</v>
      </c>
      <c r="E554" s="28">
        <f>'SAMLET_alle regnskab'!W563</f>
        <v>8</v>
      </c>
      <c r="F554" s="28">
        <f>'SAMLET_alle regnskab'!X563</f>
        <v>-24</v>
      </c>
      <c r="H554" s="80">
        <f t="shared" si="7"/>
        <v>25</v>
      </c>
      <c r="I554" s="80">
        <f t="shared" ref="I554:L554" si="1654">I553+C554</f>
        <v>662</v>
      </c>
      <c r="J554" s="80">
        <f t="shared" si="1654"/>
        <v>-2522</v>
      </c>
      <c r="K554" s="80">
        <f t="shared" si="1654"/>
        <v>1340</v>
      </c>
      <c r="L554" s="80">
        <f t="shared" si="1654"/>
        <v>520</v>
      </c>
      <c r="N554" s="80">
        <f t="shared" si="25"/>
        <v>25</v>
      </c>
      <c r="O554" s="80">
        <f t="shared" ref="O554:R554" si="1655">O553+I547</f>
        <v>221340</v>
      </c>
      <c r="P554" s="80">
        <f t="shared" si="1655"/>
        <v>-530392</v>
      </c>
      <c r="Q554" s="80">
        <f t="shared" si="1655"/>
        <v>194028</v>
      </c>
      <c r="R554" s="80">
        <f t="shared" si="1655"/>
        <v>115024</v>
      </c>
      <c r="T554" s="80">
        <v>22.0</v>
      </c>
      <c r="U554" s="80">
        <f t="shared" ref="U554:X554" si="1656">U553+C547</f>
        <v>444</v>
      </c>
      <c r="V554" s="80">
        <f t="shared" si="1656"/>
        <v>-3456</v>
      </c>
      <c r="W554" s="80">
        <f t="shared" si="1656"/>
        <v>3098</v>
      </c>
      <c r="X554" s="80">
        <f t="shared" si="1656"/>
        <v>-190</v>
      </c>
      <c r="Z554" s="80">
        <v>22.0</v>
      </c>
      <c r="AA554" s="10">
        <v>45199.0</v>
      </c>
      <c r="AB554" s="80">
        <v>630.0</v>
      </c>
      <c r="AC554" s="80">
        <v>-3082.0</v>
      </c>
      <c r="AD554" s="80">
        <v>2488.0</v>
      </c>
      <c r="AE554" s="80">
        <v>-140.0</v>
      </c>
    </row>
    <row r="555">
      <c r="A555" s="28">
        <f>'SAMLET_alle regnskab'!B564</f>
        <v>17</v>
      </c>
      <c r="B555" s="80">
        <f>'SAMLET_alle regnskab'!A564</f>
        <v>25</v>
      </c>
      <c r="C555" s="28">
        <f>'SAMLET_alle regnskab'!U564</f>
        <v>-120</v>
      </c>
      <c r="D555" s="28">
        <f>'SAMLET_alle regnskab'!V564</f>
        <v>40</v>
      </c>
      <c r="E555" s="28">
        <f>'SAMLET_alle regnskab'!W564</f>
        <v>40</v>
      </c>
      <c r="F555" s="28">
        <f>'SAMLET_alle regnskab'!X564</f>
        <v>40</v>
      </c>
      <c r="H555" s="80">
        <f t="shared" si="7"/>
        <v>25</v>
      </c>
      <c r="I555" s="80">
        <f t="shared" ref="I555:L555" si="1657">I554+C555</f>
        <v>542</v>
      </c>
      <c r="J555" s="80">
        <f t="shared" si="1657"/>
        <v>-2482</v>
      </c>
      <c r="K555" s="80">
        <f t="shared" si="1657"/>
        <v>1380</v>
      </c>
      <c r="L555" s="80">
        <f t="shared" si="1657"/>
        <v>560</v>
      </c>
      <c r="N555" s="80">
        <f t="shared" si="25"/>
        <v>25</v>
      </c>
      <c r="O555" s="80">
        <f t="shared" ref="O555:R555" si="1658">O554+I548</f>
        <v>221934</v>
      </c>
      <c r="P555" s="80">
        <f t="shared" si="1658"/>
        <v>-532894</v>
      </c>
      <c r="Q555" s="80">
        <f t="shared" si="1658"/>
        <v>195420</v>
      </c>
      <c r="R555" s="80">
        <f t="shared" si="1658"/>
        <v>115540</v>
      </c>
      <c r="T555" s="80">
        <v>22.0</v>
      </c>
      <c r="U555" s="80">
        <f t="shared" ref="U555:X555" si="1659">U554+C548</f>
        <v>436</v>
      </c>
      <c r="V555" s="80">
        <f t="shared" si="1659"/>
        <v>-3464</v>
      </c>
      <c r="W555" s="80">
        <f t="shared" si="1659"/>
        <v>3106</v>
      </c>
      <c r="X555" s="80">
        <f t="shared" si="1659"/>
        <v>-182</v>
      </c>
      <c r="Z555" s="80">
        <v>22.0</v>
      </c>
      <c r="AA555" s="10">
        <v>45199.0</v>
      </c>
      <c r="AB555" s="80">
        <v>630.0</v>
      </c>
      <c r="AC555" s="80">
        <v>-3082.0</v>
      </c>
      <c r="AD555" s="80">
        <v>2488.0</v>
      </c>
      <c r="AE555" s="80">
        <v>-140.0</v>
      </c>
    </row>
    <row r="556">
      <c r="A556" s="28">
        <f>'SAMLET_alle regnskab'!B565</f>
        <v>18</v>
      </c>
      <c r="B556" s="80">
        <f>'SAMLET_alle regnskab'!A565</f>
        <v>25</v>
      </c>
      <c r="C556" s="28">
        <f>'SAMLET_alle regnskab'!U565</f>
        <v>20</v>
      </c>
      <c r="D556" s="28">
        <f>'SAMLET_alle regnskab'!V565</f>
        <v>-20</v>
      </c>
      <c r="E556" s="28">
        <f>'SAMLET_alle regnskab'!W565</f>
        <v>20</v>
      </c>
      <c r="F556" s="28">
        <f>'SAMLET_alle regnskab'!X565</f>
        <v>-20</v>
      </c>
      <c r="H556" s="80">
        <f t="shared" si="7"/>
        <v>25</v>
      </c>
      <c r="I556" s="80">
        <f t="shared" ref="I556:L556" si="1660">I555+C556</f>
        <v>562</v>
      </c>
      <c r="J556" s="80">
        <f t="shared" si="1660"/>
        <v>-2502</v>
      </c>
      <c r="K556" s="80">
        <f t="shared" si="1660"/>
        <v>1400</v>
      </c>
      <c r="L556" s="80">
        <f t="shared" si="1660"/>
        <v>540</v>
      </c>
      <c r="N556" s="80">
        <f t="shared" si="25"/>
        <v>25</v>
      </c>
      <c r="O556" s="80">
        <f t="shared" ref="O556:R556" si="1661">O555+I549</f>
        <v>222536</v>
      </c>
      <c r="P556" s="80">
        <f t="shared" si="1661"/>
        <v>-535420</v>
      </c>
      <c r="Q556" s="80">
        <f t="shared" si="1661"/>
        <v>196820</v>
      </c>
      <c r="R556" s="80">
        <f t="shared" si="1661"/>
        <v>116064</v>
      </c>
      <c r="T556" s="80">
        <v>22.0</v>
      </c>
      <c r="U556" s="80">
        <f t="shared" ref="U556:X556" si="1662">U555+C549</f>
        <v>444</v>
      </c>
      <c r="V556" s="80">
        <f t="shared" si="1662"/>
        <v>-3488</v>
      </c>
      <c r="W556" s="80">
        <f t="shared" si="1662"/>
        <v>3114</v>
      </c>
      <c r="X556" s="80">
        <f t="shared" si="1662"/>
        <v>-174</v>
      </c>
      <c r="Z556" s="80">
        <v>22.0</v>
      </c>
      <c r="AA556" s="10">
        <v>45199.0</v>
      </c>
      <c r="AB556" s="80">
        <v>630.0</v>
      </c>
      <c r="AC556" s="80">
        <v>-3082.0</v>
      </c>
      <c r="AD556" s="80">
        <v>2488.0</v>
      </c>
      <c r="AE556" s="80">
        <v>-140.0</v>
      </c>
    </row>
    <row r="557">
      <c r="A557" s="28">
        <f>'SAMLET_alle regnskab'!B566</f>
        <v>19</v>
      </c>
      <c r="B557" s="80">
        <f>'SAMLET_alle regnskab'!A566</f>
        <v>25</v>
      </c>
      <c r="C557" s="28">
        <f>'SAMLET_alle regnskab'!U566</f>
        <v>8</v>
      </c>
      <c r="D557" s="28">
        <f>'SAMLET_alle regnskab'!V566</f>
        <v>-8</v>
      </c>
      <c r="E557" s="28">
        <f>'SAMLET_alle regnskab'!W566</f>
        <v>-8</v>
      </c>
      <c r="F557" s="28">
        <f>'SAMLET_alle regnskab'!X566</f>
        <v>8</v>
      </c>
      <c r="H557" s="80">
        <f t="shared" si="7"/>
        <v>25</v>
      </c>
      <c r="I557" s="80">
        <f t="shared" ref="I557:L557" si="1663">I556+C557</f>
        <v>570</v>
      </c>
      <c r="J557" s="80">
        <f t="shared" si="1663"/>
        <v>-2510</v>
      </c>
      <c r="K557" s="80">
        <f t="shared" si="1663"/>
        <v>1392</v>
      </c>
      <c r="L557" s="80">
        <f t="shared" si="1663"/>
        <v>548</v>
      </c>
      <c r="N557" s="80">
        <f t="shared" si="25"/>
        <v>25</v>
      </c>
      <c r="O557" s="80">
        <f t="shared" ref="O557:R557" si="1664">O556+I550</f>
        <v>223150</v>
      </c>
      <c r="P557" s="80">
        <f t="shared" si="1664"/>
        <v>-537958</v>
      </c>
      <c r="Q557" s="80">
        <f t="shared" si="1664"/>
        <v>198208</v>
      </c>
      <c r="R557" s="80">
        <f t="shared" si="1664"/>
        <v>116600</v>
      </c>
      <c r="T557" s="80">
        <v>22.0</v>
      </c>
      <c r="U557" s="80">
        <f t="shared" ref="U557:X557" si="1665">U556+C550</f>
        <v>456</v>
      </c>
      <c r="V557" s="80">
        <f t="shared" si="1665"/>
        <v>-3500</v>
      </c>
      <c r="W557" s="80">
        <f t="shared" si="1665"/>
        <v>3102</v>
      </c>
      <c r="X557" s="80">
        <f t="shared" si="1665"/>
        <v>-162</v>
      </c>
      <c r="Z557" s="80">
        <v>22.0</v>
      </c>
      <c r="AA557" s="10">
        <v>45199.0</v>
      </c>
      <c r="AB557" s="80">
        <v>630.0</v>
      </c>
      <c r="AC557" s="80">
        <v>-3082.0</v>
      </c>
      <c r="AD557" s="80">
        <v>2488.0</v>
      </c>
      <c r="AE557" s="80">
        <v>-140.0</v>
      </c>
    </row>
    <row r="558">
      <c r="A558" s="28">
        <f>'SAMLET_alle regnskab'!B567</f>
        <v>20</v>
      </c>
      <c r="B558" s="80">
        <f>'SAMLET_alle regnskab'!A567</f>
        <v>25</v>
      </c>
      <c r="C558" s="28">
        <f>'SAMLET_alle regnskab'!U567</f>
        <v>24</v>
      </c>
      <c r="D558" s="28">
        <f>'SAMLET_alle regnskab'!V567</f>
        <v>-24</v>
      </c>
      <c r="E558" s="28">
        <f>'SAMLET_alle regnskab'!W567</f>
        <v>24</v>
      </c>
      <c r="F558" s="28">
        <f>'SAMLET_alle regnskab'!X567</f>
        <v>-24</v>
      </c>
      <c r="H558" s="80">
        <f t="shared" si="7"/>
        <v>25</v>
      </c>
      <c r="I558" s="80">
        <f t="shared" ref="I558:L558" si="1666">I557+C558</f>
        <v>594</v>
      </c>
      <c r="J558" s="80">
        <f t="shared" si="1666"/>
        <v>-2534</v>
      </c>
      <c r="K558" s="80">
        <f t="shared" si="1666"/>
        <v>1416</v>
      </c>
      <c r="L558" s="80">
        <f t="shared" si="1666"/>
        <v>524</v>
      </c>
      <c r="N558" s="80">
        <f t="shared" si="25"/>
        <v>25</v>
      </c>
      <c r="O558" s="80">
        <f t="shared" ref="O558:R558" si="1667">O557+I551</f>
        <v>223748</v>
      </c>
      <c r="P558" s="80">
        <f t="shared" si="1667"/>
        <v>-540512</v>
      </c>
      <c r="Q558" s="80">
        <f t="shared" si="1667"/>
        <v>199580</v>
      </c>
      <c r="R558" s="80">
        <f t="shared" si="1667"/>
        <v>117184</v>
      </c>
      <c r="T558" s="80">
        <v>22.0</v>
      </c>
      <c r="U558" s="80">
        <f t="shared" ref="U558:X558" si="1668">U557+C551</f>
        <v>440</v>
      </c>
      <c r="V558" s="80">
        <f t="shared" si="1668"/>
        <v>-3516</v>
      </c>
      <c r="W558" s="80">
        <f t="shared" si="1668"/>
        <v>3086</v>
      </c>
      <c r="X558" s="80">
        <f t="shared" si="1668"/>
        <v>-114</v>
      </c>
      <c r="Z558" s="80">
        <v>22.0</v>
      </c>
      <c r="AA558" s="10">
        <v>45199.0</v>
      </c>
      <c r="AB558" s="80">
        <v>630.0</v>
      </c>
      <c r="AC558" s="80">
        <v>-3082.0</v>
      </c>
      <c r="AD558" s="80">
        <v>2488.0</v>
      </c>
      <c r="AE558" s="80">
        <v>-140.0</v>
      </c>
    </row>
    <row r="559">
      <c r="A559" s="28">
        <f>'SAMLET_alle regnskab'!B568</f>
        <v>1</v>
      </c>
      <c r="B559" s="80">
        <f>'SAMLET_alle regnskab'!A568</f>
        <v>26</v>
      </c>
      <c r="C559" s="28">
        <f>'SAMLET_alle regnskab'!U568</f>
        <v>-8</v>
      </c>
      <c r="D559" s="28">
        <f>'SAMLET_alle regnskab'!V568</f>
        <v>-8</v>
      </c>
      <c r="E559" s="28">
        <f>'SAMLET_alle regnskab'!W568</f>
        <v>8</v>
      </c>
      <c r="F559" s="28">
        <f>'SAMLET_alle regnskab'!X568</f>
        <v>8</v>
      </c>
      <c r="H559" s="80">
        <f t="shared" si="7"/>
        <v>26</v>
      </c>
      <c r="I559" s="80">
        <f t="shared" ref="I559:L559" si="1669">I558+C559</f>
        <v>586</v>
      </c>
      <c r="J559" s="80">
        <f t="shared" si="1669"/>
        <v>-2542</v>
      </c>
      <c r="K559" s="80">
        <f t="shared" si="1669"/>
        <v>1424</v>
      </c>
      <c r="L559" s="80">
        <f t="shared" si="1669"/>
        <v>532</v>
      </c>
      <c r="N559" s="80">
        <f t="shared" si="25"/>
        <v>25</v>
      </c>
      <c r="O559" s="80">
        <f t="shared" ref="O559:R559" si="1670">O558+I552</f>
        <v>224378</v>
      </c>
      <c r="P559" s="80">
        <f t="shared" si="1670"/>
        <v>-543034</v>
      </c>
      <c r="Q559" s="80">
        <f t="shared" si="1670"/>
        <v>200920</v>
      </c>
      <c r="R559" s="80">
        <f t="shared" si="1670"/>
        <v>117736</v>
      </c>
      <c r="T559" s="80">
        <v>22.0</v>
      </c>
      <c r="U559" s="80">
        <f t="shared" ref="U559:X559" si="1671">U558+C552</f>
        <v>472</v>
      </c>
      <c r="V559" s="80">
        <f t="shared" si="1671"/>
        <v>-3484</v>
      </c>
      <c r="W559" s="80">
        <f t="shared" si="1671"/>
        <v>3054</v>
      </c>
      <c r="X559" s="80">
        <f t="shared" si="1671"/>
        <v>-146</v>
      </c>
      <c r="Z559" s="80">
        <v>22.0</v>
      </c>
      <c r="AA559" s="10">
        <v>45199.0</v>
      </c>
      <c r="AB559" s="80">
        <v>630.0</v>
      </c>
      <c r="AC559" s="80">
        <v>-3082.0</v>
      </c>
      <c r="AD559" s="80">
        <v>2488.0</v>
      </c>
      <c r="AE559" s="80">
        <v>-140.0</v>
      </c>
    </row>
    <row r="560">
      <c r="A560" s="28">
        <f>'SAMLET_alle regnskab'!B569</f>
        <v>2</v>
      </c>
      <c r="B560" s="80">
        <f>'SAMLET_alle regnskab'!A569</f>
        <v>26</v>
      </c>
      <c r="C560" s="28">
        <f>'SAMLET_alle regnskab'!U569</f>
        <v>20</v>
      </c>
      <c r="D560" s="28">
        <f>'SAMLET_alle regnskab'!V569</f>
        <v>4</v>
      </c>
      <c r="E560" s="28">
        <f>'SAMLET_alle regnskab'!W569</f>
        <v>-12</v>
      </c>
      <c r="F560" s="28">
        <f>'SAMLET_alle regnskab'!X569</f>
        <v>-12</v>
      </c>
      <c r="H560" s="80">
        <f t="shared" si="7"/>
        <v>26</v>
      </c>
      <c r="I560" s="80">
        <f t="shared" ref="I560:L560" si="1672">I559+C560</f>
        <v>606</v>
      </c>
      <c r="J560" s="80">
        <f t="shared" si="1672"/>
        <v>-2538</v>
      </c>
      <c r="K560" s="80">
        <f t="shared" si="1672"/>
        <v>1412</v>
      </c>
      <c r="L560" s="80">
        <f t="shared" si="1672"/>
        <v>520</v>
      </c>
      <c r="N560" s="80">
        <f t="shared" si="25"/>
        <v>25</v>
      </c>
      <c r="O560" s="80">
        <f t="shared" ref="O560:R560" si="1673">O559+I553</f>
        <v>225032</v>
      </c>
      <c r="P560" s="80">
        <f t="shared" si="1673"/>
        <v>-545564</v>
      </c>
      <c r="Q560" s="80">
        <f t="shared" si="1673"/>
        <v>202252</v>
      </c>
      <c r="R560" s="80">
        <f t="shared" si="1673"/>
        <v>118280</v>
      </c>
      <c r="T560" s="80">
        <v>22.0</v>
      </c>
      <c r="U560" s="80">
        <f t="shared" ref="U560:X560" si="1674">U559+C553</f>
        <v>496</v>
      </c>
      <c r="V560" s="80">
        <f t="shared" si="1674"/>
        <v>-3492</v>
      </c>
      <c r="W560" s="80">
        <f t="shared" si="1674"/>
        <v>3046</v>
      </c>
      <c r="X560" s="80">
        <f t="shared" si="1674"/>
        <v>-154</v>
      </c>
      <c r="Z560" s="80">
        <v>22.0</v>
      </c>
      <c r="AA560" s="10">
        <v>45199.0</v>
      </c>
      <c r="AB560" s="80">
        <v>630.0</v>
      </c>
      <c r="AC560" s="80">
        <v>-3082.0</v>
      </c>
      <c r="AD560" s="80">
        <v>2488.0</v>
      </c>
      <c r="AE560" s="80">
        <v>-140.0</v>
      </c>
    </row>
    <row r="561">
      <c r="A561" s="28">
        <f>'SAMLET_alle regnskab'!B570</f>
        <v>3</v>
      </c>
      <c r="B561" s="80">
        <f>'SAMLET_alle regnskab'!A570</f>
        <v>26</v>
      </c>
      <c r="C561" s="28">
        <f>'SAMLET_alle regnskab'!U570</f>
        <v>-92</v>
      </c>
      <c r="D561" s="28">
        <f>'SAMLET_alle regnskab'!V570</f>
        <v>84</v>
      </c>
      <c r="E561" s="28">
        <f>'SAMLET_alle regnskab'!W570</f>
        <v>84</v>
      </c>
      <c r="F561" s="28">
        <f>'SAMLET_alle regnskab'!X570</f>
        <v>-76</v>
      </c>
      <c r="H561" s="80">
        <f t="shared" si="7"/>
        <v>26</v>
      </c>
      <c r="I561" s="80">
        <f t="shared" ref="I561:L561" si="1675">I560+C561</f>
        <v>514</v>
      </c>
      <c r="J561" s="80">
        <f t="shared" si="1675"/>
        <v>-2454</v>
      </c>
      <c r="K561" s="80">
        <f t="shared" si="1675"/>
        <v>1496</v>
      </c>
      <c r="L561" s="80">
        <f t="shared" si="1675"/>
        <v>444</v>
      </c>
      <c r="N561" s="80">
        <f t="shared" si="25"/>
        <v>25</v>
      </c>
      <c r="O561" s="80">
        <f t="shared" ref="O561:R561" si="1676">O560+I554</f>
        <v>225694</v>
      </c>
      <c r="P561" s="80">
        <f t="shared" si="1676"/>
        <v>-548086</v>
      </c>
      <c r="Q561" s="80">
        <f t="shared" si="1676"/>
        <v>203592</v>
      </c>
      <c r="R561" s="80">
        <f t="shared" si="1676"/>
        <v>118800</v>
      </c>
      <c r="T561" s="80">
        <v>22.0</v>
      </c>
      <c r="U561" s="80">
        <f t="shared" ref="U561:X561" si="1677">U560+C554</f>
        <v>504</v>
      </c>
      <c r="V561" s="80">
        <f t="shared" si="1677"/>
        <v>-3484</v>
      </c>
      <c r="W561" s="80">
        <f t="shared" si="1677"/>
        <v>3054</v>
      </c>
      <c r="X561" s="80">
        <f t="shared" si="1677"/>
        <v>-178</v>
      </c>
      <c r="Z561" s="80">
        <v>22.0</v>
      </c>
      <c r="AA561" s="10">
        <v>45199.0</v>
      </c>
      <c r="AB561" s="80">
        <v>630.0</v>
      </c>
      <c r="AC561" s="80">
        <v>-3082.0</v>
      </c>
      <c r="AD561" s="80">
        <v>2488.0</v>
      </c>
      <c r="AE561" s="80">
        <v>-140.0</v>
      </c>
    </row>
    <row r="562">
      <c r="A562" s="28">
        <f>'SAMLET_alle regnskab'!B571</f>
        <v>4</v>
      </c>
      <c r="B562" s="80">
        <f>'SAMLET_alle regnskab'!A571</f>
        <v>26</v>
      </c>
      <c r="C562" s="28">
        <f>'SAMLET_alle regnskab'!U571</f>
        <v>12</v>
      </c>
      <c r="D562" s="28">
        <f>'SAMLET_alle regnskab'!V571</f>
        <v>-4</v>
      </c>
      <c r="E562" s="28">
        <f>'SAMLET_alle regnskab'!W571</f>
        <v>-4</v>
      </c>
      <c r="F562" s="28">
        <f>'SAMLET_alle regnskab'!X571</f>
        <v>-4</v>
      </c>
      <c r="H562" s="80">
        <f t="shared" si="7"/>
        <v>26</v>
      </c>
      <c r="I562" s="80">
        <f t="shared" ref="I562:L562" si="1678">I561+C562</f>
        <v>526</v>
      </c>
      <c r="J562" s="80">
        <f t="shared" si="1678"/>
        <v>-2458</v>
      </c>
      <c r="K562" s="80">
        <f t="shared" si="1678"/>
        <v>1492</v>
      </c>
      <c r="L562" s="80">
        <f t="shared" si="1678"/>
        <v>440</v>
      </c>
      <c r="N562" s="80">
        <f t="shared" si="25"/>
        <v>25</v>
      </c>
      <c r="O562" s="80">
        <f t="shared" ref="O562:R562" si="1679">O561+I555</f>
        <v>226236</v>
      </c>
      <c r="P562" s="80">
        <f t="shared" si="1679"/>
        <v>-550568</v>
      </c>
      <c r="Q562" s="80">
        <f t="shared" si="1679"/>
        <v>204972</v>
      </c>
      <c r="R562" s="80">
        <f t="shared" si="1679"/>
        <v>119360</v>
      </c>
      <c r="T562" s="80">
        <v>22.0</v>
      </c>
      <c r="U562" s="80">
        <f t="shared" ref="U562:X562" si="1680">U561+C555</f>
        <v>384</v>
      </c>
      <c r="V562" s="80">
        <f t="shared" si="1680"/>
        <v>-3444</v>
      </c>
      <c r="W562" s="80">
        <f t="shared" si="1680"/>
        <v>3094</v>
      </c>
      <c r="X562" s="80">
        <f t="shared" si="1680"/>
        <v>-138</v>
      </c>
      <c r="Z562" s="80">
        <v>22.0</v>
      </c>
      <c r="AA562" s="10">
        <v>45199.0</v>
      </c>
      <c r="AB562" s="80">
        <v>630.0</v>
      </c>
      <c r="AC562" s="80">
        <v>-3082.0</v>
      </c>
      <c r="AD562" s="80">
        <v>2488.0</v>
      </c>
      <c r="AE562" s="80">
        <v>-140.0</v>
      </c>
    </row>
    <row r="563">
      <c r="A563" s="28">
        <f>'SAMLET_alle regnskab'!B572</f>
        <v>5</v>
      </c>
      <c r="B563" s="80">
        <f>'SAMLET_alle regnskab'!A572</f>
        <v>26</v>
      </c>
      <c r="C563" s="28">
        <f>'SAMLET_alle regnskab'!U572</f>
        <v>8</v>
      </c>
      <c r="D563" s="28">
        <f>'SAMLET_alle regnskab'!V572</f>
        <v>-8</v>
      </c>
      <c r="E563" s="28">
        <f>'SAMLET_alle regnskab'!W572</f>
        <v>-8</v>
      </c>
      <c r="F563" s="28">
        <f>'SAMLET_alle regnskab'!X572</f>
        <v>8</v>
      </c>
      <c r="H563" s="80">
        <f t="shared" si="7"/>
        <v>26</v>
      </c>
      <c r="I563" s="80">
        <f t="shared" ref="I563:L563" si="1681">I562+C563</f>
        <v>534</v>
      </c>
      <c r="J563" s="80">
        <f t="shared" si="1681"/>
        <v>-2466</v>
      </c>
      <c r="K563" s="80">
        <f t="shared" si="1681"/>
        <v>1484</v>
      </c>
      <c r="L563" s="80">
        <f t="shared" si="1681"/>
        <v>448</v>
      </c>
      <c r="N563" s="80">
        <f t="shared" si="25"/>
        <v>25</v>
      </c>
      <c r="O563" s="80">
        <f t="shared" ref="O563:R563" si="1682">O562+I556</f>
        <v>226798</v>
      </c>
      <c r="P563" s="80">
        <f t="shared" si="1682"/>
        <v>-553070</v>
      </c>
      <c r="Q563" s="80">
        <f t="shared" si="1682"/>
        <v>206372</v>
      </c>
      <c r="R563" s="80">
        <f t="shared" si="1682"/>
        <v>119900</v>
      </c>
      <c r="T563" s="80">
        <v>22.0</v>
      </c>
      <c r="U563" s="80">
        <f t="shared" ref="U563:X563" si="1683">U562+C556</f>
        <v>404</v>
      </c>
      <c r="V563" s="80">
        <f t="shared" si="1683"/>
        <v>-3464</v>
      </c>
      <c r="W563" s="80">
        <f t="shared" si="1683"/>
        <v>3114</v>
      </c>
      <c r="X563" s="80">
        <f t="shared" si="1683"/>
        <v>-158</v>
      </c>
      <c r="Z563" s="80">
        <v>22.0</v>
      </c>
      <c r="AA563" s="10">
        <v>45199.0</v>
      </c>
      <c r="AB563" s="80">
        <v>630.0</v>
      </c>
      <c r="AC563" s="80">
        <v>-3082.0</v>
      </c>
      <c r="AD563" s="80">
        <v>2488.0</v>
      </c>
      <c r="AE563" s="80">
        <v>-140.0</v>
      </c>
    </row>
    <row r="564">
      <c r="A564" s="28">
        <f>'SAMLET_alle regnskab'!B573</f>
        <v>6</v>
      </c>
      <c r="B564" s="80">
        <f>'SAMLET_alle regnskab'!A573</f>
        <v>26</v>
      </c>
      <c r="C564" s="28">
        <f>'SAMLET_alle regnskab'!U573</f>
        <v>-4</v>
      </c>
      <c r="D564" s="28">
        <f>'SAMLET_alle regnskab'!V573</f>
        <v>12</v>
      </c>
      <c r="E564" s="28">
        <f>'SAMLET_alle regnskab'!W573</f>
        <v>-4</v>
      </c>
      <c r="F564" s="28">
        <f>'SAMLET_alle regnskab'!X573</f>
        <v>-4</v>
      </c>
      <c r="H564" s="80">
        <f t="shared" si="7"/>
        <v>26</v>
      </c>
      <c r="I564" s="80">
        <f t="shared" ref="I564:L564" si="1684">I563+C564</f>
        <v>530</v>
      </c>
      <c r="J564" s="80">
        <f t="shared" si="1684"/>
        <v>-2454</v>
      </c>
      <c r="K564" s="80">
        <f t="shared" si="1684"/>
        <v>1480</v>
      </c>
      <c r="L564" s="80">
        <f t="shared" si="1684"/>
        <v>444</v>
      </c>
      <c r="N564" s="80">
        <f t="shared" si="25"/>
        <v>25</v>
      </c>
      <c r="O564" s="80">
        <f t="shared" ref="O564:R564" si="1685">O563+I557</f>
        <v>227368</v>
      </c>
      <c r="P564" s="80">
        <f t="shared" si="1685"/>
        <v>-555580</v>
      </c>
      <c r="Q564" s="80">
        <f t="shared" si="1685"/>
        <v>207764</v>
      </c>
      <c r="R564" s="80">
        <f t="shared" si="1685"/>
        <v>120448</v>
      </c>
      <c r="T564" s="80">
        <v>22.0</v>
      </c>
      <c r="U564" s="80">
        <f t="shared" ref="U564:X564" si="1686">U563+C557</f>
        <v>412</v>
      </c>
      <c r="V564" s="80">
        <f t="shared" si="1686"/>
        <v>-3472</v>
      </c>
      <c r="W564" s="80">
        <f t="shared" si="1686"/>
        <v>3106</v>
      </c>
      <c r="X564" s="80">
        <f t="shared" si="1686"/>
        <v>-150</v>
      </c>
      <c r="Z564" s="80">
        <v>22.0</v>
      </c>
      <c r="AA564" s="10">
        <v>45199.0</v>
      </c>
      <c r="AB564" s="80">
        <v>630.0</v>
      </c>
      <c r="AC564" s="80">
        <v>-3082.0</v>
      </c>
      <c r="AD564" s="80">
        <v>2488.0</v>
      </c>
      <c r="AE564" s="80">
        <v>-140.0</v>
      </c>
    </row>
    <row r="565">
      <c r="A565" s="28">
        <f>'SAMLET_alle regnskab'!B574</f>
        <v>7</v>
      </c>
      <c r="B565" s="80">
        <f>'SAMLET_alle regnskab'!A574</f>
        <v>26</v>
      </c>
      <c r="C565" s="28">
        <f>'SAMLET_alle regnskab'!U574</f>
        <v>-16</v>
      </c>
      <c r="D565" s="28">
        <f>'SAMLET_alle regnskab'!V574</f>
        <v>48</v>
      </c>
      <c r="E565" s="28">
        <f>'SAMLET_alle regnskab'!W574</f>
        <v>-16</v>
      </c>
      <c r="F565" s="28">
        <f>'SAMLET_alle regnskab'!X574</f>
        <v>-16</v>
      </c>
      <c r="H565" s="80">
        <f t="shared" si="7"/>
        <v>26</v>
      </c>
      <c r="I565" s="80">
        <f t="shared" ref="I565:L565" si="1687">I564+C565</f>
        <v>514</v>
      </c>
      <c r="J565" s="80">
        <f t="shared" si="1687"/>
        <v>-2406</v>
      </c>
      <c r="K565" s="80">
        <f t="shared" si="1687"/>
        <v>1464</v>
      </c>
      <c r="L565" s="80">
        <f t="shared" si="1687"/>
        <v>428</v>
      </c>
      <c r="N565" s="80">
        <f t="shared" si="25"/>
        <v>25</v>
      </c>
      <c r="O565" s="80">
        <f t="shared" ref="O565:R565" si="1688">O564+I558</f>
        <v>227962</v>
      </c>
      <c r="P565" s="80">
        <f t="shared" si="1688"/>
        <v>-558114</v>
      </c>
      <c r="Q565" s="80">
        <f t="shared" si="1688"/>
        <v>209180</v>
      </c>
      <c r="R565" s="80">
        <f t="shared" si="1688"/>
        <v>120972</v>
      </c>
      <c r="T565" s="80">
        <v>22.0</v>
      </c>
      <c r="U565" s="80">
        <f t="shared" ref="U565:X565" si="1689">U564+C558</f>
        <v>436</v>
      </c>
      <c r="V565" s="80">
        <f t="shared" si="1689"/>
        <v>-3496</v>
      </c>
      <c r="W565" s="80">
        <f t="shared" si="1689"/>
        <v>3130</v>
      </c>
      <c r="X565" s="80">
        <f t="shared" si="1689"/>
        <v>-174</v>
      </c>
      <c r="Z565" s="80">
        <v>22.0</v>
      </c>
      <c r="AA565" s="10">
        <v>45199.0</v>
      </c>
      <c r="AB565" s="80">
        <v>630.0</v>
      </c>
      <c r="AC565" s="80">
        <v>-3082.0</v>
      </c>
      <c r="AD565" s="80">
        <v>2488.0</v>
      </c>
      <c r="AE565" s="80">
        <v>-140.0</v>
      </c>
    </row>
    <row r="566">
      <c r="A566" s="28">
        <f>'SAMLET_alle regnskab'!B575</f>
        <v>8</v>
      </c>
      <c r="B566" s="80">
        <f>'SAMLET_alle regnskab'!A575</f>
        <v>26</v>
      </c>
      <c r="C566" s="28">
        <f>'SAMLET_alle regnskab'!U575</f>
        <v>16</v>
      </c>
      <c r="D566" s="28">
        <f>'SAMLET_alle regnskab'!V575</f>
        <v>-16</v>
      </c>
      <c r="E566" s="28">
        <f>'SAMLET_alle regnskab'!W575</f>
        <v>16</v>
      </c>
      <c r="F566" s="28">
        <f>'SAMLET_alle regnskab'!X575</f>
        <v>-16</v>
      </c>
      <c r="H566" s="80">
        <f t="shared" si="7"/>
        <v>26</v>
      </c>
      <c r="I566" s="80">
        <f t="shared" ref="I566:L566" si="1690">I565+C566</f>
        <v>530</v>
      </c>
      <c r="J566" s="80">
        <f t="shared" si="1690"/>
        <v>-2422</v>
      </c>
      <c r="K566" s="80">
        <f t="shared" si="1690"/>
        <v>1480</v>
      </c>
      <c r="L566" s="80">
        <f t="shared" si="1690"/>
        <v>412</v>
      </c>
      <c r="N566" s="80">
        <f t="shared" si="25"/>
        <v>26</v>
      </c>
      <c r="O566" s="80">
        <f t="shared" ref="O566:R566" si="1691">O565+I559</f>
        <v>228548</v>
      </c>
      <c r="P566" s="80">
        <f t="shared" si="1691"/>
        <v>-560656</v>
      </c>
      <c r="Q566" s="80">
        <f t="shared" si="1691"/>
        <v>210604</v>
      </c>
      <c r="R566" s="80">
        <f t="shared" si="1691"/>
        <v>121504</v>
      </c>
      <c r="T566" s="80">
        <v>22.0</v>
      </c>
      <c r="U566" s="80">
        <f t="shared" ref="U566:X566" si="1692">U565+C559</f>
        <v>428</v>
      </c>
      <c r="V566" s="80">
        <f t="shared" si="1692"/>
        <v>-3504</v>
      </c>
      <c r="W566" s="80">
        <f t="shared" si="1692"/>
        <v>3138</v>
      </c>
      <c r="X566" s="80">
        <f t="shared" si="1692"/>
        <v>-166</v>
      </c>
      <c r="Z566" s="80">
        <v>22.0</v>
      </c>
      <c r="AA566" s="10">
        <v>45199.0</v>
      </c>
      <c r="AB566" s="80">
        <v>630.0</v>
      </c>
      <c r="AC566" s="80">
        <v>-3082.0</v>
      </c>
      <c r="AD566" s="80">
        <v>2488.0</v>
      </c>
      <c r="AE566" s="80">
        <v>-140.0</v>
      </c>
    </row>
    <row r="567">
      <c r="A567" s="28">
        <f>'SAMLET_alle regnskab'!B576</f>
        <v>9</v>
      </c>
      <c r="B567" s="80">
        <f>'SAMLET_alle regnskab'!A576</f>
        <v>26</v>
      </c>
      <c r="C567" s="28">
        <f>'SAMLET_alle regnskab'!U576</f>
        <v>4</v>
      </c>
      <c r="D567" s="28">
        <f>'SAMLET_alle regnskab'!V576</f>
        <v>4</v>
      </c>
      <c r="E567" s="28">
        <f>'SAMLET_alle regnskab'!W576</f>
        <v>-12</v>
      </c>
      <c r="F567" s="28">
        <f>'SAMLET_alle regnskab'!X576</f>
        <v>4</v>
      </c>
      <c r="H567" s="80">
        <f t="shared" si="7"/>
        <v>26</v>
      </c>
      <c r="I567" s="80">
        <f t="shared" ref="I567:L567" si="1693">I566+C567</f>
        <v>534</v>
      </c>
      <c r="J567" s="80">
        <f t="shared" si="1693"/>
        <v>-2418</v>
      </c>
      <c r="K567" s="80">
        <f t="shared" si="1693"/>
        <v>1468</v>
      </c>
      <c r="L567" s="80">
        <f t="shared" si="1693"/>
        <v>416</v>
      </c>
      <c r="N567" s="80">
        <f t="shared" si="25"/>
        <v>26</v>
      </c>
      <c r="O567" s="80">
        <f t="shared" ref="O567:R567" si="1694">O566+I560</f>
        <v>229154</v>
      </c>
      <c r="P567" s="80">
        <f t="shared" si="1694"/>
        <v>-563194</v>
      </c>
      <c r="Q567" s="80">
        <f t="shared" si="1694"/>
        <v>212016</v>
      </c>
      <c r="R567" s="80">
        <f t="shared" si="1694"/>
        <v>122024</v>
      </c>
      <c r="T567" s="80">
        <v>22.0</v>
      </c>
      <c r="U567" s="80">
        <f t="shared" ref="U567:X567" si="1695">U566+C560</f>
        <v>448</v>
      </c>
      <c r="V567" s="80">
        <f t="shared" si="1695"/>
        <v>-3500</v>
      </c>
      <c r="W567" s="80">
        <f t="shared" si="1695"/>
        <v>3126</v>
      </c>
      <c r="X567" s="80">
        <f t="shared" si="1695"/>
        <v>-178</v>
      </c>
      <c r="Z567" s="80">
        <v>22.0</v>
      </c>
      <c r="AA567" s="10">
        <v>45199.0</v>
      </c>
      <c r="AB567" s="80">
        <v>630.0</v>
      </c>
      <c r="AC567" s="80">
        <v>-3082.0</v>
      </c>
      <c r="AD567" s="80">
        <v>2488.0</v>
      </c>
      <c r="AE567" s="80">
        <v>-140.0</v>
      </c>
    </row>
    <row r="568">
      <c r="A568" s="28">
        <f>'SAMLET_alle regnskab'!B577</f>
        <v>10</v>
      </c>
      <c r="B568" s="80">
        <f>'SAMLET_alle regnskab'!A577</f>
        <v>26</v>
      </c>
      <c r="C568" s="28">
        <f>'SAMLET_alle regnskab'!U577</f>
        <v>-8</v>
      </c>
      <c r="D568" s="28">
        <f>'SAMLET_alle regnskab'!V577</f>
        <v>8</v>
      </c>
      <c r="E568" s="28">
        <f>'SAMLET_alle regnskab'!W577</f>
        <v>-8</v>
      </c>
      <c r="F568" s="28">
        <f>'SAMLET_alle regnskab'!X577</f>
        <v>8</v>
      </c>
      <c r="H568" s="80">
        <f t="shared" si="7"/>
        <v>26</v>
      </c>
      <c r="I568" s="80">
        <f t="shared" ref="I568:L568" si="1696">I567+C568</f>
        <v>526</v>
      </c>
      <c r="J568" s="80">
        <f t="shared" si="1696"/>
        <v>-2410</v>
      </c>
      <c r="K568" s="80">
        <f t="shared" si="1696"/>
        <v>1460</v>
      </c>
      <c r="L568" s="80">
        <f t="shared" si="1696"/>
        <v>424</v>
      </c>
      <c r="N568" s="80">
        <f t="shared" si="25"/>
        <v>26</v>
      </c>
      <c r="O568" s="80">
        <f t="shared" ref="O568:R568" si="1697">O567+I561</f>
        <v>229668</v>
      </c>
      <c r="P568" s="80">
        <f t="shared" si="1697"/>
        <v>-565648</v>
      </c>
      <c r="Q568" s="80">
        <f t="shared" si="1697"/>
        <v>213512</v>
      </c>
      <c r="R568" s="80">
        <f t="shared" si="1697"/>
        <v>122468</v>
      </c>
      <c r="T568" s="80">
        <v>22.0</v>
      </c>
      <c r="U568" s="80">
        <f t="shared" ref="U568:X568" si="1698">U567+C561</f>
        <v>356</v>
      </c>
      <c r="V568" s="80">
        <f t="shared" si="1698"/>
        <v>-3416</v>
      </c>
      <c r="W568" s="80">
        <f t="shared" si="1698"/>
        <v>3210</v>
      </c>
      <c r="X568" s="80">
        <f t="shared" si="1698"/>
        <v>-254</v>
      </c>
      <c r="Z568" s="80">
        <v>22.0</v>
      </c>
      <c r="AA568" s="10">
        <v>45199.0</v>
      </c>
      <c r="AB568" s="80">
        <v>630.0</v>
      </c>
      <c r="AC568" s="80">
        <v>-3082.0</v>
      </c>
      <c r="AD568" s="80">
        <v>2488.0</v>
      </c>
      <c r="AE568" s="80">
        <v>-140.0</v>
      </c>
    </row>
    <row r="569">
      <c r="A569" s="28">
        <f>'SAMLET_alle regnskab'!B578</f>
        <v>11</v>
      </c>
      <c r="B569" s="80">
        <f>'SAMLET_alle regnskab'!A578</f>
        <v>26</v>
      </c>
      <c r="C569" s="28">
        <f>'SAMLET_alle regnskab'!U578</f>
        <v>8</v>
      </c>
      <c r="D569" s="28">
        <f>'SAMLET_alle regnskab'!V578</f>
        <v>-24</v>
      </c>
      <c r="E569" s="28">
        <f>'SAMLET_alle regnskab'!W578</f>
        <v>8</v>
      </c>
      <c r="F569" s="28">
        <f>'SAMLET_alle regnskab'!X578</f>
        <v>8</v>
      </c>
      <c r="H569" s="80">
        <f t="shared" si="7"/>
        <v>26</v>
      </c>
      <c r="I569" s="80">
        <f t="shared" ref="I569:L569" si="1699">I568+C569</f>
        <v>534</v>
      </c>
      <c r="J569" s="80">
        <f t="shared" si="1699"/>
        <v>-2434</v>
      </c>
      <c r="K569" s="80">
        <f t="shared" si="1699"/>
        <v>1468</v>
      </c>
      <c r="L569" s="80">
        <f t="shared" si="1699"/>
        <v>432</v>
      </c>
      <c r="N569" s="80">
        <f t="shared" si="25"/>
        <v>26</v>
      </c>
      <c r="O569" s="80">
        <f t="shared" ref="O569:R569" si="1700">O568+I562</f>
        <v>230194</v>
      </c>
      <c r="P569" s="80">
        <f t="shared" si="1700"/>
        <v>-568106</v>
      </c>
      <c r="Q569" s="80">
        <f t="shared" si="1700"/>
        <v>215004</v>
      </c>
      <c r="R569" s="80">
        <f t="shared" si="1700"/>
        <v>122908</v>
      </c>
      <c r="T569" s="80">
        <v>22.0</v>
      </c>
      <c r="U569" s="80">
        <f t="shared" ref="U569:X569" si="1701">U568+C562</f>
        <v>368</v>
      </c>
      <c r="V569" s="80">
        <f t="shared" si="1701"/>
        <v>-3420</v>
      </c>
      <c r="W569" s="80">
        <f t="shared" si="1701"/>
        <v>3206</v>
      </c>
      <c r="X569" s="80">
        <f t="shared" si="1701"/>
        <v>-258</v>
      </c>
      <c r="Z569" s="80">
        <v>22.0</v>
      </c>
      <c r="AA569" s="10">
        <v>45199.0</v>
      </c>
      <c r="AB569" s="80">
        <v>630.0</v>
      </c>
      <c r="AC569" s="80">
        <v>-3082.0</v>
      </c>
      <c r="AD569" s="80">
        <v>2488.0</v>
      </c>
      <c r="AE569" s="80">
        <v>-140.0</v>
      </c>
    </row>
    <row r="570">
      <c r="A570" s="28">
        <f>'SAMLET_alle regnskab'!B579</f>
        <v>12</v>
      </c>
      <c r="B570" s="80">
        <f>'SAMLET_alle regnskab'!A579</f>
        <v>26</v>
      </c>
      <c r="C570" s="28">
        <f>'SAMLET_alle regnskab'!U579</f>
        <v>12</v>
      </c>
      <c r="D570" s="28">
        <f>'SAMLET_alle regnskab'!V579</f>
        <v>-4</v>
      </c>
      <c r="E570" s="28">
        <f>'SAMLET_alle regnskab'!W579</f>
        <v>-4</v>
      </c>
      <c r="F570" s="28">
        <f>'SAMLET_alle regnskab'!X579</f>
        <v>-4</v>
      </c>
      <c r="H570" s="80">
        <f t="shared" si="7"/>
        <v>26</v>
      </c>
      <c r="I570" s="80">
        <f t="shared" ref="I570:L570" si="1702">I569+C570</f>
        <v>546</v>
      </c>
      <c r="J570" s="80">
        <f t="shared" si="1702"/>
        <v>-2438</v>
      </c>
      <c r="K570" s="80">
        <f t="shared" si="1702"/>
        <v>1464</v>
      </c>
      <c r="L570" s="80">
        <f t="shared" si="1702"/>
        <v>428</v>
      </c>
      <c r="N570" s="80">
        <f t="shared" si="25"/>
        <v>26</v>
      </c>
      <c r="O570" s="80">
        <f t="shared" ref="O570:R570" si="1703">O569+I563</f>
        <v>230728</v>
      </c>
      <c r="P570" s="80">
        <f t="shared" si="1703"/>
        <v>-570572</v>
      </c>
      <c r="Q570" s="80">
        <f t="shared" si="1703"/>
        <v>216488</v>
      </c>
      <c r="R570" s="80">
        <f t="shared" si="1703"/>
        <v>123356</v>
      </c>
      <c r="T570" s="80">
        <v>22.0</v>
      </c>
      <c r="U570" s="80">
        <f t="shared" ref="U570:X570" si="1704">U569+C563</f>
        <v>376</v>
      </c>
      <c r="V570" s="80">
        <f t="shared" si="1704"/>
        <v>-3428</v>
      </c>
      <c r="W570" s="80">
        <f t="shared" si="1704"/>
        <v>3198</v>
      </c>
      <c r="X570" s="80">
        <f t="shared" si="1704"/>
        <v>-250</v>
      </c>
      <c r="Z570" s="80">
        <v>22.0</v>
      </c>
      <c r="AA570" s="10">
        <v>45199.0</v>
      </c>
      <c r="AB570" s="80">
        <v>630.0</v>
      </c>
      <c r="AC570" s="80">
        <v>-3082.0</v>
      </c>
      <c r="AD570" s="80">
        <v>2488.0</v>
      </c>
      <c r="AE570" s="80">
        <v>-140.0</v>
      </c>
    </row>
    <row r="571">
      <c r="A571" s="28">
        <f>'SAMLET_alle regnskab'!B580</f>
        <v>13</v>
      </c>
      <c r="B571" s="80">
        <f>'SAMLET_alle regnskab'!A580</f>
        <v>26</v>
      </c>
      <c r="C571" s="28">
        <f>'SAMLET_alle regnskab'!U580</f>
        <v>32</v>
      </c>
      <c r="D571" s="28">
        <f>'SAMLET_alle regnskab'!V580</f>
        <v>-32</v>
      </c>
      <c r="E571" s="28">
        <f>'SAMLET_alle regnskab'!W580</f>
        <v>32</v>
      </c>
      <c r="F571" s="28">
        <f>'SAMLET_alle regnskab'!X580</f>
        <v>-32</v>
      </c>
      <c r="H571" s="80">
        <f t="shared" si="7"/>
        <v>26</v>
      </c>
      <c r="I571" s="80">
        <f t="shared" ref="I571:L571" si="1705">I570+C571</f>
        <v>578</v>
      </c>
      <c r="J571" s="80">
        <f t="shared" si="1705"/>
        <v>-2470</v>
      </c>
      <c r="K571" s="80">
        <f t="shared" si="1705"/>
        <v>1496</v>
      </c>
      <c r="L571" s="80">
        <f t="shared" si="1705"/>
        <v>396</v>
      </c>
      <c r="N571" s="80">
        <f t="shared" si="25"/>
        <v>26</v>
      </c>
      <c r="O571" s="80">
        <f t="shared" ref="O571:R571" si="1706">O570+I564</f>
        <v>231258</v>
      </c>
      <c r="P571" s="80">
        <f t="shared" si="1706"/>
        <v>-573026</v>
      </c>
      <c r="Q571" s="80">
        <f t="shared" si="1706"/>
        <v>217968</v>
      </c>
      <c r="R571" s="80">
        <f t="shared" si="1706"/>
        <v>123800</v>
      </c>
      <c r="T571" s="80">
        <v>22.0</v>
      </c>
      <c r="U571" s="80">
        <f t="shared" ref="U571:X571" si="1707">U570+C564</f>
        <v>372</v>
      </c>
      <c r="V571" s="80">
        <f t="shared" si="1707"/>
        <v>-3416</v>
      </c>
      <c r="W571" s="80">
        <f t="shared" si="1707"/>
        <v>3194</v>
      </c>
      <c r="X571" s="80">
        <f t="shared" si="1707"/>
        <v>-254</v>
      </c>
      <c r="Z571" s="80">
        <v>22.0</v>
      </c>
      <c r="AA571" s="10">
        <v>45199.0</v>
      </c>
      <c r="AB571" s="80">
        <v>630.0</v>
      </c>
      <c r="AC571" s="80">
        <v>-3082.0</v>
      </c>
      <c r="AD571" s="80">
        <v>2488.0</v>
      </c>
      <c r="AE571" s="80">
        <v>-140.0</v>
      </c>
    </row>
    <row r="572">
      <c r="A572" s="28">
        <f>'SAMLET_alle regnskab'!B581</f>
        <v>14</v>
      </c>
      <c r="B572" s="80">
        <f>'SAMLET_alle regnskab'!A581</f>
        <v>26</v>
      </c>
      <c r="C572" s="28">
        <f>'SAMLET_alle regnskab'!U581</f>
        <v>-48</v>
      </c>
      <c r="D572" s="28">
        <f>'SAMLET_alle regnskab'!V581</f>
        <v>16</v>
      </c>
      <c r="E572" s="28">
        <f>'SAMLET_alle regnskab'!W581</f>
        <v>16</v>
      </c>
      <c r="F572" s="28">
        <f>'SAMLET_alle regnskab'!X581</f>
        <v>16</v>
      </c>
      <c r="H572" s="80">
        <f t="shared" si="7"/>
        <v>26</v>
      </c>
      <c r="I572" s="80">
        <f t="shared" ref="I572:L572" si="1708">I571+C572</f>
        <v>530</v>
      </c>
      <c r="J572" s="80">
        <f t="shared" si="1708"/>
        <v>-2454</v>
      </c>
      <c r="K572" s="80">
        <f t="shared" si="1708"/>
        <v>1512</v>
      </c>
      <c r="L572" s="80">
        <f t="shared" si="1708"/>
        <v>412</v>
      </c>
      <c r="N572" s="80">
        <f t="shared" si="25"/>
        <v>26</v>
      </c>
      <c r="O572" s="80">
        <f t="shared" ref="O572:R572" si="1709">O571+I565</f>
        <v>231772</v>
      </c>
      <c r="P572" s="80">
        <f t="shared" si="1709"/>
        <v>-575432</v>
      </c>
      <c r="Q572" s="80">
        <f t="shared" si="1709"/>
        <v>219432</v>
      </c>
      <c r="R572" s="80">
        <f t="shared" si="1709"/>
        <v>124228</v>
      </c>
      <c r="T572" s="80">
        <v>22.0</v>
      </c>
      <c r="U572" s="80">
        <f t="shared" ref="U572:X572" si="1710">U571+C565</f>
        <v>356</v>
      </c>
      <c r="V572" s="80">
        <f t="shared" si="1710"/>
        <v>-3368</v>
      </c>
      <c r="W572" s="80">
        <f t="shared" si="1710"/>
        <v>3178</v>
      </c>
      <c r="X572" s="80">
        <f t="shared" si="1710"/>
        <v>-270</v>
      </c>
      <c r="Z572" s="80">
        <v>22.0</v>
      </c>
      <c r="AA572" s="10">
        <v>45199.0</v>
      </c>
      <c r="AB572" s="80">
        <v>630.0</v>
      </c>
      <c r="AC572" s="80">
        <v>-3082.0</v>
      </c>
      <c r="AD572" s="80">
        <v>2488.0</v>
      </c>
      <c r="AE572" s="80">
        <v>-140.0</v>
      </c>
    </row>
    <row r="573">
      <c r="A573" s="28">
        <f>'SAMLET_alle regnskab'!B582</f>
        <v>15</v>
      </c>
      <c r="B573" s="80">
        <f>'SAMLET_alle regnskab'!A582</f>
        <v>26</v>
      </c>
      <c r="C573" s="28">
        <f>'SAMLET_alle regnskab'!U582</f>
        <v>4</v>
      </c>
      <c r="D573" s="28">
        <f>'SAMLET_alle regnskab'!V582</f>
        <v>-12</v>
      </c>
      <c r="E573" s="28">
        <f>'SAMLET_alle regnskab'!W582</f>
        <v>4</v>
      </c>
      <c r="F573" s="28">
        <f>'SAMLET_alle regnskab'!X582</f>
        <v>4</v>
      </c>
      <c r="H573" s="80">
        <f t="shared" si="7"/>
        <v>26</v>
      </c>
      <c r="I573" s="80">
        <f t="shared" ref="I573:L573" si="1711">I572+C573</f>
        <v>534</v>
      </c>
      <c r="J573" s="80">
        <f t="shared" si="1711"/>
        <v>-2466</v>
      </c>
      <c r="K573" s="80">
        <f t="shared" si="1711"/>
        <v>1516</v>
      </c>
      <c r="L573" s="80">
        <f t="shared" si="1711"/>
        <v>416</v>
      </c>
      <c r="N573" s="80">
        <f t="shared" si="25"/>
        <v>26</v>
      </c>
      <c r="O573" s="80">
        <f t="shared" ref="O573:R573" si="1712">O572+I566</f>
        <v>232302</v>
      </c>
      <c r="P573" s="80">
        <f t="shared" si="1712"/>
        <v>-577854</v>
      </c>
      <c r="Q573" s="80">
        <f t="shared" si="1712"/>
        <v>220912</v>
      </c>
      <c r="R573" s="80">
        <f t="shared" si="1712"/>
        <v>124640</v>
      </c>
      <c r="T573" s="80">
        <v>22.0</v>
      </c>
      <c r="U573" s="80">
        <f t="shared" ref="U573:X573" si="1713">U572+C566</f>
        <v>372</v>
      </c>
      <c r="V573" s="80">
        <f t="shared" si="1713"/>
        <v>-3384</v>
      </c>
      <c r="W573" s="80">
        <f t="shared" si="1713"/>
        <v>3194</v>
      </c>
      <c r="X573" s="80">
        <f t="shared" si="1713"/>
        <v>-286</v>
      </c>
      <c r="Z573" s="80">
        <v>22.0</v>
      </c>
      <c r="AA573" s="10">
        <v>45199.0</v>
      </c>
      <c r="AB573" s="80">
        <v>630.0</v>
      </c>
      <c r="AC573" s="80">
        <v>-3082.0</v>
      </c>
      <c r="AD573" s="80">
        <v>2488.0</v>
      </c>
      <c r="AE573" s="80">
        <v>-140.0</v>
      </c>
    </row>
    <row r="574">
      <c r="A574" s="28">
        <f>'SAMLET_alle regnskab'!B583</f>
        <v>16</v>
      </c>
      <c r="B574" s="80">
        <f>'SAMLET_alle regnskab'!A583</f>
        <v>26</v>
      </c>
      <c r="C574" s="28">
        <f>'SAMLET_alle regnskab'!U583</f>
        <v>4</v>
      </c>
      <c r="D574" s="28">
        <f>'SAMLET_alle regnskab'!V583</f>
        <v>4</v>
      </c>
      <c r="E574" s="28">
        <f>'SAMLET_alle regnskab'!W583</f>
        <v>4</v>
      </c>
      <c r="F574" s="28">
        <f>'SAMLET_alle regnskab'!X583</f>
        <v>-12</v>
      </c>
      <c r="H574" s="80">
        <f t="shared" si="7"/>
        <v>26</v>
      </c>
      <c r="I574" s="80">
        <f t="shared" ref="I574:L574" si="1714">I573+C574</f>
        <v>538</v>
      </c>
      <c r="J574" s="80">
        <f t="shared" si="1714"/>
        <v>-2462</v>
      </c>
      <c r="K574" s="80">
        <f t="shared" si="1714"/>
        <v>1520</v>
      </c>
      <c r="L574" s="80">
        <f t="shared" si="1714"/>
        <v>404</v>
      </c>
      <c r="N574" s="80">
        <f t="shared" si="25"/>
        <v>26</v>
      </c>
      <c r="O574" s="80">
        <f t="shared" ref="O574:R574" si="1715">O573+I567</f>
        <v>232836</v>
      </c>
      <c r="P574" s="80">
        <f t="shared" si="1715"/>
        <v>-580272</v>
      </c>
      <c r="Q574" s="80">
        <f t="shared" si="1715"/>
        <v>222380</v>
      </c>
      <c r="R574" s="80">
        <f t="shared" si="1715"/>
        <v>125056</v>
      </c>
      <c r="T574" s="80">
        <v>22.0</v>
      </c>
      <c r="U574" s="80">
        <f t="shared" ref="U574:X574" si="1716">U573+C567</f>
        <v>376</v>
      </c>
      <c r="V574" s="80">
        <f t="shared" si="1716"/>
        <v>-3380</v>
      </c>
      <c r="W574" s="80">
        <f t="shared" si="1716"/>
        <v>3182</v>
      </c>
      <c r="X574" s="80">
        <f t="shared" si="1716"/>
        <v>-282</v>
      </c>
      <c r="Z574" s="80">
        <v>22.0</v>
      </c>
      <c r="AA574" s="10">
        <v>45199.0</v>
      </c>
      <c r="AB574" s="80">
        <v>630.0</v>
      </c>
      <c r="AC574" s="80">
        <v>-3082.0</v>
      </c>
      <c r="AD574" s="80">
        <v>2488.0</v>
      </c>
      <c r="AE574" s="80">
        <v>-140.0</v>
      </c>
    </row>
    <row r="575">
      <c r="A575" s="28">
        <f>'SAMLET_alle regnskab'!B584</f>
        <v>17</v>
      </c>
      <c r="B575" s="80">
        <f>'SAMLET_alle regnskab'!A584</f>
        <v>26</v>
      </c>
      <c r="C575" s="28">
        <f>'SAMLET_alle regnskab'!U584</f>
        <v>64</v>
      </c>
      <c r="D575" s="28">
        <f>'SAMLET_alle regnskab'!V584</f>
        <v>64</v>
      </c>
      <c r="E575" s="28">
        <f>'SAMLET_alle regnskab'!W584</f>
        <v>-64</v>
      </c>
      <c r="F575" s="28">
        <f>'SAMLET_alle regnskab'!X584</f>
        <v>-64</v>
      </c>
      <c r="H575" s="80">
        <f t="shared" si="7"/>
        <v>26</v>
      </c>
      <c r="I575" s="80">
        <f t="shared" ref="I575:L575" si="1717">I574+C575</f>
        <v>602</v>
      </c>
      <c r="J575" s="80">
        <f t="shared" si="1717"/>
        <v>-2398</v>
      </c>
      <c r="K575" s="80">
        <f t="shared" si="1717"/>
        <v>1456</v>
      </c>
      <c r="L575" s="80">
        <f t="shared" si="1717"/>
        <v>340</v>
      </c>
      <c r="N575" s="80">
        <f t="shared" si="25"/>
        <v>26</v>
      </c>
      <c r="O575" s="80">
        <f t="shared" ref="O575:R575" si="1718">O574+I568</f>
        <v>233362</v>
      </c>
      <c r="P575" s="80">
        <f t="shared" si="1718"/>
        <v>-582682</v>
      </c>
      <c r="Q575" s="80">
        <f t="shared" si="1718"/>
        <v>223840</v>
      </c>
      <c r="R575" s="80">
        <f t="shared" si="1718"/>
        <v>125480</v>
      </c>
      <c r="T575" s="80">
        <v>22.0</v>
      </c>
      <c r="U575" s="80">
        <f t="shared" ref="U575:X575" si="1719">U574+C568</f>
        <v>368</v>
      </c>
      <c r="V575" s="80">
        <f t="shared" si="1719"/>
        <v>-3372</v>
      </c>
      <c r="W575" s="80">
        <f t="shared" si="1719"/>
        <v>3174</v>
      </c>
      <c r="X575" s="80">
        <f t="shared" si="1719"/>
        <v>-274</v>
      </c>
      <c r="Z575" s="80">
        <v>22.0</v>
      </c>
      <c r="AA575" s="10">
        <v>45199.0</v>
      </c>
      <c r="AB575" s="80">
        <v>630.0</v>
      </c>
      <c r="AC575" s="80">
        <v>-3082.0</v>
      </c>
      <c r="AD575" s="80">
        <v>2488.0</v>
      </c>
      <c r="AE575" s="80">
        <v>-140.0</v>
      </c>
    </row>
    <row r="576">
      <c r="A576" s="28">
        <f>'SAMLET_alle regnskab'!B585</f>
        <v>18</v>
      </c>
      <c r="B576" s="80">
        <f>'SAMLET_alle regnskab'!A585</f>
        <v>26</v>
      </c>
      <c r="C576" s="28">
        <f>'SAMLET_alle regnskab'!U585</f>
        <v>-4</v>
      </c>
      <c r="D576" s="28">
        <f>'SAMLET_alle regnskab'!V585</f>
        <v>4</v>
      </c>
      <c r="E576" s="28">
        <f>'SAMLET_alle regnskab'!W585</f>
        <v>4</v>
      </c>
      <c r="F576" s="28">
        <f>'SAMLET_alle regnskab'!X585</f>
        <v>-4</v>
      </c>
      <c r="H576" s="80">
        <f t="shared" si="7"/>
        <v>26</v>
      </c>
      <c r="I576" s="80">
        <f t="shared" ref="I576:L576" si="1720">I575+C576</f>
        <v>598</v>
      </c>
      <c r="J576" s="80">
        <f t="shared" si="1720"/>
        <v>-2394</v>
      </c>
      <c r="K576" s="80">
        <f t="shared" si="1720"/>
        <v>1460</v>
      </c>
      <c r="L576" s="80">
        <f t="shared" si="1720"/>
        <v>336</v>
      </c>
      <c r="N576" s="80">
        <f t="shared" si="25"/>
        <v>26</v>
      </c>
      <c r="O576" s="80">
        <f t="shared" ref="O576:R576" si="1721">O575+I569</f>
        <v>233896</v>
      </c>
      <c r="P576" s="80">
        <f t="shared" si="1721"/>
        <v>-585116</v>
      </c>
      <c r="Q576" s="80">
        <f t="shared" si="1721"/>
        <v>225308</v>
      </c>
      <c r="R576" s="80">
        <f t="shared" si="1721"/>
        <v>125912</v>
      </c>
      <c r="T576" s="80">
        <v>22.0</v>
      </c>
      <c r="U576" s="80">
        <f t="shared" ref="U576:X576" si="1722">U575+C569</f>
        <v>376</v>
      </c>
      <c r="V576" s="80">
        <f t="shared" si="1722"/>
        <v>-3396</v>
      </c>
      <c r="W576" s="80">
        <f t="shared" si="1722"/>
        <v>3182</v>
      </c>
      <c r="X576" s="80">
        <f t="shared" si="1722"/>
        <v>-266</v>
      </c>
      <c r="Z576" s="80">
        <v>22.0</v>
      </c>
      <c r="AA576" s="10">
        <v>45199.0</v>
      </c>
      <c r="AB576" s="80">
        <v>630.0</v>
      </c>
      <c r="AC576" s="80">
        <v>-3082.0</v>
      </c>
      <c r="AD576" s="80">
        <v>2488.0</v>
      </c>
      <c r="AE576" s="80">
        <v>-140.0</v>
      </c>
    </row>
    <row r="577">
      <c r="A577" s="28">
        <f>'SAMLET_alle regnskab'!B586</f>
        <v>19</v>
      </c>
      <c r="B577" s="80">
        <f>'SAMLET_alle regnskab'!A586</f>
        <v>26</v>
      </c>
      <c r="C577" s="28">
        <f>'SAMLET_alle regnskab'!U586</f>
        <v>4</v>
      </c>
      <c r="D577" s="28">
        <f>'SAMLET_alle regnskab'!V586</f>
        <v>4</v>
      </c>
      <c r="E577" s="28">
        <f>'SAMLET_alle regnskab'!W586</f>
        <v>-12</v>
      </c>
      <c r="F577" s="28">
        <f>'SAMLET_alle regnskab'!X586</f>
        <v>4</v>
      </c>
      <c r="H577" s="80">
        <f t="shared" si="7"/>
        <v>26</v>
      </c>
      <c r="I577" s="80">
        <f t="shared" ref="I577:L577" si="1723">I576+C577</f>
        <v>602</v>
      </c>
      <c r="J577" s="80">
        <f t="shared" si="1723"/>
        <v>-2390</v>
      </c>
      <c r="K577" s="80">
        <f t="shared" si="1723"/>
        <v>1448</v>
      </c>
      <c r="L577" s="80">
        <f t="shared" si="1723"/>
        <v>340</v>
      </c>
      <c r="N577" s="80">
        <f t="shared" si="25"/>
        <v>26</v>
      </c>
      <c r="O577" s="80">
        <f t="shared" ref="O577:R577" si="1724">O576+I570</f>
        <v>234442</v>
      </c>
      <c r="P577" s="80">
        <f t="shared" si="1724"/>
        <v>-587554</v>
      </c>
      <c r="Q577" s="80">
        <f t="shared" si="1724"/>
        <v>226772</v>
      </c>
      <c r="R577" s="80">
        <f t="shared" si="1724"/>
        <v>126340</v>
      </c>
      <c r="T577" s="80">
        <v>22.0</v>
      </c>
      <c r="U577" s="80">
        <f t="shared" ref="U577:X577" si="1725">U576+C570</f>
        <v>388</v>
      </c>
      <c r="V577" s="80">
        <f t="shared" si="1725"/>
        <v>-3400</v>
      </c>
      <c r="W577" s="80">
        <f t="shared" si="1725"/>
        <v>3178</v>
      </c>
      <c r="X577" s="80">
        <f t="shared" si="1725"/>
        <v>-270</v>
      </c>
      <c r="Z577" s="80">
        <v>22.0</v>
      </c>
      <c r="AA577" s="10">
        <v>45199.0</v>
      </c>
      <c r="AB577" s="80">
        <v>630.0</v>
      </c>
      <c r="AC577" s="80">
        <v>-3082.0</v>
      </c>
      <c r="AD577" s="80">
        <v>2488.0</v>
      </c>
      <c r="AE577" s="80">
        <v>-140.0</v>
      </c>
    </row>
    <row r="578">
      <c r="A578" s="28">
        <f>'SAMLET_alle regnskab'!B587</f>
        <v>20</v>
      </c>
      <c r="B578" s="80">
        <f>'SAMLET_alle regnskab'!A587</f>
        <v>26</v>
      </c>
      <c r="C578" s="28">
        <f>'SAMLET_alle regnskab'!U587</f>
        <v>24</v>
      </c>
      <c r="D578" s="28">
        <f>'SAMLET_alle regnskab'!V587</f>
        <v>-24</v>
      </c>
      <c r="E578" s="28">
        <f>'SAMLET_alle regnskab'!W587</f>
        <v>-24</v>
      </c>
      <c r="F578" s="28">
        <f>'SAMLET_alle regnskab'!X587</f>
        <v>24</v>
      </c>
      <c r="H578" s="80">
        <f t="shared" si="7"/>
        <v>26</v>
      </c>
      <c r="I578" s="80">
        <f t="shared" ref="I578:L578" si="1726">I577+C578</f>
        <v>626</v>
      </c>
      <c r="J578" s="80">
        <f t="shared" si="1726"/>
        <v>-2414</v>
      </c>
      <c r="K578" s="80">
        <f t="shared" si="1726"/>
        <v>1424</v>
      </c>
      <c r="L578" s="80">
        <f t="shared" si="1726"/>
        <v>364</v>
      </c>
      <c r="N578" s="80">
        <f t="shared" si="25"/>
        <v>26</v>
      </c>
      <c r="O578" s="80">
        <f t="shared" ref="O578:R578" si="1727">O577+I571</f>
        <v>235020</v>
      </c>
      <c r="P578" s="80">
        <f t="shared" si="1727"/>
        <v>-590024</v>
      </c>
      <c r="Q578" s="80">
        <f t="shared" si="1727"/>
        <v>228268</v>
      </c>
      <c r="R578" s="80">
        <f t="shared" si="1727"/>
        <v>126736</v>
      </c>
      <c r="T578" s="80">
        <v>22.0</v>
      </c>
      <c r="U578" s="80">
        <f t="shared" ref="U578:X578" si="1728">U577+C571</f>
        <v>420</v>
      </c>
      <c r="V578" s="80">
        <f t="shared" si="1728"/>
        <v>-3432</v>
      </c>
      <c r="W578" s="80">
        <f t="shared" si="1728"/>
        <v>3210</v>
      </c>
      <c r="X578" s="80">
        <f t="shared" si="1728"/>
        <v>-302</v>
      </c>
      <c r="Z578" s="80">
        <v>22.0</v>
      </c>
      <c r="AA578" s="10">
        <v>45199.0</v>
      </c>
      <c r="AB578" s="80">
        <v>630.0</v>
      </c>
      <c r="AC578" s="80">
        <v>-3082.0</v>
      </c>
      <c r="AD578" s="80">
        <v>2488.0</v>
      </c>
      <c r="AE578" s="80">
        <v>-140.0</v>
      </c>
    </row>
    <row r="579">
      <c r="A579" s="28">
        <f>'SAMLET_alle regnskab'!B588</f>
        <v>21</v>
      </c>
      <c r="B579" s="80">
        <f>'SAMLET_alle regnskab'!A588</f>
        <v>26</v>
      </c>
      <c r="C579" s="28">
        <f>'SAMLET_alle regnskab'!U588</f>
        <v>48</v>
      </c>
      <c r="D579" s="28">
        <f>'SAMLET_alle regnskab'!V588</f>
        <v>-48</v>
      </c>
      <c r="E579" s="28">
        <f>'SAMLET_alle regnskab'!W588</f>
        <v>-48</v>
      </c>
      <c r="F579" s="28">
        <f>'SAMLET_alle regnskab'!X588</f>
        <v>48</v>
      </c>
      <c r="H579" s="80">
        <f t="shared" si="7"/>
        <v>26</v>
      </c>
      <c r="I579" s="80">
        <f t="shared" ref="I579:L579" si="1729">I578+C579</f>
        <v>674</v>
      </c>
      <c r="J579" s="80">
        <f t="shared" si="1729"/>
        <v>-2462</v>
      </c>
      <c r="K579" s="80">
        <f t="shared" si="1729"/>
        <v>1376</v>
      </c>
      <c r="L579" s="80">
        <f t="shared" si="1729"/>
        <v>412</v>
      </c>
      <c r="N579" s="80">
        <f t="shared" si="25"/>
        <v>26</v>
      </c>
      <c r="O579" s="80">
        <f t="shared" ref="O579:R579" si="1730">O578+I572</f>
        <v>235550</v>
      </c>
      <c r="P579" s="80">
        <f t="shared" si="1730"/>
        <v>-592478</v>
      </c>
      <c r="Q579" s="80">
        <f t="shared" si="1730"/>
        <v>229780</v>
      </c>
      <c r="R579" s="80">
        <f t="shared" si="1730"/>
        <v>127148</v>
      </c>
      <c r="T579" s="80">
        <v>22.0</v>
      </c>
      <c r="U579" s="80">
        <f t="shared" ref="U579:X579" si="1731">U578+C572</f>
        <v>372</v>
      </c>
      <c r="V579" s="80">
        <f t="shared" si="1731"/>
        <v>-3416</v>
      </c>
      <c r="W579" s="80">
        <f t="shared" si="1731"/>
        <v>3226</v>
      </c>
      <c r="X579" s="80">
        <f t="shared" si="1731"/>
        <v>-286</v>
      </c>
      <c r="Z579" s="80">
        <v>22.0</v>
      </c>
      <c r="AA579" s="10">
        <v>45199.0</v>
      </c>
      <c r="AB579" s="80">
        <v>630.0</v>
      </c>
      <c r="AC579" s="80">
        <v>-3082.0</v>
      </c>
      <c r="AD579" s="80">
        <v>2488.0</v>
      </c>
      <c r="AE579" s="80">
        <v>-140.0</v>
      </c>
    </row>
    <row r="580">
      <c r="A580" s="28">
        <f>'SAMLET_alle regnskab'!B589</f>
        <v>22</v>
      </c>
      <c r="B580" s="80">
        <f>'SAMLET_alle regnskab'!A589</f>
        <v>26</v>
      </c>
      <c r="C580" s="28">
        <f>'SAMLET_alle regnskab'!U589</f>
        <v>24</v>
      </c>
      <c r="D580" s="28">
        <f>'SAMLET_alle regnskab'!V589</f>
        <v>-8</v>
      </c>
      <c r="E580" s="28">
        <f>'SAMLET_alle regnskab'!W589</f>
        <v>-8</v>
      </c>
      <c r="F580" s="28">
        <f>'SAMLET_alle regnskab'!X589</f>
        <v>-8</v>
      </c>
      <c r="H580" s="80">
        <f t="shared" si="7"/>
        <v>26</v>
      </c>
      <c r="I580" s="80">
        <f t="shared" ref="I580:L580" si="1732">I579+C580</f>
        <v>698</v>
      </c>
      <c r="J580" s="80">
        <f t="shared" si="1732"/>
        <v>-2470</v>
      </c>
      <c r="K580" s="80">
        <f t="shared" si="1732"/>
        <v>1368</v>
      </c>
      <c r="L580" s="80">
        <f t="shared" si="1732"/>
        <v>404</v>
      </c>
      <c r="N580" s="80">
        <f t="shared" si="25"/>
        <v>26</v>
      </c>
      <c r="O580" s="80">
        <f t="shared" ref="O580:R580" si="1733">O579+I573</f>
        <v>236084</v>
      </c>
      <c r="P580" s="80">
        <f t="shared" si="1733"/>
        <v>-594944</v>
      </c>
      <c r="Q580" s="80">
        <f t="shared" si="1733"/>
        <v>231296</v>
      </c>
      <c r="R580" s="80">
        <f t="shared" si="1733"/>
        <v>127564</v>
      </c>
      <c r="T580" s="80">
        <v>22.0</v>
      </c>
      <c r="U580" s="80">
        <f t="shared" ref="U580:X580" si="1734">U579+C573</f>
        <v>376</v>
      </c>
      <c r="V580" s="80">
        <f t="shared" si="1734"/>
        <v>-3428</v>
      </c>
      <c r="W580" s="80">
        <f t="shared" si="1734"/>
        <v>3230</v>
      </c>
      <c r="X580" s="80">
        <f t="shared" si="1734"/>
        <v>-282</v>
      </c>
      <c r="Z580" s="80">
        <v>22.0</v>
      </c>
      <c r="AA580" s="10">
        <v>45199.0</v>
      </c>
      <c r="AB580" s="80">
        <v>630.0</v>
      </c>
      <c r="AC580" s="80">
        <v>-3082.0</v>
      </c>
      <c r="AD580" s="80">
        <v>2488.0</v>
      </c>
      <c r="AE580" s="80">
        <v>-140.0</v>
      </c>
    </row>
    <row r="581">
      <c r="A581" s="28">
        <f>'SAMLET_alle regnskab'!B590</f>
        <v>23</v>
      </c>
      <c r="B581" s="80">
        <f>'SAMLET_alle regnskab'!A590</f>
        <v>26</v>
      </c>
      <c r="C581" s="28">
        <f>'SAMLET_alle regnskab'!U590</f>
        <v>-48</v>
      </c>
      <c r="D581" s="28">
        <f>'SAMLET_alle regnskab'!V590</f>
        <v>16</v>
      </c>
      <c r="E581" s="28">
        <f>'SAMLET_alle regnskab'!W590</f>
        <v>16</v>
      </c>
      <c r="F581" s="28">
        <f>'SAMLET_alle regnskab'!X590</f>
        <v>16</v>
      </c>
      <c r="H581" s="80">
        <f t="shared" si="7"/>
        <v>26</v>
      </c>
      <c r="I581" s="80">
        <f t="shared" ref="I581:L581" si="1735">I580+C581</f>
        <v>650</v>
      </c>
      <c r="J581" s="80">
        <f t="shared" si="1735"/>
        <v>-2454</v>
      </c>
      <c r="K581" s="80">
        <f t="shared" si="1735"/>
        <v>1384</v>
      </c>
      <c r="L581" s="80">
        <f t="shared" si="1735"/>
        <v>420</v>
      </c>
      <c r="N581" s="80">
        <f t="shared" si="25"/>
        <v>26</v>
      </c>
      <c r="O581" s="80">
        <f t="shared" ref="O581:R581" si="1736">O580+I574</f>
        <v>236622</v>
      </c>
      <c r="P581" s="80">
        <f t="shared" si="1736"/>
        <v>-597406</v>
      </c>
      <c r="Q581" s="80">
        <f t="shared" si="1736"/>
        <v>232816</v>
      </c>
      <c r="R581" s="80">
        <f t="shared" si="1736"/>
        <v>127968</v>
      </c>
      <c r="T581" s="80">
        <v>22.0</v>
      </c>
      <c r="U581" s="80">
        <f t="shared" ref="U581:X581" si="1737">U580+C574</f>
        <v>380</v>
      </c>
      <c r="V581" s="80">
        <f t="shared" si="1737"/>
        <v>-3424</v>
      </c>
      <c r="W581" s="80">
        <f t="shared" si="1737"/>
        <v>3234</v>
      </c>
      <c r="X581" s="80">
        <f t="shared" si="1737"/>
        <v>-294</v>
      </c>
      <c r="Z581" s="80">
        <v>22.0</v>
      </c>
      <c r="AA581" s="10">
        <v>45199.0</v>
      </c>
      <c r="AB581" s="80">
        <v>630.0</v>
      </c>
      <c r="AC581" s="80">
        <v>-3082.0</v>
      </c>
      <c r="AD581" s="80">
        <v>2488.0</v>
      </c>
      <c r="AE581" s="80">
        <v>-140.0</v>
      </c>
    </row>
    <row r="582">
      <c r="A582" s="28">
        <f>'SAMLET_alle regnskab'!B591</f>
        <v>24</v>
      </c>
      <c r="B582" s="80">
        <f>'SAMLET_alle regnskab'!A591</f>
        <v>26</v>
      </c>
      <c r="C582" s="28">
        <f>'SAMLET_alle regnskab'!U591</f>
        <v>8</v>
      </c>
      <c r="D582" s="28">
        <f>'SAMLET_alle regnskab'!V591</f>
        <v>-8</v>
      </c>
      <c r="E582" s="28">
        <f>'SAMLET_alle regnskab'!W591</f>
        <v>8</v>
      </c>
      <c r="F582" s="28">
        <f>'SAMLET_alle regnskab'!X591</f>
        <v>-8</v>
      </c>
      <c r="H582" s="80">
        <f t="shared" si="7"/>
        <v>26</v>
      </c>
      <c r="I582" s="80">
        <f t="shared" ref="I582:L582" si="1738">I581+C582</f>
        <v>658</v>
      </c>
      <c r="J582" s="80">
        <f t="shared" si="1738"/>
        <v>-2462</v>
      </c>
      <c r="K582" s="80">
        <f t="shared" si="1738"/>
        <v>1392</v>
      </c>
      <c r="L582" s="80">
        <f t="shared" si="1738"/>
        <v>412</v>
      </c>
      <c r="N582" s="80">
        <f t="shared" si="25"/>
        <v>26</v>
      </c>
      <c r="O582" s="80">
        <f t="shared" ref="O582:R582" si="1739">O581+I575</f>
        <v>237224</v>
      </c>
      <c r="P582" s="80">
        <f t="shared" si="1739"/>
        <v>-599804</v>
      </c>
      <c r="Q582" s="80">
        <f t="shared" si="1739"/>
        <v>234272</v>
      </c>
      <c r="R582" s="80">
        <f t="shared" si="1739"/>
        <v>128308</v>
      </c>
      <c r="T582" s="80">
        <v>22.0</v>
      </c>
      <c r="U582" s="80">
        <f t="shared" ref="U582:X582" si="1740">U581+C575</f>
        <v>444</v>
      </c>
      <c r="V582" s="80">
        <f t="shared" si="1740"/>
        <v>-3360</v>
      </c>
      <c r="W582" s="80">
        <f t="shared" si="1740"/>
        <v>3170</v>
      </c>
      <c r="X582" s="80">
        <f t="shared" si="1740"/>
        <v>-358</v>
      </c>
      <c r="Z582" s="80">
        <v>22.0</v>
      </c>
      <c r="AA582" s="10">
        <v>45199.0</v>
      </c>
      <c r="AB582" s="80">
        <v>630.0</v>
      </c>
      <c r="AC582" s="80">
        <v>-3082.0</v>
      </c>
      <c r="AD582" s="80">
        <v>2488.0</v>
      </c>
      <c r="AE582" s="80">
        <v>-140.0</v>
      </c>
    </row>
    <row r="583">
      <c r="A583" s="28">
        <f>'SAMLET_alle regnskab'!B592</f>
        <v>25</v>
      </c>
      <c r="B583" s="80">
        <f>'SAMLET_alle regnskab'!A592</f>
        <v>26</v>
      </c>
      <c r="C583" s="28">
        <f>'SAMLET_alle regnskab'!U592</f>
        <v>32</v>
      </c>
      <c r="D583" s="28">
        <f>'SAMLET_alle regnskab'!V592</f>
        <v>-32</v>
      </c>
      <c r="E583" s="28">
        <f>'SAMLET_alle regnskab'!W592</f>
        <v>-32</v>
      </c>
      <c r="F583" s="28">
        <f>'SAMLET_alle regnskab'!X592</f>
        <v>32</v>
      </c>
      <c r="H583" s="80">
        <f t="shared" si="7"/>
        <v>26</v>
      </c>
      <c r="I583" s="80">
        <f t="shared" ref="I583:L583" si="1741">I582+C583</f>
        <v>690</v>
      </c>
      <c r="J583" s="80">
        <f t="shared" si="1741"/>
        <v>-2494</v>
      </c>
      <c r="K583" s="80">
        <f t="shared" si="1741"/>
        <v>1360</v>
      </c>
      <c r="L583" s="80">
        <f t="shared" si="1741"/>
        <v>444</v>
      </c>
      <c r="N583" s="80">
        <f t="shared" si="25"/>
        <v>26</v>
      </c>
      <c r="O583" s="80">
        <f t="shared" ref="O583:R583" si="1742">O582+I576</f>
        <v>237822</v>
      </c>
      <c r="P583" s="80">
        <f t="shared" si="1742"/>
        <v>-602198</v>
      </c>
      <c r="Q583" s="80">
        <f t="shared" si="1742"/>
        <v>235732</v>
      </c>
      <c r="R583" s="80">
        <f t="shared" si="1742"/>
        <v>128644</v>
      </c>
      <c r="T583" s="80">
        <v>22.0</v>
      </c>
      <c r="U583" s="80">
        <f t="shared" ref="U583:X583" si="1743">U582+C576</f>
        <v>440</v>
      </c>
      <c r="V583" s="80">
        <f t="shared" si="1743"/>
        <v>-3356</v>
      </c>
      <c r="W583" s="80">
        <f t="shared" si="1743"/>
        <v>3174</v>
      </c>
      <c r="X583" s="80">
        <f t="shared" si="1743"/>
        <v>-362</v>
      </c>
      <c r="Z583" s="80">
        <v>22.0</v>
      </c>
      <c r="AA583" s="10">
        <v>45199.0</v>
      </c>
      <c r="AB583" s="80">
        <v>630.0</v>
      </c>
      <c r="AC583" s="80">
        <v>-3082.0</v>
      </c>
      <c r="AD583" s="80">
        <v>2488.0</v>
      </c>
      <c r="AE583" s="80">
        <v>-140.0</v>
      </c>
    </row>
    <row r="584">
      <c r="A584" s="28">
        <f>'SAMLET_alle regnskab'!B593</f>
        <v>26</v>
      </c>
      <c r="B584" s="80">
        <f>'SAMLET_alle regnskab'!A593</f>
        <v>26</v>
      </c>
      <c r="C584" s="28">
        <f>'SAMLET_alle regnskab'!U593</f>
        <v>32</v>
      </c>
      <c r="D584" s="28">
        <f>'SAMLET_alle regnskab'!V593</f>
        <v>-32</v>
      </c>
      <c r="E584" s="28">
        <f>'SAMLET_alle regnskab'!W593</f>
        <v>32</v>
      </c>
      <c r="F584" s="28">
        <f>'SAMLET_alle regnskab'!X593</f>
        <v>-32</v>
      </c>
      <c r="H584" s="80">
        <f t="shared" si="7"/>
        <v>26</v>
      </c>
      <c r="I584" s="80">
        <f t="shared" ref="I584:L584" si="1744">I583+C584</f>
        <v>722</v>
      </c>
      <c r="J584" s="80">
        <f t="shared" si="1744"/>
        <v>-2526</v>
      </c>
      <c r="K584" s="80">
        <f t="shared" si="1744"/>
        <v>1392</v>
      </c>
      <c r="L584" s="80">
        <f t="shared" si="1744"/>
        <v>412</v>
      </c>
      <c r="N584" s="80">
        <f t="shared" si="25"/>
        <v>26</v>
      </c>
      <c r="O584" s="80">
        <f t="shared" ref="O584:R584" si="1745">O583+I577</f>
        <v>238424</v>
      </c>
      <c r="P584" s="80">
        <f t="shared" si="1745"/>
        <v>-604588</v>
      </c>
      <c r="Q584" s="80">
        <f t="shared" si="1745"/>
        <v>237180</v>
      </c>
      <c r="R584" s="80">
        <f t="shared" si="1745"/>
        <v>128984</v>
      </c>
      <c r="T584" s="80">
        <v>22.0</v>
      </c>
      <c r="U584" s="80">
        <f t="shared" ref="U584:X584" si="1746">U583+C577</f>
        <v>444</v>
      </c>
      <c r="V584" s="80">
        <f t="shared" si="1746"/>
        <v>-3352</v>
      </c>
      <c r="W584" s="80">
        <f t="shared" si="1746"/>
        <v>3162</v>
      </c>
      <c r="X584" s="80">
        <f t="shared" si="1746"/>
        <v>-358</v>
      </c>
      <c r="Z584" s="80">
        <v>22.0</v>
      </c>
      <c r="AA584" s="10">
        <v>45199.0</v>
      </c>
      <c r="AB584" s="80">
        <v>630.0</v>
      </c>
      <c r="AC584" s="80">
        <v>-3082.0</v>
      </c>
      <c r="AD584" s="80">
        <v>2488.0</v>
      </c>
      <c r="AE584" s="80">
        <v>-140.0</v>
      </c>
    </row>
    <row r="585">
      <c r="A585" s="28">
        <f>'SAMLET_alle regnskab'!B594</f>
        <v>27</v>
      </c>
      <c r="B585" s="80">
        <f>'SAMLET_alle regnskab'!A594</f>
        <v>26</v>
      </c>
      <c r="C585" s="28">
        <f>'SAMLET_alle regnskab'!U594</f>
        <v>8</v>
      </c>
      <c r="D585" s="28">
        <f>'SAMLET_alle regnskab'!V594</f>
        <v>8</v>
      </c>
      <c r="E585" s="28">
        <f>'SAMLET_alle regnskab'!W594</f>
        <v>-8</v>
      </c>
      <c r="F585" s="28">
        <f>'SAMLET_alle regnskab'!X594</f>
        <v>-8</v>
      </c>
      <c r="H585" s="80">
        <f t="shared" si="7"/>
        <v>26</v>
      </c>
      <c r="I585" s="80">
        <f t="shared" ref="I585:L585" si="1747">I584+C585</f>
        <v>730</v>
      </c>
      <c r="J585" s="80">
        <f t="shared" si="1747"/>
        <v>-2518</v>
      </c>
      <c r="K585" s="80">
        <f t="shared" si="1747"/>
        <v>1384</v>
      </c>
      <c r="L585" s="80">
        <f t="shared" si="1747"/>
        <v>404</v>
      </c>
      <c r="N585" s="80">
        <f t="shared" si="25"/>
        <v>26</v>
      </c>
      <c r="O585" s="80">
        <f t="shared" ref="O585:R585" si="1748">O584+I578</f>
        <v>239050</v>
      </c>
      <c r="P585" s="80">
        <f t="shared" si="1748"/>
        <v>-607002</v>
      </c>
      <c r="Q585" s="80">
        <f t="shared" si="1748"/>
        <v>238604</v>
      </c>
      <c r="R585" s="80">
        <f t="shared" si="1748"/>
        <v>129348</v>
      </c>
      <c r="T585" s="80">
        <v>22.0</v>
      </c>
      <c r="U585" s="80">
        <f t="shared" ref="U585:X585" si="1749">U584+C578</f>
        <v>468</v>
      </c>
      <c r="V585" s="80">
        <f t="shared" si="1749"/>
        <v>-3376</v>
      </c>
      <c r="W585" s="80">
        <f t="shared" si="1749"/>
        <v>3138</v>
      </c>
      <c r="X585" s="80">
        <f t="shared" si="1749"/>
        <v>-334</v>
      </c>
      <c r="Z585" s="80">
        <v>22.0</v>
      </c>
      <c r="AA585" s="10">
        <v>45199.0</v>
      </c>
      <c r="AB585" s="80">
        <v>630.0</v>
      </c>
      <c r="AC585" s="80">
        <v>-3082.0</v>
      </c>
      <c r="AD585" s="80">
        <v>2488.0</v>
      </c>
      <c r="AE585" s="80">
        <v>-140.0</v>
      </c>
    </row>
    <row r="586">
      <c r="A586" s="28">
        <f>'SAMLET_alle regnskab'!B595</f>
        <v>28</v>
      </c>
      <c r="B586" s="80">
        <f>'SAMLET_alle regnskab'!A595</f>
        <v>26</v>
      </c>
      <c r="C586" s="28">
        <f>'SAMLET_alle regnskab'!U595</f>
        <v>-8</v>
      </c>
      <c r="D586" s="28">
        <f>'SAMLET_alle regnskab'!V595</f>
        <v>8</v>
      </c>
      <c r="E586" s="28">
        <f>'SAMLET_alle regnskab'!W595</f>
        <v>-8</v>
      </c>
      <c r="F586" s="28">
        <f>'SAMLET_alle regnskab'!X595</f>
        <v>8</v>
      </c>
      <c r="H586" s="80">
        <f t="shared" si="7"/>
        <v>26</v>
      </c>
      <c r="I586" s="80">
        <f t="shared" ref="I586:L586" si="1750">I585+C586</f>
        <v>722</v>
      </c>
      <c r="J586" s="80">
        <f t="shared" si="1750"/>
        <v>-2510</v>
      </c>
      <c r="K586" s="80">
        <f t="shared" si="1750"/>
        <v>1376</v>
      </c>
      <c r="L586" s="80">
        <f t="shared" si="1750"/>
        <v>412</v>
      </c>
      <c r="N586" s="80">
        <f t="shared" si="25"/>
        <v>26</v>
      </c>
      <c r="O586" s="80">
        <f t="shared" ref="O586:R586" si="1751">O585+I579</f>
        <v>239724</v>
      </c>
      <c r="P586" s="80">
        <f t="shared" si="1751"/>
        <v>-609464</v>
      </c>
      <c r="Q586" s="80">
        <f t="shared" si="1751"/>
        <v>239980</v>
      </c>
      <c r="R586" s="80">
        <f t="shared" si="1751"/>
        <v>129760</v>
      </c>
      <c r="T586" s="80">
        <v>22.0</v>
      </c>
      <c r="U586" s="80">
        <f t="shared" ref="U586:X586" si="1752">U585+C579</f>
        <v>516</v>
      </c>
      <c r="V586" s="80">
        <f t="shared" si="1752"/>
        <v>-3424</v>
      </c>
      <c r="W586" s="80">
        <f t="shared" si="1752"/>
        <v>3090</v>
      </c>
      <c r="X586" s="80">
        <f t="shared" si="1752"/>
        <v>-286</v>
      </c>
      <c r="Z586" s="80">
        <v>22.0</v>
      </c>
      <c r="AA586" s="10">
        <v>45199.0</v>
      </c>
      <c r="AB586" s="80">
        <v>630.0</v>
      </c>
      <c r="AC586" s="80">
        <v>-3082.0</v>
      </c>
      <c r="AD586" s="80">
        <v>2488.0</v>
      </c>
      <c r="AE586" s="80">
        <v>-140.0</v>
      </c>
    </row>
    <row r="587">
      <c r="A587" s="28">
        <f>'SAMLET_alle regnskab'!B596</f>
        <v>29</v>
      </c>
      <c r="B587" s="80">
        <f>'SAMLET_alle regnskab'!A596</f>
        <v>26</v>
      </c>
      <c r="C587" s="28">
        <f>'SAMLET_alle regnskab'!U596</f>
        <v>56</v>
      </c>
      <c r="D587" s="28">
        <f>'SAMLET_alle regnskab'!V596</f>
        <v>-56</v>
      </c>
      <c r="E587" s="28">
        <f>'SAMLET_alle regnskab'!W596</f>
        <v>-56</v>
      </c>
      <c r="F587" s="28">
        <f>'SAMLET_alle regnskab'!X596</f>
        <v>56</v>
      </c>
      <c r="H587" s="80">
        <f t="shared" si="7"/>
        <v>26</v>
      </c>
      <c r="I587" s="80">
        <f t="shared" ref="I587:L587" si="1753">I586+C587</f>
        <v>778</v>
      </c>
      <c r="J587" s="80">
        <f t="shared" si="1753"/>
        <v>-2566</v>
      </c>
      <c r="K587" s="80">
        <f t="shared" si="1753"/>
        <v>1320</v>
      </c>
      <c r="L587" s="80">
        <f t="shared" si="1753"/>
        <v>468</v>
      </c>
      <c r="N587" s="80">
        <f t="shared" si="25"/>
        <v>26</v>
      </c>
      <c r="O587" s="80">
        <f t="shared" ref="O587:R587" si="1754">O586+I580</f>
        <v>240422</v>
      </c>
      <c r="P587" s="80">
        <f t="shared" si="1754"/>
        <v>-611934</v>
      </c>
      <c r="Q587" s="80">
        <f t="shared" si="1754"/>
        <v>241348</v>
      </c>
      <c r="R587" s="80">
        <f t="shared" si="1754"/>
        <v>130164</v>
      </c>
      <c r="T587" s="80">
        <v>22.0</v>
      </c>
      <c r="U587" s="80">
        <f t="shared" ref="U587:X587" si="1755">U586+C580</f>
        <v>540</v>
      </c>
      <c r="V587" s="80">
        <f t="shared" si="1755"/>
        <v>-3432</v>
      </c>
      <c r="W587" s="80">
        <f t="shared" si="1755"/>
        <v>3082</v>
      </c>
      <c r="X587" s="80">
        <f t="shared" si="1755"/>
        <v>-294</v>
      </c>
      <c r="Z587" s="80">
        <v>22.0</v>
      </c>
      <c r="AA587" s="10">
        <v>45199.0</v>
      </c>
      <c r="AB587" s="80">
        <v>630.0</v>
      </c>
      <c r="AC587" s="80">
        <v>-3082.0</v>
      </c>
      <c r="AD587" s="80">
        <v>2488.0</v>
      </c>
      <c r="AE587" s="80">
        <v>-140.0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5.25"/>
    <col customWidth="1" min="2" max="2" width="4.5"/>
    <col customWidth="1" min="3" max="3" width="18.88"/>
    <col customWidth="1" min="4" max="24" width="7.13"/>
    <col customWidth="1" min="26" max="26" width="3.63"/>
    <col customWidth="1" min="27" max="27" width="13.13"/>
    <col customWidth="1" min="28" max="28" width="5.75"/>
    <col customWidth="1" min="29" max="29" width="6.13"/>
    <col customWidth="1" min="30" max="30" width="8.75"/>
    <col customWidth="1" min="31" max="31" width="4.63"/>
    <col customWidth="1" min="32" max="32" width="4.75"/>
    <col customWidth="1" min="33" max="33" width="6.0"/>
    <col customWidth="1" min="34" max="34" width="3.63"/>
    <col customWidth="1" min="35" max="35" width="5.0"/>
    <col customWidth="1" min="36" max="36" width="5.75"/>
  </cols>
  <sheetData>
    <row r="1">
      <c r="B1" s="25">
        <v>4.0</v>
      </c>
      <c r="C1" s="120">
        <f>IFERROR(__xludf.DUMMYFUNCTION("MAX(FILTER(ROW('SAMLET_alle regnskab'!A:A), ISNUMBER('SAMLET_alle regnskab'!A:A)))"),596.0)</f>
        <v>596</v>
      </c>
      <c r="D1" s="121" t="s">
        <v>104</v>
      </c>
      <c r="E1" s="121" t="s">
        <v>105</v>
      </c>
      <c r="F1" s="121" t="s">
        <v>106</v>
      </c>
      <c r="G1" s="121" t="s">
        <v>107</v>
      </c>
      <c r="H1" s="121"/>
      <c r="I1" s="121"/>
      <c r="J1" s="121"/>
      <c r="K1" s="121"/>
      <c r="L1" s="121"/>
      <c r="M1" s="121"/>
      <c r="N1" s="121"/>
      <c r="O1" s="121"/>
      <c r="P1" s="121"/>
      <c r="Q1" s="121"/>
      <c r="R1" s="121"/>
      <c r="S1" s="121"/>
      <c r="T1" s="121"/>
      <c r="U1" s="121"/>
      <c r="V1" s="121"/>
      <c r="W1" s="121"/>
      <c r="X1" s="121"/>
      <c r="Z1" s="56"/>
    </row>
    <row r="2">
      <c r="B2" s="25">
        <v>225.0</v>
      </c>
      <c r="C2" s="122">
        <v>596.0</v>
      </c>
      <c r="D2" s="25" t="s">
        <v>7</v>
      </c>
      <c r="E2" s="25" t="s">
        <v>8</v>
      </c>
      <c r="F2" s="25" t="s">
        <v>9</v>
      </c>
      <c r="G2" s="25" t="s">
        <v>10</v>
      </c>
      <c r="H2" s="25"/>
      <c r="I2" s="25" t="str">
        <f t="shared" ref="I2:L2" si="1">D2</f>
        <v>Thomas</v>
      </c>
      <c r="J2" s="25" t="str">
        <f t="shared" si="1"/>
        <v>Peter</v>
      </c>
      <c r="K2" s="25" t="str">
        <f t="shared" si="1"/>
        <v>Janus</v>
      </c>
      <c r="L2" s="25" t="str">
        <f t="shared" si="1"/>
        <v>Christian</v>
      </c>
      <c r="M2" s="25"/>
      <c r="N2" s="25" t="str">
        <f t="shared" ref="N2:Q2" si="2">D2</f>
        <v>Thomas</v>
      </c>
      <c r="O2" s="25" t="str">
        <f t="shared" si="2"/>
        <v>Peter</v>
      </c>
      <c r="P2" s="25" t="str">
        <f t="shared" si="2"/>
        <v>Janus</v>
      </c>
      <c r="Q2" s="25" t="str">
        <f t="shared" si="2"/>
        <v>Christian</v>
      </c>
      <c r="R2" s="25"/>
      <c r="S2" s="25" t="str">
        <f t="shared" ref="S2:V2" si="3">D2</f>
        <v>Thomas</v>
      </c>
      <c r="T2" s="25" t="str">
        <f t="shared" si="3"/>
        <v>Peter</v>
      </c>
      <c r="U2" s="25" t="str">
        <f t="shared" si="3"/>
        <v>Janus</v>
      </c>
      <c r="V2" s="25" t="str">
        <f t="shared" si="3"/>
        <v>Christian</v>
      </c>
      <c r="W2" s="25"/>
      <c r="X2" s="25"/>
      <c r="Z2" s="56"/>
      <c r="AA2" s="25"/>
      <c r="AB2" s="25" t="s">
        <v>108</v>
      </c>
      <c r="AF2" s="25" t="s">
        <v>109</v>
      </c>
      <c r="AI2" s="25" t="s">
        <v>110</v>
      </c>
      <c r="AJ2" s="25"/>
    </row>
    <row r="3">
      <c r="A3" s="25" t="s">
        <v>108</v>
      </c>
      <c r="Z3" s="56"/>
    </row>
    <row r="4">
      <c r="B4" s="25" t="s">
        <v>111</v>
      </c>
      <c r="C4" s="25"/>
      <c r="Z4" s="56"/>
    </row>
    <row r="5">
      <c r="B5" s="25"/>
      <c r="C5" s="25" t="s">
        <v>112</v>
      </c>
      <c r="D5" s="28">
        <f t="array" ref="D5">MAX(INDIRECT("'SAMLET_alle regnskab'!U4:U" &amp; $C$2))</f>
        <v>144</v>
      </c>
      <c r="E5" s="28">
        <f t="array" ref="E5">MAX(INDIRECT("'SAMLET_alle regnskab'!V4:V" &amp; $C$2))</f>
        <v>160</v>
      </c>
      <c r="F5" s="28">
        <f t="array" ref="F5">MAX(INDIRECT("'SAMLET_alle regnskab'!W4:W" &amp; $C$2))</f>
        <v>256</v>
      </c>
      <c r="G5" s="28">
        <f t="array" ref="G5">MAX(INDIRECT("'SAMLET_alle regnskab'!X4:X" &amp; $C$2))</f>
        <v>256</v>
      </c>
      <c r="Z5" s="56"/>
    </row>
    <row r="6">
      <c r="B6" s="25"/>
      <c r="C6" s="25" t="s">
        <v>113</v>
      </c>
      <c r="D6" s="28">
        <f t="array" ref="D6">MIN(INDIRECT("'SAMLET_alle regnskab'!U4:U" &amp; $C$2))</f>
        <v>-256</v>
      </c>
      <c r="E6" s="28">
        <f t="array" ref="E6">MIN(INDIRECT("'SAMLET_alle regnskab'!V4:V" &amp; $C$2))</f>
        <v>-256</v>
      </c>
      <c r="F6" s="28">
        <f t="array" ref="F6">MIN(INDIRECT("'SAMLET_alle regnskab'!W4:W" &amp; $C$2))</f>
        <v>-160</v>
      </c>
      <c r="G6" s="28">
        <f t="array" ref="G6">MIN(INDIRECT("'SAMLET_alle regnskab'!X4:X" &amp; $C$2))</f>
        <v>-160</v>
      </c>
      <c r="Z6" s="56"/>
    </row>
    <row r="7">
      <c r="B7" s="25"/>
      <c r="C7" s="25" t="s">
        <v>114</v>
      </c>
      <c r="D7" s="123">
        <f t="array" ref="D7">AVERAGE(INDIRECT("'SAMLET_alle regnskab'!U4:U" &amp; $C$2))</f>
        <v>1.327645051</v>
      </c>
      <c r="E7" s="123">
        <f t="array" ref="E7">AVERAGE(INDIRECT("'SAMLET_alle regnskab'!V4:V" &amp; $C$2))</f>
        <v>-4.37883959</v>
      </c>
      <c r="F7" s="123">
        <f t="array" ref="F7">AVERAGE(INDIRECT("'SAMLET_alle regnskab'!W4:W" &amp; $C$2))</f>
        <v>2.252559727</v>
      </c>
      <c r="G7" s="123">
        <f t="array" ref="G7">AVERAGE(INDIRECT("'SAMLET_alle regnskab'!X4:X" &amp; $C$2))</f>
        <v>0.7986348123</v>
      </c>
      <c r="H7" s="123"/>
      <c r="I7" s="123"/>
      <c r="J7" s="123"/>
      <c r="K7" s="123"/>
      <c r="L7" s="123"/>
      <c r="M7" s="123"/>
      <c r="N7" s="123"/>
      <c r="O7" s="123"/>
      <c r="P7" s="123"/>
      <c r="Q7" s="123"/>
      <c r="R7" s="123"/>
      <c r="S7" s="123"/>
      <c r="T7" s="123"/>
      <c r="U7" s="123"/>
      <c r="V7" s="123"/>
      <c r="W7" s="123"/>
      <c r="X7" s="123"/>
      <c r="Z7" s="56"/>
    </row>
    <row r="8">
      <c r="Z8" s="56"/>
    </row>
    <row r="9">
      <c r="A9" s="25" t="s">
        <v>111</v>
      </c>
      <c r="Z9" s="56"/>
    </row>
    <row r="10">
      <c r="B10" s="124">
        <f>COUNTA('SAMLET_alle regnskab'!B4:B115)</f>
        <v>586</v>
      </c>
      <c r="C10" s="25" t="s">
        <v>115</v>
      </c>
      <c r="Z10" s="56"/>
    </row>
    <row r="11">
      <c r="B11" s="46">
        <f>COUNTA('SAMLET_alle regnskab'!N4:N115)</f>
        <v>558</v>
      </c>
      <c r="C11" s="25" t="s">
        <v>116</v>
      </c>
      <c r="Z11" s="56"/>
    </row>
    <row r="12">
      <c r="B12" s="56">
        <f>SUM(AB30:AB32)</f>
        <v>167</v>
      </c>
      <c r="C12" s="25" t="s">
        <v>117</v>
      </c>
      <c r="Z12" s="56"/>
    </row>
    <row r="13">
      <c r="B13" s="46">
        <f>sum(AB33:AB37)</f>
        <v>391</v>
      </c>
      <c r="C13" s="25" t="s">
        <v>118</v>
      </c>
      <c r="Z13" s="56"/>
    </row>
    <row r="14">
      <c r="A14" s="82">
        <f>countif('SAMLET_alle regnskab'!$N$4:$N115,"")</f>
        <v>35</v>
      </c>
      <c r="B14" s="122" t="s">
        <v>119</v>
      </c>
      <c r="C14" s="25" t="s">
        <v>120</v>
      </c>
      <c r="Z14" s="56"/>
    </row>
    <row r="15">
      <c r="Z15" s="56"/>
    </row>
    <row r="16">
      <c r="B16" s="125"/>
      <c r="C16" s="125"/>
      <c r="Z16" s="56"/>
    </row>
    <row r="17">
      <c r="B17" s="125"/>
      <c r="C17" s="125" t="s">
        <v>121</v>
      </c>
      <c r="D17" s="126">
        <f t="array" ref="D17">COUNTIF(INDIRECT("'SAMLET_alle regnskab'!U$4:U" &amp; $C$2), "&gt;0")</f>
        <v>321</v>
      </c>
      <c r="E17" s="28">
        <f t="array" ref="E17">COUNTIF(INDIRECT("'SAMLET_alle regnskab'!V$4:V" &amp; $C$2), "&gt;0")</f>
        <v>251</v>
      </c>
      <c r="F17" s="28">
        <f t="array" ref="F17">COUNTIF(INDIRECT("'SAMLET_alle regnskab'!W$4:W" &amp; $C$2), "&gt;0")</f>
        <v>290</v>
      </c>
      <c r="G17" s="25">
        <f t="array" ref="G17">COUNTIF(INDIRECT("'SAMLET_alle regnskab'!X$4:X" &amp; $C$2), "&gt;0")</f>
        <v>291</v>
      </c>
      <c r="I17" s="28" t="str">
        <f>countif('SAMLET_alle regnskab'!AK11:AK(indirect: C &amp; 596);I2)</f>
        <v>#ERROR!</v>
      </c>
      <c r="J17" s="28">
        <f>countif('SAMLET_alle regnskab'!AL11:AL596,J2)</f>
        <v>251</v>
      </c>
      <c r="K17" s="28">
        <f>countif('SAMLET_alle regnskab'!AM11:AM596,K2)</f>
        <v>290</v>
      </c>
      <c r="L17" s="28">
        <f>countif('SAMLET_alle regnskab'!AN11:AN596,L2)</f>
        <v>291</v>
      </c>
      <c r="Z17" s="56"/>
    </row>
    <row r="18">
      <c r="B18" s="127"/>
      <c r="C18" s="127" t="s">
        <v>122</v>
      </c>
      <c r="D18" s="128">
        <f t="shared" ref="D18:G18" si="4">D17/$B$10</f>
        <v>0.54778157</v>
      </c>
      <c r="E18" s="128">
        <f t="shared" si="4"/>
        <v>0.4283276451</v>
      </c>
      <c r="F18" s="128">
        <f t="shared" si="4"/>
        <v>0.4948805461</v>
      </c>
      <c r="G18" s="128">
        <f t="shared" si="4"/>
        <v>0.4965870307</v>
      </c>
      <c r="H18" s="128"/>
      <c r="I18" s="128"/>
      <c r="J18" s="128"/>
      <c r="K18" s="128"/>
      <c r="L18" s="128"/>
      <c r="M18" s="128"/>
      <c r="N18" s="128"/>
      <c r="O18" s="128"/>
      <c r="P18" s="128"/>
      <c r="Q18" s="128"/>
      <c r="R18" s="128"/>
      <c r="S18" s="128"/>
      <c r="T18" s="128"/>
      <c r="U18" s="128"/>
      <c r="V18" s="128"/>
      <c r="W18" s="128"/>
      <c r="X18" s="128"/>
      <c r="Z18" s="56"/>
    </row>
    <row r="19">
      <c r="B19" s="129"/>
      <c r="C19" s="129" t="s">
        <v>123</v>
      </c>
      <c r="D19" s="28">
        <f t="array" ref="D19">COUNTIF(INDIRECT("'SAMLET_alle regnskab'!U$4:U$" &amp; $C$2), "&lt;-1")</f>
        <v>259</v>
      </c>
      <c r="E19" s="28">
        <f t="array" ref="E19">COUNTIF(INDIRECT("'SAMLET_alle regnskab'!V$4:V$" &amp; $C$2), "&lt;-1")</f>
        <v>330</v>
      </c>
      <c r="F19" s="28">
        <f t="array" ref="F19">COUNTIF(INDIRECT("'SAMLET_alle regnskab'!W$4:W$" &amp; $C$2), "&lt;-1")</f>
        <v>291</v>
      </c>
      <c r="G19" s="28">
        <f t="array" ref="G19">COUNTIF(INDIRECT("'SAMLET_alle regnskab'!X$4:X$" &amp; $C$2), "&lt;-1")</f>
        <v>291</v>
      </c>
      <c r="Z19" s="56"/>
    </row>
    <row r="20">
      <c r="A20" s="25"/>
      <c r="B20" s="59"/>
      <c r="C20" s="59" t="s">
        <v>122</v>
      </c>
      <c r="D20" s="128">
        <f t="shared" ref="D20:G20" si="5">D19/$B$10</f>
        <v>0.4419795222</v>
      </c>
      <c r="E20" s="128">
        <f t="shared" si="5"/>
        <v>0.5631399317</v>
      </c>
      <c r="F20" s="128">
        <f t="shared" si="5"/>
        <v>0.4965870307</v>
      </c>
      <c r="G20" s="128">
        <f t="shared" si="5"/>
        <v>0.4965870307</v>
      </c>
      <c r="H20" s="128"/>
      <c r="I20" s="128"/>
      <c r="J20" s="128"/>
      <c r="K20" s="128"/>
      <c r="L20" s="128"/>
      <c r="M20" s="128"/>
      <c r="N20" s="128"/>
      <c r="O20" s="128"/>
      <c r="P20" s="128"/>
      <c r="Q20" s="128"/>
      <c r="R20" s="128"/>
      <c r="S20" s="128"/>
      <c r="T20" s="128"/>
      <c r="U20" s="128"/>
      <c r="V20" s="128"/>
      <c r="W20" s="128"/>
      <c r="X20" s="128"/>
      <c r="Z20" s="56"/>
    </row>
    <row r="21">
      <c r="A21" s="25"/>
      <c r="B21" s="130"/>
      <c r="Z21" s="56"/>
    </row>
    <row r="22">
      <c r="A22" s="25"/>
      <c r="B22" s="130" t="s">
        <v>66</v>
      </c>
      <c r="Z22" s="56"/>
    </row>
    <row r="23">
      <c r="A23" s="25"/>
      <c r="B23" s="25"/>
      <c r="C23" s="25" t="s">
        <v>124</v>
      </c>
      <c r="D23" s="28">
        <f t="array" ref="D23">MAXIFS(INDIRECT("'SAMLET_alle regnskab'!U$4:U$" &amp; $C$2), INDIRECT("'SAMLET_alle regnskab'!$H$4:$H$" &amp; $C$2), D2)
</f>
        <v>144</v>
      </c>
      <c r="E23" s="28">
        <f t="array" ref="E23">MAXIFS(INDIRECT("'SAMLET_alle regnskab'!V$4:V$" &amp; $C$2), INDIRECT("'SAMLET_alle regnskab'!$H$4:$H$" &amp; $C$2), E2)
</f>
        <v>96</v>
      </c>
      <c r="F23" s="28">
        <f t="array" ref="F23">MAXIFS(INDIRECT("'SAMLET_alle regnskab'!W$4:W$" &amp; $C$2), INDIRECT("'SAMLET_alle regnskab'!$H$4:$H$" &amp; $C$2), F2)
</f>
        <v>192</v>
      </c>
      <c r="G23" s="28">
        <f t="array" ref="G23">MAXIFS(INDIRECT("'SAMLET_alle regnskab'!X$4:X$" &amp; $C$2), INDIRECT("'SAMLET_alle regnskab'!$H$4:$H$" &amp; $C$2), G2)
</f>
        <v>80</v>
      </c>
      <c r="Z23" s="56"/>
    </row>
    <row r="24">
      <c r="A24" s="25"/>
      <c r="B24" s="25"/>
      <c r="C24" s="25" t="s">
        <v>125</v>
      </c>
      <c r="D24" s="28">
        <f>MINIFS('SAMLET_alle regnskab'!U$4:U$596,'SAMLET_alle regnskab'!$H$4:$H$596, D2)</f>
        <v>-256</v>
      </c>
      <c r="E24" s="28">
        <f>MINIFS('SAMLET_alle regnskab'!V$4:V$596,'SAMLET_alle regnskab'!$H$4:$H$596, E2)</f>
        <v>-144</v>
      </c>
      <c r="F24" s="28">
        <f>MINIFS('SAMLET_alle regnskab'!W$4:W$596,'SAMLET_alle regnskab'!$H$4:$H$596, F2)</f>
        <v>-96</v>
      </c>
      <c r="G24" s="28">
        <f>MINIFS('SAMLET_alle regnskab'!X$4:X$596,'SAMLET_alle regnskab'!$H$4:$H$596, G2)</f>
        <v>-72</v>
      </c>
      <c r="Z24" s="56"/>
    </row>
    <row r="25">
      <c r="Z25" s="56"/>
    </row>
    <row r="26">
      <c r="A26" s="25" t="s">
        <v>126</v>
      </c>
      <c r="Z26" s="56"/>
    </row>
    <row r="27">
      <c r="B27" s="130"/>
      <c r="C27" s="130" t="s">
        <v>127</v>
      </c>
      <c r="D27" s="28">
        <f t="shared" ref="D27:G27" si="6">COUNTIF(INDIRECT("'SAMLET_alle regnskab'!$H$4:$H$" &amp; $C$2), D$2)</f>
        <v>232</v>
      </c>
      <c r="E27" s="28">
        <f t="shared" si="6"/>
        <v>130</v>
      </c>
      <c r="F27" s="28">
        <f t="shared" si="6"/>
        <v>73</v>
      </c>
      <c r="G27" s="28">
        <f t="shared" si="6"/>
        <v>109</v>
      </c>
      <c r="Z27" s="56"/>
      <c r="AF27" s="25" t="s">
        <v>128</v>
      </c>
    </row>
    <row r="28">
      <c r="J28" s="25" t="s">
        <v>129</v>
      </c>
      <c r="K28" s="25" t="s">
        <v>130</v>
      </c>
      <c r="L28" s="25" t="s">
        <v>15</v>
      </c>
      <c r="N28" s="25" t="s">
        <v>131</v>
      </c>
      <c r="O28" s="25" t="s">
        <v>129</v>
      </c>
      <c r="P28" s="25" t="s">
        <v>130</v>
      </c>
      <c r="Q28" s="25" t="s">
        <v>15</v>
      </c>
      <c r="S28" s="122" t="s">
        <v>132</v>
      </c>
      <c r="T28" s="82"/>
      <c r="U28" s="82"/>
      <c r="V28" s="82"/>
      <c r="Z28" s="56"/>
    </row>
    <row r="29">
      <c r="B29" s="25" t="s">
        <v>133</v>
      </c>
      <c r="D29" s="46" t="s">
        <v>134</v>
      </c>
      <c r="E29" s="56"/>
      <c r="F29" s="56"/>
      <c r="G29" s="56"/>
      <c r="H29" s="56"/>
      <c r="I29" s="46" t="s">
        <v>135</v>
      </c>
      <c r="J29" s="56"/>
      <c r="K29" s="56"/>
      <c r="L29" s="56"/>
      <c r="M29" s="56"/>
      <c r="N29" s="46" t="s">
        <v>136</v>
      </c>
      <c r="O29" s="56"/>
      <c r="P29" s="56"/>
      <c r="Q29" s="56"/>
      <c r="R29" s="56"/>
      <c r="S29" s="46" t="s">
        <v>137</v>
      </c>
      <c r="T29" s="56"/>
      <c r="U29" s="56"/>
      <c r="V29" s="56"/>
      <c r="W29" s="56"/>
      <c r="X29" s="56"/>
      <c r="Z29" s="56"/>
      <c r="AA29" s="25"/>
      <c r="AB29" s="25" t="s">
        <v>138</v>
      </c>
      <c r="AC29" s="59" t="s">
        <v>122</v>
      </c>
      <c r="AF29" s="25" t="s">
        <v>138</v>
      </c>
      <c r="AG29" s="59" t="s">
        <v>122</v>
      </c>
      <c r="AI29" s="25" t="s">
        <v>138</v>
      </c>
      <c r="AJ29" s="59" t="s">
        <v>122</v>
      </c>
    </row>
    <row r="30">
      <c r="C30" s="129" t="s">
        <v>139</v>
      </c>
      <c r="D30" s="28">
        <f t="shared" ref="D30:G30" si="7">COUNTIFS(INDIRECT("'SAMLET_alle regnskab'!$N$4:$N$" &amp; $C$2), $C30, INDIRECT("'SAMLET_alle regnskab'!$H$4:$H$" &amp; $C$2), D$2)
</f>
        <v>13</v>
      </c>
      <c r="E30" s="28">
        <f t="shared" si="7"/>
        <v>15</v>
      </c>
      <c r="F30" s="28">
        <f t="shared" si="7"/>
        <v>12</v>
      </c>
      <c r="G30" s="28">
        <f t="shared" si="7"/>
        <v>20</v>
      </c>
      <c r="I30" s="28">
        <f t="shared" ref="I30:I37" si="10">COUNTIFS(INDIRECT("'SAMLET_alle regnskab'!$N$4:$N$" &amp; $C$2), $C30, INDIRECT("'SAMLET_alle regnskab'!$H$4:$H$" &amp; $C$2), I$2, INDIRECT("'SAMLET_alle regnskab'!U$4:U$" &amp; $C$2), "&gt;0")
</f>
        <v>10</v>
      </c>
      <c r="J30" s="28">
        <f t="shared" ref="J30:J37" si="11">COUNTIFS(INDIRECT("'SAMLET_alle regnskab'!$N$4:$N$" &amp; $C$2), $C30, INDIRECT("'SAMLET_alle regnskab'!$H$4:$H$" &amp; $C$2), J$2, INDIRECT("'SAMLET_alle regnskab'!V$4:V$" &amp; $C$2), "&gt;0")
</f>
        <v>10</v>
      </c>
      <c r="K30" s="28">
        <f t="shared" ref="K30:K37" si="12">COUNTIFS(INDIRECT("'SAMLET_alle regnskab'!$N$4:$N$" &amp; $C$2), $C30, INDIRECT("'SAMLET_alle regnskab'!$H$4:$H$" &amp; $C$2), K$2, INDIRECT("'SAMLET_alle regnskab'!W$4:W$" &amp; $C$2), "&gt;0")
</f>
        <v>10</v>
      </c>
      <c r="L30" s="28">
        <f t="shared" ref="L30:L37" si="13">COUNTIFS(INDIRECT("'SAMLET_alle regnskab'!$N$4:$N$" &amp; $C$2), $C30, INDIRECT("'SAMLET_alle regnskab'!$H$4:$H$" &amp; $C$2), L$2, INDIRECT("'SAMLET_alle regnskab'!X$4:X$" &amp; $C$2), "&gt;0")
</f>
        <v>15</v>
      </c>
      <c r="N30" s="28">
        <f t="shared" ref="N30:N37" si="14">COUNTIFS(INDIRECT("'SAMLET_alle regnskab'!$N$4:$N$" &amp; $C$2), $C30, INDIRECT("'SAMLET_alle regnskab'!$H$4:$H$" &amp; $C$2), I$2, INDIRECT("'SAMLET_alle regnskab'!U$4:U$" &amp; $C$2), "&lt;0")
</f>
        <v>3</v>
      </c>
      <c r="O30" s="28">
        <f t="shared" ref="O30:O37" si="15">COUNTIFS(INDIRECT("'SAMLET_alle regnskab'!$N$4:$N$" &amp; $C$2), $C30, INDIRECT("'SAMLET_alle regnskab'!$H$4:$H$" &amp; $C$2), J$2, INDIRECT("'SAMLET_alle regnskab'!V$4:V$" &amp; $C$2), "&lt;0")
</f>
        <v>5</v>
      </c>
      <c r="P30" s="28">
        <f t="shared" ref="P30:P37" si="16">COUNTIFS(INDIRECT("'SAMLET_alle regnskab'!$N$4:$N$" &amp; $C$2), $C30, INDIRECT("'SAMLET_alle regnskab'!$H$4:$H$" &amp; $C$2), K$2, INDIRECT("'SAMLET_alle regnskab'!W$4:W$" &amp; $C$2), "&lt;0")
</f>
        <v>2</v>
      </c>
      <c r="Q30" s="28">
        <f t="shared" ref="Q30:Q37" si="17">COUNTIFS(INDIRECT("'SAMLET_alle regnskab'!$N$4:$N$" &amp; $C$2), $C30, INDIRECT("'SAMLET_alle regnskab'!$H$4:$H$" &amp; $C$2), L$2, INDIRECT("'SAMLET_alle regnskab'!X$4:X$" &amp; $C$2), "&lt;0")
</f>
        <v>5</v>
      </c>
      <c r="S30" s="128">
        <f t="shared" ref="S30:V30" si="8">I30/D30</f>
        <v>0.7692307692</v>
      </c>
      <c r="T30" s="128">
        <f t="shared" si="8"/>
        <v>0.6666666667</v>
      </c>
      <c r="U30" s="128">
        <f t="shared" si="8"/>
        <v>0.8333333333</v>
      </c>
      <c r="V30" s="128">
        <f t="shared" si="8"/>
        <v>0.75</v>
      </c>
      <c r="Z30" s="56"/>
      <c r="AA30" s="120" t="str">
        <f t="shared" ref="AA30:AA38" si="19">C30</f>
        <v>sol</v>
      </c>
      <c r="AB30" s="28">
        <f t="shared" ref="AB30:AB37" si="20">COUNTIF(INDIRECT("'SAMLET_alle regnskab'!$N$4:$N$" &amp; $C$2), C30)</f>
        <v>71</v>
      </c>
      <c r="AC30" s="128">
        <f t="shared" ref="AC30:AC37" si="21">AB30/$B$10</f>
        <v>0.1211604096</v>
      </c>
      <c r="AF30" s="28">
        <f t="shared" ref="AF30:AF32" si="22">COUNTIFS(INDIRECT("'SAMLET_alle regnskab'!$N$4:$N$" &amp; $C$2), C30, INDIRECT("'SAMLET_alle regnskab'!$AO$4:$AO$" &amp; $C$2), "=1")
</f>
        <v>51</v>
      </c>
      <c r="AG30" s="128">
        <f t="shared" ref="AG30:AG37" si="23">SUM(AF30/AB30)</f>
        <v>0.7183098592</v>
      </c>
      <c r="AI30" s="28">
        <f t="shared" ref="AI30:AI32" si="24">COUNTIFS(INDIRECT("'SAMLET_alle regnskab'!$N$4:$N$" &amp; $C$2), C30, INDIRECT("'SAMLET_alle regnskab'!$AW$4:$AW$" &amp; $C$2), "=1")
</f>
        <v>15</v>
      </c>
      <c r="AJ30" s="128">
        <f t="shared" ref="AJ30:AJ37" si="25">SUM(AI30/AB30)</f>
        <v>0.2112676056</v>
      </c>
    </row>
    <row r="31">
      <c r="C31" s="129" t="s">
        <v>140</v>
      </c>
      <c r="D31" s="28">
        <f t="shared" ref="D31:G31" si="9">COUNTIFS(INDIRECT("'SAMLET_alle regnskab'!$N$4:$N$" &amp; $C$2), $C31, INDIRECT("'SAMLET_alle regnskab'!$H$4:$H$" &amp; $C$2), D$2)
</f>
        <v>11</v>
      </c>
      <c r="E31" s="28">
        <f t="shared" si="9"/>
        <v>37</v>
      </c>
      <c r="F31" s="28">
        <f t="shared" si="9"/>
        <v>12</v>
      </c>
      <c r="G31" s="28">
        <f t="shared" si="9"/>
        <v>17</v>
      </c>
      <c r="I31" s="28">
        <f t="shared" si="10"/>
        <v>8</v>
      </c>
      <c r="J31" s="28">
        <f t="shared" si="11"/>
        <v>15</v>
      </c>
      <c r="K31" s="28">
        <f t="shared" si="12"/>
        <v>3</v>
      </c>
      <c r="L31" s="28">
        <f t="shared" si="13"/>
        <v>8</v>
      </c>
      <c r="N31" s="28">
        <f t="shared" si="14"/>
        <v>3</v>
      </c>
      <c r="O31" s="28">
        <f t="shared" si="15"/>
        <v>22</v>
      </c>
      <c r="P31" s="28">
        <f t="shared" si="16"/>
        <v>9</v>
      </c>
      <c r="Q31" s="28">
        <f t="shared" si="17"/>
        <v>9</v>
      </c>
      <c r="S31" s="128">
        <f t="shared" ref="S31:V31" si="18">I31/D31</f>
        <v>0.7272727273</v>
      </c>
      <c r="T31" s="128">
        <f t="shared" si="18"/>
        <v>0.4054054054</v>
      </c>
      <c r="U31" s="128">
        <f t="shared" si="18"/>
        <v>0.25</v>
      </c>
      <c r="V31" s="128">
        <f t="shared" si="18"/>
        <v>0.4705882353</v>
      </c>
      <c r="Z31" s="56"/>
      <c r="AA31" s="120" t="str">
        <f t="shared" si="19"/>
        <v>ren sol</v>
      </c>
      <c r="AB31" s="28">
        <f t="shared" si="20"/>
        <v>84</v>
      </c>
      <c r="AC31" s="128">
        <f t="shared" si="21"/>
        <v>0.1433447099</v>
      </c>
      <c r="AF31" s="28">
        <f t="shared" si="22"/>
        <v>39</v>
      </c>
      <c r="AG31" s="128">
        <f t="shared" si="23"/>
        <v>0.4642857143</v>
      </c>
      <c r="AI31" s="28">
        <f t="shared" si="24"/>
        <v>43</v>
      </c>
      <c r="AJ31" s="128">
        <f t="shared" si="25"/>
        <v>0.5119047619</v>
      </c>
    </row>
    <row r="32">
      <c r="C32" s="131" t="s">
        <v>141</v>
      </c>
      <c r="D32" s="28">
        <f t="shared" ref="D32:G32" si="26">COUNTIFS(INDIRECT("'SAMLET_alle regnskab'!$N$4:$N$" &amp; $C$2), $C32, INDIRECT("'SAMLET_alle regnskab'!$H$4:$H$" &amp; $C$2), D$2)
</f>
        <v>1</v>
      </c>
      <c r="E32" s="28">
        <f t="shared" si="26"/>
        <v>7</v>
      </c>
      <c r="F32" s="28">
        <f t="shared" si="26"/>
        <v>2</v>
      </c>
      <c r="G32" s="28">
        <f t="shared" si="26"/>
        <v>2</v>
      </c>
      <c r="I32" s="28">
        <f t="shared" si="10"/>
        <v>1</v>
      </c>
      <c r="J32" s="28">
        <f t="shared" si="11"/>
        <v>4</v>
      </c>
      <c r="K32" s="28">
        <f t="shared" si="12"/>
        <v>2</v>
      </c>
      <c r="L32" s="28">
        <f t="shared" si="13"/>
        <v>0</v>
      </c>
      <c r="N32" s="28">
        <f t="shared" si="14"/>
        <v>0</v>
      </c>
      <c r="O32" s="28">
        <f t="shared" si="15"/>
        <v>3</v>
      </c>
      <c r="P32" s="28">
        <f t="shared" si="16"/>
        <v>0</v>
      </c>
      <c r="Q32" s="28">
        <f t="shared" si="17"/>
        <v>2</v>
      </c>
      <c r="S32" s="128">
        <f t="shared" ref="S32:V32" si="27">I32/D32</f>
        <v>1</v>
      </c>
      <c r="T32" s="128">
        <f t="shared" si="27"/>
        <v>0.5714285714</v>
      </c>
      <c r="U32" s="128">
        <f t="shared" si="27"/>
        <v>1</v>
      </c>
      <c r="V32" s="128">
        <f t="shared" si="27"/>
        <v>0</v>
      </c>
      <c r="Z32" s="56"/>
      <c r="AA32" s="120" t="str">
        <f t="shared" si="19"/>
        <v>halv bordlægger</v>
      </c>
      <c r="AB32" s="28">
        <f t="shared" si="20"/>
        <v>12</v>
      </c>
      <c r="AC32" s="128">
        <f t="shared" si="21"/>
        <v>0.0204778157</v>
      </c>
      <c r="AF32" s="28">
        <f t="shared" si="22"/>
        <v>7</v>
      </c>
      <c r="AG32" s="128">
        <f t="shared" si="23"/>
        <v>0.5833333333</v>
      </c>
      <c r="AI32" s="28">
        <f t="shared" si="24"/>
        <v>5</v>
      </c>
      <c r="AJ32" s="128">
        <f t="shared" si="25"/>
        <v>0.4166666667</v>
      </c>
    </row>
    <row r="33">
      <c r="C33" s="129" t="s">
        <v>142</v>
      </c>
      <c r="D33" s="28">
        <f t="shared" ref="D33:G33" si="28">COUNTIFS(INDIRECT("'SAMLET_alle regnskab'!$N$4:$N$" &amp; $C$2), $C33, INDIRECT("'SAMLET_alle regnskab'!$H$4:$H$" &amp; $C$2), D$2)
</f>
        <v>19</v>
      </c>
      <c r="E33" s="28">
        <f t="shared" si="28"/>
        <v>17</v>
      </c>
      <c r="F33" s="28">
        <f t="shared" si="28"/>
        <v>6</v>
      </c>
      <c r="G33" s="28">
        <f t="shared" si="28"/>
        <v>15</v>
      </c>
      <c r="I33" s="28">
        <f t="shared" si="10"/>
        <v>17</v>
      </c>
      <c r="J33" s="28">
        <f t="shared" si="11"/>
        <v>10</v>
      </c>
      <c r="K33" s="28">
        <f t="shared" si="12"/>
        <v>3</v>
      </c>
      <c r="L33" s="28">
        <f t="shared" si="13"/>
        <v>13</v>
      </c>
      <c r="N33" s="28">
        <f t="shared" si="14"/>
        <v>2</v>
      </c>
      <c r="O33" s="28">
        <f t="shared" si="15"/>
        <v>7</v>
      </c>
      <c r="P33" s="28">
        <f t="shared" si="16"/>
        <v>3</v>
      </c>
      <c r="Q33" s="28">
        <f t="shared" si="17"/>
        <v>2</v>
      </c>
      <c r="S33" s="128">
        <f t="shared" ref="S33:V33" si="29">I33/D33</f>
        <v>0.8947368421</v>
      </c>
      <c r="T33" s="128">
        <f t="shared" si="29"/>
        <v>0.5882352941</v>
      </c>
      <c r="U33" s="128">
        <f t="shared" si="29"/>
        <v>0.5</v>
      </c>
      <c r="V33" s="128">
        <f t="shared" si="29"/>
        <v>0.8666666667</v>
      </c>
      <c r="Z33" s="56"/>
      <c r="AA33" s="120" t="str">
        <f t="shared" si="19"/>
        <v>alm</v>
      </c>
      <c r="AB33" s="28">
        <f t="shared" si="20"/>
        <v>58</v>
      </c>
      <c r="AC33" s="128">
        <f t="shared" si="21"/>
        <v>0.09897610922</v>
      </c>
      <c r="AF33" s="28">
        <f t="shared" ref="AF33:AF37" si="32">COUNTIFS(INDIRECT("'SAMLET_alle regnskab'!$N$4:$N$" &amp; $C$2), C33, INDIRECT("'SAMLET_alle regnskab'!$AO$4:$AO$" &amp; $C$2), "&gt;0")
</f>
        <v>58</v>
      </c>
      <c r="AG33" s="128">
        <f t="shared" si="23"/>
        <v>1</v>
      </c>
      <c r="AI33" s="28">
        <f>countifs('SAMLET_alle regnskab'!$N$4:$N$525,C33,'SAMLET_alle regnskab'!$AH$4:$AH$525,"&lt;1")</f>
        <v>14</v>
      </c>
      <c r="AJ33" s="128">
        <f t="shared" si="25"/>
        <v>0.2413793103</v>
      </c>
    </row>
    <row r="34">
      <c r="C34" s="131" t="s">
        <v>143</v>
      </c>
      <c r="D34" s="28">
        <f t="shared" ref="D34:G34" si="30">COUNTIFS(INDIRECT("'SAMLET_alle regnskab'!$N$4:$N$" &amp; $C$2), $C34, INDIRECT("'SAMLET_alle regnskab'!$H$4:$H$" &amp; $C$2), D$2)
</f>
        <v>1</v>
      </c>
      <c r="E34" s="28">
        <f t="shared" si="30"/>
        <v>9</v>
      </c>
      <c r="F34" s="28">
        <f t="shared" si="30"/>
        <v>1</v>
      </c>
      <c r="G34" s="28">
        <f t="shared" si="30"/>
        <v>3</v>
      </c>
      <c r="I34" s="28">
        <f t="shared" si="10"/>
        <v>1</v>
      </c>
      <c r="J34" s="28">
        <f t="shared" si="11"/>
        <v>6</v>
      </c>
      <c r="K34" s="28">
        <f t="shared" si="12"/>
        <v>1</v>
      </c>
      <c r="L34" s="28">
        <f t="shared" si="13"/>
        <v>2</v>
      </c>
      <c r="N34" s="28">
        <f t="shared" si="14"/>
        <v>0</v>
      </c>
      <c r="O34" s="28">
        <f t="shared" si="15"/>
        <v>3</v>
      </c>
      <c r="P34" s="28">
        <f t="shared" si="16"/>
        <v>0</v>
      </c>
      <c r="Q34" s="28">
        <f t="shared" si="17"/>
        <v>1</v>
      </c>
      <c r="S34" s="128">
        <f t="shared" ref="S34:T34" si="31">I34/D34</f>
        <v>1</v>
      </c>
      <c r="T34" s="128">
        <f t="shared" si="31"/>
        <v>0.6666666667</v>
      </c>
      <c r="U34" s="132">
        <f>IFerror(K34/F34,"---")</f>
        <v>1</v>
      </c>
      <c r="V34" s="128">
        <f>L34/G34</f>
        <v>0.6666666667</v>
      </c>
      <c r="Z34" s="56"/>
      <c r="AA34" s="120" t="str">
        <f t="shared" si="19"/>
        <v>sans</v>
      </c>
      <c r="AB34" s="28">
        <f t="shared" si="20"/>
        <v>14</v>
      </c>
      <c r="AC34" s="128">
        <f t="shared" si="21"/>
        <v>0.02389078498</v>
      </c>
      <c r="AF34" s="28">
        <f t="shared" si="32"/>
        <v>14</v>
      </c>
      <c r="AG34" s="128">
        <f t="shared" si="23"/>
        <v>1</v>
      </c>
      <c r="AI34" s="28">
        <f>countifs('SAMLET_alle regnskab'!$N$4:$N$525,C34,'SAMLET_alle regnskab'!$AH$4:$AH$525,"&lt;1")</f>
        <v>3</v>
      </c>
      <c r="AJ34" s="128">
        <f t="shared" si="25"/>
        <v>0.2142857143</v>
      </c>
    </row>
    <row r="35">
      <c r="C35" s="129" t="s">
        <v>144</v>
      </c>
      <c r="D35" s="28">
        <f t="shared" ref="D35:G35" si="33">COUNTIFS(INDIRECT("'SAMLET_alle regnskab'!$N$4:$N$" &amp; $C$2), $C35, INDIRECT("'SAMLET_alle regnskab'!$H$4:$H$" &amp; $C$2), D$2)
</f>
        <v>33</v>
      </c>
      <c r="E35" s="28">
        <f t="shared" si="33"/>
        <v>16</v>
      </c>
      <c r="F35" s="28">
        <f t="shared" si="33"/>
        <v>23</v>
      </c>
      <c r="G35" s="28">
        <f t="shared" si="33"/>
        <v>28</v>
      </c>
      <c r="I35" s="28">
        <f t="shared" si="10"/>
        <v>16</v>
      </c>
      <c r="J35" s="28">
        <f t="shared" si="11"/>
        <v>6</v>
      </c>
      <c r="K35" s="28">
        <f t="shared" si="12"/>
        <v>11</v>
      </c>
      <c r="L35" s="28">
        <f t="shared" si="13"/>
        <v>17</v>
      </c>
      <c r="N35" s="28">
        <f t="shared" si="14"/>
        <v>16</v>
      </c>
      <c r="O35" s="28">
        <f t="shared" si="15"/>
        <v>10</v>
      </c>
      <c r="P35" s="28">
        <f t="shared" si="16"/>
        <v>12</v>
      </c>
      <c r="Q35" s="28">
        <f t="shared" si="17"/>
        <v>11</v>
      </c>
      <c r="S35" s="128">
        <f t="shared" ref="S35:V35" si="34">I35/D35</f>
        <v>0.4848484848</v>
      </c>
      <c r="T35" s="128">
        <f t="shared" si="34"/>
        <v>0.375</v>
      </c>
      <c r="U35" s="128">
        <f t="shared" si="34"/>
        <v>0.4782608696</v>
      </c>
      <c r="V35" s="128">
        <f t="shared" si="34"/>
        <v>0.6071428571</v>
      </c>
      <c r="Z35" s="56"/>
      <c r="AA35" s="120" t="str">
        <f t="shared" si="19"/>
        <v>halve</v>
      </c>
      <c r="AB35" s="28">
        <f t="shared" si="20"/>
        <v>105</v>
      </c>
      <c r="AC35" s="128">
        <f t="shared" si="21"/>
        <v>0.1791808874</v>
      </c>
      <c r="AF35" s="28">
        <f t="shared" si="32"/>
        <v>104</v>
      </c>
      <c r="AG35" s="128">
        <f t="shared" si="23"/>
        <v>0.9904761905</v>
      </c>
      <c r="AI35" s="28">
        <f>countifs('SAMLET_alle regnskab'!$N$4:$N$525,C35,'SAMLET_alle regnskab'!$AH$4:$AH$525,"&lt;1")</f>
        <v>50</v>
      </c>
      <c r="AJ35" s="128">
        <f t="shared" si="25"/>
        <v>0.4761904762</v>
      </c>
    </row>
    <row r="36">
      <c r="C36" s="129" t="s">
        <v>145</v>
      </c>
      <c r="D36" s="28">
        <f t="shared" ref="D36:G36" si="35">COUNTIFS(INDIRECT("'SAMLET_alle regnskab'!$N$4:$N$" &amp; $C$2), $C36, INDIRECT("'SAMLET_alle regnskab'!$H$4:$H$" &amp; $C$2), D$2)
</f>
        <v>120</v>
      </c>
      <c r="E36" s="28">
        <f t="shared" si="35"/>
        <v>10</v>
      </c>
      <c r="F36" s="28">
        <f t="shared" si="35"/>
        <v>9</v>
      </c>
      <c r="G36" s="28">
        <f t="shared" si="35"/>
        <v>3</v>
      </c>
      <c r="I36" s="28">
        <f t="shared" si="10"/>
        <v>71</v>
      </c>
      <c r="J36" s="28">
        <f t="shared" si="11"/>
        <v>2</v>
      </c>
      <c r="K36" s="28">
        <f t="shared" si="12"/>
        <v>7</v>
      </c>
      <c r="L36" s="28">
        <f t="shared" si="13"/>
        <v>2</v>
      </c>
      <c r="N36" s="28">
        <f t="shared" si="14"/>
        <v>49</v>
      </c>
      <c r="O36" s="28">
        <f t="shared" si="15"/>
        <v>8</v>
      </c>
      <c r="P36" s="28">
        <f t="shared" si="16"/>
        <v>2</v>
      </c>
      <c r="Q36" s="28">
        <f t="shared" si="17"/>
        <v>1</v>
      </c>
      <c r="S36" s="128">
        <f t="shared" ref="S36:V36" si="36">I36/D36</f>
        <v>0.5916666667</v>
      </c>
      <c r="T36" s="128">
        <f t="shared" si="36"/>
        <v>0.2</v>
      </c>
      <c r="U36" s="128">
        <f t="shared" si="36"/>
        <v>0.7777777778</v>
      </c>
      <c r="V36" s="128">
        <f t="shared" si="36"/>
        <v>0.6666666667</v>
      </c>
      <c r="Z36" s="56"/>
      <c r="AA36" s="120" t="str">
        <f t="shared" si="19"/>
        <v>vip</v>
      </c>
      <c r="AB36" s="28">
        <f t="shared" si="20"/>
        <v>148</v>
      </c>
      <c r="AC36" s="128">
        <f t="shared" si="21"/>
        <v>0.252559727</v>
      </c>
      <c r="AF36" s="28">
        <f t="shared" si="32"/>
        <v>148</v>
      </c>
      <c r="AG36" s="128">
        <f t="shared" si="23"/>
        <v>1</v>
      </c>
      <c r="AI36" s="28">
        <f>countifs('SAMLET_alle regnskab'!$N$4:$N$525,C36,'SAMLET_alle regnskab'!$AH$4:$AH$525,"&lt;1")</f>
        <v>60</v>
      </c>
      <c r="AJ36" s="128">
        <f t="shared" si="25"/>
        <v>0.4054054054</v>
      </c>
    </row>
    <row r="37">
      <c r="C37" s="129" t="s">
        <v>146</v>
      </c>
      <c r="D37" s="28">
        <f t="shared" ref="D37:G37" si="37">COUNTIFS(INDIRECT("'SAMLET_alle regnskab'!$N$4:$N$" &amp; $C$2), $C37, INDIRECT("'SAMLET_alle regnskab'!$H$4:$H$" &amp; $C$2), D$2)
</f>
        <v>27</v>
      </c>
      <c r="E37" s="28">
        <f t="shared" si="37"/>
        <v>13</v>
      </c>
      <c r="F37" s="28">
        <f t="shared" si="37"/>
        <v>5</v>
      </c>
      <c r="G37" s="28">
        <f t="shared" si="37"/>
        <v>19</v>
      </c>
      <c r="I37" s="28">
        <f t="shared" si="10"/>
        <v>18</v>
      </c>
      <c r="J37" s="28">
        <f t="shared" si="11"/>
        <v>8</v>
      </c>
      <c r="K37" s="28">
        <f t="shared" si="12"/>
        <v>4</v>
      </c>
      <c r="L37" s="28">
        <f t="shared" si="13"/>
        <v>14</v>
      </c>
      <c r="N37" s="28">
        <f t="shared" si="14"/>
        <v>8</v>
      </c>
      <c r="O37" s="28">
        <f t="shared" si="15"/>
        <v>4</v>
      </c>
      <c r="P37" s="28">
        <f t="shared" si="16"/>
        <v>1</v>
      </c>
      <c r="Q37" s="28">
        <f t="shared" si="17"/>
        <v>4</v>
      </c>
      <c r="S37" s="128">
        <f t="shared" ref="S37:V37" si="38">I37/D37</f>
        <v>0.6666666667</v>
      </c>
      <c r="T37" s="128">
        <f t="shared" si="38"/>
        <v>0.6153846154</v>
      </c>
      <c r="U37" s="128">
        <f t="shared" si="38"/>
        <v>0.8</v>
      </c>
      <c r="V37" s="128">
        <f t="shared" si="38"/>
        <v>0.7368421053</v>
      </c>
      <c r="Z37" s="56"/>
      <c r="AA37" s="120" t="str">
        <f t="shared" si="19"/>
        <v>gode</v>
      </c>
      <c r="AB37" s="28">
        <f t="shared" si="20"/>
        <v>66</v>
      </c>
      <c r="AC37" s="128">
        <f t="shared" si="21"/>
        <v>0.1126279863</v>
      </c>
      <c r="AF37" s="28">
        <f t="shared" si="32"/>
        <v>64</v>
      </c>
      <c r="AG37" s="128">
        <f t="shared" si="23"/>
        <v>0.9696969697</v>
      </c>
      <c r="AI37" s="28">
        <f>countifs('SAMLET_alle regnskab'!$N$4:$N$525,C37,'SAMLET_alle regnskab'!$AH$4:$AH$525,"&lt;1")</f>
        <v>21</v>
      </c>
      <c r="AJ37" s="128">
        <f t="shared" si="25"/>
        <v>0.3181818182</v>
      </c>
    </row>
    <row r="38">
      <c r="Z38" s="56"/>
      <c r="AA38" s="120" t="str">
        <f t="shared" si="19"/>
        <v/>
      </c>
      <c r="AC38" s="25" t="s">
        <v>147</v>
      </c>
      <c r="AD38" s="25" t="s">
        <v>148</v>
      </c>
    </row>
    <row r="39">
      <c r="A39" s="25"/>
      <c r="B39" s="25"/>
      <c r="D39" s="46" t="s">
        <v>149</v>
      </c>
      <c r="E39" s="56"/>
      <c r="F39" s="56"/>
      <c r="G39" s="56"/>
      <c r="Z39" s="56"/>
      <c r="AA39" s="133" t="s">
        <v>92</v>
      </c>
      <c r="AB39" s="28">
        <f>SUM(AB30:AB37)</f>
        <v>558</v>
      </c>
      <c r="AC39" s="128"/>
      <c r="AD39" s="128"/>
      <c r="AF39" s="28">
        <f>SUM(AF30:AF37)</f>
        <v>485</v>
      </c>
    </row>
    <row r="40">
      <c r="A40" s="25"/>
      <c r="B40" s="25"/>
      <c r="C40" s="25" t="str">
        <f t="shared" ref="C40:C43" si="40">C30</f>
        <v>sol</v>
      </c>
      <c r="D40" s="128">
        <f t="shared" ref="D40:G40" si="39">SUM(D30/D$27)</f>
        <v>0.05603448276</v>
      </c>
      <c r="E40" s="128">
        <f t="shared" si="39"/>
        <v>0.1153846154</v>
      </c>
      <c r="F40" s="128">
        <f t="shared" si="39"/>
        <v>0.1643835616</v>
      </c>
      <c r="G40" s="128">
        <f t="shared" si="39"/>
        <v>0.1834862385</v>
      </c>
      <c r="Z40" s="56"/>
      <c r="AA40" s="133" t="s">
        <v>150</v>
      </c>
      <c r="AB40" s="28">
        <f t="array" ref="AB40">COUNTIF(INDIRECT("'SAMLET_alle regnskab'!$N$4:$N$" &amp; $C$2), "")</f>
        <v>35</v>
      </c>
      <c r="AC40" s="128"/>
      <c r="AD40" s="128"/>
    </row>
    <row r="41">
      <c r="A41" s="25"/>
      <c r="B41" s="25"/>
      <c r="C41" s="25" t="str">
        <f t="shared" si="40"/>
        <v>ren sol</v>
      </c>
      <c r="D41" s="128">
        <f t="shared" ref="D41:G41" si="41">SUM(D31/D$27)</f>
        <v>0.0474137931</v>
      </c>
      <c r="E41" s="128">
        <f t="shared" si="41"/>
        <v>0.2846153846</v>
      </c>
      <c r="F41" s="128">
        <f t="shared" si="41"/>
        <v>0.1643835616</v>
      </c>
      <c r="G41" s="128">
        <f t="shared" si="41"/>
        <v>0.1559633028</v>
      </c>
      <c r="Z41" s="56"/>
      <c r="AA41" s="133" t="s">
        <v>151</v>
      </c>
      <c r="AB41" s="28">
        <f>SUM(AB39:AB40)</f>
        <v>593</v>
      </c>
      <c r="AC41" s="128"/>
      <c r="AD41" s="128"/>
    </row>
    <row r="42">
      <c r="A42" s="25"/>
      <c r="B42" s="25"/>
      <c r="C42" s="25" t="str">
        <f t="shared" si="40"/>
        <v>halv bordlægger</v>
      </c>
      <c r="D42" s="128">
        <f t="shared" ref="D42:G42" si="42">SUM(D32/D$27)</f>
        <v>0.004310344828</v>
      </c>
      <c r="E42" s="128">
        <f t="shared" si="42"/>
        <v>0.05384615385</v>
      </c>
      <c r="F42" s="128">
        <f t="shared" si="42"/>
        <v>0.02739726027</v>
      </c>
      <c r="G42" s="128">
        <f t="shared" si="42"/>
        <v>0.01834862385</v>
      </c>
      <c r="Z42" s="56"/>
      <c r="AA42" s="134"/>
      <c r="AC42" s="128"/>
      <c r="AD42" s="128"/>
    </row>
    <row r="43">
      <c r="A43" s="25"/>
      <c r="B43" s="25"/>
      <c r="C43" s="25" t="str">
        <f t="shared" si="40"/>
        <v>alm</v>
      </c>
      <c r="D43" s="128">
        <f t="shared" ref="D43:G43" si="43">SUM(D33/D$27)</f>
        <v>0.08189655172</v>
      </c>
      <c r="E43" s="128">
        <f t="shared" si="43"/>
        <v>0.1307692308</v>
      </c>
      <c r="F43" s="128">
        <f t="shared" si="43"/>
        <v>0.08219178082</v>
      </c>
      <c r="G43" s="128">
        <f t="shared" si="43"/>
        <v>0.1376146789</v>
      </c>
      <c r="Z43" s="56"/>
      <c r="AA43" s="134"/>
      <c r="AC43" s="128"/>
      <c r="AD43" s="128"/>
    </row>
    <row r="44">
      <c r="A44" s="25"/>
      <c r="B44" s="25"/>
      <c r="C44" s="25" t="str">
        <f t="shared" ref="C44:C46" si="45">C35</f>
        <v>halve</v>
      </c>
      <c r="D44" s="128">
        <f t="shared" ref="D44:G44" si="44">SUM(D35/D$27)</f>
        <v>0.1422413793</v>
      </c>
      <c r="E44" s="128">
        <f t="shared" si="44"/>
        <v>0.1230769231</v>
      </c>
      <c r="F44" s="128">
        <f t="shared" si="44"/>
        <v>0.3150684932</v>
      </c>
      <c r="G44" s="128">
        <f t="shared" si="44"/>
        <v>0.2568807339</v>
      </c>
      <c r="Z44" s="56"/>
      <c r="AA44" s="134"/>
      <c r="AC44" s="128"/>
      <c r="AD44" s="128"/>
    </row>
    <row r="45">
      <c r="A45" s="25"/>
      <c r="B45" s="25"/>
      <c r="C45" s="25" t="str">
        <f t="shared" si="45"/>
        <v>vip</v>
      </c>
      <c r="D45" s="128">
        <f t="shared" ref="D45:G45" si="46">SUM(D36/D$27)</f>
        <v>0.5172413793</v>
      </c>
      <c r="E45" s="128">
        <f t="shared" si="46"/>
        <v>0.07692307692</v>
      </c>
      <c r="F45" s="128">
        <f t="shared" si="46"/>
        <v>0.1232876712</v>
      </c>
      <c r="G45" s="128">
        <f t="shared" si="46"/>
        <v>0.02752293578</v>
      </c>
      <c r="Z45" s="56"/>
      <c r="AA45" s="134"/>
      <c r="AC45" s="128"/>
      <c r="AD45" s="128"/>
    </row>
    <row r="46">
      <c r="A46" s="25"/>
      <c r="B46" s="25"/>
      <c r="C46" s="25" t="str">
        <f t="shared" si="45"/>
        <v>gode</v>
      </c>
      <c r="D46" s="128">
        <f t="shared" ref="D46:G46" si="47">SUM(D37/D$27)</f>
        <v>0.1163793103</v>
      </c>
      <c r="E46" s="128">
        <f t="shared" si="47"/>
        <v>0.1</v>
      </c>
      <c r="F46" s="128">
        <f t="shared" si="47"/>
        <v>0.06849315068</v>
      </c>
      <c r="G46" s="128">
        <f t="shared" si="47"/>
        <v>0.1743119266</v>
      </c>
      <c r="Z46" s="56"/>
      <c r="AA46" s="134"/>
      <c r="AC46" s="128"/>
      <c r="AD46" s="128"/>
    </row>
    <row r="47">
      <c r="A47" s="25"/>
      <c r="B47" s="25"/>
      <c r="C47" s="25"/>
      <c r="Z47" s="56"/>
      <c r="AA47" s="134"/>
      <c r="AC47" s="128"/>
      <c r="AD47" s="128"/>
    </row>
    <row r="48">
      <c r="A48" s="25"/>
      <c r="B48" s="25" t="s">
        <v>152</v>
      </c>
      <c r="C48" s="25">
        <v>1.0</v>
      </c>
      <c r="Z48" s="56"/>
      <c r="AA48" s="134" t="str">
        <f>B48&amp;" "&amp;C48</f>
        <v>VIP 1</v>
      </c>
      <c r="AB48" s="28">
        <f>countifs('SAMLET_alle regnskab'!$N$4:$N$525,$C$36,'SAMLET_alle regnskab'!$O$4:$O$525,C48)</f>
        <v>39</v>
      </c>
      <c r="AC48" s="128">
        <f t="shared" ref="AC48:AC50" si="48">AB48/$AB$36</f>
        <v>0.2635135135</v>
      </c>
      <c r="AD48" s="128">
        <f t="shared" ref="AD48:AD50" si="49">AB48/$B$10</f>
        <v>0.06655290102</v>
      </c>
    </row>
    <row r="49">
      <c r="A49" s="25"/>
      <c r="C49" s="25">
        <v>2.0</v>
      </c>
      <c r="Z49" s="56"/>
      <c r="AA49" s="120">
        <f t="shared" ref="AA49:AA51" si="50">C49</f>
        <v>2</v>
      </c>
      <c r="AB49" s="28">
        <f>countifs('SAMLET_alle regnskab'!$N$4:$N$525,$C$36,'SAMLET_alle regnskab'!$O$4:$O$525,C49)</f>
        <v>42</v>
      </c>
      <c r="AC49" s="128">
        <f t="shared" si="48"/>
        <v>0.2837837838</v>
      </c>
      <c r="AD49" s="128">
        <f t="shared" si="49"/>
        <v>0.07167235495</v>
      </c>
    </row>
    <row r="50">
      <c r="A50" s="25"/>
      <c r="C50" s="25">
        <v>3.0</v>
      </c>
      <c r="Z50" s="56"/>
      <c r="AA50" s="120">
        <f t="shared" si="50"/>
        <v>3</v>
      </c>
      <c r="AB50" s="28">
        <f>countifs('SAMLET_alle regnskab'!$N$4:$N$525,$C$36,'SAMLET_alle regnskab'!$O$4:$O$525,C50)</f>
        <v>46</v>
      </c>
      <c r="AC50" s="128">
        <f t="shared" si="48"/>
        <v>0.3108108108</v>
      </c>
      <c r="AD50" s="128">
        <f t="shared" si="49"/>
        <v>0.07849829352</v>
      </c>
    </row>
    <row r="51">
      <c r="A51" s="25"/>
      <c r="Z51" s="56"/>
      <c r="AA51" s="120" t="str">
        <f t="shared" si="50"/>
        <v/>
      </c>
    </row>
    <row r="52">
      <c r="A52" s="25"/>
      <c r="B52" s="25" t="s">
        <v>153</v>
      </c>
      <c r="C52" s="25">
        <v>8.0</v>
      </c>
      <c r="Z52" s="56"/>
      <c r="AA52" s="134" t="str">
        <f>B52&amp;" "&amp;C52</f>
        <v>STIK 8</v>
      </c>
      <c r="AB52" s="28">
        <f>countif('SAMLET_alle regnskab'!$M$4:$M$525,C52)</f>
        <v>29</v>
      </c>
      <c r="AC52" s="128">
        <f t="shared" ref="AC52:AC56" si="51">AB52/($AB$33+$AB$35+$AB$36+$AB$37)</f>
        <v>0.07692307692</v>
      </c>
    </row>
    <row r="53">
      <c r="A53" s="25"/>
      <c r="C53" s="25">
        <v>9.0</v>
      </c>
      <c r="Z53" s="56"/>
      <c r="AA53" s="120">
        <f t="shared" ref="AA53:AA56" si="52">C53</f>
        <v>9</v>
      </c>
      <c r="AB53" s="28">
        <f>countif('SAMLET_alle regnskab'!$M$4:$M$525,C53)</f>
        <v>229</v>
      </c>
      <c r="AC53" s="128">
        <f t="shared" si="51"/>
        <v>0.6074270557</v>
      </c>
    </row>
    <row r="54">
      <c r="A54" s="25"/>
      <c r="C54" s="25">
        <v>10.0</v>
      </c>
      <c r="Z54" s="56"/>
      <c r="AA54" s="120">
        <f t="shared" si="52"/>
        <v>10</v>
      </c>
      <c r="AB54" s="28">
        <f>countif('SAMLET_alle regnskab'!$M$4:$M$525,C54)</f>
        <v>76</v>
      </c>
      <c r="AC54" s="128">
        <f t="shared" si="51"/>
        <v>0.2015915119</v>
      </c>
    </row>
    <row r="55">
      <c r="A55" s="25"/>
      <c r="C55" s="25">
        <v>11.0</v>
      </c>
      <c r="Z55" s="56"/>
      <c r="AA55" s="120">
        <f t="shared" si="52"/>
        <v>11</v>
      </c>
      <c r="AB55" s="28">
        <f>countif('SAMLET_alle regnskab'!$M$4:$M$525,C55)</f>
        <v>5</v>
      </c>
      <c r="AC55" s="128">
        <f t="shared" si="51"/>
        <v>0.01326259947</v>
      </c>
    </row>
    <row r="56">
      <c r="A56" s="25"/>
      <c r="C56" s="25">
        <v>12.0</v>
      </c>
      <c r="Z56" s="56"/>
      <c r="AA56" s="120">
        <f t="shared" si="52"/>
        <v>12</v>
      </c>
      <c r="AB56" s="28">
        <f>countif('SAMLET_alle regnskab'!$M$4:$M$525,C56)</f>
        <v>0</v>
      </c>
      <c r="AC56" s="128">
        <f t="shared" si="51"/>
        <v>0</v>
      </c>
    </row>
    <row r="57">
      <c r="A57" s="25"/>
      <c r="Z57" s="56"/>
    </row>
    <row r="58">
      <c r="A58" s="25" t="s">
        <v>154</v>
      </c>
      <c r="C58" s="124" t="s">
        <v>155</v>
      </c>
      <c r="Z58" s="56"/>
    </row>
    <row r="59">
      <c r="B59" s="25"/>
      <c r="C59" s="25" t="s">
        <v>156</v>
      </c>
      <c r="D59" s="28">
        <f t="shared" ref="D59:G59" si="53">max(D65:D80)</f>
        <v>320</v>
      </c>
      <c r="E59" s="28">
        <f t="shared" si="53"/>
        <v>128</v>
      </c>
      <c r="F59" s="28">
        <f t="shared" si="53"/>
        <v>368</v>
      </c>
      <c r="G59" s="28">
        <f t="shared" si="53"/>
        <v>374</v>
      </c>
      <c r="Z59" s="56"/>
    </row>
    <row r="60">
      <c r="B60" s="25"/>
      <c r="C60" s="25" t="s">
        <v>157</v>
      </c>
      <c r="D60" s="28">
        <f t="shared" ref="D60:G60" si="54">MIN(D65:D80)</f>
        <v>-326</v>
      </c>
      <c r="E60" s="28">
        <f t="shared" si="54"/>
        <v>-330</v>
      </c>
      <c r="F60" s="28">
        <f t="shared" si="54"/>
        <v>-180</v>
      </c>
      <c r="G60" s="28">
        <f t="shared" si="54"/>
        <v>-186</v>
      </c>
      <c r="Z60" s="56"/>
    </row>
    <row r="61">
      <c r="B61" s="25"/>
      <c r="C61" s="25" t="s">
        <v>158</v>
      </c>
      <c r="D61" s="135">
        <f t="shared" ref="D61:G61" si="55">AVERAGE(D65:D80)</f>
        <v>39.5</v>
      </c>
      <c r="E61" s="135">
        <f t="shared" si="55"/>
        <v>-132.75</v>
      </c>
      <c r="F61" s="135">
        <f t="shared" si="55"/>
        <v>54.625</v>
      </c>
      <c r="G61" s="135">
        <f t="shared" si="55"/>
        <v>38.625</v>
      </c>
      <c r="H61" s="135"/>
      <c r="I61" s="135"/>
      <c r="J61" s="135"/>
      <c r="K61" s="135"/>
      <c r="L61" s="135"/>
      <c r="M61" s="135"/>
      <c r="N61" s="135"/>
      <c r="O61" s="135"/>
      <c r="P61" s="135"/>
      <c r="Q61" s="135"/>
      <c r="R61" s="135"/>
      <c r="S61" s="135"/>
      <c r="T61" s="135"/>
      <c r="U61" s="135"/>
      <c r="V61" s="135"/>
      <c r="W61" s="135"/>
      <c r="X61" s="135"/>
      <c r="Z61" s="56"/>
    </row>
    <row r="62">
      <c r="Z62" s="56"/>
    </row>
    <row r="63">
      <c r="C63" s="122" t="s">
        <v>159</v>
      </c>
      <c r="D63" s="82">
        <f t="shared" ref="D63:G63" si="56">SUM(D65:D80)</f>
        <v>632</v>
      </c>
      <c r="E63" s="82">
        <f t="shared" si="56"/>
        <v>-2124</v>
      </c>
      <c r="F63" s="82">
        <f t="shared" si="56"/>
        <v>874</v>
      </c>
      <c r="G63" s="82">
        <f t="shared" si="56"/>
        <v>618</v>
      </c>
      <c r="H63" s="136"/>
      <c r="Z63" s="56"/>
    </row>
    <row r="64">
      <c r="H64" s="136"/>
      <c r="Z64" s="56"/>
    </row>
    <row r="65">
      <c r="B65" s="25" t="s">
        <v>59</v>
      </c>
      <c r="C65" s="137">
        <f>'SAMLET_alle regnskab'!A60</f>
        <v>8</v>
      </c>
      <c r="D65" s="28">
        <f>'SAMLET_alle regnskab'!C60</f>
        <v>-92</v>
      </c>
      <c r="E65" s="28">
        <f>'SAMLET_alle regnskab'!D60</f>
        <v>-84</v>
      </c>
      <c r="F65" s="28">
        <f>'SAMLET_alle regnskab'!E60</f>
        <v>-180</v>
      </c>
      <c r="G65" s="28">
        <f>'SAMLET_alle regnskab'!F60</f>
        <v>356</v>
      </c>
      <c r="H65" s="136">
        <f>IFERROR(__xludf.DUMMYFUNCTION("MAX(FILTER(ROW('SAMLET_alle regnskab'!A:A), 'SAMLET_alle regnskab'!A:A=C65))"),60.0)</f>
        <v>60</v>
      </c>
      <c r="Z65" s="56"/>
    </row>
    <row r="66">
      <c r="B66" s="25" t="s">
        <v>59</v>
      </c>
      <c r="C66" s="137">
        <f>'SAMLET_alle regnskab'!A101</f>
        <v>9</v>
      </c>
      <c r="D66" s="28">
        <f>'SAMLET_alle regnskab'!C101</f>
        <v>-132</v>
      </c>
      <c r="E66" s="28">
        <f>'SAMLET_alle regnskab'!D101</f>
        <v>-160</v>
      </c>
      <c r="F66" s="28">
        <f>'SAMLET_alle regnskab'!E101</f>
        <v>282</v>
      </c>
      <c r="G66" s="28">
        <f>'SAMLET_alle regnskab'!F101</f>
        <v>10</v>
      </c>
      <c r="H66" s="136">
        <f>IFERROR(__xludf.DUMMYFUNCTION("MAX(FILTER(ROW('SAMLET_alle regnskab'!A:A), 'SAMLET_alle regnskab'!A:A=C66))"),101.0)</f>
        <v>101</v>
      </c>
      <c r="Z66" s="56"/>
    </row>
    <row r="67">
      <c r="B67" s="25" t="s">
        <v>59</v>
      </c>
      <c r="C67" s="137">
        <f>'SAMLET_alle regnskab'!A133</f>
        <v>10</v>
      </c>
      <c r="D67" s="28">
        <f>'SAMLET_alle regnskab'!C133</f>
        <v>320</v>
      </c>
      <c r="E67" s="28">
        <f>'SAMLET_alle regnskab'!D133</f>
        <v>-64</v>
      </c>
      <c r="F67" s="28">
        <f>'SAMLET_alle regnskab'!E133</f>
        <v>-152</v>
      </c>
      <c r="G67" s="28">
        <f>'SAMLET_alle regnskab'!F133</f>
        <v>-104</v>
      </c>
      <c r="H67" s="136">
        <f>IFERROR(__xludf.DUMMYFUNCTION("MAX(FILTER(ROW('SAMLET_alle regnskab'!A:A), 'SAMLET_alle regnskab'!A:A=C67))"),133.0)</f>
        <v>133</v>
      </c>
      <c r="Z67" s="56"/>
    </row>
    <row r="68">
      <c r="B68" s="25" t="s">
        <v>59</v>
      </c>
      <c r="C68" s="137">
        <f>'SAMLET_alle regnskab'!A159</f>
        <v>11</v>
      </c>
      <c r="D68" s="28">
        <f>'SAMLET_alle regnskab'!C159</f>
        <v>226</v>
      </c>
      <c r="E68" s="28">
        <f>'SAMLET_alle regnskab'!D159</f>
        <v>-222</v>
      </c>
      <c r="F68" s="28">
        <f>'SAMLET_alle regnskab'!E159</f>
        <v>6</v>
      </c>
      <c r="G68" s="28">
        <f>'SAMLET_alle regnskab'!F159</f>
        <v>-10</v>
      </c>
      <c r="H68" s="136">
        <f>IFERROR(__xludf.DUMMYFUNCTION("MAX(FILTER(ROW('SAMLET_alle regnskab'!A:A), 'SAMLET_alle regnskab'!A:A=C68))"),159.0)</f>
        <v>159</v>
      </c>
      <c r="Z68" s="56"/>
    </row>
    <row r="69">
      <c r="B69" s="25" t="s">
        <v>59</v>
      </c>
      <c r="C69" s="137" t="str">
        <f>'SAMLET_alle regnskab'!A160</f>
        <v>12a</v>
      </c>
      <c r="D69" s="28">
        <f>'SAMLET_alle regnskab'!C167</f>
        <v>0</v>
      </c>
      <c r="E69" s="28">
        <f>'SAMLET_alle regnskab'!D167</f>
        <v>-8</v>
      </c>
      <c r="F69" s="28">
        <f>'SAMLET_alle regnskab'!E167</f>
        <v>48</v>
      </c>
      <c r="G69" s="28">
        <f>'SAMLET_alle regnskab'!F167</f>
        <v>-40</v>
      </c>
      <c r="H69" s="136">
        <f>IFERROR(__xludf.DUMMYFUNCTION("MAX(FILTER(ROW('SAMLET_alle regnskab'!A:A), 'SAMLET_alle regnskab'!A:A=C69))"),167.0)</f>
        <v>167</v>
      </c>
      <c r="Z69" s="56"/>
    </row>
    <row r="70">
      <c r="B70" s="25" t="s">
        <v>59</v>
      </c>
      <c r="C70" s="137" t="str">
        <f>'SAMLET_alle regnskab'!A168</f>
        <v>12b</v>
      </c>
      <c r="D70" s="138">
        <f>'SAMLET_alle regnskab'!C194</f>
        <v>104</v>
      </c>
      <c r="E70" s="138">
        <f>'SAMLET_alle regnskab'!D194</f>
        <v>-88</v>
      </c>
      <c r="F70" s="138">
        <f>'SAMLET_alle regnskab'!E194</f>
        <v>-32</v>
      </c>
      <c r="G70" s="138">
        <f>'SAMLET_alle regnskab'!F194</f>
        <v>16</v>
      </c>
      <c r="H70" s="136">
        <f>IFERROR(__xludf.DUMMYFUNCTION("MAX(FILTER(ROW('SAMLET_alle regnskab'!A:A), 'SAMLET_alle regnskab'!A:A=C70))"),194.0)</f>
        <v>194</v>
      </c>
      <c r="Z70" s="56"/>
    </row>
    <row r="71">
      <c r="B71" s="25" t="s">
        <v>59</v>
      </c>
      <c r="C71" s="137">
        <f>'SAMLET_alle regnskab'!A195</f>
        <v>13</v>
      </c>
      <c r="D71" s="28">
        <f>'SAMLET_alle regnskab'!C225</f>
        <v>178</v>
      </c>
      <c r="E71" s="28">
        <f>'SAMLET_alle regnskab'!D225</f>
        <v>-134</v>
      </c>
      <c r="F71" s="28">
        <f>'SAMLET_alle regnskab'!E225</f>
        <v>142</v>
      </c>
      <c r="G71" s="28">
        <f>'SAMLET_alle regnskab'!F225</f>
        <v>-186</v>
      </c>
      <c r="H71" s="136">
        <f>IFERROR(__xludf.DUMMYFUNCTION("MAX(FILTER(ROW('SAMLET_alle regnskab'!A:A), 'SAMLET_alle regnskab'!A:A=C71))"),225.0)</f>
        <v>225</v>
      </c>
      <c r="Z71" s="56"/>
    </row>
    <row r="72">
      <c r="B72" s="25" t="s">
        <v>59</v>
      </c>
      <c r="C72" s="137">
        <f>'SAMLET_alle regnskab'!A226</f>
        <v>14</v>
      </c>
      <c r="D72" s="138">
        <f>'SAMLET_alle regnskab'!C252</f>
        <v>-72</v>
      </c>
      <c r="E72" s="138">
        <f>'SAMLET_alle regnskab'!D252</f>
        <v>-40</v>
      </c>
      <c r="F72" s="138">
        <f>'SAMLET_alle regnskab'!E252</f>
        <v>224</v>
      </c>
      <c r="G72" s="138">
        <f>'SAMLET_alle regnskab'!F252</f>
        <v>-112</v>
      </c>
      <c r="H72" s="136">
        <f>IFERROR(__xludf.DUMMYFUNCTION("MAX(FILTER(ROW('SAMLET_alle regnskab'!A:A), 'SAMLET_alle regnskab'!A:A=C72))"),252.0)</f>
        <v>252</v>
      </c>
      <c r="Z72" s="56"/>
    </row>
    <row r="73">
      <c r="B73" s="25" t="s">
        <v>59</v>
      </c>
      <c r="C73" s="137">
        <f>'SAMLET_alle regnskab'!A253</f>
        <v>15</v>
      </c>
      <c r="D73" s="138">
        <f>'SAMLET_alle regnskab'!C270</f>
        <v>8</v>
      </c>
      <c r="E73" s="138">
        <f>'SAMLET_alle regnskab'!D270</f>
        <v>128</v>
      </c>
      <c r="F73" s="138">
        <f>'SAMLET_alle regnskab'!E270</f>
        <v>-176</v>
      </c>
      <c r="G73" s="138">
        <f>'SAMLET_alle regnskab'!F270</f>
        <v>40</v>
      </c>
      <c r="H73" s="136">
        <f>IFERROR(__xludf.DUMMYFUNCTION("MAX(FILTER(ROW('SAMLET_alle regnskab'!A:A), 'SAMLET_alle regnskab'!A:A=C73))"),270.0)</f>
        <v>270</v>
      </c>
      <c r="Z73" s="56"/>
    </row>
    <row r="74">
      <c r="B74" s="25" t="s">
        <v>59</v>
      </c>
      <c r="C74" s="137">
        <f>'SAMLET_alle regnskab'!A271</f>
        <v>16</v>
      </c>
      <c r="D74" s="138">
        <f>'SAMLET_alle regnskab'!C297</f>
        <v>-300</v>
      </c>
      <c r="E74" s="138">
        <f>'SAMLET_alle regnskab'!D297</f>
        <v>-20</v>
      </c>
      <c r="F74" s="138">
        <f>'SAMLET_alle regnskab'!E297</f>
        <v>12</v>
      </c>
      <c r="G74" s="138">
        <f>'SAMLET_alle regnskab'!F297</f>
        <v>308</v>
      </c>
      <c r="H74" s="136">
        <f>IFERROR(__xludf.DUMMYFUNCTION("MAX(FILTER(ROW('SAMLET_alle regnskab'!A:A), 'SAMLET_alle regnskab'!A:A=C74))"),297.0)</f>
        <v>297</v>
      </c>
      <c r="Z74" s="56"/>
    </row>
    <row r="75">
      <c r="B75" s="25" t="s">
        <v>59</v>
      </c>
      <c r="C75" s="137">
        <f>'SAMLET_alle regnskab'!A298</f>
        <v>17</v>
      </c>
      <c r="D75" s="138">
        <f>'SAMLET_alle regnskab'!C322</f>
        <v>96</v>
      </c>
      <c r="E75" s="138">
        <f>'SAMLET_alle regnskab'!D322</f>
        <v>-304</v>
      </c>
      <c r="F75" s="138">
        <f>'SAMLET_alle regnskab'!E322</f>
        <v>368</v>
      </c>
      <c r="G75" s="138">
        <f>'SAMLET_alle regnskab'!F322</f>
        <v>-160</v>
      </c>
      <c r="H75" s="136">
        <f>IFERROR(__xludf.DUMMYFUNCTION("MAX(FILTER(ROW('SAMLET_alle regnskab'!A:A), 'SAMLET_alle regnskab'!A:A=C75))"),322.0)</f>
        <v>322</v>
      </c>
      <c r="Z75" s="56"/>
    </row>
    <row r="76">
      <c r="B76" s="25" t="s">
        <v>59</v>
      </c>
      <c r="C76" s="137">
        <f>'SAMLET_alle regnskab'!A323</f>
        <v>18</v>
      </c>
      <c r="D76" s="138">
        <f>'SAMLET_alle regnskab'!C362</f>
        <v>286</v>
      </c>
      <c r="E76" s="138">
        <f>'SAMLET_alle regnskab'!D362</f>
        <v>-282</v>
      </c>
      <c r="F76" s="138">
        <f>'SAMLET_alle regnskab'!E362</f>
        <v>30</v>
      </c>
      <c r="G76" s="138">
        <f>'SAMLET_alle regnskab'!F362</f>
        <v>-34</v>
      </c>
      <c r="H76" s="136">
        <f>IFERROR(__xludf.DUMMYFUNCTION("MAX(FILTER(ROW('SAMLET_alle regnskab'!A:A), 'SAMLET_alle regnskab'!A:A=C76))"),362.0)</f>
        <v>362</v>
      </c>
      <c r="Z76" s="56"/>
    </row>
    <row r="77">
      <c r="B77" s="25" t="s">
        <v>59</v>
      </c>
      <c r="C77" s="137">
        <f>'SAMLET_alle regnskab'!A363</f>
        <v>19</v>
      </c>
      <c r="D77" s="138">
        <f>'SAMLET_alle regnskab'!C420</f>
        <v>104</v>
      </c>
      <c r="E77" s="138">
        <f>'SAMLET_alle regnskab'!D420</f>
        <v>-248</v>
      </c>
      <c r="F77" s="138">
        <f>'SAMLET_alle regnskab'!E420</f>
        <v>68</v>
      </c>
      <c r="G77" s="138">
        <f>'SAMLET_alle regnskab'!F420</f>
        <v>76</v>
      </c>
      <c r="H77" s="136">
        <f>IFERROR(__xludf.DUMMYFUNCTION("MAX(FILTER(ROW('SAMLET_alle regnskab'!A:A), 'SAMLET_alle regnskab'!A:A=C77))"),420.0)</f>
        <v>420</v>
      </c>
      <c r="Z77" s="56"/>
    </row>
    <row r="78">
      <c r="B78" s="25" t="s">
        <v>59</v>
      </c>
      <c r="C78" s="137">
        <f>'SAMLET_alle regnskab'!A421</f>
        <v>20</v>
      </c>
      <c r="D78" s="138">
        <f>'SAMLET_alle regnskab'!C450</f>
        <v>312</v>
      </c>
      <c r="E78" s="138">
        <f>'SAMLET_alle regnskab'!D450</f>
        <v>-100</v>
      </c>
      <c r="F78" s="138">
        <f>'SAMLET_alle regnskab'!E450</f>
        <v>-136</v>
      </c>
      <c r="G78" s="138">
        <f>'SAMLET_alle regnskab'!F450</f>
        <v>-76</v>
      </c>
      <c r="H78" s="136">
        <f>IFERROR(__xludf.DUMMYFUNCTION("MAX(FILTER(ROW('SAMLET_alle regnskab'!A:A), 'SAMLET_alle regnskab'!A:A=C78))"),450.0)</f>
        <v>450</v>
      </c>
      <c r="Z78" s="56"/>
    </row>
    <row r="79">
      <c r="B79" s="25" t="s">
        <v>59</v>
      </c>
      <c r="C79" s="137">
        <f>'SAMLET_alle regnskab'!A451</f>
        <v>21</v>
      </c>
      <c r="D79" s="138">
        <f>'SAMLET_alle regnskab'!C472</f>
        <v>-80</v>
      </c>
      <c r="E79" s="138">
        <f>'SAMLET_alle regnskab'!D472</f>
        <v>-168</v>
      </c>
      <c r="F79" s="138">
        <f>'SAMLET_alle regnskab'!E472</f>
        <v>88</v>
      </c>
      <c r="G79" s="138">
        <f>'SAMLET_alle regnskab'!F472</f>
        <v>160</v>
      </c>
      <c r="H79" s="136">
        <f>IFERROR(__xludf.DUMMYFUNCTION("MAX(FILTER(ROW('SAMLET_alle regnskab'!A:A), 'SAMLET_alle regnskab'!A:A=C79))"),472.0)</f>
        <v>472</v>
      </c>
      <c r="Z79" s="56"/>
    </row>
    <row r="80">
      <c r="B80" s="25" t="s">
        <v>59</v>
      </c>
      <c r="C80" s="137">
        <f>'SAMLET_alle regnskab'!A473</f>
        <v>22</v>
      </c>
      <c r="D80" s="137">
        <f>'SAMLET_alle regnskab'!C511</f>
        <v>-326</v>
      </c>
      <c r="E80" s="137">
        <f>'SAMLET_alle regnskab'!D511</f>
        <v>-330</v>
      </c>
      <c r="F80" s="137">
        <f>'SAMLET_alle regnskab'!E511</f>
        <v>282</v>
      </c>
      <c r="G80" s="137">
        <f>'SAMLET_alle regnskab'!F511</f>
        <v>374</v>
      </c>
      <c r="H80" s="136">
        <f>IFERROR(__xludf.DUMMYFUNCTION("MAX(FILTER(ROW('SAMLET_alle regnskab'!A:A), 'SAMLET_alle regnskab'!A:A=C80))"),511.0)</f>
        <v>511</v>
      </c>
      <c r="Z80" s="56"/>
    </row>
    <row r="81">
      <c r="B81" s="25" t="s">
        <v>59</v>
      </c>
      <c r="C81" s="59">
        <v>23.0</v>
      </c>
      <c r="D81" s="138">
        <f t="shared" ref="D81:D86" si="57">INDIRECT("'SAMLET_alle regnskab'!C" &amp; H81)</f>
        <v>-294</v>
      </c>
      <c r="E81" s="138">
        <f t="shared" ref="E81:E86" si="58">INDIRECT("'SAMLET_alle regnskab'!D" &amp; H81)</f>
        <v>-286</v>
      </c>
      <c r="F81" s="138">
        <f t="shared" ref="F81:F86" si="59">INDIRECT("'SAMLET_alle regnskab'!E" &amp; H81)</f>
        <v>366</v>
      </c>
      <c r="G81" s="138">
        <f t="shared" ref="G81:G86" si="60">INDIRECT("'SAMLET_alle regnskab'!F" &amp; H81)</f>
        <v>214</v>
      </c>
      <c r="H81" s="136">
        <f>IFERROR(__xludf.DUMMYFUNCTION("MAX(FILTER(ROW('SAMLET_alle regnskab'!A:A), 'SAMLET_alle regnskab'!A:A=C81))"),530.0)</f>
        <v>530</v>
      </c>
      <c r="Z81" s="56"/>
    </row>
    <row r="82">
      <c r="B82" s="25" t="s">
        <v>59</v>
      </c>
      <c r="C82" s="59">
        <v>24.0</v>
      </c>
      <c r="D82" s="138">
        <f t="shared" si="57"/>
        <v>32</v>
      </c>
      <c r="E82" s="138">
        <f t="shared" si="58"/>
        <v>-68</v>
      </c>
      <c r="F82" s="138">
        <f t="shared" si="59"/>
        <v>8</v>
      </c>
      <c r="G82" s="138">
        <f t="shared" si="60"/>
        <v>28</v>
      </c>
      <c r="H82" s="136">
        <f>IFERROR(__xludf.DUMMYFUNCTION("MAX(FILTER(ROW('SAMLET_alle regnskab'!A:A), 'SAMLET_alle regnskab'!A:A=C82))"),547.0)</f>
        <v>547</v>
      </c>
      <c r="Z82" s="56"/>
    </row>
    <row r="83">
      <c r="B83" s="25" t="s">
        <v>59</v>
      </c>
      <c r="C83" s="59">
        <v>25.0</v>
      </c>
      <c r="D83" s="138">
        <f t="shared" si="57"/>
        <v>224</v>
      </c>
      <c r="E83" s="138">
        <f t="shared" si="58"/>
        <v>-56</v>
      </c>
      <c r="F83" s="138">
        <f t="shared" si="59"/>
        <v>168</v>
      </c>
      <c r="G83" s="138">
        <f t="shared" si="60"/>
        <v>-336</v>
      </c>
      <c r="H83" s="136">
        <f>IFERROR(__xludf.DUMMYFUNCTION("MAX(FILTER(ROW('SAMLET_alle regnskab'!A:A), 'SAMLET_alle regnskab'!A:A=C83))"),567.0)</f>
        <v>567</v>
      </c>
      <c r="Z83" s="56"/>
    </row>
    <row r="84">
      <c r="B84" s="25" t="s">
        <v>59</v>
      </c>
      <c r="C84" s="59">
        <v>26.0</v>
      </c>
      <c r="D84" s="138">
        <f t="shared" si="57"/>
        <v>184</v>
      </c>
      <c r="E84" s="138">
        <f t="shared" si="58"/>
        <v>-32</v>
      </c>
      <c r="F84" s="138">
        <f t="shared" si="59"/>
        <v>-96</v>
      </c>
      <c r="G84" s="138">
        <f t="shared" si="60"/>
        <v>-56</v>
      </c>
      <c r="H84" s="136">
        <f>IFERROR(__xludf.DUMMYFUNCTION("MAX(FILTER(ROW('SAMLET_alle regnskab'!A:A), 'SAMLET_alle regnskab'!A:A=C84))"),596.0)</f>
        <v>596</v>
      </c>
      <c r="Z84" s="56"/>
    </row>
    <row r="85">
      <c r="B85" s="25" t="s">
        <v>59</v>
      </c>
      <c r="C85" s="59">
        <v>27.0</v>
      </c>
      <c r="D85" s="138" t="str">
        <f t="shared" si="57"/>
        <v>#N/A</v>
      </c>
      <c r="E85" s="138" t="str">
        <f t="shared" si="58"/>
        <v>#N/A</v>
      </c>
      <c r="F85" s="138" t="str">
        <f t="shared" si="59"/>
        <v>#N/A</v>
      </c>
      <c r="G85" s="138" t="str">
        <f t="shared" si="60"/>
        <v>#N/A</v>
      </c>
      <c r="H85" s="136" t="str">
        <f>IFERROR(__xludf.DUMMYFUNCTION("MAX(FILTER(ROW('SAMLET_alle regnskab'!A:A), 'SAMLET_alle regnskab'!A:A=C85))"),"#N/A")</f>
        <v>#N/A</v>
      </c>
      <c r="Z85" s="56"/>
    </row>
    <row r="86">
      <c r="B86" s="25" t="s">
        <v>59</v>
      </c>
      <c r="C86" s="59">
        <v>28.0</v>
      </c>
      <c r="D86" s="138" t="str">
        <f t="shared" si="57"/>
        <v>#N/A</v>
      </c>
      <c r="E86" s="138" t="str">
        <f t="shared" si="58"/>
        <v>#N/A</v>
      </c>
      <c r="F86" s="138" t="str">
        <f t="shared" si="59"/>
        <v>#N/A</v>
      </c>
      <c r="G86" s="138" t="str">
        <f t="shared" si="60"/>
        <v>#N/A</v>
      </c>
      <c r="H86" s="136" t="str">
        <f>IFERROR(__xludf.DUMMYFUNCTION("MAX(FILTER(ROW('SAMLET_alle regnskab'!A:A), 'SAMLET_alle regnskab'!A:A=C86))"),"#N/A")</f>
        <v>#N/A</v>
      </c>
      <c r="Z86" s="56"/>
    </row>
    <row r="87">
      <c r="Z87" s="56"/>
    </row>
    <row r="88">
      <c r="B88" s="130" t="s">
        <v>66</v>
      </c>
      <c r="C88" s="130"/>
      <c r="D88" s="25"/>
      <c r="E88" s="25"/>
      <c r="F88" s="25"/>
      <c r="G88" s="25"/>
      <c r="H88" s="25"/>
      <c r="I88" s="25"/>
      <c r="J88" s="25"/>
      <c r="K88" s="25"/>
      <c r="L88" s="25"/>
      <c r="M88" s="25"/>
      <c r="N88" s="25"/>
      <c r="O88" s="25"/>
      <c r="P88" s="25"/>
      <c r="Q88" s="25"/>
      <c r="R88" s="25"/>
      <c r="S88" s="25"/>
      <c r="T88" s="25"/>
      <c r="U88" s="25"/>
      <c r="V88" s="25"/>
      <c r="W88" s="25"/>
      <c r="X88" s="25"/>
      <c r="Z88" s="56"/>
    </row>
    <row r="89">
      <c r="B89" s="130"/>
      <c r="C89" s="130" t="s">
        <v>160</v>
      </c>
      <c r="D89" s="25">
        <f t="array" ref="D89">COUNTIFS(INDIRECT("'SAMLET_alle regnskab'!$H$4:$H$" &amp; $C$2), D$2, INDIRECT("'SAMLET_alle regnskab'!U4:U" &amp; $C$2), "&gt;0")
</f>
        <v>148</v>
      </c>
      <c r="E89" s="25">
        <f t="array" ref="E89">COUNTIFS(INDIRECT("'SAMLET_alle regnskab'!$H$4:$H$" &amp; $C$2), E$2, INDIRECT("'SAMLET_alle regnskab'!V4:V" &amp; $C$2), "&gt;0")
</f>
        <v>63</v>
      </c>
      <c r="F89" s="25">
        <f t="array" ref="F89">COUNTIFS(INDIRECT("'SAMLET_alle regnskab'!$H$4:$H$" &amp; $C$2), F$2, INDIRECT("'SAMLET_alle regnskab'!W4:W" &amp; $C$2), "&gt;0")
</f>
        <v>43</v>
      </c>
      <c r="G89" s="25">
        <f t="array" ref="G89">COUNTIFS(INDIRECT("'SAMLET_alle regnskab'!$H$4:$H$" &amp; $C$2), G$2, INDIRECT("'SAMLET_alle regnskab'!X4:X" &amp; $C$2), "&gt;0")
</f>
        <v>71</v>
      </c>
      <c r="H89" s="25"/>
      <c r="I89" s="25"/>
      <c r="J89" s="25"/>
      <c r="K89" s="25"/>
      <c r="L89" s="25"/>
      <c r="M89" s="25"/>
      <c r="N89" s="25"/>
      <c r="O89" s="25"/>
      <c r="P89" s="25"/>
      <c r="Q89" s="25"/>
      <c r="R89" s="25"/>
      <c r="S89" s="25"/>
      <c r="T89" s="25"/>
      <c r="U89" s="25"/>
      <c r="V89" s="25"/>
      <c r="W89" s="25"/>
      <c r="X89" s="25"/>
      <c r="Z89" s="56"/>
    </row>
    <row r="90">
      <c r="B90" s="127"/>
      <c r="C90" s="127" t="s">
        <v>122</v>
      </c>
      <c r="D90" s="128">
        <f t="shared" ref="D90:G90" si="61">D89/D$27</f>
        <v>0.6379310345</v>
      </c>
      <c r="E90" s="128">
        <f t="shared" si="61"/>
        <v>0.4846153846</v>
      </c>
      <c r="F90" s="128">
        <f t="shared" si="61"/>
        <v>0.5890410959</v>
      </c>
      <c r="G90" s="128">
        <f t="shared" si="61"/>
        <v>0.6513761468</v>
      </c>
      <c r="H90" s="128"/>
      <c r="I90" s="128"/>
      <c r="J90" s="128"/>
      <c r="K90" s="128"/>
      <c r="L90" s="128"/>
      <c r="M90" s="128"/>
      <c r="N90" s="128"/>
      <c r="O90" s="128"/>
      <c r="P90" s="128"/>
      <c r="Q90" s="128"/>
      <c r="R90" s="128"/>
      <c r="S90" s="128"/>
      <c r="T90" s="128"/>
      <c r="U90" s="128"/>
      <c r="V90" s="128"/>
      <c r="W90" s="128"/>
      <c r="X90" s="128"/>
      <c r="Z90" s="56"/>
    </row>
    <row r="91">
      <c r="B91" s="130"/>
      <c r="C91" s="130"/>
      <c r="Z91" s="56"/>
    </row>
    <row r="92">
      <c r="B92" s="130"/>
      <c r="C92" s="130" t="s">
        <v>161</v>
      </c>
      <c r="D92" s="25">
        <f t="array" ref="D92">COUNTIFS(INDIRECT("'SAMLET_alle regnskab'!$H$4:$H$" &amp; $C$2), D$2, INDIRECT("'SAMLET_alle regnskab'!U4:U" &amp; $C$2), "&lt;0")
</f>
        <v>82</v>
      </c>
      <c r="E92" s="25">
        <f t="array" ref="E92">COUNTIFS(INDIRECT("'SAMLET_alle regnskab'!$H$4:$H$" &amp; $C$2), E$2, INDIRECT("'SAMLET_alle regnskab'!V4:V" &amp; $C$2), "&lt;0")
</f>
        <v>66</v>
      </c>
      <c r="F92" s="25">
        <f t="array" ref="F92">COUNTIFS(INDIRECT("'SAMLET_alle regnskab'!$H$4:$H$" &amp; $C$2), F$2, INDIRECT("'SAMLET_alle regnskab'!W4:W" &amp; $C$2), "&lt;0")
</f>
        <v>30</v>
      </c>
      <c r="G92" s="25">
        <f t="array" ref="G92">COUNTIFS(INDIRECT("'SAMLET_alle regnskab'!$H$4:$H$" &amp; $C$2), G$2, INDIRECT("'SAMLET_alle regnskab'!X4:X" &amp; $C$2), "&lt;0")
</f>
        <v>37</v>
      </c>
      <c r="Z92" s="56"/>
    </row>
    <row r="93">
      <c r="A93" s="129"/>
      <c r="B93" s="139"/>
      <c r="C93" s="139" t="s">
        <v>122</v>
      </c>
      <c r="D93" s="128">
        <f t="shared" ref="D93:G93" si="62">D92/D$27</f>
        <v>0.3534482759</v>
      </c>
      <c r="E93" s="128">
        <f t="shared" si="62"/>
        <v>0.5076923077</v>
      </c>
      <c r="F93" s="128">
        <f t="shared" si="62"/>
        <v>0.4109589041</v>
      </c>
      <c r="G93" s="128">
        <f t="shared" si="62"/>
        <v>0.3394495413</v>
      </c>
      <c r="H93" s="128"/>
      <c r="I93" s="128"/>
      <c r="J93" s="128"/>
      <c r="K93" s="128"/>
      <c r="L93" s="128"/>
      <c r="M93" s="128"/>
      <c r="N93" s="128"/>
      <c r="O93" s="128"/>
      <c r="P93" s="128"/>
      <c r="Q93" s="128"/>
      <c r="R93" s="128"/>
      <c r="S93" s="128"/>
      <c r="T93" s="128"/>
      <c r="U93" s="128"/>
      <c r="V93" s="128"/>
      <c r="W93" s="128"/>
      <c r="X93" s="128"/>
      <c r="Z93" s="56"/>
    </row>
    <row r="94">
      <c r="I94" s="25" t="s">
        <v>162</v>
      </c>
      <c r="Z94" s="56"/>
    </row>
    <row r="95">
      <c r="A95" s="25" t="s">
        <v>71</v>
      </c>
      <c r="D95" s="46" t="s">
        <v>163</v>
      </c>
      <c r="E95" s="56"/>
      <c r="F95" s="56"/>
      <c r="G95" s="56"/>
      <c r="I95" s="46" t="s">
        <v>164</v>
      </c>
      <c r="J95" s="56"/>
      <c r="K95" s="56"/>
      <c r="L95" s="56"/>
      <c r="Z95" s="56"/>
    </row>
    <row r="96">
      <c r="A96" s="25"/>
      <c r="B96" s="25" t="s">
        <v>165</v>
      </c>
      <c r="D96" s="28">
        <f>countif('SAMLET_alle regnskab'!$AQ3:$AQ115,D$2)</f>
        <v>57</v>
      </c>
      <c r="E96" s="28">
        <f>countif('SAMLET_alle regnskab'!$AQ3:$AQ115,E$2)</f>
        <v>107</v>
      </c>
      <c r="F96" s="28">
        <f>countif('SAMLET_alle regnskab'!$AQ3:$AQ115,F$2)</f>
        <v>93</v>
      </c>
      <c r="G96" s="28">
        <f>countif('SAMLET_alle regnskab'!$AQ3:$AQ115,G$2)</f>
        <v>90</v>
      </c>
      <c r="I96" s="128">
        <f t="shared" ref="I96:L96" si="63">D96/$B$13</f>
        <v>0.1457800512</v>
      </c>
      <c r="J96" s="128">
        <f t="shared" si="63"/>
        <v>0.273657289</v>
      </c>
      <c r="K96" s="128">
        <f t="shared" si="63"/>
        <v>0.2378516624</v>
      </c>
      <c r="L96" s="128">
        <f t="shared" si="63"/>
        <v>0.2301790281</v>
      </c>
      <c r="M96" s="140" t="s">
        <v>166</v>
      </c>
      <c r="N96" s="124">
        <f>B13</f>
        <v>391</v>
      </c>
      <c r="O96" s="124" t="s">
        <v>78</v>
      </c>
      <c r="Z96" s="56"/>
    </row>
    <row r="97">
      <c r="A97" s="25"/>
      <c r="C97" s="25" t="s">
        <v>167</v>
      </c>
      <c r="D97" s="28">
        <f>countifs('SAMLET_alle regnskab'!$AQ3:$AQ115,D$2,'SAMLET_alle regnskab'!$AX3:$AX115,"&gt;0")</f>
        <v>35</v>
      </c>
      <c r="E97" s="28">
        <f>countifs('SAMLET_alle regnskab'!$AQ3:$AQ115,E$2,'SAMLET_alle regnskab'!$AX3:$AX115,"&gt;0")</f>
        <v>65</v>
      </c>
      <c r="F97" s="28">
        <f>countifs('SAMLET_alle regnskab'!$AQ3:$AQ115,F$2,'SAMLET_alle regnskab'!$AX3:$AX115,"&gt;0")</f>
        <v>67</v>
      </c>
      <c r="G97" s="28">
        <f>countifs('SAMLET_alle regnskab'!$AQ3:$AQ115,G$2,'SAMLET_alle regnskab'!$AX3:$AX115,"&gt;0")</f>
        <v>56</v>
      </c>
      <c r="I97" s="128">
        <f t="shared" ref="I97:L97" si="64">D97/D$96</f>
        <v>0.6140350877</v>
      </c>
      <c r="J97" s="128">
        <f t="shared" si="64"/>
        <v>0.6074766355</v>
      </c>
      <c r="K97" s="128">
        <f t="shared" si="64"/>
        <v>0.7204301075</v>
      </c>
      <c r="L97" s="128">
        <f t="shared" si="64"/>
        <v>0.6222222222</v>
      </c>
      <c r="N97" s="25"/>
      <c r="Z97" s="56"/>
    </row>
    <row r="98">
      <c r="C98" s="25" t="s">
        <v>110</v>
      </c>
      <c r="D98" s="28">
        <f>countifs('SAMLET_alle regnskab'!$AQ4:$AQ115,D$2,'SAMLET_alle regnskab'!$AX4:$AX115,"&lt;0")</f>
        <v>19</v>
      </c>
      <c r="E98" s="28">
        <f>countifs('SAMLET_alle regnskab'!$AQ4:$AQ115,E$2,'SAMLET_alle regnskab'!$AX4:$AX115,"&lt;0")</f>
        <v>40</v>
      </c>
      <c r="F98" s="28">
        <f>countifs('SAMLET_alle regnskab'!$AQ4:$AQ115,F$2,'SAMLET_alle regnskab'!$AX4:$AX115,"&lt;0")</f>
        <v>26</v>
      </c>
      <c r="G98" s="28">
        <f>countifs('SAMLET_alle regnskab'!$AQ4:$AQ115,G$2,'SAMLET_alle regnskab'!$AX4:$AX115,"&lt;0")</f>
        <v>34</v>
      </c>
      <c r="I98" s="128">
        <f t="shared" ref="I98:L98" si="65">D98/D$96</f>
        <v>0.3333333333</v>
      </c>
      <c r="J98" s="128">
        <f t="shared" si="65"/>
        <v>0.3738317757</v>
      </c>
      <c r="K98" s="128">
        <f t="shared" si="65"/>
        <v>0.2795698925</v>
      </c>
      <c r="L98" s="128">
        <f t="shared" si="65"/>
        <v>0.3777777778</v>
      </c>
      <c r="N98" s="25"/>
      <c r="S98" s="25"/>
      <c r="Z98" s="56"/>
    </row>
    <row r="99">
      <c r="C99" s="25"/>
      <c r="I99" s="25"/>
      <c r="N99" s="25"/>
      <c r="S99" s="25"/>
      <c r="Z99" s="56"/>
    </row>
    <row r="100">
      <c r="C100" s="25"/>
      <c r="I100" s="25"/>
      <c r="N100" s="25" t="s">
        <v>168</v>
      </c>
      <c r="S100" s="25"/>
      <c r="Z100" s="56"/>
    </row>
    <row r="101">
      <c r="C101" s="25" t="s">
        <v>169</v>
      </c>
      <c r="I101" s="46" t="s">
        <v>163</v>
      </c>
      <c r="J101" s="56"/>
      <c r="K101" s="56"/>
      <c r="L101" s="56"/>
      <c r="N101" s="46" t="s">
        <v>170</v>
      </c>
      <c r="O101" s="56"/>
      <c r="P101" s="56"/>
      <c r="Q101" s="56"/>
      <c r="S101" s="46" t="s">
        <v>171</v>
      </c>
      <c r="T101" s="56"/>
      <c r="U101" s="56"/>
      <c r="V101" s="56"/>
      <c r="Z101" s="56"/>
    </row>
    <row r="102">
      <c r="B102" s="25" t="s">
        <v>172</v>
      </c>
      <c r="I102" s="56" t="str">
        <f t="shared" ref="I102:L102" si="66">I2</f>
        <v>Thomas</v>
      </c>
      <c r="J102" s="56" t="str">
        <f t="shared" si="66"/>
        <v>Peter</v>
      </c>
      <c r="K102" s="56" t="str">
        <f t="shared" si="66"/>
        <v>Janus</v>
      </c>
      <c r="L102" s="56" t="str">
        <f t="shared" si="66"/>
        <v>Christian</v>
      </c>
      <c r="N102" s="56" t="str">
        <f t="shared" ref="N102:Q102" si="67">N2</f>
        <v>Thomas</v>
      </c>
      <c r="O102" s="56" t="str">
        <f t="shared" si="67"/>
        <v>Peter</v>
      </c>
      <c r="P102" s="56" t="str">
        <f t="shared" si="67"/>
        <v>Janus</v>
      </c>
      <c r="Q102" s="56" t="str">
        <f t="shared" si="67"/>
        <v>Christian</v>
      </c>
      <c r="S102" s="56" t="str">
        <f t="shared" ref="S102:V102" si="68">S2</f>
        <v>Thomas</v>
      </c>
      <c r="T102" s="56" t="str">
        <f t="shared" si="68"/>
        <v>Peter</v>
      </c>
      <c r="U102" s="56" t="str">
        <f t="shared" si="68"/>
        <v>Janus</v>
      </c>
      <c r="V102" s="56" t="str">
        <f t="shared" si="68"/>
        <v>Christian</v>
      </c>
      <c r="Z102" s="56"/>
    </row>
    <row r="103">
      <c r="B103" s="25" t="s">
        <v>173</v>
      </c>
      <c r="C103" s="25" t="s">
        <v>7</v>
      </c>
      <c r="G103" s="46" t="s">
        <v>173</v>
      </c>
      <c r="H103" s="56" t="str">
        <f t="shared" ref="H103:H106" si="69">C103</f>
        <v>Thomas</v>
      </c>
      <c r="I103" s="29" t="s">
        <v>174</v>
      </c>
      <c r="J103" s="26">
        <f>countifs('SAMLET_alle regnskab'!$AP4:$AP115,$I$2,'SAMLET_alle regnskab'!$AQ4:$AQ115,J2)</f>
        <v>71</v>
      </c>
      <c r="K103" s="26">
        <f>countifs('SAMLET_alle regnskab'!$AP4:$AP115,$I$2,'SAMLET_alle regnskab'!$AQ4:$AQ115,K2)</f>
        <v>56</v>
      </c>
      <c r="L103" s="26">
        <f>countifs('SAMLET_alle regnskab'!$AP4:$AP115,$I$2,'SAMLET_alle regnskab'!$AQ4:$AQ115,L2)</f>
        <v>54</v>
      </c>
      <c r="N103" s="29" t="s">
        <v>174</v>
      </c>
      <c r="O103" s="26">
        <f>countifs('SAMLET_alle regnskab'!$AP4:$AP115,$C103,'SAMLET_alle regnskab'!$AQ4:$AQ115,O2,'SAMLET_alle regnskab'!$AX4:$AX115,"&gt;0")</f>
        <v>38</v>
      </c>
      <c r="P103" s="26">
        <f>countifs('SAMLET_alle regnskab'!$AP4:$AP115,$C103,'SAMLET_alle regnskab'!$AQ4:$AQ115,P2,'SAMLET_alle regnskab'!$AX4:$AX115,"&gt;0")</f>
        <v>46</v>
      </c>
      <c r="Q103" s="26">
        <f>countifs('SAMLET_alle regnskab'!$AP4:$AP115,$C103,'SAMLET_alle regnskab'!$AQ4:$AQ115,Q2,'SAMLET_alle regnskab'!$AX4:$AX115,"&gt;0")</f>
        <v>35</v>
      </c>
      <c r="S103" s="29" t="s">
        <v>174</v>
      </c>
      <c r="T103" s="26">
        <f>countifs('SAMLET_alle regnskab'!$AP4:$AP115,$C$103,'SAMLET_alle regnskab'!$AQ4:$AQ115,T$2,'SAMLET_alle regnskab'!$AX4:$AX115,"&lt;0")</f>
        <v>31</v>
      </c>
      <c r="U103" s="26">
        <f>countifs('SAMLET_alle regnskab'!$AP4:$AP115,$C$103,'SAMLET_alle regnskab'!$AQ4:$AQ115,U$2,'SAMLET_alle regnskab'!$AX4:$AX115,"&lt;0")</f>
        <v>10</v>
      </c>
      <c r="V103" s="26">
        <f>countifs('SAMLET_alle regnskab'!$AP4:$AP115,$C$103,'SAMLET_alle regnskab'!$AQ4:$AQ115,V$2,'SAMLET_alle regnskab'!$AX4:$AX115,"&lt;0")</f>
        <v>19</v>
      </c>
      <c r="Z103" s="56"/>
    </row>
    <row r="104">
      <c r="C104" s="25" t="s">
        <v>8</v>
      </c>
      <c r="G104" s="56"/>
      <c r="H104" s="56" t="str">
        <f t="shared" si="69"/>
        <v>Peter</v>
      </c>
      <c r="I104" s="26">
        <f>countifs('SAMLET_alle regnskab'!$AP4:$AP115,$J$2,'SAMLET_alle regnskab'!$AQ4:$AQ115,I2)</f>
        <v>22</v>
      </c>
      <c r="J104" s="29" t="s">
        <v>174</v>
      </c>
      <c r="K104" s="26">
        <f>countifs('SAMLET_alle regnskab'!$AP4:$AP115,$J$2,'SAMLET_alle regnskab'!$AQ4:$AQ115,K2)</f>
        <v>18</v>
      </c>
      <c r="L104" s="26">
        <f>countifs('SAMLET_alle regnskab'!$AP4:$AP115,$J$2,'SAMLET_alle regnskab'!$AQ4:$AQ115,L2)</f>
        <v>19</v>
      </c>
      <c r="N104" s="26">
        <f>countifs('SAMLET_alle regnskab'!$AP4:$AP115,$C104,'SAMLET_alle regnskab'!$AQ4:$AQ115,N$2,'SAMLET_alle regnskab'!$AX4:$AX115,"&gt;0")</f>
        <v>11</v>
      </c>
      <c r="O104" s="29" t="s">
        <v>174</v>
      </c>
      <c r="P104" s="26">
        <f>countifs('SAMLET_alle regnskab'!$AP4:$AP115,$C104,'SAMLET_alle regnskab'!$AQ4:$AQ115,P$2,'SAMLET_alle regnskab'!$AX4:$AX115,"&gt;0")</f>
        <v>8</v>
      </c>
      <c r="Q104" s="26">
        <f>countifs('SAMLET_alle regnskab'!$AP4:$AP115,$C104,'SAMLET_alle regnskab'!$AQ4:$AQ115,Q$2,'SAMLET_alle regnskab'!$AX4:$AX115,"&gt;0")</f>
        <v>11</v>
      </c>
      <c r="S104" s="26">
        <f>countifs('SAMLET_alle regnskab'!$AP5:$AP115,$C104,'SAMLET_alle regnskab'!$AQ5:$AQ115,S$2,'SAMLET_alle regnskab'!$AX5:$AX115,"&lt;0")</f>
        <v>11</v>
      </c>
      <c r="T104" s="29" t="s">
        <v>174</v>
      </c>
      <c r="U104" s="26">
        <f>countifs('SAMLET_alle regnskab'!$AP5:$AP115,$C104,'SAMLET_alle regnskab'!$AQ5:$AQ115,U$2,'SAMLET_alle regnskab'!$AX5:$AX115,"&lt;0")</f>
        <v>10</v>
      </c>
      <c r="V104" s="26">
        <f>countifs('SAMLET_alle regnskab'!$AP5:$AP115,$C104,'SAMLET_alle regnskab'!$AQ5:$AQ115,V$2,'SAMLET_alle regnskab'!$AX5:$AX115,"&lt;0")</f>
        <v>8</v>
      </c>
      <c r="Z104" s="56"/>
    </row>
    <row r="105">
      <c r="C105" s="25" t="s">
        <v>9</v>
      </c>
      <c r="G105" s="56"/>
      <c r="H105" s="56" t="str">
        <f t="shared" si="69"/>
        <v>Janus</v>
      </c>
      <c r="I105" s="26">
        <f>countifs('SAMLET_alle regnskab'!$AP4:$AP115,$K$2,'SAMLET_alle regnskab'!$AQ4:$AQ115,I2)</f>
        <v>10</v>
      </c>
      <c r="J105" s="26">
        <f>countifs('SAMLET_alle regnskab'!$AP4:$AP115,$K$2,'SAMLET_alle regnskab'!$AQ4:$AQ115,J2)</f>
        <v>14</v>
      </c>
      <c r="K105" s="29" t="s">
        <v>174</v>
      </c>
      <c r="L105" s="26">
        <f>countifs('SAMLET_alle regnskab'!$AP4:$AP115,$K$2,'SAMLET_alle regnskab'!$AQ4:$AQ115,L2)</f>
        <v>17</v>
      </c>
      <c r="N105" s="26">
        <f>countifs('SAMLET_alle regnskab'!$AP5:$AP115,$C105,'SAMLET_alle regnskab'!$AQ5:$AQ115,N$2,'SAMLET_alle regnskab'!$AX5:$AX115,"&gt;0")</f>
        <v>7</v>
      </c>
      <c r="O105" s="26">
        <f>countifs('SAMLET_alle regnskab'!$AP5:$AP115,$C105,'SAMLET_alle regnskab'!$AQ5:$AQ115,O$2,'SAMLET_alle regnskab'!$AX5:$AX115,"&gt;0")</f>
        <v>10</v>
      </c>
      <c r="P105" s="29" t="s">
        <v>174</v>
      </c>
      <c r="Q105" s="26">
        <f>countifs('SAMLET_alle regnskab'!$AP5:$AP115,$C105,'SAMLET_alle regnskab'!$AQ5:$AQ115,Q$2,'SAMLET_alle regnskab'!$AX5:$AX115,"&gt;0")</f>
        <v>10</v>
      </c>
      <c r="S105" s="26">
        <f>countifs('SAMLET_alle regnskab'!$AP6:$AP115,$C105,'SAMLET_alle regnskab'!$AQ6:$AQ115,S$2,'SAMLET_alle regnskab'!$AX6:$AX115,"&lt;0")</f>
        <v>3</v>
      </c>
      <c r="T105" s="26">
        <f>countifs('SAMLET_alle regnskab'!$AP6:$AP115,$C105,'SAMLET_alle regnskab'!$AQ6:$AQ115,T$2,'SAMLET_alle regnskab'!$AX6:$AX115,"&lt;0")</f>
        <v>4</v>
      </c>
      <c r="U105" s="29" t="s">
        <v>174</v>
      </c>
      <c r="V105" s="26">
        <f>countifs('SAMLET_alle regnskab'!$AP6:$AP115,$C105,'SAMLET_alle regnskab'!$AQ6:$AQ115,V$2,'SAMLET_alle regnskab'!$AX6:$AX115,"&lt;0")</f>
        <v>7</v>
      </c>
      <c r="Z105" s="56"/>
    </row>
    <row r="106">
      <c r="C106" s="141" t="s">
        <v>10</v>
      </c>
      <c r="G106" s="56"/>
      <c r="H106" s="56" t="str">
        <f t="shared" si="69"/>
        <v>Christian</v>
      </c>
      <c r="I106" s="26">
        <f>countifs('SAMLET_alle regnskab'!$AP4:$AP115,$L$2,'SAMLET_alle regnskab'!$AQ4:$AQ115,I2)</f>
        <v>23</v>
      </c>
      <c r="J106" s="26">
        <f>countifs('SAMLET_alle regnskab'!$AP4:$AP115,$L$2,'SAMLET_alle regnskab'!$AQ4:$AQ115,J2)</f>
        <v>22</v>
      </c>
      <c r="K106" s="26">
        <f>countifs('SAMLET_alle regnskab'!$AP4:$AP115,$L$2,'SAMLET_alle regnskab'!$AQ4:$AQ115,K2)</f>
        <v>19</v>
      </c>
      <c r="L106" s="29" t="s">
        <v>174</v>
      </c>
      <c r="N106" s="26">
        <f>countifs('SAMLET_alle regnskab'!$AP6:$AP115,$C106,'SAMLET_alle regnskab'!$AQ6:$AQ115,N$2,'SAMLET_alle regnskab'!$AX6:$AX115,"&gt;0")</f>
        <v>17</v>
      </c>
      <c r="O106" s="26">
        <f>countifs('SAMLET_alle regnskab'!$AP6:$AP115,$C106,'SAMLET_alle regnskab'!$AQ6:$AQ115,O$2,'SAMLET_alle regnskab'!$AX6:$AX115,"&gt;0")</f>
        <v>17</v>
      </c>
      <c r="P106" s="26">
        <f>countifs('SAMLET_alle regnskab'!$AP6:$AP115,$C106,'SAMLET_alle regnskab'!$AQ6:$AQ115,P$2,'SAMLET_alle regnskab'!$AX6:$AX115,"&gt;0")</f>
        <v>13</v>
      </c>
      <c r="Q106" s="29" t="s">
        <v>174</v>
      </c>
      <c r="S106" s="26">
        <f>countifs('SAMLET_alle regnskab'!$AP7:$AP115,$C106,'SAMLET_alle regnskab'!$AQ7:$AQ115,S$2,'SAMLET_alle regnskab'!$AX7:$AX115,"&lt;0")</f>
        <v>5</v>
      </c>
      <c r="T106" s="26">
        <f>countifs('SAMLET_alle regnskab'!$AP7:$AP115,$C106,'SAMLET_alle regnskab'!$AQ7:$AQ115,T$2,'SAMLET_alle regnskab'!$AX7:$AX115,"&lt;0")</f>
        <v>5</v>
      </c>
      <c r="U106" s="26">
        <f>countifs('SAMLET_alle regnskab'!$AP7:$AP115,$C106,'SAMLET_alle regnskab'!$AQ7:$AQ115,U$2,'SAMLET_alle regnskab'!$AX7:$AX115,"&lt;0")</f>
        <v>6</v>
      </c>
      <c r="V106" s="29" t="s">
        <v>174</v>
      </c>
      <c r="Z106" s="56"/>
    </row>
    <row r="107">
      <c r="Z107" s="56"/>
    </row>
    <row r="108">
      <c r="I108" s="46" t="s">
        <v>175</v>
      </c>
      <c r="J108" s="56"/>
      <c r="K108" s="56"/>
      <c r="L108" s="56"/>
      <c r="N108" s="46" t="s">
        <v>176</v>
      </c>
      <c r="O108" s="56"/>
      <c r="P108" s="56"/>
      <c r="Q108" s="56"/>
      <c r="S108" s="46" t="s">
        <v>177</v>
      </c>
      <c r="T108" s="56"/>
      <c r="U108" s="56"/>
      <c r="V108" s="56"/>
      <c r="Y108" s="122" t="s">
        <v>178</v>
      </c>
      <c r="Z108" s="56"/>
    </row>
    <row r="109">
      <c r="G109" s="46"/>
      <c r="H109" s="56"/>
      <c r="I109" s="56" t="str">
        <f t="shared" ref="I109:L109" si="70">I2</f>
        <v>Thomas</v>
      </c>
      <c r="J109" s="56" t="str">
        <f t="shared" si="70"/>
        <v>Peter</v>
      </c>
      <c r="K109" s="56" t="str">
        <f t="shared" si="70"/>
        <v>Janus</v>
      </c>
      <c r="L109" s="56" t="str">
        <f t="shared" si="70"/>
        <v>Christian</v>
      </c>
      <c r="N109" s="56" t="str">
        <f t="shared" ref="N109:Q109" si="71">N2</f>
        <v>Thomas</v>
      </c>
      <c r="O109" s="56" t="str">
        <f t="shared" si="71"/>
        <v>Peter</v>
      </c>
      <c r="P109" s="56" t="str">
        <f t="shared" si="71"/>
        <v>Janus</v>
      </c>
      <c r="Q109" s="56" t="str">
        <f t="shared" si="71"/>
        <v>Christian</v>
      </c>
      <c r="S109" s="56" t="str">
        <f t="shared" ref="S109:V109" si="72">S2</f>
        <v>Thomas</v>
      </c>
      <c r="T109" s="56" t="str">
        <f t="shared" si="72"/>
        <v>Peter</v>
      </c>
      <c r="U109" s="56" t="str">
        <f t="shared" si="72"/>
        <v>Janus</v>
      </c>
      <c r="V109" s="56" t="str">
        <f t="shared" si="72"/>
        <v>Christian</v>
      </c>
      <c r="Z109" s="56"/>
    </row>
    <row r="110">
      <c r="C110" s="28" t="str">
        <f t="shared" ref="C110:C113" si="75">C103</f>
        <v>Thomas</v>
      </c>
      <c r="G110" s="46" t="s">
        <v>173</v>
      </c>
      <c r="H110" s="56" t="str">
        <f t="shared" ref="H110:H113" si="76">C110</f>
        <v>Thomas</v>
      </c>
      <c r="I110" s="29" t="s">
        <v>174</v>
      </c>
      <c r="N110" s="29" t="s">
        <v>174</v>
      </c>
      <c r="O110" s="128">
        <f t="shared" ref="O110:Q110" si="73">O103/J103</f>
        <v>0.5352112676</v>
      </c>
      <c r="P110" s="128">
        <f t="shared" si="73"/>
        <v>0.8214285714</v>
      </c>
      <c r="Q110" s="128">
        <f t="shared" si="73"/>
        <v>0.6481481481</v>
      </c>
      <c r="S110" s="29" t="s">
        <v>174</v>
      </c>
      <c r="T110" s="128">
        <f t="shared" ref="T110:V110" si="74">T103/J103</f>
        <v>0.4366197183</v>
      </c>
      <c r="U110" s="128">
        <f t="shared" si="74"/>
        <v>0.1785714286</v>
      </c>
      <c r="V110" s="128">
        <f t="shared" si="74"/>
        <v>0.3518518519</v>
      </c>
      <c r="Z110" s="56"/>
    </row>
    <row r="111">
      <c r="C111" s="28" t="str">
        <f t="shared" si="75"/>
        <v>Peter</v>
      </c>
      <c r="G111" s="56"/>
      <c r="H111" s="56" t="str">
        <f t="shared" si="76"/>
        <v>Peter</v>
      </c>
      <c r="J111" s="29" t="s">
        <v>174</v>
      </c>
      <c r="N111" s="128">
        <f t="shared" ref="N111:N113" si="79">N104/I104</f>
        <v>0.5</v>
      </c>
      <c r="O111" s="29" t="s">
        <v>174</v>
      </c>
      <c r="P111" s="128">
        <f t="shared" ref="P111:Q111" si="77">P104/K104</f>
        <v>0.4444444444</v>
      </c>
      <c r="Q111" s="128">
        <f t="shared" si="77"/>
        <v>0.5789473684</v>
      </c>
      <c r="S111" s="128">
        <f t="shared" ref="S111:S113" si="80">S104/I104</f>
        <v>0.5</v>
      </c>
      <c r="T111" s="29" t="s">
        <v>174</v>
      </c>
      <c r="U111" s="128">
        <f t="shared" ref="U111:V111" si="78">U104/K104</f>
        <v>0.5555555556</v>
      </c>
      <c r="V111" s="128">
        <f t="shared" si="78"/>
        <v>0.4210526316</v>
      </c>
      <c r="Z111" s="56"/>
    </row>
    <row r="112">
      <c r="C112" s="28" t="str">
        <f t="shared" si="75"/>
        <v>Janus</v>
      </c>
      <c r="G112" s="56"/>
      <c r="H112" s="56" t="str">
        <f t="shared" si="76"/>
        <v>Janus</v>
      </c>
      <c r="K112" s="29" t="s">
        <v>174</v>
      </c>
      <c r="N112" s="128">
        <f t="shared" si="79"/>
        <v>0.7</v>
      </c>
      <c r="O112" s="128">
        <f t="shared" ref="O112:O113" si="81">O105/J105</f>
        <v>0.7142857143</v>
      </c>
      <c r="P112" s="29" t="s">
        <v>174</v>
      </c>
      <c r="Q112" s="128">
        <f>Q105/L105</f>
        <v>0.5882352941</v>
      </c>
      <c r="S112" s="128">
        <f t="shared" si="80"/>
        <v>0.3</v>
      </c>
      <c r="T112" s="128">
        <f t="shared" ref="T112:T113" si="82">T105/J105</f>
        <v>0.2857142857</v>
      </c>
      <c r="U112" s="29" t="s">
        <v>174</v>
      </c>
      <c r="V112" s="128">
        <f>V105/L105</f>
        <v>0.4117647059</v>
      </c>
      <c r="Z112" s="56"/>
    </row>
    <row r="113">
      <c r="C113" s="28" t="str">
        <f t="shared" si="75"/>
        <v>Christian</v>
      </c>
      <c r="G113" s="56"/>
      <c r="H113" s="56" t="str">
        <f t="shared" si="76"/>
        <v>Christian</v>
      </c>
      <c r="L113" s="29" t="s">
        <v>174</v>
      </c>
      <c r="N113" s="128">
        <f t="shared" si="79"/>
        <v>0.7391304348</v>
      </c>
      <c r="O113" s="128">
        <f t="shared" si="81"/>
        <v>0.7727272727</v>
      </c>
      <c r="P113" s="128">
        <f>P106/K106</f>
        <v>0.6842105263</v>
      </c>
      <c r="Q113" s="29" t="s">
        <v>174</v>
      </c>
      <c r="S113" s="128">
        <f t="shared" si="80"/>
        <v>0.2173913043</v>
      </c>
      <c r="T113" s="128">
        <f t="shared" si="82"/>
        <v>0.2272727273</v>
      </c>
      <c r="U113" s="128">
        <f>U106/K106</f>
        <v>0.3157894737</v>
      </c>
      <c r="V113" s="29" t="s">
        <v>174</v>
      </c>
      <c r="Z113" s="56"/>
    </row>
    <row r="114">
      <c r="Z114" s="56"/>
    </row>
    <row r="115">
      <c r="Z115" s="56"/>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117" t="s">
        <v>179</v>
      </c>
      <c r="B1" s="142"/>
      <c r="C1" s="118"/>
    </row>
    <row r="2">
      <c r="A2" s="117" t="s">
        <v>180</v>
      </c>
      <c r="B2" s="143" t="s">
        <v>181</v>
      </c>
      <c r="C2" s="117" t="s">
        <v>182</v>
      </c>
    </row>
    <row r="3">
      <c r="B3" s="144"/>
    </row>
    <row r="4">
      <c r="B4" s="144"/>
    </row>
    <row r="5">
      <c r="B5" s="144"/>
    </row>
    <row r="6">
      <c r="B6" s="144"/>
    </row>
    <row r="7">
      <c r="B7" s="144"/>
    </row>
    <row r="8">
      <c r="B8" s="144"/>
    </row>
    <row r="9">
      <c r="B9" s="144"/>
    </row>
    <row r="10">
      <c r="B10" s="144"/>
    </row>
    <row r="11">
      <c r="B11" s="144"/>
    </row>
    <row r="12">
      <c r="B12" s="144"/>
    </row>
    <row r="13">
      <c r="B13" s="144"/>
    </row>
    <row r="14">
      <c r="B14" s="144"/>
    </row>
    <row r="15">
      <c r="B15" s="144"/>
    </row>
    <row r="16">
      <c r="B16" s="144"/>
    </row>
    <row r="17">
      <c r="B17" s="144"/>
    </row>
    <row r="18">
      <c r="B18" s="144"/>
    </row>
    <row r="19">
      <c r="B19" s="144"/>
    </row>
    <row r="20">
      <c r="B20" s="144"/>
    </row>
    <row r="21">
      <c r="B21" s="144"/>
    </row>
    <row r="22">
      <c r="B22" s="144"/>
    </row>
    <row r="23">
      <c r="B23" s="144"/>
    </row>
    <row r="24">
      <c r="B24" s="144"/>
    </row>
    <row r="25">
      <c r="B25" s="144"/>
    </row>
    <row r="26">
      <c r="B26" s="144"/>
    </row>
    <row r="27">
      <c r="B27" s="144"/>
    </row>
    <row r="28">
      <c r="B28" s="144"/>
    </row>
    <row r="29">
      <c r="B29" s="144"/>
    </row>
    <row r="30">
      <c r="B30" s="144"/>
    </row>
    <row r="31">
      <c r="B31" s="144"/>
    </row>
    <row r="32">
      <c r="B32" s="144"/>
    </row>
    <row r="33">
      <c r="B33" s="144"/>
    </row>
    <row r="34">
      <c r="B34" s="144"/>
    </row>
    <row r="35">
      <c r="B35" s="144"/>
    </row>
    <row r="36">
      <c r="B36" s="144"/>
    </row>
    <row r="37">
      <c r="B37" s="144"/>
    </row>
    <row r="38">
      <c r="B38" s="144"/>
    </row>
    <row r="39">
      <c r="B39" s="144"/>
    </row>
    <row r="40">
      <c r="B40" s="144"/>
    </row>
    <row r="41">
      <c r="B41" s="144"/>
    </row>
    <row r="42">
      <c r="B42" s="144"/>
    </row>
    <row r="43">
      <c r="B43" s="144"/>
    </row>
    <row r="44">
      <c r="B44" s="144"/>
    </row>
    <row r="45">
      <c r="B45" s="144"/>
    </row>
    <row r="46">
      <c r="B46" s="144"/>
    </row>
    <row r="47">
      <c r="B47" s="144"/>
    </row>
    <row r="48">
      <c r="B48" s="144"/>
    </row>
    <row r="49">
      <c r="B49" s="144"/>
    </row>
    <row r="50">
      <c r="B50" s="144"/>
    </row>
    <row r="51">
      <c r="B51" s="144"/>
    </row>
    <row r="52">
      <c r="B52" s="144"/>
    </row>
    <row r="53">
      <c r="B53" s="144"/>
    </row>
    <row r="54">
      <c r="B54" s="144"/>
    </row>
    <row r="55">
      <c r="B55" s="144"/>
    </row>
    <row r="56">
      <c r="B56" s="144"/>
    </row>
    <row r="57">
      <c r="B57" s="144"/>
    </row>
    <row r="58">
      <c r="B58" s="144"/>
    </row>
    <row r="59">
      <c r="B59" s="144"/>
    </row>
    <row r="60">
      <c r="B60" s="144"/>
    </row>
    <row r="61">
      <c r="B61" s="144"/>
    </row>
    <row r="62">
      <c r="B62" s="144"/>
    </row>
    <row r="63">
      <c r="B63" s="144"/>
    </row>
    <row r="64">
      <c r="B64" s="144"/>
    </row>
    <row r="65">
      <c r="B65" s="144"/>
    </row>
    <row r="66">
      <c r="B66" s="144"/>
    </row>
    <row r="67">
      <c r="B67" s="144"/>
    </row>
    <row r="68">
      <c r="B68" s="144"/>
    </row>
    <row r="69">
      <c r="B69" s="144"/>
    </row>
    <row r="70">
      <c r="B70" s="144"/>
    </row>
    <row r="71">
      <c r="B71" s="144"/>
    </row>
    <row r="72">
      <c r="B72" s="144"/>
    </row>
    <row r="73">
      <c r="B73" s="144"/>
    </row>
    <row r="74">
      <c r="B74" s="144"/>
    </row>
    <row r="75">
      <c r="B75" s="144"/>
    </row>
    <row r="76">
      <c r="B76" s="144"/>
    </row>
    <row r="77">
      <c r="B77" s="144"/>
    </row>
    <row r="78">
      <c r="B78" s="144"/>
    </row>
    <row r="79">
      <c r="B79" s="144"/>
    </row>
    <row r="80">
      <c r="B80" s="144"/>
    </row>
    <row r="81">
      <c r="B81" s="144"/>
    </row>
    <row r="82">
      <c r="B82" s="144"/>
    </row>
    <row r="83">
      <c r="B83" s="144"/>
    </row>
    <row r="84">
      <c r="B84" s="144"/>
    </row>
    <row r="85">
      <c r="B85" s="144"/>
    </row>
    <row r="86">
      <c r="B86" s="144"/>
    </row>
    <row r="87">
      <c r="B87" s="144"/>
    </row>
    <row r="88">
      <c r="B88" s="144"/>
    </row>
    <row r="89">
      <c r="B89" s="144"/>
    </row>
    <row r="90">
      <c r="B90" s="144"/>
    </row>
    <row r="91">
      <c r="B91" s="144"/>
    </row>
    <row r="92">
      <c r="B92" s="144"/>
    </row>
    <row r="93">
      <c r="B93" s="144"/>
    </row>
    <row r="94">
      <c r="B94" s="144"/>
    </row>
    <row r="95">
      <c r="B95" s="144"/>
    </row>
    <row r="96">
      <c r="B96" s="144"/>
    </row>
    <row r="97">
      <c r="B97" s="144"/>
    </row>
    <row r="98">
      <c r="B98" s="144"/>
    </row>
    <row r="99">
      <c r="B99" s="144"/>
    </row>
    <row r="100">
      <c r="B100" s="14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6.88"/>
    <col customWidth="1" min="2" max="2" width="7.75"/>
    <col customWidth="1" min="3" max="3" width="14.13"/>
    <col customWidth="1" min="4" max="7" width="11.63"/>
    <col customWidth="1" min="8" max="8" width="4.88"/>
    <col customWidth="1" min="9" max="12" width="10.0"/>
    <col customWidth="1" min="14" max="17" width="8.38"/>
  </cols>
  <sheetData>
    <row r="1">
      <c r="A1" s="145" t="s">
        <v>183</v>
      </c>
      <c r="B1" s="146"/>
      <c r="C1" s="146"/>
      <c r="D1" s="121" t="s">
        <v>104</v>
      </c>
      <c r="E1" s="121" t="s">
        <v>105</v>
      </c>
      <c r="F1" s="121" t="s">
        <v>106</v>
      </c>
      <c r="G1" s="121" t="s">
        <v>107</v>
      </c>
    </row>
    <row r="2">
      <c r="A2" s="146"/>
      <c r="B2" s="147">
        <f>IF(B3=TRUE, B6, B5)</f>
        <v>568</v>
      </c>
      <c r="C2" s="148">
        <f>IF(B3=TRUE, C6, C5)</f>
        <v>596</v>
      </c>
      <c r="D2" s="145" t="s">
        <v>184</v>
      </c>
      <c r="E2" s="145"/>
      <c r="F2" s="145"/>
      <c r="G2" s="145"/>
      <c r="H2" s="146"/>
      <c r="I2" s="146"/>
      <c r="J2" s="146"/>
      <c r="K2" s="146"/>
      <c r="L2" s="146"/>
      <c r="M2" s="146"/>
      <c r="N2" s="146"/>
      <c r="O2" s="146"/>
      <c r="P2" s="146"/>
      <c r="Q2" s="146"/>
    </row>
    <row r="3">
      <c r="A3" s="145" t="s">
        <v>185</v>
      </c>
      <c r="B3" s="145" t="b">
        <v>0</v>
      </c>
      <c r="D3" s="25" t="s">
        <v>7</v>
      </c>
      <c r="E3" s="25" t="s">
        <v>8</v>
      </c>
      <c r="F3" s="25" t="s">
        <v>9</v>
      </c>
      <c r="G3" s="25" t="s">
        <v>10</v>
      </c>
      <c r="I3" s="28" t="str">
        <f t="shared" ref="I3:L3" si="1">D3</f>
        <v>Thomas</v>
      </c>
      <c r="J3" s="28" t="str">
        <f t="shared" si="1"/>
        <v>Peter</v>
      </c>
      <c r="K3" s="28" t="str">
        <f t="shared" si="1"/>
        <v>Janus</v>
      </c>
      <c r="L3" s="28" t="str">
        <f t="shared" si="1"/>
        <v>Christian</v>
      </c>
      <c r="N3" s="28" t="str">
        <f t="shared" ref="N3:Q3" si="2">I3</f>
        <v>Thomas</v>
      </c>
      <c r="O3" s="28" t="str">
        <f t="shared" si="2"/>
        <v>Peter</v>
      </c>
      <c r="P3" s="28" t="str">
        <f t="shared" si="2"/>
        <v>Janus</v>
      </c>
      <c r="Q3" s="28" t="str">
        <f t="shared" si="2"/>
        <v>Christian</v>
      </c>
    </row>
    <row r="4">
      <c r="A4" s="149" t="s">
        <v>186</v>
      </c>
      <c r="B4" s="149">
        <v>26.0</v>
      </c>
      <c r="C4" s="150">
        <f>OFFSET('00_Regnskab_01'!$A$1,MATCH(B$4,'00_Regnskab_01'!$A$1:$A$25)-1,2)</f>
        <v>45199</v>
      </c>
    </row>
    <row r="5">
      <c r="A5" s="151" t="s">
        <v>187</v>
      </c>
      <c r="B5" s="152">
        <f>IFERROR(__xludf.DUMMYFUNCTION("MIN(FILTER(ROW('SAMLET_alle regnskab'!A:A), 'SAMLET_alle regnskab'!A:A=B4))"),568.0)</f>
        <v>568</v>
      </c>
      <c r="C5" s="149">
        <f>IFERROR(__xludf.DUMMYFUNCTION("MAX(FILTER(ROW('SAMLET_alle regnskab'!A:A), 'SAMLET_alle regnskab'!A:A=B4))"),596.0)</f>
        <v>596</v>
      </c>
      <c r="D5" s="25"/>
      <c r="E5" s="25"/>
      <c r="F5" s="25"/>
      <c r="G5" s="25"/>
    </row>
    <row r="6">
      <c r="A6" s="151" t="s">
        <v>188</v>
      </c>
      <c r="B6" s="149">
        <v>4.0</v>
      </c>
      <c r="C6" s="152">
        <f>IFERROR(__xludf.DUMMYFUNCTION("MAX(FILTER(ROW('SAMLET_alle regnskab'!A:A), ISNUMBER('SAMLET_alle regnskab'!A:A)))"),596.0)</f>
        <v>596</v>
      </c>
      <c r="D6" s="25"/>
      <c r="E6" s="25"/>
      <c r="F6" s="25"/>
      <c r="G6" s="25"/>
    </row>
    <row r="7">
      <c r="A7" s="25" t="s">
        <v>108</v>
      </c>
    </row>
    <row r="8">
      <c r="B8" s="25" t="s">
        <v>111</v>
      </c>
      <c r="C8" s="25"/>
      <c r="D8" s="153" t="s">
        <v>189</v>
      </c>
      <c r="E8" s="154"/>
      <c r="F8" s="154"/>
      <c r="G8" s="154"/>
    </row>
    <row r="9">
      <c r="B9" s="25"/>
      <c r="C9" s="25" t="s">
        <v>112</v>
      </c>
      <c r="D9" s="28">
        <f t="array" ref="D9">MAX(INDIRECT("'SAMLET_alle regnskab'!U" &amp; $B$2 &amp; ":U" &amp; $C$2))
</f>
        <v>64</v>
      </c>
      <c r="E9" s="28">
        <f t="array" ref="E9">MAX(INDIRECT("'SAMLET_alle regnskab'!V4:V" &amp; $C$2))</f>
        <v>160</v>
      </c>
      <c r="F9" s="28">
        <f t="array" ref="F9">MAX(INDIRECT("'SAMLET_alle regnskab'!W4:W" &amp; $C$2))</f>
        <v>256</v>
      </c>
      <c r="G9" s="28">
        <f t="array" ref="G9">MAX(INDIRECT("'SAMLET_alle regnskab'!X4:X" &amp; $C$2))</f>
        <v>256</v>
      </c>
    </row>
    <row r="10">
      <c r="B10" s="25"/>
      <c r="C10" s="25" t="s">
        <v>113</v>
      </c>
      <c r="D10" s="28">
        <f t="array" ref="D10">MIN(INDIRECT("'SAMLET_alle regnskab'!U4:U" &amp; $C$2))</f>
        <v>-256</v>
      </c>
      <c r="E10" s="28">
        <f t="array" ref="E10">MIN(INDIRECT("'SAMLET_alle regnskab'!V4:V" &amp; $C$2))</f>
        <v>-256</v>
      </c>
      <c r="F10" s="28">
        <f t="array" ref="F10">MIN(INDIRECT("'SAMLET_alle regnskab'!W4:W" &amp; $C$2))</f>
        <v>-160</v>
      </c>
      <c r="G10" s="28">
        <f t="array" ref="G10">MIN(INDIRECT("'SAMLET_alle regnskab'!X4:X" &amp; $C$2))</f>
        <v>-160</v>
      </c>
    </row>
    <row r="11">
      <c r="B11" s="25"/>
      <c r="C11" s="25" t="s">
        <v>114</v>
      </c>
      <c r="D11" s="123">
        <f t="array" ref="D11">AVERAGE(INDIRECT("'SAMLET_alle regnskab'!U4:U" &amp; $C$2))</f>
        <v>1.327645051</v>
      </c>
      <c r="E11" s="123">
        <f t="array" ref="E11">AVERAGE(INDIRECT("'SAMLET_alle regnskab'!V4:V" &amp; $C$2))</f>
        <v>-4.37883959</v>
      </c>
      <c r="F11" s="123">
        <f t="array" ref="F11">AVERAGE(INDIRECT("'SAMLET_alle regnskab'!W4:W" &amp; $C$2))</f>
        <v>2.252559727</v>
      </c>
      <c r="G11" s="123">
        <f t="array" ref="G11">AVERAGE(INDIRECT("'SAMLET_alle regnskab'!X4:X" &amp; $C$2))</f>
        <v>0.7986348123</v>
      </c>
    </row>
    <row r="13">
      <c r="A13" s="25" t="s">
        <v>111</v>
      </c>
    </row>
    <row r="14">
      <c r="B14" s="124">
        <f>COUNTA('SAMLET_alle regnskab'!B4:B525)</f>
        <v>515</v>
      </c>
      <c r="C14" s="25" t="s">
        <v>115</v>
      </c>
    </row>
    <row r="15">
      <c r="B15" s="46">
        <f>COUNTA('SAMLET_alle regnskab'!N4:N525)</f>
        <v>488</v>
      </c>
      <c r="C15" s="25" t="s">
        <v>190</v>
      </c>
    </row>
    <row r="16">
      <c r="B16" s="56">
        <f>SUM(S34:S35)</f>
        <v>0</v>
      </c>
      <c r="C16" s="25" t="s">
        <v>117</v>
      </c>
    </row>
    <row r="17">
      <c r="B17" s="46">
        <f>sum(S36:S38)</f>
        <v>0</v>
      </c>
      <c r="C17" s="25" t="s">
        <v>118</v>
      </c>
    </row>
    <row r="20">
      <c r="A20" s="25" t="s">
        <v>126</v>
      </c>
      <c r="D20" s="155" t="str">
        <f t="shared" ref="D20:L20" si="3">D3</f>
        <v>Thomas</v>
      </c>
      <c r="E20" s="155" t="str">
        <f t="shared" si="3"/>
        <v>Peter</v>
      </c>
      <c r="F20" s="155" t="str">
        <f t="shared" si="3"/>
        <v>Janus</v>
      </c>
      <c r="G20" s="155" t="str">
        <f t="shared" si="3"/>
        <v>Christian</v>
      </c>
      <c r="H20" s="155" t="str">
        <f t="shared" si="3"/>
        <v/>
      </c>
      <c r="I20" s="155" t="str">
        <f t="shared" si="3"/>
        <v>Thomas</v>
      </c>
      <c r="J20" s="155" t="str">
        <f t="shared" si="3"/>
        <v>Peter</v>
      </c>
      <c r="K20" s="155" t="str">
        <f t="shared" si="3"/>
        <v>Janus</v>
      </c>
      <c r="L20" s="155" t="str">
        <f t="shared" si="3"/>
        <v>Christian</v>
      </c>
      <c r="N20" s="155" t="str">
        <f t="shared" ref="N20:Q20" si="4">N3</f>
        <v>Thomas</v>
      </c>
      <c r="O20" s="155" t="str">
        <f t="shared" si="4"/>
        <v>Peter</v>
      </c>
      <c r="P20" s="155" t="str">
        <f t="shared" si="4"/>
        <v>Janus</v>
      </c>
      <c r="Q20" s="155" t="str">
        <f t="shared" si="4"/>
        <v>Christian</v>
      </c>
    </row>
    <row r="21">
      <c r="B21" s="25" t="s">
        <v>133</v>
      </c>
      <c r="D21" s="46" t="s">
        <v>191</v>
      </c>
      <c r="E21" s="56"/>
      <c r="F21" s="56"/>
      <c r="G21" s="56"/>
      <c r="I21" s="46" t="s">
        <v>192</v>
      </c>
      <c r="J21" s="56"/>
      <c r="K21" s="56"/>
      <c r="L21" s="56"/>
      <c r="N21" s="156" t="s">
        <v>193</v>
      </c>
      <c r="O21" s="56"/>
      <c r="P21" s="56"/>
      <c r="Q21" s="56"/>
    </row>
    <row r="22">
      <c r="C22" s="129" t="s">
        <v>139</v>
      </c>
      <c r="D22" s="28">
        <f t="shared" ref="D22:D29" si="6">MAXIFS(INDIRECT("'SAMLET_alle regnskab'!U$4:U$" &amp; $C$2), INDIRECT("'SAMLET_alle regnskab'!$N$4:$N$" &amp; $C$2), $C22)
</f>
        <v>84</v>
      </c>
      <c r="E22" s="28">
        <f t="shared" ref="E22:E29" si="7">MAXIFS(INDIRECT("'SAMLET_alle regnskab'!V$4:V$" &amp; $C$2), INDIRECT("'SAMLET_alle regnskab'!$N$4:$N$" &amp; $C$2), $C22)
</f>
        <v>24</v>
      </c>
      <c r="F22" s="28">
        <f t="shared" ref="F22:F29" si="8">MAXIFS(INDIRECT("'SAMLET_alle regnskab'!W$4:W$" &amp; $C$2), INDIRECT("'SAMLET_alle regnskab'!$N$4:$N$" &amp; $C$2), $C22)
</f>
        <v>28</v>
      </c>
      <c r="G22" s="28">
        <f t="shared" ref="G22:G29" si="9">MAXIFS(INDIRECT("'SAMLET_alle regnskab'!X$4:X$" &amp; $C$2), INDIRECT("'SAMLET_alle regnskab'!$N$4:$N$" &amp; $C$2), $C22)
</f>
        <v>24</v>
      </c>
      <c r="I22" s="28">
        <f t="shared" ref="I22:I29" si="10">MINIFS(INDIRECT("'SAMLET_alle regnskab'!U$4:U$" &amp; $C$2), INDIRECT("'SAMLET_alle regnskab'!$N$4:$N$" &amp; $C$2), $C22)</f>
        <v>-24</v>
      </c>
      <c r="J22" s="28">
        <f t="shared" ref="J22:J29" si="11">MINIFS(INDIRECT("'SAMLET_alle regnskab'!V$4:V$" &amp; $C$2), INDIRECT("'SAMLET_alle regnskab'!$N$4:$N$" &amp; $C$2), $C22)</f>
        <v>-52</v>
      </c>
      <c r="K22" s="28">
        <f t="shared" ref="K22:K29" si="12">MINIFS(INDIRECT("'SAMLET_alle regnskab'!W$4:W$" &amp; $C$2), INDIRECT("'SAMLET_alle regnskab'!$N$4:$N$" &amp; $C$2), $C22)</f>
        <v>-16</v>
      </c>
      <c r="L22" s="28">
        <f t="shared" ref="L22:L29" si="13">MINIFS(INDIRECT("'SAMLET_alle regnskab'!X$4:X$" &amp; $C$2), INDIRECT("'SAMLET_alle regnskab'!$N$4:$N$" &amp; $C$2), $C22)</f>
        <v>-60</v>
      </c>
      <c r="N22" s="28">
        <f t="shared" ref="N22:Q22" si="5">COUNTIFS(INDIRECT("'SAMLET_alle regnskab'!$N$4:$N$" &amp; $C$2), $C22, INDIRECT("'SAMLET_alle regnskab'!$H$4:$H$" &amp; $C$2), N$3)</f>
        <v>13</v>
      </c>
      <c r="O22" s="28">
        <f t="shared" si="5"/>
        <v>15</v>
      </c>
      <c r="P22" s="28">
        <f t="shared" si="5"/>
        <v>12</v>
      </c>
      <c r="Q22" s="28">
        <f t="shared" si="5"/>
        <v>20</v>
      </c>
    </row>
    <row r="23">
      <c r="C23" s="129" t="s">
        <v>140</v>
      </c>
      <c r="D23" s="28">
        <f t="shared" si="6"/>
        <v>48</v>
      </c>
      <c r="E23" s="28">
        <f t="shared" si="7"/>
        <v>48</v>
      </c>
      <c r="F23" s="28">
        <f t="shared" si="8"/>
        <v>48</v>
      </c>
      <c r="G23" s="28">
        <f t="shared" si="9"/>
        <v>48</v>
      </c>
      <c r="I23" s="28">
        <f t="shared" si="10"/>
        <v>-48</v>
      </c>
      <c r="J23" s="28">
        <f t="shared" si="11"/>
        <v>-48</v>
      </c>
      <c r="K23" s="28">
        <f t="shared" si="12"/>
        <v>-48</v>
      </c>
      <c r="L23" s="28">
        <f t="shared" si="13"/>
        <v>-24</v>
      </c>
      <c r="N23" s="28">
        <f t="shared" ref="N23:Q23" si="14">COUNTIFS(INDIRECT("'SAMLET_alle regnskab'!$N$4:$N$" &amp; $C$2), $C23, INDIRECT("'SAMLET_alle regnskab'!$H$4:$H$" &amp; $C$2), N$3)</f>
        <v>11</v>
      </c>
      <c r="O23" s="28">
        <f t="shared" si="14"/>
        <v>37</v>
      </c>
      <c r="P23" s="28">
        <f t="shared" si="14"/>
        <v>12</v>
      </c>
      <c r="Q23" s="28">
        <f t="shared" si="14"/>
        <v>17</v>
      </c>
    </row>
    <row r="24">
      <c r="C24" s="131" t="s">
        <v>141</v>
      </c>
      <c r="D24" s="28">
        <f t="shared" si="6"/>
        <v>48</v>
      </c>
      <c r="E24" s="28">
        <f t="shared" si="7"/>
        <v>96</v>
      </c>
      <c r="F24" s="28">
        <f t="shared" si="8"/>
        <v>48</v>
      </c>
      <c r="G24" s="28">
        <f t="shared" si="9"/>
        <v>32</v>
      </c>
      <c r="I24" s="28">
        <f t="shared" si="10"/>
        <v>-32</v>
      </c>
      <c r="J24" s="28">
        <f t="shared" si="11"/>
        <v>-96</v>
      </c>
      <c r="K24" s="28">
        <f t="shared" si="12"/>
        <v>-32</v>
      </c>
      <c r="L24" s="28">
        <f t="shared" si="13"/>
        <v>-48</v>
      </c>
      <c r="N24" s="28">
        <f t="shared" ref="N24:Q24" si="15">COUNTIFS(INDIRECT("'SAMLET_alle regnskab'!$N$4:$N$" &amp; $C$2), $C24, INDIRECT("'SAMLET_alle regnskab'!$H$4:$H$" &amp; $C$2), N$3)</f>
        <v>1</v>
      </c>
      <c r="O24" s="28">
        <f t="shared" si="15"/>
        <v>7</v>
      </c>
      <c r="P24" s="28">
        <f t="shared" si="15"/>
        <v>2</v>
      </c>
      <c r="Q24" s="28">
        <f t="shared" si="15"/>
        <v>2</v>
      </c>
    </row>
    <row r="25">
      <c r="C25" s="129" t="s">
        <v>142</v>
      </c>
      <c r="D25" s="28">
        <f t="shared" si="6"/>
        <v>64</v>
      </c>
      <c r="E25" s="28">
        <f t="shared" si="7"/>
        <v>64</v>
      </c>
      <c r="F25" s="28">
        <f t="shared" si="8"/>
        <v>40</v>
      </c>
      <c r="G25" s="28">
        <f t="shared" si="9"/>
        <v>40</v>
      </c>
      <c r="I25" s="28">
        <f t="shared" si="10"/>
        <v>-72</v>
      </c>
      <c r="J25" s="28">
        <f t="shared" si="11"/>
        <v>-48</v>
      </c>
      <c r="K25" s="28">
        <f t="shared" si="12"/>
        <v>-64</v>
      </c>
      <c r="L25" s="28">
        <f t="shared" si="13"/>
        <v>-64</v>
      </c>
      <c r="N25" s="28">
        <f t="shared" ref="N25:Q25" si="16">COUNTIFS(INDIRECT("'SAMLET_alle regnskab'!$N$4:$N$" &amp; $C$2), $C25, INDIRECT("'SAMLET_alle regnskab'!$H$4:$H$" &amp; $C$2), N$3)</f>
        <v>19</v>
      </c>
      <c r="O25" s="28">
        <f t="shared" si="16"/>
        <v>17</v>
      </c>
      <c r="P25" s="28">
        <f t="shared" si="16"/>
        <v>6</v>
      </c>
      <c r="Q25" s="28">
        <f t="shared" si="16"/>
        <v>15</v>
      </c>
    </row>
    <row r="26">
      <c r="C26" s="131" t="s">
        <v>143</v>
      </c>
      <c r="D26" s="28">
        <f t="shared" si="6"/>
        <v>56</v>
      </c>
      <c r="E26" s="28">
        <f t="shared" si="7"/>
        <v>84</v>
      </c>
      <c r="F26" s="28">
        <f t="shared" si="8"/>
        <v>84</v>
      </c>
      <c r="G26" s="28">
        <f t="shared" si="9"/>
        <v>56</v>
      </c>
      <c r="I26" s="28">
        <f t="shared" si="10"/>
        <v>-92</v>
      </c>
      <c r="J26" s="28">
        <f t="shared" si="11"/>
        <v>-56</v>
      </c>
      <c r="K26" s="28">
        <f t="shared" si="12"/>
        <v>-56</v>
      </c>
      <c r="L26" s="28">
        <f t="shared" si="13"/>
        <v>-80</v>
      </c>
      <c r="N26" s="28">
        <f t="shared" ref="N26:Q26" si="17">COUNTIFS(INDIRECT("'SAMLET_alle regnskab'!$N$4:$N$" &amp; $C$2), $C26, INDIRECT("'SAMLET_alle regnskab'!$H$4:$H$" &amp; $C$2), N$3)</f>
        <v>1</v>
      </c>
      <c r="O26" s="28">
        <f t="shared" si="17"/>
        <v>9</v>
      </c>
      <c r="P26" s="28">
        <f t="shared" si="17"/>
        <v>1</v>
      </c>
      <c r="Q26" s="28">
        <f t="shared" si="17"/>
        <v>3</v>
      </c>
    </row>
    <row r="27">
      <c r="C27" s="129" t="s">
        <v>144</v>
      </c>
      <c r="D27" s="28">
        <f t="shared" si="6"/>
        <v>64</v>
      </c>
      <c r="E27" s="28">
        <f t="shared" si="7"/>
        <v>32</v>
      </c>
      <c r="F27" s="28">
        <f t="shared" si="8"/>
        <v>48</v>
      </c>
      <c r="G27" s="28">
        <f t="shared" si="9"/>
        <v>64</v>
      </c>
      <c r="I27" s="28">
        <f t="shared" si="10"/>
        <v>-60</v>
      </c>
      <c r="J27" s="28">
        <f t="shared" si="11"/>
        <v>-64</v>
      </c>
      <c r="K27" s="28">
        <f t="shared" si="12"/>
        <v>-64</v>
      </c>
      <c r="L27" s="28">
        <f t="shared" si="13"/>
        <v>-48</v>
      </c>
      <c r="N27" s="28">
        <f t="shared" ref="N27:Q27" si="18">COUNTIFS(INDIRECT("'SAMLET_alle regnskab'!$N$4:$N$" &amp; $C$2), $C27, INDIRECT("'SAMLET_alle regnskab'!$H$4:$H$" &amp; $C$2), N$3)</f>
        <v>33</v>
      </c>
      <c r="O27" s="28">
        <f t="shared" si="18"/>
        <v>16</v>
      </c>
      <c r="P27" s="28">
        <f t="shared" si="18"/>
        <v>23</v>
      </c>
      <c r="Q27" s="28">
        <f t="shared" si="18"/>
        <v>28</v>
      </c>
    </row>
    <row r="28">
      <c r="C28" s="129" t="s">
        <v>145</v>
      </c>
      <c r="D28" s="28">
        <f t="shared" si="6"/>
        <v>144</v>
      </c>
      <c r="E28" s="28">
        <f t="shared" si="7"/>
        <v>160</v>
      </c>
      <c r="F28" s="28">
        <f t="shared" si="8"/>
        <v>256</v>
      </c>
      <c r="G28" s="28">
        <f t="shared" si="9"/>
        <v>256</v>
      </c>
      <c r="I28" s="28">
        <f t="shared" si="10"/>
        <v>-256</v>
      </c>
      <c r="J28" s="28">
        <f t="shared" si="11"/>
        <v>-256</v>
      </c>
      <c r="K28" s="28">
        <f t="shared" si="12"/>
        <v>-96</v>
      </c>
      <c r="L28" s="28">
        <f t="shared" si="13"/>
        <v>-160</v>
      </c>
      <c r="N28" s="28">
        <f t="shared" ref="N28:Q28" si="19">COUNTIFS(INDIRECT("'SAMLET_alle regnskab'!$N$4:$N$" &amp; $C$2), $C28, INDIRECT("'SAMLET_alle regnskab'!$H$4:$H$" &amp; $C$2), N$3)</f>
        <v>120</v>
      </c>
      <c r="O28" s="28">
        <f t="shared" si="19"/>
        <v>10</v>
      </c>
      <c r="P28" s="28">
        <f t="shared" si="19"/>
        <v>9</v>
      </c>
      <c r="Q28" s="28">
        <f t="shared" si="19"/>
        <v>3</v>
      </c>
    </row>
    <row r="29">
      <c r="C29" s="129" t="s">
        <v>146</v>
      </c>
      <c r="D29" s="28">
        <f t="shared" si="6"/>
        <v>80</v>
      </c>
      <c r="E29" s="28">
        <f t="shared" si="7"/>
        <v>48</v>
      </c>
      <c r="F29" s="28">
        <f t="shared" si="8"/>
        <v>32</v>
      </c>
      <c r="G29" s="28">
        <f t="shared" si="9"/>
        <v>80</v>
      </c>
      <c r="I29" s="28">
        <f t="shared" si="10"/>
        <v>-32</v>
      </c>
      <c r="J29" s="28">
        <f t="shared" si="11"/>
        <v>-80</v>
      </c>
      <c r="K29" s="28">
        <f t="shared" si="12"/>
        <v>-80</v>
      </c>
      <c r="L29" s="28">
        <f t="shared" si="13"/>
        <v>-56</v>
      </c>
      <c r="N29" s="28">
        <f t="shared" ref="N29:Q29" si="20">COUNTIFS(INDIRECT("'SAMLET_alle regnskab'!$N$4:$N$" &amp; $C$2), $C29, INDIRECT("'SAMLET_alle regnskab'!$H$4:$H$" &amp; $C$2), N$3)</f>
        <v>27</v>
      </c>
      <c r="O29" s="28">
        <f t="shared" si="20"/>
        <v>13</v>
      </c>
      <c r="P29" s="28">
        <f t="shared" si="20"/>
        <v>5</v>
      </c>
      <c r="Q29" s="28">
        <f t="shared" si="20"/>
        <v>19</v>
      </c>
    </row>
    <row r="30">
      <c r="M30" s="157" t="s">
        <v>194</v>
      </c>
      <c r="N30" s="158">
        <f t="shared" ref="N30:Q30" si="21">SUM(N22:N29)</f>
        <v>225</v>
      </c>
      <c r="O30" s="158">
        <f t="shared" si="21"/>
        <v>124</v>
      </c>
      <c r="P30" s="158">
        <f t="shared" si="21"/>
        <v>70</v>
      </c>
      <c r="Q30" s="158">
        <f t="shared" si="21"/>
        <v>107</v>
      </c>
    </row>
    <row r="31">
      <c r="D31" s="159">
        <v>20.0</v>
      </c>
      <c r="E31" s="159">
        <v>21.0</v>
      </c>
      <c r="F31" s="159">
        <v>22.0</v>
      </c>
      <c r="G31" s="159">
        <v>23.0</v>
      </c>
    </row>
    <row r="32">
      <c r="B32" s="141" t="s">
        <v>195</v>
      </c>
      <c r="D32" s="160" t="str">
        <f t="shared" ref="D32:G32" si="22">D3</f>
        <v>Thomas</v>
      </c>
      <c r="E32" s="160" t="str">
        <f t="shared" si="22"/>
        <v>Peter</v>
      </c>
      <c r="F32" s="160" t="str">
        <f t="shared" si="22"/>
        <v>Janus</v>
      </c>
      <c r="G32" s="160" t="str">
        <f t="shared" si="22"/>
        <v>Christian</v>
      </c>
    </row>
    <row r="33">
      <c r="C33" s="25" t="s">
        <v>196</v>
      </c>
      <c r="D33" s="161">
        <f t="array" ref="D33">OFFSET('SAMLET_alle regnskab'!$A$1, MATCH(MAX(INDIRECT("'SAMLET_alle regnskab'!U$4:U$" &amp; $C$2)), INDIRECT("'SAMLET_alle regnskab'!U$4:U$" &amp; $C$2), 0) + 2, 20, 1, 1)
</f>
        <v>144</v>
      </c>
      <c r="E33" s="161">
        <f t="array" ref="E33">OFFSET('SAMLET_alle regnskab'!$A$1, MATCH(MAX(INDIRECT("'SAMLET_alle regnskab'!V$4:V$" &amp; $C$2)), INDIRECT("'SAMLET_alle regnskab'!V$4:V$" &amp; $C$2), 0) + 2, 21, 1, 1)</f>
        <v>160</v>
      </c>
      <c r="F33" s="161">
        <f t="array" ref="F33">OFFSET('SAMLET_alle regnskab'!$A$1, MATCH(MAX(INDIRECT("'SAMLET_alle regnskab'!W$4:W$" &amp; $C$2)), INDIRECT("'SAMLET_alle regnskab'!W$4:W$" &amp; $C$2), 0) + 2, 22, 1, 1)</f>
        <v>256</v>
      </c>
      <c r="G33" s="161">
        <f t="array" ref="G33">OFFSET('SAMLET_alle regnskab'!$A$1, MATCH(MAX(INDIRECT("'SAMLET_alle regnskab'!X$4:X$" &amp; $C$2)), INDIRECT("'SAMLET_alle regnskab'!X$4:X$" &amp; $C$2), 0) + 2, 23, 1, 1)</f>
        <v>256</v>
      </c>
      <c r="I33" s="25" t="s">
        <v>197</v>
      </c>
    </row>
    <row r="34">
      <c r="C34" s="25" t="s">
        <v>64</v>
      </c>
      <c r="D34" s="26" t="str">
        <f t="array" ref="D34">OFFSET('SAMLET_alle regnskab'!$A$1, MATCH(MAX(INDIRECT("'SAMLET_alle regnskab'!U$4:U$" &amp; $C$2)), INDIRECT("'SAMLET_alle regnskab'!U$4:U$" &amp; $C$2), 0) + 2, 10, 1, 1)
</f>
        <v>9 vip i 3</v>
      </c>
      <c r="E34" s="26" t="str">
        <f t="array" ref="E34">OFFSET('SAMLET_alle regnskab'!$A$1, MATCH(MAX(INDIRECT("'SAMLET_alle regnskab'!V$4:V$" &amp; $C$2)), INDIRECT("'SAMLET_alle regnskab'!V$4:V$" &amp; $C$2), 0) + 2, 10, 1, 1)
</f>
        <v/>
      </c>
      <c r="F34" s="26" t="str">
        <f t="array" ref="F34">OFFSET('SAMLET_alle regnskab'!$A$1, MATCH(MAX(INDIRECT("'SAMLET_alle regnskab'!W$4:W$" &amp; $C$2)), INDIRECT("'SAMLET_alle regnskab'!W$4:W$" &amp; $C$2), 0) + 2, 10, 1, 1)</f>
        <v>10 vip i 3 gode</v>
      </c>
      <c r="G34" s="26" t="str">
        <f t="array" ref="G34">OFFSET('SAMLET_alle regnskab'!$A$1, MATCH(MAX(INDIRECT("'SAMLET_alle regnskab'!X$4:X$" &amp; $C$2)), INDIRECT("'SAMLET_alle regnskab'!X$4:X$" &amp; $C$2), 0) + 2, 10, 1, 1)</f>
        <v>10 vip i 3 gode</v>
      </c>
      <c r="I34" s="25" t="s">
        <v>198</v>
      </c>
    </row>
    <row r="35">
      <c r="C35" s="25" t="s">
        <v>80</v>
      </c>
      <c r="D35" s="26" t="str">
        <f>OFFSET('SAMLET_alle regnskab'!$A$1,MATCH(MAX('SAMLET_alle regnskab'!U$4:U$525),'SAMLET_alle regnskab'!U$4:U$525,0)+2,7,1,1)</f>
        <v>Thomas</v>
      </c>
      <c r="E35" s="26" t="str">
        <f>OFFSET('SAMLET_alle regnskab'!$A$1,MATCH(MAX('SAMLET_alle regnskab'!V$4:V$525),'SAMLET_alle regnskab'!V$4:V$525,0)+2,7,1,1)</f>
        <v>Thomas</v>
      </c>
      <c r="F35" s="162" t="str">
        <f>OFFSET('SAMLET_alle regnskab'!$A$1,MATCH(MAX('SAMLET_alle regnskab'!W$4:W$525),'SAMLET_alle regnskab'!W$4:W$525,0)+2,7,1,1)</f>
        <v>Thomas</v>
      </c>
      <c r="G35" s="162" t="str">
        <f>OFFSET('SAMLET_alle regnskab'!$A$1,MATCH(MAX('SAMLET_alle regnskab'!X$4:X$525),'SAMLET_alle regnskab'!X$4:X$525,0)+2,7,1,1)</f>
        <v>Thomas</v>
      </c>
    </row>
    <row r="36">
      <c r="C36" s="25" t="s">
        <v>81</v>
      </c>
      <c r="D36" s="26" t="str">
        <f t="array" ref="D36">OFFSET('SAMLET_alle regnskab'!$A$1, MATCH(MAX(INDIRECT("'SAMLET_alle regnskab'!U$4:U$" &amp; $C$2)), INDIRECT("'SAMLET_alle regnskab'!U$4:U$" &amp; $C$2), 0) + 2, 7, 1, 1)
</f>
        <v>Thomas</v>
      </c>
      <c r="E36" s="26" t="str">
        <f t="array" ref="E36">OFFSET('SAMLET_alle regnskab'!$A$1, MATCH(MAX(INDIRECT("'SAMLET_alle regnskab'!V$4:V$" &amp; $C$2)), INDIRECT("'SAMLET_alle regnskab'!V$4:V$" &amp; $C$2), 0) + 2, 7, 1, 1)
</f>
        <v>Thomas</v>
      </c>
      <c r="F36" s="26" t="str">
        <f t="array" ref="F36">OFFSET('SAMLET_alle regnskab'!$A$1, MATCH(MAX(INDIRECT("'SAMLET_alle regnskab'!W$4:W$" &amp; $C$2)), INDIRECT("'SAMLET_alle regnskab'!W$4:w$" &amp; $C$2), 0) + 2, 7, 1, 1)
</f>
        <v>Thomas</v>
      </c>
      <c r="G36" s="26" t="str">
        <f t="array" ref="G36">OFFSET('SAMLET_alle regnskab'!$A$1, MATCH(MAX(INDIRECT("'SAMLET_alle regnskab'!X$4:X$" &amp; $C$2)), INDIRECT("'SAMLET_alle regnskab'!X$4:X$" &amp; $C$2), 0) + 2, 7, 1, 1)</f>
        <v>Thomas</v>
      </c>
    </row>
    <row r="37">
      <c r="B37" s="25"/>
      <c r="C37" s="25" t="s">
        <v>1</v>
      </c>
      <c r="D37" s="163">
        <f>OFFSET('00_Regnskab_01'!$A$1,MATCH(D$39,'00_Regnskab_01'!$A$1:$A$25)-1,2)</f>
        <v>43882</v>
      </c>
      <c r="E37" s="163">
        <f>OFFSET('00_Regnskab_01'!$A$1,MATCH(E$39,'00_Regnskab_01'!$A$1:$A$25)-1,2)</f>
        <v>43407</v>
      </c>
      <c r="F37" s="163">
        <f>OFFSET('00_Regnskab_01'!$A$1,MATCH(F$39,'00_Regnskab_01'!$A$1:$A$25)-1,2)</f>
        <v>45199</v>
      </c>
      <c r="G37" s="163">
        <f>OFFSET('00_Regnskab_01'!$A$1,MATCH(G$39,'00_Regnskab_01'!$A$1:$A$25)-1,2)</f>
        <v>45199</v>
      </c>
    </row>
    <row r="38">
      <c r="C38" s="25" t="s">
        <v>199</v>
      </c>
      <c r="D38" s="26">
        <f t="array" ref="D38">OFFSET('SAMLET_alle regnskab'!$A$1, MATCH(MAX(INDIRECT("'SAMLET_alle regnskab'!U$4:U$" &amp; $C$2)), INDIRECT("'SAMLET_alle regnskab'!U$4:U$" &amp; $C$2), 0) + 2, 1, 1, 1)
</f>
        <v>20</v>
      </c>
      <c r="E38" s="26">
        <f t="array" ref="E38">OFFSET('SAMLET_alle regnskab'!$A$1, MATCH(MAX(INDIRECT("'SAMLET_alle regnskab'!V$4:V$" &amp; $C$2)), INDIRECT("'SAMLET_alle regnskab'!V$4:V$" &amp; $C$2), 0) + 2, 1, 1, 1)
</f>
        <v>7</v>
      </c>
      <c r="F38" s="26">
        <f t="array" ref="F38">OFFSET('SAMLET_alle regnskab'!$A$1, MATCH(MAX(INDIRECT("'SAMLET_alle regnskab'!W$4:W$" &amp; $C$2)), INDIRECT("'SAMLET_alle regnskab'!W$4:W$" &amp; $C$2), 0) + 2, 1, 1, 1)
</f>
        <v>15</v>
      </c>
      <c r="G38" s="26">
        <f t="array" ref="G38">OFFSET('SAMLET_alle regnskab'!$A$1, MATCH(MAX(INDIRECT("'SAMLET_alle regnskab'!x$4:X$" &amp; $C$2)), INDIRECT("'SAMLET_alle regnskab'!X$4:X$" &amp; $C$2), 0) + 2, 1, 1, 1)
</f>
        <v>15</v>
      </c>
    </row>
    <row r="39">
      <c r="C39" s="25" t="s">
        <v>186</v>
      </c>
      <c r="D39" s="162" t="str">
        <f t="array" ref="D39">OFFSET('SAMLET_alle regnskab'!$A$1, MATCH(MAX(INDIRECT("'SAMLET_alle regnskab'!U$4:U$" &amp; $C$2)), INDIRECT("'SAMLET_alle regnskab'!U$4:U$" &amp; $C$2), 0) + 2, 0, 1, 1)
</f>
        <v>12b</v>
      </c>
      <c r="E39" s="162">
        <f t="array" ref="E39">OFFSET('SAMLET_alle regnskab'!$A$1, MATCH(MAX(INDIRECT("'SAMLET_alle regnskab'!v$4:V$" &amp; $C$2)), INDIRECT("'SAMLET_alle regnskab'!V$4:V$" &amp; $C$2), 0) + 2, 0, 1, 1)
</f>
        <v>8</v>
      </c>
      <c r="F39" s="162">
        <f t="array" ref="F39">OFFSET('SAMLET_alle regnskab'!$A$1, MATCH(MAX(INDIRECT("'SAMLET_alle regnskab'!W$4:W$" &amp; $C$2)), INDIRECT("'SAMLET_alle regnskab'!W$4:W$" &amp; $C$2), 0) + 2, 0, 1, 1)
</f>
        <v>23</v>
      </c>
      <c r="G39" s="162">
        <f t="array" ref="G39">OFFSET('SAMLET_alle regnskab'!$A$1, MATCH(MAX(INDIRECT("'SAMLET_alle regnskab'!x$4:X$" &amp; $C$2)), INDIRECT("'SAMLET_alle regnskab'!X$4:X$" &amp; $C$2), 0) + 2, 0, 1, 1)
</f>
        <v>23</v>
      </c>
    </row>
    <row r="40">
      <c r="B40" s="25"/>
      <c r="D40" s="26"/>
      <c r="E40" s="26"/>
      <c r="F40" s="26"/>
      <c r="G40" s="26"/>
    </row>
    <row r="41">
      <c r="B41" s="141" t="s">
        <v>200</v>
      </c>
      <c r="D41" s="164" t="str">
        <f t="shared" ref="D41:G41" si="23">D3</f>
        <v>Thomas</v>
      </c>
      <c r="E41" s="164" t="str">
        <f t="shared" si="23"/>
        <v>Peter</v>
      </c>
      <c r="F41" s="164" t="str">
        <f t="shared" si="23"/>
        <v>Janus</v>
      </c>
      <c r="G41" s="164" t="str">
        <f t="shared" si="23"/>
        <v>Christian</v>
      </c>
    </row>
    <row r="42">
      <c r="C42" s="25" t="s">
        <v>196</v>
      </c>
      <c r="D42" s="161">
        <f>OFFSET('SAMLET_alle regnskab'!$A$1,MATCH(MIN('SAMLET_alle regnskab'!U$4:U$525),'SAMLET_alle regnskab'!U$4:U$525,0)+2,20,1,1)</f>
        <v>-240</v>
      </c>
      <c r="E42" s="161">
        <f>OFFSET('SAMLET_alle regnskab'!$A$1,MATCH(MIN('SAMLET_alle regnskab'!V$4:V$525),'SAMLET_alle regnskab'!V$4:V$525,0)+2,21,1,1)</f>
        <v>-224</v>
      </c>
      <c r="F42" s="161">
        <f>OFFSET('SAMLET_alle regnskab'!$A$1,MATCH(MIN('SAMLET_alle regnskab'!W$4:W$525),'SAMLET_alle regnskab'!W$4:W$525,0)+2,22,1,1)</f>
        <v>-160</v>
      </c>
      <c r="G42" s="161">
        <f>OFFSET('SAMLET_alle regnskab'!$A$1,MATCH(MIN('SAMLET_alle regnskab'!X$4:X$525),'SAMLET_alle regnskab'!X$4:X$525,0)+2,23,1,1)</f>
        <v>-160</v>
      </c>
      <c r="I42" s="124" t="s">
        <v>201</v>
      </c>
    </row>
    <row r="43">
      <c r="C43" s="25" t="s">
        <v>64</v>
      </c>
      <c r="D43" s="26" t="str">
        <f>OFFSET('SAMLET_alle regnskab'!$A$1,MATCH(MIN('SAMLET_alle regnskab'!U$4:U$525),'SAMLET_alle regnskab'!U$4:U$525,0)+2,10,1,1)</f>
        <v>9 vip i 2.</v>
      </c>
      <c r="E43" s="162" t="str">
        <f>OFFSET('SAMLET_alle regnskab'!$A$1,MATCH(MIN('SAMLET_alle regnskab'!V$4:V$525),'SAMLET_alle regnskab'!V$4:V$525,0)+2,10,1,1)</f>
        <v>10 Vip i 3. </v>
      </c>
      <c r="F43" s="26" t="str">
        <f>OFFSET('SAMLET_alle regnskab'!$A$1,MATCH(MIN('SAMLET_alle regnskab'!W$4:W$525),'SAMLET_alle regnskab'!W$4:W$525,0)+2,10,1,1)</f>
        <v/>
      </c>
      <c r="G43" s="26" t="str">
        <f>OFFSET('SAMLET_alle regnskab'!$A$1,MATCH(MIN('SAMLET_alle regnskab'!X$4:X$525),'SAMLET_alle regnskab'!X$4:X$525,0)+2,10,1,1)</f>
        <v>9 vip i 3 - gode</v>
      </c>
    </row>
    <row r="44">
      <c r="C44" s="25" t="s">
        <v>80</v>
      </c>
      <c r="D44" s="26" t="str">
        <f>OFFSET('SAMLET_alle regnskab'!$A$1,MATCH(MIN('SAMLET_alle regnskab'!U$4:U$525),'SAMLET_alle regnskab'!U$4:U$525,0)+2,7,1,1)</f>
        <v>Thomas</v>
      </c>
      <c r="E44" s="162" t="str">
        <f>OFFSET('SAMLET_alle regnskab'!$A$1,MATCH(MIN('SAMLET_alle regnskab'!V$4:V$525),'SAMLET_alle regnskab'!V$4:V$525,0)+2,7,1,1)</f>
        <v>Thomas</v>
      </c>
      <c r="F44" s="26" t="str">
        <f>OFFSET('SAMLET_alle regnskab'!$A$1,MATCH(MIN('SAMLET_alle regnskab'!W$4:W$525),'SAMLET_alle regnskab'!W$4:W$525,0)+2,7,1,1)</f>
        <v>Thomas</v>
      </c>
      <c r="G44" s="26" t="str">
        <f>OFFSET('SAMLET_alle regnskab'!$A$1,MATCH(MIN('SAMLET_alle regnskab'!X$4:X$525),'SAMLET_alle regnskab'!X$4:X$525,0)+2,7,1,1)</f>
        <v>Thomas</v>
      </c>
    </row>
    <row r="45">
      <c r="C45" s="25" t="s">
        <v>81</v>
      </c>
      <c r="D45" s="26" t="str">
        <f>OFFSET('SAMLET_alle regnskab'!$A$1,MATCH(MIN('SAMLET_alle regnskab'!U$4:U$525),'SAMLET_alle regnskab'!U$4:U$525,0)+2,8,1,1)</f>
        <v/>
      </c>
      <c r="E45" s="162" t="str">
        <f>OFFSET('SAMLET_alle regnskab'!$A$1,MATCH(MIN('SAMLET_alle regnskab'!V$4:V$525),'SAMLET_alle regnskab'!V$4:V$525,0)+2,8,1,1)</f>
        <v>Peter</v>
      </c>
      <c r="F45" s="26" t="str">
        <f>OFFSET('SAMLET_alle regnskab'!$A$1,MATCH(MIN('SAMLET_alle regnskab'!W$4:W$525),'SAMLET_alle regnskab'!W$4:W$525,0)+2,8,1,1)</f>
        <v>Janus</v>
      </c>
      <c r="G45" s="26" t="str">
        <f>OFFSET('SAMLET_alle regnskab'!$A$1,MATCH(MIN('SAMLET_alle regnskab'!X$4:X$525),'SAMLET_alle regnskab'!X$4:X$525,0)+2,8,1,1)</f>
        <v>Christian</v>
      </c>
    </row>
    <row r="46">
      <c r="C46" s="25" t="s">
        <v>1</v>
      </c>
      <c r="D46" s="163">
        <f>OFFSET('00_Regnskab_01'!$A$1,MATCH(D$48,'00_Regnskab_01'!$A$1:$A$25)-1,2)</f>
        <v>44518</v>
      </c>
      <c r="E46" s="163">
        <f>OFFSET('00_Regnskab_01'!$A$1,MATCH(E$48,'00_Regnskab_01'!$A$1:$A$25)-1,2)</f>
        <v>45199</v>
      </c>
      <c r="F46" s="163">
        <f>OFFSET('00_Regnskab_01'!$A$1,MATCH(F$48,'00_Regnskab_01'!$A$1:$A$25)-1,2)</f>
        <v>43407</v>
      </c>
      <c r="G46" s="163">
        <f>OFFSET('00_Regnskab_01'!$A$1,MATCH(G$48,'00_Regnskab_01'!$A$1:$A$25)-1,2)</f>
        <v>44939</v>
      </c>
    </row>
    <row r="47">
      <c r="C47" s="25" t="s">
        <v>199</v>
      </c>
      <c r="D47" s="26">
        <f>OFFSET('SAMLET_alle regnskab'!$A$1,MATCH(MIN('SAMLET_alle regnskab'!U$4:U$525),'SAMLET_alle regnskab'!U$4:U$525,0)+2,1,1,1)</f>
        <v>11</v>
      </c>
      <c r="E47" s="162">
        <f>OFFSET('SAMLET_alle regnskab'!$A$1,MATCH(MIN('SAMLET_alle regnskab'!V$4:V$525),'SAMLET_alle regnskab'!V$4:V$525,0)+2,1,1,1)</f>
        <v>6</v>
      </c>
      <c r="F47" s="26">
        <f>OFFSET('SAMLET_alle regnskab'!$A$1,MATCH(MIN('SAMLET_alle regnskab'!W$4:W$525),'SAMLET_alle regnskab'!W$4:W$525,0)+2,1,1,1)</f>
        <v>7</v>
      </c>
      <c r="G47" s="26">
        <f>OFFSET('SAMLET_alle regnskab'!$A$1,MATCH(MIN('SAMLET_alle regnskab'!X$4:X$525),'SAMLET_alle regnskab'!X$4:X$525,0)+2,1,1,1)</f>
        <v>1</v>
      </c>
    </row>
    <row r="48">
      <c r="C48" s="25" t="s">
        <v>186</v>
      </c>
      <c r="D48" s="162">
        <f>OFFSET('SAMLET_alle regnskab'!$A$1,MATCH(MIN('SAMLET_alle regnskab'!U$4:U$525),'SAMLET_alle regnskab'!U$4:U$525,0)+2,0,1,1)</f>
        <v>16</v>
      </c>
      <c r="E48" s="162">
        <f>OFFSET('SAMLET_alle regnskab'!$A$1,MATCH(MIN('SAMLET_alle regnskab'!V$4:V$525),'SAMLET_alle regnskab'!V$4:V$525,0)+2,0,1,1)</f>
        <v>22</v>
      </c>
      <c r="F48" s="162">
        <f>OFFSET('SAMLET_alle regnskab'!$A$1,MATCH(MIN('SAMLET_alle regnskab'!W$4:W$525),'SAMLET_alle regnskab'!W$4:W$525,0)+2,0,1,1)</f>
        <v>8</v>
      </c>
      <c r="G48" s="162">
        <f>OFFSET('SAMLET_alle regnskab'!$A$1,MATCH(MIN('SAMLET_alle regnskab'!X$4:X$525),'SAMLET_alle regnskab'!X$4:X$525,0)+2,0,1,1)</f>
        <v>19</v>
      </c>
    </row>
    <row r="49">
      <c r="D49" s="78"/>
    </row>
    <row r="50">
      <c r="A50" s="25" t="s">
        <v>72</v>
      </c>
      <c r="C50" s="129"/>
      <c r="D50" s="165" t="str">
        <f t="shared" ref="D50:G50" si="24">D3</f>
        <v>Thomas</v>
      </c>
      <c r="E50" s="165" t="str">
        <f t="shared" si="24"/>
        <v>Peter</v>
      </c>
      <c r="F50" s="165" t="str">
        <f t="shared" si="24"/>
        <v>Janus</v>
      </c>
      <c r="G50" s="165" t="str">
        <f t="shared" si="24"/>
        <v>Christian</v>
      </c>
    </row>
    <row r="51">
      <c r="B51" s="25" t="s">
        <v>202</v>
      </c>
      <c r="D51" s="166">
        <f>max('SAMLET_alle regnskab'!BE$11:BE138)</f>
        <v>8</v>
      </c>
      <c r="E51" s="167">
        <f>max('SAMLET_alle regnskab'!BF$11:BF138)</f>
        <v>7</v>
      </c>
      <c r="F51" s="167">
        <f>max('SAMLET_alle regnskab'!BG$11:BG138)</f>
        <v>9</v>
      </c>
      <c r="G51" s="167">
        <f>max('SAMLET_alle regnskab'!BH$11:BH138)</f>
        <v>12</v>
      </c>
      <c r="M51" s="78"/>
      <c r="N51" s="78"/>
      <c r="O51" s="78"/>
      <c r="P51" s="78"/>
      <c r="Q51" s="78"/>
    </row>
    <row r="52">
      <c r="B52" s="25"/>
      <c r="D52" s="168">
        <f>OFFSET('SAMLET_alle regnskab'!$A$1,MATCH(D$51,'SAMLET_alle regnskab'!BE$1:BE138,0),MATCH("test",'SAMLET_alle regnskab'!$A$1:$BH$1,0),1,1)</f>
        <v>43644</v>
      </c>
      <c r="E52" s="168">
        <f>OFFSET('SAMLET_alle regnskab'!$A$1,MATCH(E$51,'SAMLET_alle regnskab'!BF$1:BF138,0),MATCH("test",'SAMLET_alle regnskab'!$A$1:$BH$1,0),1,1)</f>
        <v>43407</v>
      </c>
      <c r="F52" s="168">
        <f>OFFSET('SAMLET_alle regnskab'!$A$1,MATCH(F$51,'SAMLET_alle regnskab'!BG$1:BG138,0),MATCH("test",'SAMLET_alle regnskab'!$A$1:$BH$1,0),1,1)</f>
        <v>44939</v>
      </c>
      <c r="G52" s="168">
        <f>OFFSET('SAMLET_alle regnskab'!$A$1,MATCH(G$51,'SAMLET_alle regnskab'!BH$1:BH138,0),MATCH("test",'SAMLET_alle regnskab'!$A$1:$BH$1,0),1,1)</f>
        <v>43407</v>
      </c>
    </row>
    <row r="53">
      <c r="B53" s="25"/>
      <c r="D53" s="167"/>
      <c r="E53" s="167"/>
      <c r="F53" s="167"/>
      <c r="G53" s="167"/>
    </row>
    <row r="54">
      <c r="B54" s="25" t="s">
        <v>203</v>
      </c>
      <c r="D54" s="167">
        <f>max('SAMLET_alle regnskab'!BJ$11:BJ138)</f>
        <v>7</v>
      </c>
      <c r="E54" s="167">
        <f>max('SAMLET_alle regnskab'!BK$11:BK138)</f>
        <v>15</v>
      </c>
      <c r="F54" s="167">
        <f>max('SAMLET_alle regnskab'!BL$11:BL138)</f>
        <v>7</v>
      </c>
      <c r="G54" s="167">
        <f>max('SAMLET_alle regnskab'!BM$11:BM138)</f>
        <v>7</v>
      </c>
    </row>
    <row r="55">
      <c r="B55" s="25"/>
      <c r="D55" s="169">
        <f>OFFSET('SAMLET_alle regnskab'!$A$1,MATCH(D$54,'SAMLET_alle regnskab'!BJ$1:BJ138,0),MATCH("test",'SAMLET_alle regnskab'!$A$1:$BH$1,0),1,1)</f>
        <v>45199</v>
      </c>
      <c r="E55" s="169">
        <f>OFFSET('SAMLET_alle regnskab'!$A$1,MATCH(E$54,'SAMLET_alle regnskab'!BK$1:BK138,0),MATCH("test",'SAMLET_alle regnskab'!$A$1:$BH$1,0),1,1)</f>
        <v>45199</v>
      </c>
      <c r="F55" s="169">
        <f>OFFSET('SAMLET_alle regnskab'!$A$1,MATCH(F$54,'SAMLET_alle regnskab'!BL$1:BL138,0),MATCH("test",'SAMLET_alle regnskab'!$A$1:$BH$1,0),1,1)</f>
        <v>44618</v>
      </c>
      <c r="G55" s="169">
        <f>OFFSET('SAMLET_alle regnskab'!$A$1,MATCH(G$54,'SAMLET_alle regnskab'!BM$1:BM138,0),MATCH("test",'SAMLET_alle regnskab'!$A$1:$BH$1,0),1,1)</f>
        <v>44365</v>
      </c>
    </row>
    <row r="56">
      <c r="B56" s="25"/>
      <c r="D56" s="170"/>
      <c r="E56" s="170"/>
      <c r="F56" s="170"/>
      <c r="G56" s="170"/>
    </row>
    <row r="57">
      <c r="B57" s="25" t="s">
        <v>204</v>
      </c>
      <c r="D57" s="170">
        <f t="array" ref="D57">max(INDIRECT("'SAMLET_alle regnskab'!BO" &amp; $B$2 &amp; ":BO" &amp; $C$2))</f>
        <v>100</v>
      </c>
      <c r="E57" s="170">
        <f t="array" ref="E57">max(INDIRECT("'SAMLET_alle regnskab'!BP" &amp; $B$2 &amp; ":BP" &amp; $C$2))</f>
        <v>88</v>
      </c>
      <c r="F57" s="170">
        <f t="array" ref="F57">max(INDIRECT("'SAMLET_alle regnskab'!BQ" &amp; $B$2 &amp; ":BQ" &amp; $C$2))</f>
        <v>84</v>
      </c>
      <c r="G57" s="170">
        <f t="array" ref="G57">max(INDIRECT("'SAMLET_alle regnskab'!BR" &amp; $B$2 &amp; ":BR" &amp; $C$2))</f>
        <v>76</v>
      </c>
    </row>
    <row r="58">
      <c r="B58" s="25"/>
      <c r="D58" s="169">
        <f>OFFSET('SAMLET_alle regnskab'!$A$1,MATCH(D$57,'SAMLET_alle regnskab'!BO$1:BO138,0),MATCH("test",'SAMLET_alle regnskab'!$A$1:$BH$1,0),1,1)</f>
        <v>43407</v>
      </c>
      <c r="E58" s="171"/>
      <c r="F58" s="171"/>
      <c r="G58" s="171"/>
    </row>
    <row r="59">
      <c r="B59" s="25"/>
      <c r="D59" s="171"/>
      <c r="E59" s="171"/>
      <c r="F59" s="171"/>
      <c r="G59" s="171"/>
    </row>
    <row r="60">
      <c r="B60" s="25" t="s">
        <v>205</v>
      </c>
      <c r="D60" s="170">
        <f t="array" ref="D60">MIN(INDIRECT("'SAMLET_alle regnskab'!BT" &amp; $B$2 &amp; ":BT" &amp; $C$2))</f>
        <v>-92</v>
      </c>
      <c r="E60" s="170">
        <f t="array" ref="E60">MIN(INDIRECT("'SAMLET_alle regnskab'!BU" &amp; $B$2 &amp; ":BU" &amp; $C$2))</f>
        <v>-80</v>
      </c>
      <c r="F60" s="170">
        <f t="array" ref="F60">MIN(INDIRECT("'SAMLET_alle regnskab'!BV" &amp; $B$2 &amp; ":BV" &amp; $C$2))</f>
        <v>-92</v>
      </c>
      <c r="G60" s="170">
        <f t="array" ref="G60">MIN(INDIRECT("'SAMLET_alle regnskab'!BW" &amp; $B$2 &amp; ":BW" &amp; $C$2))</f>
        <v>-92</v>
      </c>
    </row>
    <row r="61">
      <c r="I61" s="26"/>
      <c r="J61" s="26"/>
      <c r="K61" s="26"/>
      <c r="L61" s="26"/>
    </row>
    <row r="62">
      <c r="I62" s="26"/>
      <c r="J62" s="26"/>
      <c r="K62" s="26"/>
      <c r="L62" s="26"/>
    </row>
    <row r="63">
      <c r="I63" s="26" t="str">
        <f t="shared" ref="I63:L63" si="25">I3</f>
        <v>Thomas</v>
      </c>
      <c r="J63" s="26" t="str">
        <f t="shared" si="25"/>
        <v>Peter</v>
      </c>
      <c r="K63" s="26" t="str">
        <f t="shared" si="25"/>
        <v>Janus</v>
      </c>
      <c r="L63" s="26" t="str">
        <f t="shared" si="25"/>
        <v>Christian</v>
      </c>
    </row>
    <row r="64">
      <c r="C64" s="25" t="s">
        <v>154</v>
      </c>
      <c r="D64" s="25" t="s">
        <v>206</v>
      </c>
      <c r="I64" s="25" t="s">
        <v>207</v>
      </c>
      <c r="J64" s="25"/>
    </row>
    <row r="65">
      <c r="C65" s="53">
        <v>5.0</v>
      </c>
      <c r="D65" s="26">
        <f>COUNTIF('SAMLET_alle regnskab'!BE$1:BE138,$C65)</f>
        <v>10</v>
      </c>
      <c r="E65" s="26">
        <f>COUNTIF('SAMLET_alle regnskab'!BF$1:BF138,$C65)</f>
        <v>6</v>
      </c>
      <c r="F65" s="26">
        <f>COUNTIF('SAMLET_alle regnskab'!BG$1:BG138,$C65)</f>
        <v>13</v>
      </c>
      <c r="G65" s="26">
        <f>COUNTIF('SAMLET_alle regnskab'!BH$1:BH138,$C65)</f>
        <v>5</v>
      </c>
      <c r="H65" s="26"/>
      <c r="I65" s="26">
        <f>COUNTIF('SAMLET_alle regnskab'!BJ$1:BJ138,$C65)</f>
        <v>2</v>
      </c>
      <c r="J65" s="26">
        <f>COUNTIF('SAMLET_alle regnskab'!BK$1:BK138,$C65)</f>
        <v>16</v>
      </c>
      <c r="K65" s="26">
        <f>COUNTIF('SAMLET_alle regnskab'!BL$1:BL138,$C65)</f>
        <v>9</v>
      </c>
      <c r="L65" s="26">
        <f>COUNTIF('SAMLET_alle regnskab'!BM$1:BM138,$C65)</f>
        <v>7</v>
      </c>
    </row>
    <row r="66">
      <c r="C66" s="53">
        <v>6.0</v>
      </c>
      <c r="D66" s="26">
        <f>COUNTIF('SAMLET_alle regnskab'!BE$1:BE138,$C66)</f>
        <v>5</v>
      </c>
      <c r="E66" s="26">
        <f>COUNTIF('SAMLET_alle regnskab'!BF$1:BF138,$C66)</f>
        <v>1</v>
      </c>
      <c r="F66" s="26">
        <f>COUNTIF('SAMLET_alle regnskab'!BG$1:BG138,$C66)</f>
        <v>3</v>
      </c>
      <c r="G66" s="26">
        <f>COUNTIF('SAMLET_alle regnskab'!BH$1:BH138,$C66)</f>
        <v>3</v>
      </c>
      <c r="H66" s="26"/>
      <c r="I66" s="26">
        <f>COUNTIF('SAMLET_alle regnskab'!BJ$1:BJ138,$C66)</f>
        <v>1</v>
      </c>
      <c r="J66" s="26">
        <f>COUNTIF('SAMLET_alle regnskab'!BK$1:BK138,$C66)</f>
        <v>12</v>
      </c>
      <c r="K66" s="26">
        <f>COUNTIF('SAMLET_alle regnskab'!BL$1:BL138,$C66)</f>
        <v>4</v>
      </c>
      <c r="L66" s="26">
        <f>COUNTIF('SAMLET_alle regnskab'!BM$1:BM138,$C66)</f>
        <v>4</v>
      </c>
    </row>
    <row r="67">
      <c r="C67" s="53">
        <v>7.0</v>
      </c>
      <c r="D67" s="26">
        <f>COUNTIF('SAMLET_alle regnskab'!BE$1:BE138,$C67)</f>
        <v>4</v>
      </c>
      <c r="E67" s="26">
        <f>COUNTIF('SAMLET_alle regnskab'!BF$1:BF138,$C67)</f>
        <v>1</v>
      </c>
      <c r="F67" s="26">
        <f>COUNTIF('SAMLET_alle regnskab'!BG$1:BG138,$C67)</f>
        <v>2</v>
      </c>
      <c r="G67" s="26">
        <f>COUNTIF('SAMLET_alle regnskab'!BH$1:BH138,$C67)</f>
        <v>1</v>
      </c>
      <c r="H67" s="26"/>
      <c r="I67" s="26">
        <f>COUNTIF('SAMLET_alle regnskab'!BJ$1:BJ138,$C67)</f>
        <v>1</v>
      </c>
      <c r="J67" s="26">
        <f>COUNTIF('SAMLET_alle regnskab'!BK$1:BK138,$C67)</f>
        <v>8</v>
      </c>
      <c r="K67" s="26">
        <f>COUNTIF('SAMLET_alle regnskab'!BL$1:BL138,$C67)</f>
        <v>1</v>
      </c>
      <c r="L67" s="26">
        <f>COUNTIF('SAMLET_alle regnskab'!BM$1:BM138,$C67)</f>
        <v>2</v>
      </c>
    </row>
    <row r="68">
      <c r="C68" s="53">
        <v>8.0</v>
      </c>
      <c r="D68" s="26">
        <f>COUNTIF('SAMLET_alle regnskab'!BE$1:BE138,$C68)</f>
        <v>3</v>
      </c>
      <c r="E68" s="26">
        <f>COUNTIF('SAMLET_alle regnskab'!BF$1:BF138,$C68)</f>
        <v>0</v>
      </c>
      <c r="F68" s="26">
        <f>COUNTIF('SAMLET_alle regnskab'!BG$1:BG138,$C68)</f>
        <v>2</v>
      </c>
      <c r="G68" s="26">
        <f>COUNTIF('SAMLET_alle regnskab'!BH$1:BH138,$C68)</f>
        <v>1</v>
      </c>
      <c r="H68" s="26"/>
      <c r="I68" s="26">
        <f>COUNTIF('SAMLET_alle regnskab'!BJ$1:BJ138,$C68)</f>
        <v>0</v>
      </c>
      <c r="J68" s="26">
        <f>COUNTIF('SAMLET_alle regnskab'!BK$1:BK138,$C68)</f>
        <v>7</v>
      </c>
      <c r="K68" s="26">
        <f>COUNTIF('SAMLET_alle regnskab'!BL$1:BL138,$C68)</f>
        <v>0</v>
      </c>
      <c r="L68" s="26">
        <f>COUNTIF('SAMLET_alle regnskab'!BM$1:BM138,$C68)</f>
        <v>0</v>
      </c>
    </row>
    <row r="69">
      <c r="C69" s="53">
        <v>9.0</v>
      </c>
      <c r="D69" s="26">
        <f>COUNTIF('SAMLET_alle regnskab'!BE$1:BE138,$C69)</f>
        <v>0</v>
      </c>
      <c r="E69" s="26">
        <f>COUNTIF('SAMLET_alle regnskab'!BF$1:BF138,$C69)</f>
        <v>0</v>
      </c>
      <c r="F69" s="26">
        <f>COUNTIF('SAMLET_alle regnskab'!BG$1:BG138,$C69)</f>
        <v>1</v>
      </c>
      <c r="G69" s="26">
        <f>COUNTIF('SAMLET_alle regnskab'!BH$1:BH138,$C69)</f>
        <v>1</v>
      </c>
      <c r="H69" s="26"/>
      <c r="I69" s="26">
        <f>COUNTIF('SAMLET_alle regnskab'!BJ$1:BJ138,$C69)</f>
        <v>0</v>
      </c>
      <c r="J69" s="26">
        <f>COUNTIF('SAMLET_alle regnskab'!BK$1:BK138,$C69)</f>
        <v>2</v>
      </c>
      <c r="K69" s="26">
        <f>COUNTIF('SAMLET_alle regnskab'!BL$1:BL138,$C69)</f>
        <v>0</v>
      </c>
      <c r="L69" s="26">
        <f>COUNTIF('SAMLET_alle regnskab'!BM$1:BM138,$C69)</f>
        <v>0</v>
      </c>
    </row>
    <row r="70">
      <c r="C70" s="53">
        <v>10.0</v>
      </c>
      <c r="D70" s="26">
        <f>COUNTIF('SAMLET_alle regnskab'!BE$1:BE138,$C70)</f>
        <v>0</v>
      </c>
      <c r="E70" s="26">
        <f>COUNTIF('SAMLET_alle regnskab'!BF$1:BF138,$C70)</f>
        <v>0</v>
      </c>
      <c r="F70" s="26">
        <f>COUNTIF('SAMLET_alle regnskab'!BG$1:BG138,$C70)</f>
        <v>0</v>
      </c>
      <c r="G70" s="26">
        <f>COUNTIF('SAMLET_alle regnskab'!BH$1:BH138,$C70)</f>
        <v>1</v>
      </c>
      <c r="H70" s="26"/>
      <c r="I70" s="26">
        <f>COUNTIF('SAMLET_alle regnskab'!BJ$1:BJ138,$C70)</f>
        <v>0</v>
      </c>
      <c r="J70" s="26">
        <f>COUNTIF('SAMLET_alle regnskab'!BK$1:BK138,$C70)</f>
        <v>2</v>
      </c>
      <c r="K70" s="26">
        <f>COUNTIF('SAMLET_alle regnskab'!BL$1:BL138,$C70)</f>
        <v>0</v>
      </c>
      <c r="L70" s="26">
        <f>COUNTIF('SAMLET_alle regnskab'!BM$1:BM138,$C70)</f>
        <v>0</v>
      </c>
    </row>
    <row r="71">
      <c r="C71" s="53">
        <v>11.0</v>
      </c>
      <c r="D71" s="26">
        <f>COUNTIF('SAMLET_alle regnskab'!BE$1:BE138,$C71)</f>
        <v>0</v>
      </c>
      <c r="E71" s="26">
        <f>COUNTIF('SAMLET_alle regnskab'!BF$1:BF138,$C71)</f>
        <v>0</v>
      </c>
      <c r="F71" s="26">
        <f>COUNTIF('SAMLET_alle regnskab'!BG$1:BG138,$C71)</f>
        <v>0</v>
      </c>
      <c r="G71" s="26">
        <f>COUNTIF('SAMLET_alle regnskab'!BH$1:BH138,$C71)</f>
        <v>1</v>
      </c>
      <c r="H71" s="26"/>
      <c r="I71" s="26">
        <f>COUNTIF('SAMLET_alle regnskab'!BJ$1:BJ138,$C71)</f>
        <v>0</v>
      </c>
      <c r="J71" s="26">
        <f>COUNTIF('SAMLET_alle regnskab'!BK$1:BK138,$C71)</f>
        <v>2</v>
      </c>
      <c r="K71" s="26">
        <f>COUNTIF('SAMLET_alle regnskab'!BL$1:BL138,$C71)</f>
        <v>0</v>
      </c>
      <c r="L71" s="26">
        <f>COUNTIF('SAMLET_alle regnskab'!BM$1:BM138,$C71)</f>
        <v>0</v>
      </c>
    </row>
    <row r="72">
      <c r="C72" s="53">
        <v>12.0</v>
      </c>
      <c r="D72" s="26">
        <f>COUNTIF('SAMLET_alle regnskab'!BE$1:BE138,$C72)</f>
        <v>0</v>
      </c>
      <c r="E72" s="26">
        <f>COUNTIF('SAMLET_alle regnskab'!BF$1:BF138,$C72)</f>
        <v>0</v>
      </c>
      <c r="F72" s="26">
        <f>COUNTIF('SAMLET_alle regnskab'!BG$1:BG138,$C72)</f>
        <v>0</v>
      </c>
      <c r="G72" s="26">
        <f>COUNTIF('SAMLET_alle regnskab'!BH$1:BH138,$C72)</f>
        <v>1</v>
      </c>
      <c r="H72" s="26"/>
      <c r="I72" s="26">
        <f>COUNTIF('SAMLET_alle regnskab'!BJ$1:BJ138,$C72)</f>
        <v>0</v>
      </c>
      <c r="J72" s="26">
        <f>COUNTIF('SAMLET_alle regnskab'!BK$1:BK138,$C72)</f>
        <v>2</v>
      </c>
      <c r="K72" s="26">
        <f>COUNTIF('SAMLET_alle regnskab'!BL$1:BL138,$C72)</f>
        <v>0</v>
      </c>
      <c r="L72" s="26">
        <f>COUNTIF('SAMLET_alle regnskab'!BM$1:BM138,$C72)</f>
        <v>0</v>
      </c>
    </row>
    <row r="73">
      <c r="C73" s="53">
        <v>13.0</v>
      </c>
      <c r="D73" s="26">
        <f>COUNTIF('SAMLET_alle regnskab'!BE$1:BE138,$C73)</f>
        <v>0</v>
      </c>
      <c r="E73" s="26">
        <f>COUNTIF('SAMLET_alle regnskab'!BF$1:BF138,$C73)</f>
        <v>0</v>
      </c>
      <c r="F73" s="26">
        <f>COUNTIF('SAMLET_alle regnskab'!BG$1:BG138,$C73)</f>
        <v>0</v>
      </c>
      <c r="G73" s="26">
        <f>COUNTIF('SAMLET_alle regnskab'!BH$1:BH138,$C73)</f>
        <v>0</v>
      </c>
      <c r="H73" s="26"/>
      <c r="I73" s="26">
        <f>COUNTIF('SAMLET_alle regnskab'!BJ$1:BJ138,$C73)</f>
        <v>0</v>
      </c>
      <c r="J73" s="26">
        <f>COUNTIF('SAMLET_alle regnskab'!BK$1:BK138,$C73)</f>
        <v>1</v>
      </c>
      <c r="K73" s="26">
        <f>COUNTIF('SAMLET_alle regnskab'!BL$1:BL138,$C73)</f>
        <v>0</v>
      </c>
      <c r="L73" s="26">
        <f>COUNTIF('SAMLET_alle regnskab'!BM$1:BM138,$C73)</f>
        <v>0</v>
      </c>
    </row>
    <row r="74">
      <c r="C74" s="53">
        <v>14.0</v>
      </c>
      <c r="D74" s="26">
        <f>COUNTIF('SAMLET_alle regnskab'!BE$1:BE138,$C74)</f>
        <v>0</v>
      </c>
      <c r="E74" s="26">
        <f>COUNTIF('SAMLET_alle regnskab'!BF$1:BF138,$C74)</f>
        <v>0</v>
      </c>
      <c r="F74" s="26">
        <f>COUNTIF('SAMLET_alle regnskab'!BG$1:BG138,$C74)</f>
        <v>0</v>
      </c>
      <c r="G74" s="26">
        <f>COUNTIF('SAMLET_alle regnskab'!BH$1:BH138,$C74)</f>
        <v>0</v>
      </c>
      <c r="H74" s="26"/>
      <c r="I74" s="26">
        <f>COUNTIF('SAMLET_alle regnskab'!BJ$1:BJ138,$C74)</f>
        <v>0</v>
      </c>
      <c r="J74" s="26">
        <f>COUNTIF('SAMLET_alle regnskab'!BK$1:BK138,$C74)</f>
        <v>1</v>
      </c>
      <c r="K74" s="26">
        <f>COUNTIF('SAMLET_alle regnskab'!BL$1:BL138,$C74)</f>
        <v>0</v>
      </c>
      <c r="L74" s="26">
        <f>COUNTIF('SAMLET_alle regnskab'!BM$1:BM138,$C74)</f>
        <v>0</v>
      </c>
    </row>
    <row r="75">
      <c r="C75" s="53">
        <v>15.0</v>
      </c>
      <c r="D75" s="26">
        <f>COUNTIF('SAMLET_alle regnskab'!BE$1:BE138,$C75)</f>
        <v>0</v>
      </c>
      <c r="E75" s="26">
        <f>COUNTIF('SAMLET_alle regnskab'!BF$1:BF138,$C75)</f>
        <v>0</v>
      </c>
      <c r="F75" s="26">
        <f>COUNTIF('SAMLET_alle regnskab'!BG$1:BG138,$C75)</f>
        <v>0</v>
      </c>
      <c r="G75" s="26">
        <f>COUNTIF('SAMLET_alle regnskab'!BH$1:BH138,$C75)</f>
        <v>0</v>
      </c>
      <c r="H75" s="26"/>
      <c r="I75" s="26">
        <f>COUNTIF('SAMLET_alle regnskab'!BJ$1:BJ138,$C75)</f>
        <v>0</v>
      </c>
      <c r="J75" s="26">
        <f>COUNTIF('SAMLET_alle regnskab'!BK$1:BK138,$C75)</f>
        <v>1</v>
      </c>
      <c r="K75" s="26">
        <f>COUNTIF('SAMLET_alle regnskab'!BL$1:BL138,$C75)</f>
        <v>0</v>
      </c>
      <c r="L75" s="26">
        <f>COUNTIF('SAMLET_alle regnskab'!BM$1:BM138,$C75)</f>
        <v>0</v>
      </c>
    </row>
    <row r="76">
      <c r="J76" s="25"/>
    </row>
    <row r="77">
      <c r="C77" s="25" t="s">
        <v>208</v>
      </c>
      <c r="D77" s="25" t="s">
        <v>209</v>
      </c>
      <c r="I77" s="25" t="s">
        <v>210</v>
      </c>
      <c r="J77" s="25"/>
    </row>
    <row r="78">
      <c r="A78" s="172" t="s">
        <v>211</v>
      </c>
      <c r="B78" s="25">
        <v>0.0</v>
      </c>
      <c r="C78" s="173">
        <v>7.0</v>
      </c>
      <c r="D78" s="26">
        <f>COUNTIFS('SAMLET_alle regnskab'!BO$1:BO138,"&gt;=0",'SAMLET_alle regnskab'!BO$1:BO138,"&lt;=7")</f>
        <v>270</v>
      </c>
      <c r="E78" s="26">
        <f>COUNTIFS('SAMLET_alle regnskab'!BP$1:BP138,"&gt;=0",'SAMLET_alle regnskab'!BP$1:BP138,"&lt;=7")</f>
        <v>347</v>
      </c>
      <c r="F78" s="26">
        <f>COUNTIFS('SAMLET_alle regnskab'!BQ$1:BQ138,"&gt;=0",'SAMLET_alle regnskab'!BQ$1:BQ138,"&lt;=7")</f>
        <v>303</v>
      </c>
      <c r="G78" s="26">
        <f>COUNTIFS('SAMLET_alle regnskab'!BR$1:BR138,"&gt;=0",'SAMLET_alle regnskab'!BR$1:BR138,"&lt;=7")</f>
        <v>311</v>
      </c>
      <c r="I78" s="26">
        <f>COUNTIFS('SAMLET_alle regnskab'!BT$1:BT138,"&lt;=-1",'SAMLET_alle regnskab'!BT$1:BT138,"&lt;=-7")</f>
        <v>229</v>
      </c>
      <c r="J78" s="26">
        <f>COUNTIFS('SAMLET_alle regnskab'!BU$1:BU138,"&lt;=-1",'SAMLET_alle regnskab'!BU$1:BU138,"&lt;=-7")</f>
        <v>311</v>
      </c>
      <c r="K78" s="26">
        <f>COUNTIFS('SAMLET_alle regnskab'!BV$1:BV138,"&lt;=-1",'SAMLET_alle regnskab'!BV$1:BV138,"&lt;=-7")</f>
        <v>269</v>
      </c>
      <c r="L78" s="26">
        <f>COUNTIFS('SAMLET_alle regnskab'!BW$1:BW138,"&lt;=-1",'SAMLET_alle regnskab'!BW$1:BW138,"&lt;=-7")</f>
        <v>271</v>
      </c>
    </row>
    <row r="79">
      <c r="A79" s="172" t="s">
        <v>211</v>
      </c>
      <c r="B79" s="25">
        <v>8.0</v>
      </c>
      <c r="C79" s="173">
        <v>15.0</v>
      </c>
      <c r="D79" s="26">
        <f>COUNTIFS('SAMLET_alle regnskab'!BO$1:BO138,"&gt;=8",'SAMLET_alle regnskab'!BO$1:BO138,"&lt;=15")</f>
        <v>78</v>
      </c>
      <c r="E79" s="26">
        <f>COUNTIFS('SAMLET_alle regnskab'!BP$1:BP138,"&gt;=8",'SAMLET_alle regnskab'!BP$1:BP138,"&lt;=15")</f>
        <v>60</v>
      </c>
      <c r="F79" s="26">
        <f>COUNTIFS('SAMLET_alle regnskab'!BQ$1:BQ138,"&gt;=8",'SAMLET_alle regnskab'!BQ$1:BQ138,"&lt;=15")</f>
        <v>63</v>
      </c>
      <c r="G79" s="26">
        <f>COUNTIFS('SAMLET_alle regnskab'!BR$1:BR138,"&gt;=8",'SAMLET_alle regnskab'!BR$1:BR138,"&lt;=15")</f>
        <v>77</v>
      </c>
      <c r="I79" s="26">
        <f>COUNTIFS('SAMLET_alle regnskab'!BT$1:BT138,"&lt;=-8",'SAMLET_alle regnskab'!BT$1:BT138,"&gt;=-15")</f>
        <v>67</v>
      </c>
      <c r="J79" s="26">
        <f>COUNTIFS('SAMLET_alle regnskab'!BU$1:BU138,"&lt;=-8",'SAMLET_alle regnskab'!BU$1:BU138,"&gt;=-15")</f>
        <v>50</v>
      </c>
      <c r="K79" s="26">
        <f>COUNTIFS('SAMLET_alle regnskab'!BV$1:BV138,"&lt;=-8",'SAMLET_alle regnskab'!BV$1:BV138,"&gt;=-15")</f>
        <v>66</v>
      </c>
      <c r="L79" s="26">
        <f>COUNTIFS('SAMLET_alle regnskab'!BW$1:BW138,"&lt;=-8",'SAMLET_alle regnskab'!BW$1:BW138,"&gt;=-15")</f>
        <v>66</v>
      </c>
    </row>
    <row r="80">
      <c r="A80" s="172" t="s">
        <v>211</v>
      </c>
      <c r="B80" s="25">
        <v>16.0</v>
      </c>
      <c r="C80" s="173">
        <v>31.0</v>
      </c>
      <c r="D80" s="26">
        <f>COUNTIFS('SAMLET_alle regnskab'!BO$1:BO138,"&gt;=16",'SAMLET_alle regnskab'!BO$1:BO138,"&lt;=31")</f>
        <v>83</v>
      </c>
      <c r="E80" s="26">
        <f>COUNTIFS('SAMLET_alle regnskab'!BP$1:BP138,"&gt;=16",'SAMLET_alle regnskab'!BP$1:BP138,"&lt;=31")</f>
        <v>62</v>
      </c>
      <c r="F80" s="26">
        <f>COUNTIFS('SAMLET_alle regnskab'!BQ$1:BQ138,"&gt;=16",'SAMLET_alle regnskab'!BQ$1:BQ138,"&lt;=31")</f>
        <v>73</v>
      </c>
      <c r="G80" s="26">
        <f>COUNTIFS('SAMLET_alle regnskab'!BR$1:BR138,"&gt;=16",'SAMLET_alle regnskab'!BR$1:BR138,"&lt;=31")</f>
        <v>78</v>
      </c>
      <c r="I80" s="26">
        <f>COUNTIFS('SAMLET_alle regnskab'!BT$1:BT138,"&lt;=-16",'SAMLET_alle regnskab'!BT$1:BT138,"&gt;=-31")</f>
        <v>66</v>
      </c>
      <c r="J80" s="26">
        <f>COUNTIFS('SAMLET_alle regnskab'!BU$1:BU138,"&lt;=-16",'SAMLET_alle regnskab'!BU$1:BU138,"&gt;=-31")</f>
        <v>58</v>
      </c>
      <c r="K80" s="26">
        <f>COUNTIFS('SAMLET_alle regnskab'!BV$1:BV138,"&lt;=-16",'SAMLET_alle regnskab'!BV$1:BV138,"&gt;=-31")</f>
        <v>66</v>
      </c>
      <c r="L80" s="26">
        <f>COUNTIFS('SAMLET_alle regnskab'!BW$1:BW138,"&lt;=-16",'SAMLET_alle regnskab'!BW$1:BW138,"&gt;=-31")</f>
        <v>68</v>
      </c>
    </row>
    <row r="81">
      <c r="A81" s="172" t="s">
        <v>211</v>
      </c>
      <c r="B81" s="25">
        <v>32.0</v>
      </c>
      <c r="C81" s="173">
        <v>63.0</v>
      </c>
      <c r="D81" s="26">
        <f>COUNTIFS('SAMLET_alle regnskab'!BO$1:BO138,"&gt;=32",'SAMLET_alle regnskab'!BO$1:BO138,"&lt;=63")</f>
        <v>77</v>
      </c>
      <c r="E81" s="26">
        <f>COUNTIFS('SAMLET_alle regnskab'!BP$1:BP138,"&gt;=32",'SAMLET_alle regnskab'!BP$1:BP138,"&lt;=63")</f>
        <v>68</v>
      </c>
      <c r="F81" s="26">
        <f>COUNTIFS('SAMLET_alle regnskab'!BQ$1:BQ138,"&gt;=32",'SAMLET_alle regnskab'!BQ$1:BQ138,"&lt;=63")</f>
        <v>81</v>
      </c>
      <c r="G81" s="26">
        <f>COUNTIFS('SAMLET_alle regnskab'!BR$1:BR138,"&gt;=32",'SAMLET_alle regnskab'!BR$1:BR138,"&lt;=63")</f>
        <v>64</v>
      </c>
      <c r="I81" s="26">
        <f>COUNTIFS('SAMLET_alle regnskab'!BT$1:BT138,"&lt;=-32",'SAMLET_alle regnskab'!BT$1:BT138,"&gt;=-63")</f>
        <v>39</v>
      </c>
      <c r="J81" s="26">
        <f>COUNTIFS('SAMLET_alle regnskab'!BU$1:BU138,"&lt;=-32",'SAMLET_alle regnskab'!BU$1:BU138,"&gt;=-63")</f>
        <v>83</v>
      </c>
      <c r="K81" s="26">
        <f>COUNTIFS('SAMLET_alle regnskab'!BV$1:BV138,"&lt;=-32",'SAMLET_alle regnskab'!BV$1:BV138,"&gt;=-63")</f>
        <v>70</v>
      </c>
      <c r="L81" s="26">
        <f>COUNTIFS('SAMLET_alle regnskab'!BW$1:BW138,"&lt;=-32",'SAMLET_alle regnskab'!BW$1:BW138,"&gt;=-63")</f>
        <v>80</v>
      </c>
    </row>
    <row r="82">
      <c r="A82" s="172" t="s">
        <v>211</v>
      </c>
      <c r="B82" s="25">
        <v>64.0</v>
      </c>
      <c r="C82" s="173">
        <v>95.0</v>
      </c>
      <c r="D82" s="26">
        <f>COUNTIFS('SAMLET_alle regnskab'!BO$1:BO138,"&gt;=64",'SAMLET_alle regnskab'!BO$1:BO138,"&lt;=95")</f>
        <v>38</v>
      </c>
      <c r="E82" s="26">
        <f>COUNTIFS('SAMLET_alle regnskab'!BP$1:BP138,"&gt;=64",'SAMLET_alle regnskab'!BP$1:BP138,"&lt;=95")</f>
        <v>29</v>
      </c>
      <c r="F82" s="26">
        <f>COUNTIFS('SAMLET_alle regnskab'!BQ$1:BQ138,"&gt;=64",'SAMLET_alle regnskab'!BQ$1:BQ138,"&lt;=95")</f>
        <v>26</v>
      </c>
      <c r="G82" s="26">
        <f>COUNTIFS('SAMLET_alle regnskab'!BR$1:BR138,"&gt;=64",'SAMLET_alle regnskab'!BR$1:BR138,"&lt;=95")</f>
        <v>28</v>
      </c>
      <c r="I82" s="26">
        <f>COUNTIFS('SAMLET_alle regnskab'!BT$1:BT138,"&lt;=-64",'SAMLET_alle regnskab'!BT$1:BT138,"&gt;=-95")</f>
        <v>20</v>
      </c>
      <c r="J82" s="26">
        <f>COUNTIFS('SAMLET_alle regnskab'!BU$1:BU138,"&lt;=-64",'SAMLET_alle regnskab'!BU$1:BU138,"&gt;=-95")</f>
        <v>39</v>
      </c>
      <c r="K82" s="26">
        <f>COUNTIFS('SAMLET_alle regnskab'!BV$1:BV138,"&lt;=-64",'SAMLET_alle regnskab'!BV$1:BV138,"&gt;=-95")</f>
        <v>37</v>
      </c>
      <c r="L82" s="26">
        <f>COUNTIFS('SAMLET_alle regnskab'!BW$1:BW138,"&lt;=-64",'SAMLET_alle regnskab'!BW$1:BW138,"&gt;=-95")</f>
        <v>32</v>
      </c>
    </row>
    <row r="83">
      <c r="A83" s="172" t="s">
        <v>211</v>
      </c>
      <c r="B83" s="25">
        <v>96.0</v>
      </c>
      <c r="C83" s="173">
        <v>127.0</v>
      </c>
      <c r="D83" s="26">
        <f>COUNTIFS('SAMLET_alle regnskab'!BO$1:BO138,"&gt;=96",'SAMLET_alle regnskab'!BO$1:BO138,"&lt;=127")</f>
        <v>21</v>
      </c>
      <c r="E83" s="26">
        <f>COUNTIFS('SAMLET_alle regnskab'!BP$1:BP138,"&gt;=96",'SAMLET_alle regnskab'!BP$1:BP138,"&lt;=127")</f>
        <v>12</v>
      </c>
      <c r="F83" s="26">
        <f>COUNTIFS('SAMLET_alle regnskab'!BQ$1:BQ138,"&gt;=96",'SAMLET_alle regnskab'!BQ$1:BQ138,"&lt;=127")</f>
        <v>9</v>
      </c>
      <c r="G83" s="26">
        <f>COUNTIFS('SAMLET_alle regnskab'!BR$1:BR138,"&gt;=96",'SAMLET_alle regnskab'!BR$1:BR138,"&lt;=127")</f>
        <v>11</v>
      </c>
      <c r="I83" s="26">
        <f>COUNTIFS('SAMLET_alle regnskab'!BT$1:BT138,"&lt;=-96",'SAMLET_alle regnskab'!BT$1:BT138,"&gt;=-127")</f>
        <v>15</v>
      </c>
      <c r="J83" s="26">
        <f>COUNTIFS('SAMLET_alle regnskab'!BU$1:BU138,"&lt;=-96",'SAMLET_alle regnskab'!BU$1:BU138,"&gt;=-127")</f>
        <v>25</v>
      </c>
      <c r="K83" s="26">
        <f>COUNTIFS('SAMLET_alle regnskab'!BV$1:BV138,"&lt;=-96",'SAMLET_alle regnskab'!BV$1:BV138,"&gt;=-127")</f>
        <v>19</v>
      </c>
      <c r="L83" s="26">
        <f>COUNTIFS('SAMLET_alle regnskab'!BW$1:BW138,"&lt;=-96",'SAMLET_alle regnskab'!BW$1:BW138,"&gt;=-127")</f>
        <v>14</v>
      </c>
    </row>
    <row r="84">
      <c r="A84" s="172" t="s">
        <v>211</v>
      </c>
      <c r="B84" s="25">
        <v>128.0</v>
      </c>
      <c r="C84" s="173">
        <v>199.0</v>
      </c>
      <c r="D84" s="26">
        <f>COUNTIFS('SAMLET_alle regnskab'!BO$1:BO138,"&gt;=128",'SAMLET_alle regnskab'!BO$1:BO138,"&lt;=199")</f>
        <v>15</v>
      </c>
      <c r="E84" s="26">
        <f>COUNTIFS('SAMLET_alle regnskab'!BP$1:BP138,"&gt;=128",'SAMLET_alle regnskab'!BP$1:BP138,"&lt;=199")</f>
        <v>8</v>
      </c>
      <c r="F84" s="26">
        <f>COUNTIFS('SAMLET_alle regnskab'!BQ$1:BQ138,"&gt;=128",'SAMLET_alle regnskab'!BQ$1:BQ138,"&lt;=199")</f>
        <v>15</v>
      </c>
      <c r="G84" s="26">
        <f>COUNTIFS('SAMLET_alle regnskab'!BR$1:BR138,"&gt;=128",'SAMLET_alle regnskab'!BR$1:BR138,"&lt;=199")</f>
        <v>5</v>
      </c>
      <c r="I84" s="26">
        <f>COUNTIFS('SAMLET_alle regnskab'!BT$1:BT138,"&lt;=-128",'SAMLET_alle regnskab'!BT$1:BT138,"&gt;=-199")</f>
        <v>7</v>
      </c>
      <c r="J84" s="26">
        <f>COUNTIFS('SAMLET_alle regnskab'!BU$1:BU138,"&lt;=-128",'SAMLET_alle regnskab'!BU$1:BU138,"&gt;=-199")</f>
        <v>39</v>
      </c>
      <c r="K84" s="26">
        <f>COUNTIFS('SAMLET_alle regnskab'!BV$1:BV138,"&lt;=-128",'SAMLET_alle regnskab'!BV$1:BV138,"&gt;=-199")</f>
        <v>11</v>
      </c>
      <c r="L84" s="26">
        <f>COUNTIFS('SAMLET_alle regnskab'!BW$1:BW138,"&lt;=-128",'SAMLET_alle regnskab'!BW$1:BW138,"&gt;=-199")</f>
        <v>8</v>
      </c>
    </row>
    <row r="85">
      <c r="A85" s="172" t="s">
        <v>211</v>
      </c>
      <c r="B85" s="25">
        <v>200.0</v>
      </c>
      <c r="C85" s="173">
        <v>299.0</v>
      </c>
      <c r="D85" s="26">
        <f>COUNTIFS('SAMLET_alle regnskab'!BO$1:BO138,"&gt;=200",'SAMLET_alle regnskab'!BO$1:BO138,"&lt;=299")</f>
        <v>4</v>
      </c>
      <c r="E85" s="26">
        <f>COUNTIFS('SAMLET_alle regnskab'!BP$1:BP138,"&gt;=200",'SAMLET_alle regnskab'!BP$1:BP138,"&lt;=299")</f>
        <v>0</v>
      </c>
      <c r="F85" s="26">
        <f>COUNTIFS('SAMLET_alle regnskab'!BQ$1:BQ138,"&gt;=200",'SAMLET_alle regnskab'!BQ$1:BQ138,"&lt;=299")</f>
        <v>14</v>
      </c>
      <c r="G85" s="26">
        <f>COUNTIFS('SAMLET_alle regnskab'!BR$1:BR138,"&gt;=200",'SAMLET_alle regnskab'!BR$1:BR138,"&lt;=299")</f>
        <v>9</v>
      </c>
      <c r="I85" s="26">
        <f>COUNTIFS('SAMLET_alle regnskab'!BT$1:BT138,"&lt;=-200",'SAMLET_alle regnskab'!BT$1:BT138,"&gt;=-299")</f>
        <v>13</v>
      </c>
      <c r="J85" s="26">
        <f>COUNTIFS('SAMLET_alle regnskab'!BU$1:BU138,"&lt;=-200",'SAMLET_alle regnskab'!BU$1:BU138,"&gt;=-299")</f>
        <v>17</v>
      </c>
      <c r="K85" s="26">
        <f>COUNTIFS('SAMLET_alle regnskab'!BV$1:BV138,"&lt;=-200",'SAMLET_alle regnskab'!BV$1:BV138,"&gt;=-299")</f>
        <v>0</v>
      </c>
      <c r="L85" s="26">
        <f>COUNTIFS('SAMLET_alle regnskab'!BW$1:BW138,"&lt;=-200",'SAMLET_alle regnskab'!BW$1:BW138,"&gt;=-299")</f>
        <v>2</v>
      </c>
    </row>
    <row r="86">
      <c r="A86" s="172" t="s">
        <v>211</v>
      </c>
      <c r="C86" s="25" t="s">
        <v>212</v>
      </c>
      <c r="D86" s="26">
        <f>COUNTIF('SAMLET_alle regnskab'!BO$1:BO138,"&gt;=300")</f>
        <v>0</v>
      </c>
      <c r="E86" s="26">
        <f>COUNTIF('SAMLET_alle regnskab'!BP$1:BP138,"&gt;=300")</f>
        <v>0</v>
      </c>
      <c r="F86" s="26">
        <f>COUNTIF('SAMLET_alle regnskab'!BQ$1:BQ138,"&gt;=300")</f>
        <v>2</v>
      </c>
      <c r="G86" s="26">
        <f>COUNTIF('SAMLET_alle regnskab'!BR$1:BR138,"&gt;=300")</f>
        <v>3</v>
      </c>
      <c r="I86" s="26">
        <f>COUNTIF('SAMLET_alle regnskab'!BT$1:BT138,"&lt;=-300")</f>
        <v>2</v>
      </c>
      <c r="J86" s="26">
        <f>COUNTIF('SAMLET_alle regnskab'!BU$1:BU138,"&lt;=-300")</f>
        <v>0</v>
      </c>
      <c r="K86" s="26">
        <f>COUNTIF('SAMLET_alle regnskab'!BV$1:BV138,"&lt;=-300")</f>
        <v>0</v>
      </c>
      <c r="L86" s="26">
        <f>COUNTIF('SAMLET_alle regnskab'!BW$1:BW138,"&lt;=-300")</f>
        <v>1</v>
      </c>
    </row>
    <row r="88">
      <c r="A88" s="25" t="s">
        <v>213</v>
      </c>
    </row>
    <row r="89">
      <c r="B89" s="25" t="s">
        <v>214</v>
      </c>
      <c r="D89" s="25" t="s">
        <v>215</v>
      </c>
      <c r="I89" s="25" t="s">
        <v>216</v>
      </c>
      <c r="N89" s="25" t="s">
        <v>217</v>
      </c>
    </row>
    <row r="90">
      <c r="C90" s="129" t="s">
        <v>139</v>
      </c>
      <c r="D90" s="174">
        <f t="shared" ref="D90:D97" si="27">AVERAGEIFS(INDIRECT("'SAMLET_alle regnskab'!U$4:U$" &amp; $C$2), INDIRECT("'SAMLET_alle regnskab'!$N$4:$N$" &amp; $C$2), $C90)</f>
        <v>1.126760563</v>
      </c>
      <c r="E90" s="174">
        <f t="shared" ref="E90:E97" si="28">AVERAGEIFS(INDIRECT("'SAMLET_alle regnskab'!V$4:V$" &amp; $C$2), INDIRECT("'SAMLET_alle regnskab'!$N$4:$N$" &amp; $C$2), $C90)</f>
        <v>-2.197183099</v>
      </c>
      <c r="F90" s="174">
        <f t="shared" ref="F90:F97" si="29">AVERAGEIFS(INDIRECT("'SAMLET_alle regnskab'!W$4:W$" &amp; $C$2), INDIRECT("'SAMLET_alle regnskab'!$N$4:$N$" &amp; $C$2), $C90)</f>
        <v>0.7323943662</v>
      </c>
      <c r="G90" s="175">
        <f t="shared" ref="G90:G97" si="30">AVERAGEIFS(INDIRECT("'SAMLET_alle regnskab'!X$4:X$" &amp; $C$2), INDIRECT("'SAMLET_alle regnskab'!$N$4:$N$" &amp; $C$2), $C90)</f>
        <v>0.338028169</v>
      </c>
      <c r="I90" s="176">
        <f t="shared" ref="I90:I97" si="31">AVERAGEIFS(INDIRECT("'SAMLET_alle regnskab'!U$4:U$" &amp; $C$2), INDIRECT("'SAMLET_alle regnskab'!$N$4:$N$" &amp; $C$2), $C90, INDIRECT("'SAMLET_alle regnskab'!$H$4:$H$" &amp; $C$2), I$3)
</f>
        <v>8</v>
      </c>
      <c r="J90" s="176">
        <f t="shared" ref="J90:J97" si="32">AVERAGEIFS(INDIRECT("'SAMLET_alle regnskab'!V$4:V$" &amp; $C$2), INDIRECT("'SAMLET_alle regnskab'!$N$4:$N$" &amp; $C$2), $C90, INDIRECT("'SAMLET_alle regnskab'!$H$4:$H$" &amp; $C$2), J$3)
</f>
        <v>4</v>
      </c>
      <c r="K90" s="176">
        <f t="shared" ref="K90:K93" si="33">AVERAGEIFS(INDIRECT("'SAMLET_alle regnskab'!W$4:W$" &amp; $C$2), INDIRECT("'SAMLET_alle regnskab'!$N$4:$N$" &amp; $C$2), $C90, INDIRECT("'SAMLET_alle regnskab'!$H$4:$H$" &amp; $C$2), K$3)
</f>
        <v>10</v>
      </c>
      <c r="L90" s="176">
        <f t="shared" ref="L90:L97" si="34">AVERAGEIFS(INDIRECT("'SAMLET_alle regnskab'!X$4:X$" &amp; $C$2), INDIRECT("'SAMLET_alle regnskab'!$N$4:$N$" &amp; $C$2), $C90, INDIRECT("'SAMLET_alle regnskab'!$H$4:$H$" &amp; $C$2), L$3)
</f>
        <v>4.6</v>
      </c>
      <c r="N90" s="28">
        <f t="shared" ref="N90:Q90" si="26">COUNTIFS(INDIRECT("'SAMLET_alle regnskab'!$N$4:$N$" &amp; $C$2), $C90, INDIRECT("'SAMLET_alle regnskab'!$H$4:$H$" &amp; $C$2), N$3)</f>
        <v>13</v>
      </c>
      <c r="O90" s="28">
        <f t="shared" si="26"/>
        <v>15</v>
      </c>
      <c r="P90" s="28">
        <f t="shared" si="26"/>
        <v>12</v>
      </c>
      <c r="Q90" s="28">
        <f t="shared" si="26"/>
        <v>20</v>
      </c>
    </row>
    <row r="91">
      <c r="C91" s="129" t="s">
        <v>140</v>
      </c>
      <c r="D91" s="174">
        <f t="shared" si="27"/>
        <v>2.642857143</v>
      </c>
      <c r="E91" s="174">
        <f t="shared" si="28"/>
        <v>-1.30952381</v>
      </c>
      <c r="F91" s="174">
        <f t="shared" si="29"/>
        <v>-2.69047619</v>
      </c>
      <c r="G91" s="175">
        <f t="shared" si="30"/>
        <v>1.357142857</v>
      </c>
      <c r="I91" s="176">
        <f t="shared" si="31"/>
        <v>10.90909091</v>
      </c>
      <c r="J91" s="176">
        <f t="shared" si="32"/>
        <v>-4.756756757</v>
      </c>
      <c r="K91" s="176">
        <f t="shared" si="33"/>
        <v>-16</v>
      </c>
      <c r="L91" s="176">
        <f t="shared" si="34"/>
        <v>-0.1176470588</v>
      </c>
      <c r="N91" s="28">
        <f t="shared" ref="N91:Q91" si="35">COUNTIFS(INDIRECT("'SAMLET_alle regnskab'!$N$4:$N$" &amp; $C$2), $C91, INDIRECT("'SAMLET_alle regnskab'!$H$4:$H$" &amp; $C$2), N$3)</f>
        <v>11</v>
      </c>
      <c r="O91" s="28">
        <f t="shared" si="35"/>
        <v>37</v>
      </c>
      <c r="P91" s="28">
        <f t="shared" si="35"/>
        <v>12</v>
      </c>
      <c r="Q91" s="28">
        <f t="shared" si="35"/>
        <v>17</v>
      </c>
    </row>
    <row r="92">
      <c r="C92" s="131" t="s">
        <v>141</v>
      </c>
      <c r="D92" s="174">
        <f t="shared" si="27"/>
        <v>2.666666667</v>
      </c>
      <c r="E92" s="174">
        <f t="shared" si="28"/>
        <v>2.666666667</v>
      </c>
      <c r="F92" s="174">
        <f t="shared" si="29"/>
        <v>8</v>
      </c>
      <c r="G92" s="175">
        <f t="shared" si="30"/>
        <v>-13.33333333</v>
      </c>
      <c r="I92" s="176">
        <f t="shared" si="31"/>
        <v>48</v>
      </c>
      <c r="J92" s="176">
        <f t="shared" si="32"/>
        <v>6.857142857</v>
      </c>
      <c r="K92" s="176">
        <f t="shared" si="33"/>
        <v>48</v>
      </c>
      <c r="L92" s="176">
        <f t="shared" si="34"/>
        <v>-48</v>
      </c>
      <c r="N92" s="28">
        <f t="shared" ref="N92:Q92" si="36">COUNTIFS(INDIRECT("'SAMLET_alle regnskab'!$N$4:$N$" &amp; $C$2), $C92, INDIRECT("'SAMLET_alle regnskab'!$H$4:$H$" &amp; $C$2), N$3)</f>
        <v>1</v>
      </c>
      <c r="O92" s="28">
        <f t="shared" si="36"/>
        <v>7</v>
      </c>
      <c r="P92" s="28">
        <f t="shared" si="36"/>
        <v>2</v>
      </c>
      <c r="Q92" s="28">
        <f t="shared" si="36"/>
        <v>2</v>
      </c>
    </row>
    <row r="93">
      <c r="C93" s="129" t="s">
        <v>142</v>
      </c>
      <c r="D93" s="174">
        <f t="shared" si="27"/>
        <v>7.172413793</v>
      </c>
      <c r="E93" s="174">
        <f t="shared" si="28"/>
        <v>1.034482759</v>
      </c>
      <c r="F93" s="174">
        <f t="shared" si="29"/>
        <v>-5.827586207</v>
      </c>
      <c r="G93" s="175">
        <f t="shared" si="30"/>
        <v>-2.379310345</v>
      </c>
      <c r="I93" s="176">
        <f t="shared" si="31"/>
        <v>14.42105263</v>
      </c>
      <c r="J93" s="176">
        <f t="shared" si="32"/>
        <v>5.411764706</v>
      </c>
      <c r="K93" s="176">
        <f t="shared" si="33"/>
        <v>-2</v>
      </c>
      <c r="L93" s="176">
        <f t="shared" si="34"/>
        <v>6.933333333</v>
      </c>
      <c r="N93" s="28">
        <f t="shared" ref="N93:Q93" si="37">COUNTIFS(INDIRECT("'SAMLET_alle regnskab'!$N$4:$N$" &amp; $C$2), $C93, INDIRECT("'SAMLET_alle regnskab'!$H$4:$H$" &amp; $C$2), N$3)</f>
        <v>19</v>
      </c>
      <c r="O93" s="28">
        <f t="shared" si="37"/>
        <v>17</v>
      </c>
      <c r="P93" s="28">
        <f t="shared" si="37"/>
        <v>6</v>
      </c>
      <c r="Q93" s="28">
        <f t="shared" si="37"/>
        <v>15</v>
      </c>
    </row>
    <row r="94">
      <c r="C94" s="131" t="s">
        <v>143</v>
      </c>
      <c r="D94" s="174">
        <f t="shared" si="27"/>
        <v>-16.57142857</v>
      </c>
      <c r="E94" s="174">
        <f t="shared" si="28"/>
        <v>13.14285714</v>
      </c>
      <c r="F94" s="174">
        <f t="shared" si="29"/>
        <v>10.85714286</v>
      </c>
      <c r="G94" s="175">
        <f t="shared" si="30"/>
        <v>-7.428571429</v>
      </c>
      <c r="I94" s="176">
        <f t="shared" si="31"/>
        <v>16</v>
      </c>
      <c r="J94" s="176">
        <f t="shared" si="32"/>
        <v>17.77777778</v>
      </c>
      <c r="K94" s="177">
        <f t="array" ref="K94">IFERROR(AVERAGEIFS(INDIRECT("'SAMLET_alle regnskab'!W$4:W$" &amp; $C$2), INDIRECT("'SAMLET_alle regnskab'!$N$4:$N$" &amp; $C$2), $C94, INDIRECT("'SAMLET_alle regnskab'!$H$4:$H$" &amp; $C$2), K$3), "n/a")</f>
        <v>8</v>
      </c>
      <c r="L94" s="176">
        <f t="shared" si="34"/>
        <v>0</v>
      </c>
      <c r="N94" s="28">
        <f t="shared" ref="N94:Q94" si="38">COUNTIFS(INDIRECT("'SAMLET_alle regnskab'!$N$4:$N$" &amp; $C$2), $C94, INDIRECT("'SAMLET_alle regnskab'!$H$4:$H$" &amp; $C$2), N$3)</f>
        <v>1</v>
      </c>
      <c r="O94" s="28">
        <f t="shared" si="38"/>
        <v>9</v>
      </c>
      <c r="P94" s="28">
        <f t="shared" si="38"/>
        <v>1</v>
      </c>
      <c r="Q94" s="28">
        <f t="shared" si="38"/>
        <v>3</v>
      </c>
    </row>
    <row r="95">
      <c r="C95" s="129" t="s">
        <v>144</v>
      </c>
      <c r="D95" s="174">
        <f t="shared" si="27"/>
        <v>1.276190476</v>
      </c>
      <c r="E95" s="174">
        <f t="shared" si="28"/>
        <v>-2.419047619</v>
      </c>
      <c r="F95" s="174">
        <f t="shared" si="29"/>
        <v>-3.028571429</v>
      </c>
      <c r="G95" s="175">
        <f t="shared" si="30"/>
        <v>4.171428571</v>
      </c>
      <c r="I95" s="176">
        <f t="shared" si="31"/>
        <v>-2.424242424</v>
      </c>
      <c r="J95" s="176">
        <f t="shared" si="32"/>
        <v>-11.875</v>
      </c>
      <c r="K95" s="176">
        <f t="shared" ref="K95:K97" si="40">AVERAGEIFS(INDIRECT("'SAMLET_alle regnskab'!W$4:W$" &amp; $C$2), INDIRECT("'SAMLET_alle regnskab'!$N$4:$N$" &amp; $C$2), $C95, INDIRECT("'SAMLET_alle regnskab'!$H$4:$H$" &amp; $C$2), K$3)
</f>
        <v>-3.565217391</v>
      </c>
      <c r="L95" s="176">
        <f t="shared" si="34"/>
        <v>4.642857143</v>
      </c>
      <c r="N95" s="28">
        <f t="shared" ref="N95:Q95" si="39">COUNTIFS(INDIRECT("'SAMLET_alle regnskab'!$N$4:$N$" &amp; $C$2), $C95, INDIRECT("'SAMLET_alle regnskab'!$H$4:$H$" &amp; $C$2), N$3)</f>
        <v>33</v>
      </c>
      <c r="O95" s="28">
        <f t="shared" si="39"/>
        <v>16</v>
      </c>
      <c r="P95" s="28">
        <f t="shared" si="39"/>
        <v>23</v>
      </c>
      <c r="Q95" s="28">
        <f t="shared" si="39"/>
        <v>28</v>
      </c>
    </row>
    <row r="96">
      <c r="C96" s="129" t="s">
        <v>145</v>
      </c>
      <c r="D96" s="174">
        <f t="shared" si="27"/>
        <v>-0.7297297297</v>
      </c>
      <c r="E96" s="174">
        <f t="shared" si="28"/>
        <v>-14.62162162</v>
      </c>
      <c r="F96" s="174">
        <f t="shared" si="29"/>
        <v>13.51351351</v>
      </c>
      <c r="G96" s="175">
        <f t="shared" si="30"/>
        <v>1.837837838</v>
      </c>
      <c r="I96" s="176">
        <f t="shared" si="31"/>
        <v>-3.833333333</v>
      </c>
      <c r="J96" s="176">
        <f t="shared" si="32"/>
        <v>-44.4</v>
      </c>
      <c r="K96" s="176">
        <f t="shared" si="40"/>
        <v>33.77777778</v>
      </c>
      <c r="L96" s="176">
        <f t="shared" si="34"/>
        <v>16</v>
      </c>
      <c r="N96" s="28">
        <f t="shared" ref="N96:Q96" si="41">COUNTIFS(INDIRECT("'SAMLET_alle regnskab'!$N$4:$N$" &amp; $C$2), $C96, INDIRECT("'SAMLET_alle regnskab'!$H$4:$H$" &amp; $C$2), N$3)</f>
        <v>120</v>
      </c>
      <c r="O96" s="28">
        <f t="shared" si="41"/>
        <v>10</v>
      </c>
      <c r="P96" s="28">
        <f t="shared" si="41"/>
        <v>9</v>
      </c>
      <c r="Q96" s="28">
        <f t="shared" si="41"/>
        <v>3</v>
      </c>
    </row>
    <row r="97">
      <c r="C97" s="129" t="s">
        <v>146</v>
      </c>
      <c r="D97" s="174">
        <f t="shared" si="27"/>
        <v>2.939393939</v>
      </c>
      <c r="E97" s="174">
        <f t="shared" si="28"/>
        <v>-0.8181818182</v>
      </c>
      <c r="F97" s="174">
        <f t="shared" si="29"/>
        <v>-2.939393939</v>
      </c>
      <c r="G97" s="175">
        <f t="shared" si="30"/>
        <v>0.8181818182</v>
      </c>
      <c r="I97" s="176">
        <f t="shared" si="31"/>
        <v>5.851851852</v>
      </c>
      <c r="J97" s="176">
        <f t="shared" si="32"/>
        <v>2.923076923</v>
      </c>
      <c r="K97" s="176">
        <f t="shared" si="40"/>
        <v>13.6</v>
      </c>
      <c r="L97" s="176">
        <f t="shared" si="34"/>
        <v>11.89473684</v>
      </c>
      <c r="N97" s="28">
        <f t="shared" ref="N97:Q97" si="42">COUNTIFS(INDIRECT("'SAMLET_alle regnskab'!$N$4:$N$" &amp; $C$2), $C97, INDIRECT("'SAMLET_alle regnskab'!$H$4:$H$" &amp; $C$2), N$3)</f>
        <v>27</v>
      </c>
      <c r="O97" s="28">
        <f t="shared" si="42"/>
        <v>13</v>
      </c>
      <c r="P97" s="28">
        <f t="shared" si="42"/>
        <v>5</v>
      </c>
      <c r="Q97" s="28">
        <f t="shared" si="42"/>
        <v>19</v>
      </c>
    </row>
    <row r="98">
      <c r="I98" s="176"/>
      <c r="J98" s="176"/>
      <c r="K98" s="176"/>
      <c r="L98" s="176"/>
    </row>
    <row r="99">
      <c r="B99" s="25" t="s">
        <v>218</v>
      </c>
      <c r="C99" s="25">
        <v>1.0</v>
      </c>
      <c r="D99" s="123">
        <f t="shared" ref="D99:D101" si="44">AVERAGEIFS(INDIRECT("'SAMLET_alle regnskab'!U$4:U$" &amp; $C$2), INDIRECT("'SAMLET_alle regnskab'!$N$4:$N$" &amp; $C$2), $C$96, INDIRECT("'SAMLET_alle regnskab'!$O$4:$O$" &amp; $C$2), $C99)
</f>
        <v>7.906976744</v>
      </c>
      <c r="E99" s="123">
        <f t="shared" ref="E99:E101" si="45">AVERAGEIFS(INDIRECT("'SAMLET_alle regnskab'!V$4:V$" &amp; $C$2), INDIRECT("'SAMLET_alle regnskab'!$N$4:$N$" &amp; $C$2), $C$96, INDIRECT("'SAMLET_alle regnskab'!$O$4:$O$" &amp; $C$2), $C99)
</f>
        <v>-5.860465116</v>
      </c>
      <c r="F99" s="123">
        <f t="shared" ref="F99:F101" si="46">AVERAGEIFS(INDIRECT("'SAMLET_alle regnskab'!W$4:W$" &amp; $C$2), INDIRECT("'SAMLET_alle regnskab'!$N$4:$N$" &amp; $C$2), $C$96, INDIRECT("'SAMLET_alle regnskab'!$O$4:$O$" &amp; $C$2), $C99)
</f>
        <v>-1.302325581</v>
      </c>
      <c r="G99" s="123">
        <f t="shared" ref="G99:G101" si="47">AVERAGEIFS(INDIRECT("'SAMLET_alle regnskab'!X$4:X$" &amp; $C$2), INDIRECT("'SAMLET_alle regnskab'!$N$4:$N$" &amp; $C$2), $C$96, INDIRECT("'SAMLET_alle regnskab'!$O$4:$O$" &amp; $C$2), $C99)
</f>
        <v>-0.7441860465</v>
      </c>
      <c r="I99" s="176">
        <f t="shared" ref="I99:I101" si="48">AVERAGEIFS(INDIRECT("'SAMLET_alle regnskab'!U$4:U$" &amp; $C$2), INDIRECT("'SAMLET_alle regnskab'!$N$4:$N$" &amp; $C$2), $C$96, INDIRECT("'SAMLET_alle regnskab'!$O$4:$O$" &amp; $C$2), $C99, INDIRECT("'SAMLET_alle regnskab'!$H$4:$H$" &amp; $C$2), I$3)</f>
        <v>7.282051282</v>
      </c>
      <c r="J99" s="178">
        <f t="shared" ref="J99:J101" si="49">AVERAGEIFS(INDIRECT("'SAMLET_alle regnskab'!V$4:V$" &amp; $C$2), INDIRECT("'SAMLET_alle regnskab'!$N$4:$N$" &amp; $C$2), $C$96, INDIRECT("'SAMLET_alle regnskab'!$O$4:$O$" &amp; $C$2), $C99, INDIRECT("'SAMLET_alle regnskab'!$H$4:$H$" &amp; $C$2), I$3)</f>
        <v>-3.794871795</v>
      </c>
      <c r="K99" s="177" t="str">
        <f t="array" ref="K99">IFERROR(AVERAGEIFS(INDIRECT("'SAMLET_alle regnskab'!W$4:W$" &amp; $C$2), INDIRECT("'SAMLET_alle regnskab'!$N$4:$N$" &amp; $C$2), $C$96, INDIRECT("'SAMLET_alle regnskab'!$O$4:$O$" &amp; $C$2), $C99, INDIRECT("'SAMLET_alle regnskab'!$H$4:$H$" &amp; $C$2), K$3), "n/a")
</f>
        <v>n/a</v>
      </c>
      <c r="L99" s="177" t="str">
        <f t="array" ref="L99">IFERROR(AVERAGEIFS(INDIRECT("'SAMLET_alle regnskab'!x$4:x$" &amp; $C$2), INDIRECT("'SAMLET_alle regnskab'!$N$4:$N$" &amp; $C$2), $C$96, INDIRECT("'SAMLET_alle regnskab'!$O$4:$O$" &amp; $C$2), $C99, INDIRECT("'SAMLET_alle regnskab'!$H$4:$H$" &amp; $C$2), K$3), "n/a")</f>
        <v>n/a</v>
      </c>
      <c r="N99" s="28">
        <f t="shared" ref="N99:Q99" si="43">COUNTIFS(INDIRECT("'SAMLET_alle regnskab'!$N$4:$N$" &amp; $C$2), $C$96, INDIRECT("'SAMLET_alle regnskab'!$O$4:$O$" &amp; $C$2), $C99, INDIRECT("'SAMLET_alle regnskab'!$H$4:$H$" &amp; $C$2), I$3)</f>
        <v>39</v>
      </c>
      <c r="O99" s="28">
        <f t="shared" si="43"/>
        <v>2</v>
      </c>
      <c r="P99" s="28">
        <f t="shared" si="43"/>
        <v>0</v>
      </c>
      <c r="Q99" s="28">
        <f t="shared" si="43"/>
        <v>0</v>
      </c>
    </row>
    <row r="100">
      <c r="B100" s="25" t="s">
        <v>218</v>
      </c>
      <c r="C100" s="25">
        <v>2.0</v>
      </c>
      <c r="D100" s="123">
        <f t="shared" si="44"/>
        <v>8.916666667</v>
      </c>
      <c r="E100" s="123">
        <f t="shared" si="45"/>
        <v>-15.91666667</v>
      </c>
      <c r="F100" s="123">
        <f t="shared" si="46"/>
        <v>5.916666667</v>
      </c>
      <c r="G100" s="123">
        <f t="shared" si="47"/>
        <v>1.083333333</v>
      </c>
      <c r="I100" s="176">
        <f t="shared" si="48"/>
        <v>4.526315789</v>
      </c>
      <c r="J100" s="178">
        <f t="shared" si="49"/>
        <v>-10</v>
      </c>
      <c r="K100" s="176">
        <f t="shared" ref="K100:K101" si="51">AVERAGEIFS(INDIRECT("'SAMLET_alle regnskab'!W$4:W$" &amp; $C$2), INDIRECT("'SAMLET_alle regnskab'!$N$4:$N$" &amp; $C$2), $C$96, INDIRECT("'SAMLET_alle regnskab'!$O$4:$O$" &amp; $C$2), $C100, INDIRECT("'SAMLET_alle regnskab'!$H$4:$H$" &amp; $C$2), K$3)</f>
        <v>24</v>
      </c>
      <c r="L100" s="176">
        <f t="shared" ref="L100:L101" si="52">AVERAGEIFS(INDIRECT("'SAMLET_alle regnskab'!X$4:X$" &amp; $C$2), INDIRECT("'SAMLET_alle regnskab'!$N$4:$N$" &amp; $C$2), $C$96, INDIRECT("'SAMLET_alle regnskab'!$O$4:$O$" &amp; $C$2), $C100, INDIRECT("'SAMLET_alle regnskab'!$H$4:$H$" &amp; $C$2), L$3)</f>
        <v>24</v>
      </c>
      <c r="N100" s="28">
        <f t="shared" ref="N100:Q100" si="50">COUNTIFS(INDIRECT("'SAMLET_alle regnskab'!$N$4:$N$" &amp; $C$2), $C$96, INDIRECT("'SAMLET_alle regnskab'!$O$4:$O$" &amp; $C$2), $C100, INDIRECT("'SAMLET_alle regnskab'!$H$4:$H$" &amp; $C$2), I$3)</f>
        <v>38</v>
      </c>
      <c r="O100" s="28">
        <f t="shared" si="50"/>
        <v>6</v>
      </c>
      <c r="P100" s="28">
        <f t="shared" si="50"/>
        <v>3</v>
      </c>
      <c r="Q100" s="28">
        <f t="shared" si="50"/>
        <v>1</v>
      </c>
    </row>
    <row r="101">
      <c r="B101" s="25" t="s">
        <v>218</v>
      </c>
      <c r="C101" s="25">
        <v>3.0</v>
      </c>
      <c r="D101" s="123">
        <f t="shared" si="44"/>
        <v>-16.67924528</v>
      </c>
      <c r="E101" s="123">
        <f t="shared" si="45"/>
        <v>-21.96226415</v>
      </c>
      <c r="F101" s="123">
        <f t="shared" si="46"/>
        <v>33.43396226</v>
      </c>
      <c r="G101" s="123">
        <f t="shared" si="47"/>
        <v>5.20754717</v>
      </c>
      <c r="I101" s="176">
        <f t="shared" si="48"/>
        <v>-22.24390244</v>
      </c>
      <c r="J101" s="178">
        <f t="shared" si="49"/>
        <v>-18.14634146</v>
      </c>
      <c r="K101" s="176">
        <f t="shared" si="51"/>
        <v>38.66666667</v>
      </c>
      <c r="L101" s="176">
        <f t="shared" si="52"/>
        <v>48</v>
      </c>
      <c r="N101" s="28">
        <f t="shared" ref="N101:Q101" si="53">COUNTIFS(INDIRECT("'SAMLET_alle regnskab'!$N$4:$N$" &amp; $C$2), $C$96, INDIRECT("'SAMLET_alle regnskab'!$O$4:$O$" &amp; $C$2), $C101, INDIRECT("'SAMLET_alle regnskab'!$H$4:$H$" &amp; $C$2), I$3)</f>
        <v>41</v>
      </c>
      <c r="O101" s="28">
        <f t="shared" si="53"/>
        <v>2</v>
      </c>
      <c r="P101" s="28">
        <f t="shared" si="53"/>
        <v>6</v>
      </c>
      <c r="Q101" s="28">
        <f t="shared" si="53"/>
        <v>1</v>
      </c>
    </row>
    <row r="102">
      <c r="N102" s="124" t="s">
        <v>219</v>
      </c>
      <c r="O102" s="179"/>
      <c r="P102" s="179"/>
      <c r="Q102" s="179"/>
    </row>
    <row r="103">
      <c r="B103" s="25" t="s">
        <v>220</v>
      </c>
    </row>
    <row r="104">
      <c r="C104" s="129" t="s">
        <v>139</v>
      </c>
      <c r="D104" s="28">
        <f t="shared" ref="D104:D111" si="54">SUMIFS(INDIRECT("'SAMLET_alle regnskab'!U$4:U$" &amp; $C$2), INDIRECT("'SAMLET_alle regnskab'!$N$4:$N$" &amp; $C$2), $C90)
</f>
        <v>80</v>
      </c>
      <c r="E104" s="28">
        <f t="shared" ref="E104:E111" si="55">SUMIFS(INDIRECT("'SAMLET_alle regnskab'!V$4:V$" &amp; $C$2), INDIRECT("'SAMLET_alle regnskab'!$N$4:$N$" &amp; $C$2), $C90)
</f>
        <v>-156</v>
      </c>
      <c r="F104" s="28">
        <f t="shared" ref="F104:F111" si="56">SUMIFS(INDIRECT("'SAMLET_alle regnskab'!W$4:W$" &amp; $C$2), INDIRECT("'SAMLET_alle regnskab'!$N$4:$N$" &amp; $C$2), $C90)
</f>
        <v>52</v>
      </c>
      <c r="G104" s="28">
        <f t="shared" ref="G104:G111" si="57">SUMIFS(INDIRECT("'SAMLET_alle regnskab'!X$4:X$" &amp; $C$2), INDIRECT("'SAMLET_alle regnskab'!$N$4:$N$" &amp; $C$2), $C90)
</f>
        <v>24</v>
      </c>
    </row>
    <row r="105">
      <c r="C105" s="129" t="s">
        <v>140</v>
      </c>
      <c r="D105" s="28">
        <f t="shared" si="54"/>
        <v>222</v>
      </c>
      <c r="E105" s="28">
        <f t="shared" si="55"/>
        <v>-110</v>
      </c>
      <c r="F105" s="28">
        <f t="shared" si="56"/>
        <v>-226</v>
      </c>
      <c r="G105" s="28">
        <f t="shared" si="57"/>
        <v>114</v>
      </c>
    </row>
    <row r="106">
      <c r="C106" s="131" t="s">
        <v>141</v>
      </c>
      <c r="D106" s="28">
        <f t="shared" si="54"/>
        <v>32</v>
      </c>
      <c r="E106" s="28">
        <f t="shared" si="55"/>
        <v>32</v>
      </c>
      <c r="F106" s="28">
        <f t="shared" si="56"/>
        <v>96</v>
      </c>
      <c r="G106" s="28">
        <f t="shared" si="57"/>
        <v>-160</v>
      </c>
    </row>
    <row r="107">
      <c r="C107" s="129" t="s">
        <v>142</v>
      </c>
      <c r="D107" s="28">
        <f t="shared" si="54"/>
        <v>416</v>
      </c>
      <c r="E107" s="28">
        <f t="shared" si="55"/>
        <v>60</v>
      </c>
      <c r="F107" s="28">
        <f t="shared" si="56"/>
        <v>-338</v>
      </c>
      <c r="G107" s="28">
        <f t="shared" si="57"/>
        <v>-138</v>
      </c>
    </row>
    <row r="108">
      <c r="C108" s="131" t="s">
        <v>143</v>
      </c>
      <c r="D108" s="28">
        <f t="shared" si="54"/>
        <v>-232</v>
      </c>
      <c r="E108" s="28">
        <f t="shared" si="55"/>
        <v>184</v>
      </c>
      <c r="F108" s="28">
        <f t="shared" si="56"/>
        <v>152</v>
      </c>
      <c r="G108" s="28">
        <f t="shared" si="57"/>
        <v>-104</v>
      </c>
      <c r="I108" s="56"/>
      <c r="J108" s="46" t="s">
        <v>221</v>
      </c>
      <c r="K108" s="56"/>
      <c r="L108" s="56"/>
      <c r="M108" s="56"/>
      <c r="N108" s="56"/>
      <c r="O108" s="56"/>
      <c r="P108" s="56"/>
      <c r="Q108" s="56"/>
    </row>
    <row r="109">
      <c r="C109" s="129" t="s">
        <v>144</v>
      </c>
      <c r="D109" s="28">
        <f t="shared" si="54"/>
        <v>134</v>
      </c>
      <c r="E109" s="28">
        <f t="shared" si="55"/>
        <v>-254</v>
      </c>
      <c r="F109" s="28">
        <f t="shared" si="56"/>
        <v>-318</v>
      </c>
      <c r="G109" s="28">
        <f t="shared" si="57"/>
        <v>438</v>
      </c>
      <c r="I109" s="56"/>
      <c r="J109" s="46" t="s">
        <v>222</v>
      </c>
      <c r="K109" s="46" t="s">
        <v>223</v>
      </c>
      <c r="L109" s="46" t="s">
        <v>224</v>
      </c>
      <c r="M109" s="46" t="s">
        <v>104</v>
      </c>
      <c r="N109" s="46"/>
      <c r="O109" s="46"/>
      <c r="P109" s="46"/>
      <c r="Q109" s="46"/>
    </row>
    <row r="110">
      <c r="C110" s="129" t="s">
        <v>145</v>
      </c>
      <c r="D110" s="28">
        <f t="shared" si="54"/>
        <v>-108</v>
      </c>
      <c r="E110" s="28">
        <f t="shared" si="55"/>
        <v>-2164</v>
      </c>
      <c r="F110" s="28">
        <f t="shared" si="56"/>
        <v>2000</v>
      </c>
      <c r="G110" s="28">
        <f t="shared" si="57"/>
        <v>272</v>
      </c>
      <c r="I110" s="46" t="s">
        <v>225</v>
      </c>
      <c r="J110" s="66">
        <v>632.0</v>
      </c>
      <c r="K110" s="66">
        <v>-2124.0</v>
      </c>
      <c r="L110" s="66">
        <v>874.0</v>
      </c>
      <c r="M110" s="66">
        <v>618.0</v>
      </c>
      <c r="N110" s="66"/>
      <c r="O110" s="66"/>
      <c r="P110" s="66"/>
      <c r="Q110" s="66"/>
    </row>
    <row r="111">
      <c r="C111" s="129" t="s">
        <v>146</v>
      </c>
      <c r="D111" s="28">
        <f t="shared" si="54"/>
        <v>194</v>
      </c>
      <c r="E111" s="28">
        <f t="shared" si="55"/>
        <v>-54</v>
      </c>
      <c r="F111" s="28">
        <f t="shared" si="56"/>
        <v>-194</v>
      </c>
      <c r="G111" s="28">
        <f t="shared" si="57"/>
        <v>54</v>
      </c>
      <c r="I111" s="46" t="s">
        <v>226</v>
      </c>
      <c r="J111" s="66">
        <f t="shared" ref="J111:M111" si="58">SUM(D112-J110)</f>
        <v>106</v>
      </c>
      <c r="K111" s="66">
        <f t="shared" si="58"/>
        <v>-338</v>
      </c>
      <c r="L111" s="66">
        <f t="shared" si="58"/>
        <v>350</v>
      </c>
      <c r="M111" s="66">
        <f t="shared" si="58"/>
        <v>-118</v>
      </c>
      <c r="N111" s="56"/>
      <c r="O111" s="56"/>
      <c r="P111" s="56"/>
      <c r="Q111" s="56"/>
    </row>
    <row r="112">
      <c r="D112" s="180">
        <f t="shared" ref="D112:G112" si="59">SUM(D104:D111)</f>
        <v>738</v>
      </c>
      <c r="E112" s="180">
        <f t="shared" si="59"/>
        <v>-2462</v>
      </c>
      <c r="F112" s="180">
        <f t="shared" si="59"/>
        <v>1224</v>
      </c>
      <c r="G112" s="180">
        <f t="shared" si="59"/>
        <v>500</v>
      </c>
    </row>
    <row r="113">
      <c r="B113" s="25" t="s">
        <v>218</v>
      </c>
      <c r="C113" s="25">
        <v>1.0</v>
      </c>
      <c r="D113" s="28">
        <f t="shared" ref="D113:D115" si="60">SUMIFS(INDIRECT("'SAMLET_alle regnskab'!U$4:U$" &amp; $C$2), INDIRECT("'SAMLET_alle regnskab'!$N$4:$N$" &amp; $C$2), $C$96, INDIRECT("'SAMLET_alle regnskab'!$O$4:$O$" &amp; $C$2), $C113)
</f>
        <v>340</v>
      </c>
      <c r="E113" s="28">
        <f t="shared" ref="E113:E115" si="61">SUMIFS(INDIRECT("'SAMLET_alle regnskab'!V$4:V$" &amp; $C$2), INDIRECT("'SAMLET_alle regnskab'!$N$4:$N$" &amp; $C$2), $C$96, INDIRECT("'SAMLET_alle regnskab'!$O$4:$O$" &amp; $C$2), $C113)
</f>
        <v>-252</v>
      </c>
      <c r="F113" s="28">
        <f t="shared" ref="F113:F115" si="62">SUMIFS(INDIRECT("'SAMLET_alle regnskab'!W$4:W$" &amp; $C$2), INDIRECT("'SAMLET_alle regnskab'!$N$4:$N$" &amp; $C$2), $C$96, INDIRECT("'SAMLET_alle regnskab'!$O$4:$O$" &amp; $C$2), $C113)
</f>
        <v>-56</v>
      </c>
      <c r="G113" s="28">
        <f t="shared" ref="G113:G115" si="63">SUMIFS(INDIRECT("'SAMLET_alle regnskab'!X$4:X$" &amp; $C$2), INDIRECT("'SAMLET_alle regnskab'!$N$4:$N$" &amp; $C$2), $C$96, INDIRECT("'SAMLET_alle regnskab'!$O$4:$O$" &amp; $C$2), $C113)
</f>
        <v>-32</v>
      </c>
    </row>
    <row r="114">
      <c r="B114" s="25" t="s">
        <v>218</v>
      </c>
      <c r="C114" s="25">
        <v>2.0</v>
      </c>
      <c r="D114" s="28">
        <f t="shared" si="60"/>
        <v>428</v>
      </c>
      <c r="E114" s="28">
        <f t="shared" si="61"/>
        <v>-764</v>
      </c>
      <c r="F114" s="28">
        <f t="shared" si="62"/>
        <v>284</v>
      </c>
      <c r="G114" s="28">
        <f t="shared" si="63"/>
        <v>52</v>
      </c>
    </row>
    <row r="115">
      <c r="B115" s="25" t="s">
        <v>218</v>
      </c>
      <c r="C115" s="25">
        <v>3.0</v>
      </c>
      <c r="D115" s="28">
        <f t="shared" si="60"/>
        <v>-884</v>
      </c>
      <c r="E115" s="28">
        <f t="shared" si="61"/>
        <v>-1164</v>
      </c>
      <c r="F115" s="28">
        <f t="shared" si="62"/>
        <v>1772</v>
      </c>
      <c r="G115" s="28">
        <f t="shared" si="63"/>
        <v>276</v>
      </c>
    </row>
    <row r="117">
      <c r="A117" s="46" t="s">
        <v>227</v>
      </c>
      <c r="B117" s="56"/>
      <c r="C117" s="56"/>
      <c r="D117" s="56"/>
      <c r="E117" s="56"/>
      <c r="F117" s="56"/>
      <c r="G117" s="56"/>
      <c r="H117" s="56"/>
      <c r="I117" s="56"/>
      <c r="J117" s="56"/>
      <c r="K117" s="56"/>
      <c r="L117" s="56"/>
      <c r="M117" s="56"/>
      <c r="N117" s="56"/>
      <c r="O117" s="56"/>
      <c r="P117" s="56"/>
      <c r="Q117" s="56"/>
    </row>
    <row r="118">
      <c r="B118" s="25" t="s">
        <v>228</v>
      </c>
    </row>
    <row r="119">
      <c r="B119" s="25" t="s">
        <v>229</v>
      </c>
    </row>
    <row r="120">
      <c r="B120" s="25" t="s">
        <v>230</v>
      </c>
    </row>
    <row r="121">
      <c r="B121" s="25" t="s">
        <v>231</v>
      </c>
    </row>
    <row r="122">
      <c r="B122" s="25" t="s">
        <v>232</v>
      </c>
    </row>
  </sheetData>
  <conditionalFormatting sqref="D22:G29">
    <cfRule type="cellIs" dxfId="3" priority="1" operator="greaterThanOrEqual">
      <formula>224</formula>
    </cfRule>
  </conditionalFormatting>
  <conditionalFormatting sqref="D22:L29">
    <cfRule type="cellIs" dxfId="0" priority="2" operator="between">
      <formula>100</formula>
      <formula>223</formula>
    </cfRule>
  </conditionalFormatting>
  <conditionalFormatting sqref="D22:L29">
    <cfRule type="cellIs" dxfId="1" priority="3" operator="between">
      <formula>-239</formula>
      <formula>-100</formula>
    </cfRule>
  </conditionalFormatting>
  <conditionalFormatting sqref="D22:L29">
    <cfRule type="cellIs" dxfId="4" priority="4" operator="lessThanOrEqual">
      <formula>-240</formula>
    </cfRule>
  </conditionalFormatting>
  <conditionalFormatting sqref="D60:G60">
    <cfRule type="colorScale" priority="5">
      <colorScale>
        <cfvo type="min"/>
        <cfvo type="max"/>
        <color rgb="FFE67C73"/>
        <color rgb="FFFFFFFF"/>
      </colorScale>
    </cfRule>
  </conditionalFormatting>
  <conditionalFormatting sqref="D54:G54">
    <cfRule type="colorScale" priority="6">
      <colorScale>
        <cfvo type="min"/>
        <cfvo type="max"/>
        <color rgb="FFFFFFFF"/>
        <color rgb="FFE67C73"/>
      </colorScale>
    </cfRule>
  </conditionalFormatting>
  <conditionalFormatting sqref="D57:G57">
    <cfRule type="colorScale" priority="7">
      <colorScale>
        <cfvo type="min"/>
        <cfvo type="max"/>
        <color rgb="FFFFFFFF"/>
        <color rgb="FF57BB8A"/>
      </colorScale>
    </cfRule>
  </conditionalFormatting>
  <conditionalFormatting sqref="D51:G51">
    <cfRule type="colorScale" priority="8">
      <colorScale>
        <cfvo type="min"/>
        <cfvo type="max"/>
        <color rgb="FFFFFFFF"/>
        <color rgb="FF57BB8A"/>
      </colorScale>
    </cfRule>
  </conditionalFormatting>
  <conditionalFormatting sqref="D42:G42">
    <cfRule type="expression" dxfId="1" priority="9">
      <formula>B42&gt;=min(D42:G42)</formula>
    </cfRule>
  </conditionalFormatting>
  <conditionalFormatting sqref="D33:G33">
    <cfRule type="expression" dxfId="0" priority="10">
      <formula>D33&gt;=max(D33:G33)</formula>
    </cfRule>
  </conditionalFormatting>
  <conditionalFormatting sqref="D90:G101 I90:L101">
    <cfRule type="cellIs" dxfId="1" priority="11" operator="between">
      <formula>-0.00001</formula>
      <formula>-4.99</formula>
    </cfRule>
  </conditionalFormatting>
  <conditionalFormatting sqref="D90:G101 I90:L101">
    <cfRule type="cellIs" dxfId="5" priority="12" operator="between">
      <formula>0</formula>
      <formula>4.99</formula>
    </cfRule>
  </conditionalFormatting>
  <conditionalFormatting sqref="D90:G101 I90:L101">
    <cfRule type="cellIs" dxfId="6" priority="13" operator="greaterThanOrEqual">
      <formula>5</formula>
    </cfRule>
  </conditionalFormatting>
  <conditionalFormatting sqref="D90:G101 I90:L101">
    <cfRule type="cellIs" dxfId="7" priority="14" operator="lessThan">
      <formula>-5</formula>
    </cfRule>
  </conditionalFormatting>
  <conditionalFormatting sqref="D104:G111">
    <cfRule type="expression" dxfId="6" priority="15">
      <formula>D104=MAX($D$104:$G$111)</formula>
    </cfRule>
  </conditionalFormatting>
  <conditionalFormatting sqref="D104:G111">
    <cfRule type="expression" dxfId="7" priority="16">
      <formula>D104=MIN($D$104:$G$111)</formula>
    </cfRule>
  </conditionalFormatting>
  <conditionalFormatting sqref="N22:Q29">
    <cfRule type="colorScale" priority="17">
      <colorScale>
        <cfvo type="min"/>
        <cfvo type="percentile" val="50"/>
        <cfvo type="max"/>
        <color rgb="FFE67C73"/>
        <color rgb="FFFFFFFF"/>
        <color rgb="FF57BB8A"/>
      </colorScale>
    </cfRule>
  </conditionalFormatting>
  <dataValidations>
    <dataValidation type="list" allowBlank="1" showErrorMessage="1" sqref="B4">
      <formula1>'SAMLET_alle regnskab'!$BY$11:$BY138</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5.0"/>
  </cols>
  <sheetData>
    <row r="1">
      <c r="A1" s="181" t="s">
        <v>233</v>
      </c>
      <c r="B1" s="182"/>
      <c r="C1" s="182"/>
      <c r="D1" s="182"/>
      <c r="E1" s="182"/>
      <c r="F1" s="182"/>
      <c r="G1" s="182"/>
      <c r="H1" s="182"/>
      <c r="I1" s="182"/>
      <c r="J1" s="182"/>
      <c r="K1" s="182"/>
      <c r="L1" s="182"/>
      <c r="M1" s="182"/>
      <c r="N1" s="182"/>
      <c r="O1" s="182"/>
      <c r="P1" s="182"/>
      <c r="Q1" s="182"/>
      <c r="R1" s="182"/>
      <c r="S1" s="182"/>
      <c r="T1" s="182"/>
      <c r="U1" s="182"/>
      <c r="V1" s="182"/>
      <c r="W1" s="182"/>
      <c r="X1" s="182"/>
      <c r="Y1" s="182"/>
      <c r="Z1" s="182"/>
    </row>
    <row r="2">
      <c r="B2" s="28">
        <f t="shared" ref="B2:C2" si="1">C3</f>
        <v>25</v>
      </c>
      <c r="C2" s="28">
        <f t="shared" si="1"/>
        <v>582</v>
      </c>
    </row>
    <row r="3">
      <c r="A3" s="25" t="s">
        <v>234</v>
      </c>
      <c r="B3" s="146"/>
      <c r="C3" s="147">
        <f>IF(C4=TRUE, C7, C6)</f>
        <v>25</v>
      </c>
      <c r="D3" s="148">
        <f>IF(C4=TRUE, D7, D6)</f>
        <v>582</v>
      </c>
    </row>
    <row r="4">
      <c r="B4" s="145" t="s">
        <v>185</v>
      </c>
      <c r="C4" s="145" t="b">
        <v>0</v>
      </c>
    </row>
    <row r="5">
      <c r="B5" s="149" t="s">
        <v>186</v>
      </c>
      <c r="C5" s="149">
        <v>15.0</v>
      </c>
      <c r="D5" s="152" t="str">
        <f>OFFSET('00_Regnskab_01'!$A$1,MATCH(C$4,'00_Regnskab_01'!$A$1:$A$25)-1,2)</f>
        <v>#N/A</v>
      </c>
    </row>
    <row r="6">
      <c r="B6" s="151" t="s">
        <v>187</v>
      </c>
      <c r="C6" s="152">
        <f>IFERROR(__xludf.DUMMYFUNCTION("MIN(FILTER(ROW('SAMLET_alle regnskab'!B:B), 'SAMLET_alle regnskab'!B:B=C5))"),25.0)</f>
        <v>25</v>
      </c>
      <c r="D6" s="149">
        <f>IFERROR(__xludf.DUMMYFUNCTION("MAX(FILTER(ROW('SAMLET_alle regnskab'!B:B), 'SAMLET_alle regnskab'!B:B=C5))"),582.0)</f>
        <v>582</v>
      </c>
    </row>
    <row r="7">
      <c r="B7" s="151" t="s">
        <v>188</v>
      </c>
      <c r="C7" s="149">
        <v>4.0</v>
      </c>
      <c r="D7" s="152">
        <f>IFERROR(__xludf.DUMMYFUNCTION("MAX(FILTER(ROW('SAMLET_alle regnskab'!B:B), ISNUMBER('SAMLET_alle regnskab'!B:B)))"),596.0)</f>
        <v>596</v>
      </c>
    </row>
    <row r="9">
      <c r="A9" s="25" t="s">
        <v>235</v>
      </c>
    </row>
    <row r="12">
      <c r="A12" s="25" t="s">
        <v>236</v>
      </c>
    </row>
    <row r="13">
      <c r="B13" s="25" t="s">
        <v>237</v>
      </c>
    </row>
    <row r="14">
      <c r="C14" s="28" t="str">
        <f>IF(B13="Gennemsnitspris (begge)", INDIRECT("s_gennemsnitspris_alle_og_melder"), "")</f>
        <v>#ERROR!</v>
      </c>
    </row>
  </sheetData>
  <dataValidations>
    <dataValidation type="list" allowBlank="1" showErrorMessage="1" sqref="C5">
      <formula1>'SAMLET_alle regnskab'!$BY$11:$BY1000</formula1>
    </dataValidation>
    <dataValidation type="list" allowBlank="1" showErrorMessage="1" sqref="B13">
      <formula1>STATISTIK_baggrund!$I$2:$I$4</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238</v>
      </c>
      <c r="I1" s="25" t="s">
        <v>239</v>
      </c>
    </row>
    <row r="2">
      <c r="I2" s="25" t="s">
        <v>237</v>
      </c>
    </row>
    <row r="3">
      <c r="A3" s="25" t="s">
        <v>240</v>
      </c>
      <c r="I3" s="25" t="s">
        <v>241</v>
      </c>
    </row>
    <row r="4">
      <c r="B4" s="25" t="s">
        <v>126</v>
      </c>
      <c r="C4" s="129" t="s">
        <v>139</v>
      </c>
      <c r="I4" s="25" t="s">
        <v>242</v>
      </c>
    </row>
    <row r="5">
      <c r="C5" s="129" t="s">
        <v>140</v>
      </c>
    </row>
    <row r="6">
      <c r="C6" s="131" t="s">
        <v>141</v>
      </c>
    </row>
    <row r="7">
      <c r="C7" s="129" t="s">
        <v>142</v>
      </c>
    </row>
    <row r="8">
      <c r="C8" s="131" t="s">
        <v>143</v>
      </c>
    </row>
    <row r="9">
      <c r="C9" s="129" t="s">
        <v>144</v>
      </c>
    </row>
    <row r="10">
      <c r="C10" s="129" t="s">
        <v>145</v>
      </c>
    </row>
    <row r="11">
      <c r="C11" s="129" t="s">
        <v>146</v>
      </c>
    </row>
    <row r="13">
      <c r="B13" s="25" t="s">
        <v>72</v>
      </c>
      <c r="C13" s="25" t="s">
        <v>202</v>
      </c>
    </row>
    <row r="14">
      <c r="C14" s="25" t="s">
        <v>203</v>
      </c>
    </row>
    <row r="15">
      <c r="C15" s="25" t="s">
        <v>204</v>
      </c>
    </row>
    <row r="16">
      <c r="C16" s="25" t="s">
        <v>205</v>
      </c>
    </row>
    <row r="18">
      <c r="D18" s="25" t="s">
        <v>154</v>
      </c>
    </row>
    <row r="19">
      <c r="D19" s="53">
        <v>5.0</v>
      </c>
    </row>
    <row r="20">
      <c r="D20" s="53">
        <v>6.0</v>
      </c>
    </row>
    <row r="21">
      <c r="D21" s="53">
        <v>7.0</v>
      </c>
    </row>
    <row r="22">
      <c r="D22" s="53">
        <v>8.0</v>
      </c>
    </row>
    <row r="23">
      <c r="D23" s="53">
        <v>9.0</v>
      </c>
    </row>
    <row r="24">
      <c r="D24" s="53">
        <v>10.0</v>
      </c>
    </row>
    <row r="25">
      <c r="D25" s="53">
        <v>11.0</v>
      </c>
    </row>
    <row r="26">
      <c r="D26" s="53">
        <v>12.0</v>
      </c>
    </row>
    <row r="27">
      <c r="D27" s="53">
        <v>13.0</v>
      </c>
    </row>
    <row r="28">
      <c r="D28" s="53">
        <v>14.0</v>
      </c>
    </row>
    <row r="29">
      <c r="D29" s="53">
        <v>15.0</v>
      </c>
    </row>
    <row r="31">
      <c r="D31" s="25" t="s">
        <v>208</v>
      </c>
    </row>
    <row r="32">
      <c r="B32" s="172" t="s">
        <v>211</v>
      </c>
      <c r="C32" s="25">
        <v>0.0</v>
      </c>
      <c r="D32" s="173">
        <v>7.0</v>
      </c>
    </row>
    <row r="33">
      <c r="B33" s="172" t="s">
        <v>211</v>
      </c>
      <c r="C33" s="25">
        <v>8.0</v>
      </c>
      <c r="D33" s="173">
        <v>15.0</v>
      </c>
    </row>
    <row r="34">
      <c r="B34" s="172" t="s">
        <v>211</v>
      </c>
      <c r="C34" s="25">
        <v>16.0</v>
      </c>
      <c r="D34" s="173">
        <v>31.0</v>
      </c>
    </row>
    <row r="35">
      <c r="B35" s="172" t="s">
        <v>211</v>
      </c>
      <c r="C35" s="25">
        <v>32.0</v>
      </c>
      <c r="D35" s="173">
        <v>63.0</v>
      </c>
    </row>
    <row r="36">
      <c r="B36" s="172" t="s">
        <v>211</v>
      </c>
      <c r="C36" s="25">
        <v>64.0</v>
      </c>
      <c r="D36" s="173">
        <v>95.0</v>
      </c>
    </row>
    <row r="37">
      <c r="B37" s="172" t="s">
        <v>211</v>
      </c>
      <c r="C37" s="25">
        <v>96.0</v>
      </c>
      <c r="D37" s="173">
        <v>127.0</v>
      </c>
    </row>
    <row r="38">
      <c r="B38" s="172" t="s">
        <v>211</v>
      </c>
      <c r="C38" s="25">
        <v>128.0</v>
      </c>
      <c r="D38" s="173">
        <v>199.0</v>
      </c>
    </row>
    <row r="39">
      <c r="B39" s="172" t="s">
        <v>211</v>
      </c>
      <c r="C39" s="25">
        <v>200.0</v>
      </c>
      <c r="D39" s="173">
        <v>299.0</v>
      </c>
    </row>
    <row r="40">
      <c r="B40" s="172" t="s">
        <v>211</v>
      </c>
      <c r="D40" s="25" t="s">
        <v>212</v>
      </c>
    </row>
    <row r="41">
      <c r="B41" s="25"/>
    </row>
    <row r="42">
      <c r="B42" s="25" t="s">
        <v>243</v>
      </c>
    </row>
    <row r="43">
      <c r="C43" s="141" t="s">
        <v>195</v>
      </c>
      <c r="D43" s="25" t="s">
        <v>196</v>
      </c>
    </row>
    <row r="44">
      <c r="D44" s="25" t="s">
        <v>64</v>
      </c>
    </row>
    <row r="45">
      <c r="C45" s="141"/>
      <c r="D45" s="25" t="s">
        <v>80</v>
      </c>
    </row>
    <row r="46">
      <c r="D46" s="25" t="s">
        <v>81</v>
      </c>
    </row>
    <row r="47">
      <c r="D47" s="25" t="s">
        <v>1</v>
      </c>
    </row>
    <row r="48">
      <c r="D48" s="25" t="s">
        <v>199</v>
      </c>
    </row>
    <row r="49">
      <c r="D49" s="25" t="s">
        <v>186</v>
      </c>
    </row>
    <row r="50">
      <c r="C50" s="25"/>
    </row>
    <row r="51">
      <c r="C51" s="141" t="s">
        <v>200</v>
      </c>
      <c r="D51" s="25" t="s">
        <v>196</v>
      </c>
    </row>
    <row r="52">
      <c r="D52" s="25" t="s">
        <v>64</v>
      </c>
    </row>
    <row r="53">
      <c r="D53" s="25" t="s">
        <v>80</v>
      </c>
    </row>
    <row r="54">
      <c r="D54" s="25" t="s">
        <v>81</v>
      </c>
    </row>
    <row r="55">
      <c r="D55" s="25" t="s">
        <v>1</v>
      </c>
    </row>
    <row r="56">
      <c r="D56" s="25" t="s">
        <v>199</v>
      </c>
    </row>
    <row r="57">
      <c r="D57" s="25" t="s">
        <v>186</v>
      </c>
    </row>
    <row r="59">
      <c r="B59" s="25" t="s">
        <v>213</v>
      </c>
    </row>
    <row r="60">
      <c r="C60" s="25" t="s">
        <v>214</v>
      </c>
    </row>
    <row r="61">
      <c r="D61" s="129" t="s">
        <v>139</v>
      </c>
    </row>
    <row r="62">
      <c r="D62" s="129" t="s">
        <v>140</v>
      </c>
    </row>
    <row r="63">
      <c r="D63" s="131" t="s">
        <v>141</v>
      </c>
    </row>
    <row r="64">
      <c r="D64" s="129" t="s">
        <v>142</v>
      </c>
    </row>
    <row r="65">
      <c r="D65" s="131" t="s">
        <v>143</v>
      </c>
    </row>
    <row r="66">
      <c r="D66" s="129" t="s">
        <v>144</v>
      </c>
    </row>
    <row r="67">
      <c r="D67" s="129" t="s">
        <v>145</v>
      </c>
    </row>
    <row r="68">
      <c r="D68" s="129" t="s">
        <v>146</v>
      </c>
    </row>
    <row r="70">
      <c r="C70" s="25" t="s">
        <v>218</v>
      </c>
      <c r="D70" s="25">
        <v>1.0</v>
      </c>
    </row>
    <row r="71">
      <c r="C71" s="25" t="s">
        <v>218</v>
      </c>
      <c r="D71" s="25">
        <v>2.0</v>
      </c>
    </row>
    <row r="72">
      <c r="C72" s="25" t="s">
        <v>218</v>
      </c>
      <c r="D72" s="25">
        <v>3.0</v>
      </c>
    </row>
    <row r="74">
      <c r="C74" s="25" t="s">
        <v>220</v>
      </c>
    </row>
    <row r="75">
      <c r="D75" s="129" t="s">
        <v>139</v>
      </c>
    </row>
    <row r="76">
      <c r="D76" s="129" t="s">
        <v>140</v>
      </c>
    </row>
    <row r="77">
      <c r="D77" s="131" t="s">
        <v>141</v>
      </c>
    </row>
    <row r="78">
      <c r="D78" s="129" t="s">
        <v>142</v>
      </c>
    </row>
    <row r="79">
      <c r="D79" s="131" t="s">
        <v>143</v>
      </c>
    </row>
    <row r="80">
      <c r="D80" s="129" t="s">
        <v>144</v>
      </c>
    </row>
    <row r="81">
      <c r="D81" s="129" t="s">
        <v>145</v>
      </c>
    </row>
    <row r="82">
      <c r="D82" s="129" t="s">
        <v>146</v>
      </c>
    </row>
    <row r="84">
      <c r="C84" s="25" t="s">
        <v>218</v>
      </c>
      <c r="D84" s="25">
        <v>1.0</v>
      </c>
    </row>
    <row r="85">
      <c r="C85" s="25" t="s">
        <v>218</v>
      </c>
      <c r="D85" s="25">
        <v>2.0</v>
      </c>
    </row>
    <row r="86">
      <c r="C86" s="25" t="s">
        <v>218</v>
      </c>
      <c r="D86" s="25">
        <v>3.0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6.88"/>
    <col customWidth="1" min="2" max="2" width="7.75"/>
    <col customWidth="1" min="3" max="3" width="14.13"/>
    <col customWidth="1" min="4" max="7" width="16.88"/>
    <col customWidth="1" min="8" max="8" width="4.88"/>
    <col customWidth="1" min="9" max="12" width="10.0"/>
    <col customWidth="1" min="14" max="17" width="8.38"/>
  </cols>
  <sheetData>
    <row r="1">
      <c r="A1" s="145" t="s">
        <v>183</v>
      </c>
      <c r="B1" s="146"/>
      <c r="C1" s="146"/>
      <c r="D1" s="121" t="s">
        <v>104</v>
      </c>
      <c r="E1" s="121" t="s">
        <v>105</v>
      </c>
      <c r="F1" s="121" t="s">
        <v>106</v>
      </c>
      <c r="G1" s="121" t="s">
        <v>107</v>
      </c>
    </row>
    <row r="2">
      <c r="A2" s="146"/>
      <c r="B2" s="147">
        <f>IF(B3=TRUE, B6, B5)</f>
        <v>61</v>
      </c>
      <c r="C2" s="148">
        <f>IF(B3=TRUE, C6, C5)</f>
        <v>101</v>
      </c>
      <c r="D2" s="145" t="s">
        <v>184</v>
      </c>
      <c r="E2" s="145"/>
      <c r="F2" s="145"/>
      <c r="G2" s="145"/>
      <c r="H2" s="146"/>
      <c r="I2" s="146"/>
      <c r="J2" s="146"/>
      <c r="K2" s="146"/>
      <c r="L2" s="146"/>
      <c r="M2" s="146"/>
      <c r="N2" s="146"/>
      <c r="O2" s="146"/>
      <c r="P2" s="146"/>
      <c r="Q2" s="146"/>
    </row>
    <row r="3">
      <c r="A3" s="145" t="s">
        <v>185</v>
      </c>
      <c r="B3" s="145" t="b">
        <v>0</v>
      </c>
      <c r="D3" s="25" t="s">
        <v>7</v>
      </c>
      <c r="E3" s="25" t="s">
        <v>8</v>
      </c>
      <c r="F3" s="25" t="s">
        <v>9</v>
      </c>
      <c r="G3" s="25" t="s">
        <v>10</v>
      </c>
      <c r="I3" s="28" t="str">
        <f t="shared" ref="I3:L3" si="1">D3</f>
        <v>Thomas</v>
      </c>
      <c r="J3" s="28" t="str">
        <f t="shared" si="1"/>
        <v>Peter</v>
      </c>
      <c r="K3" s="28" t="str">
        <f t="shared" si="1"/>
        <v>Janus</v>
      </c>
      <c r="L3" s="28" t="str">
        <f t="shared" si="1"/>
        <v>Christian</v>
      </c>
      <c r="N3" s="28" t="str">
        <f t="shared" ref="N3:Q3" si="2">I3</f>
        <v>Thomas</v>
      </c>
      <c r="O3" s="28" t="str">
        <f t="shared" si="2"/>
        <v>Peter</v>
      </c>
      <c r="P3" s="28" t="str">
        <f t="shared" si="2"/>
        <v>Janus</v>
      </c>
      <c r="Q3" s="28" t="str">
        <f t="shared" si="2"/>
        <v>Christian</v>
      </c>
    </row>
    <row r="4">
      <c r="A4" s="149" t="s">
        <v>186</v>
      </c>
      <c r="B4" s="149">
        <v>9.0</v>
      </c>
      <c r="C4" s="150">
        <f>OFFSET('00_Regnskab_01'!$A$1,MATCH(B$4,'00_Regnskab_01'!$A$1:$A$25)-1,2)</f>
        <v>43491</v>
      </c>
    </row>
    <row r="5">
      <c r="A5" s="151" t="s">
        <v>187</v>
      </c>
      <c r="B5" s="152">
        <f>IFERROR(__xludf.DUMMYFUNCTION("MIN(FILTER(ROW('SAMLET_alle regnskab'!A:A), 'SAMLET_alle regnskab'!A:A=B4))"),61.0)</f>
        <v>61</v>
      </c>
      <c r="C5" s="149">
        <f>IFERROR(__xludf.DUMMYFUNCTION("MAX(FILTER(ROW('SAMLET_alle regnskab'!A:A), 'SAMLET_alle regnskab'!A:A=B4))"),101.0)</f>
        <v>101</v>
      </c>
      <c r="D5" s="25"/>
      <c r="E5" s="25"/>
      <c r="F5" s="25"/>
      <c r="G5" s="25"/>
    </row>
    <row r="6">
      <c r="A6" s="151" t="s">
        <v>188</v>
      </c>
      <c r="B6" s="149">
        <v>4.0</v>
      </c>
      <c r="C6" s="152">
        <f>IFERROR(__xludf.DUMMYFUNCTION("MAX(FILTER(ROW('SAMLET_alle regnskab'!A:A), ISNUMBER('SAMLET_alle regnskab'!A:A)))"),596.0)</f>
        <v>596</v>
      </c>
      <c r="D6" s="25"/>
      <c r="E6" s="25"/>
      <c r="F6" s="25"/>
      <c r="G6" s="25"/>
    </row>
    <row r="7">
      <c r="A7" s="25" t="s">
        <v>108</v>
      </c>
    </row>
    <row r="8">
      <c r="B8" s="25" t="s">
        <v>111</v>
      </c>
      <c r="C8" s="25"/>
      <c r="D8" s="153" t="s">
        <v>189</v>
      </c>
      <c r="E8" s="154"/>
      <c r="F8" s="154"/>
      <c r="G8" s="154"/>
    </row>
    <row r="9">
      <c r="B9" s="25"/>
      <c r="C9" s="25" t="s">
        <v>112</v>
      </c>
      <c r="D9" s="28">
        <f t="array" ref="D9">MAX(INDIRECT("'SAMLET_alle regnskab'!U" &amp; $B$2 &amp; ":U" &amp; $C$2))
</f>
        <v>96</v>
      </c>
      <c r="E9" s="28">
        <f t="array" ref="E9">MAX(INDIRECT("'SAMLET_alle regnskab'!V" &amp; $B$2 &amp; ":V" &amp; $C$2))</f>
        <v>96</v>
      </c>
      <c r="F9" s="28">
        <f t="array" ref="F9">MAX(INDIRECT("'SAMLET_alle regnskab'!W" &amp; $B$2 &amp; ":W" &amp; $C$2))</f>
        <v>96</v>
      </c>
      <c r="G9" s="28">
        <f t="array" ref="G9">MAX(INDIRECT("'SAMLET_alle regnskab'!X" &amp; $B$2 &amp; ":X" &amp; $C$2))</f>
        <v>64</v>
      </c>
    </row>
    <row r="10">
      <c r="B10" s="25"/>
      <c r="C10" s="25" t="s">
        <v>113</v>
      </c>
      <c r="D10" s="28">
        <f t="array" ref="D10">MIN(INDIRECT("'SAMLET_alle regnskab'!U" &amp; $B$2 &amp; ":U" &amp; $C$2))</f>
        <v>-96</v>
      </c>
      <c r="E10" s="28">
        <f t="array" ref="E10">MIN(INDIRECT("'SAMLET_alle regnskab'!V" &amp; $B$2 &amp; ":V" &amp; $C$2))</f>
        <v>-96</v>
      </c>
      <c r="F10" s="28">
        <f t="array" ref="F10">MIN(INDIRECT("'SAMLET_alle regnskab'!W" &amp; $B$2 &amp; ":W" &amp; $C$2))</f>
        <v>-48</v>
      </c>
      <c r="G10" s="28">
        <f t="array" ref="G10">MIN(INDIRECT("'SAMLET_alle regnskab'!X" &amp; $B$2 &amp; ":X" &amp; $C$2))</f>
        <v>-96</v>
      </c>
    </row>
    <row r="11">
      <c r="B11" s="25"/>
      <c r="C11" s="25" t="s">
        <v>114</v>
      </c>
      <c r="D11" s="123">
        <f t="array" ref="D11">AVERAGE(INDIRECT("'SAMLET_alle regnskab'!U" &amp; $B$2 &amp; ":U" &amp; $C$2))</f>
        <v>-3.219512195</v>
      </c>
      <c r="E11" s="123">
        <f t="array" ref="E11">AVERAGE(INDIRECT("'SAMLET_alle regnskab'!V" &amp; $B$2 &amp; ":V" &amp; $C$2))</f>
        <v>-3.902439024</v>
      </c>
      <c r="F11" s="123">
        <f t="array" ref="F11">AVERAGE(INDIRECT("'SAMLET_alle regnskab'!W" &amp; $B$2 &amp; ":W" &amp; $C$2))</f>
        <v>6.87804878</v>
      </c>
      <c r="G11" s="123">
        <f t="array" ref="G11">AVERAGE(INDIRECT("'SAMLET_alle regnskab'!X" &amp; $B$2 &amp; ":X" &amp; $C$2))</f>
        <v>0.243902439</v>
      </c>
    </row>
    <row r="13">
      <c r="A13" s="25" t="s">
        <v>111</v>
      </c>
    </row>
    <row r="14">
      <c r="B14" s="124">
        <f>COUNTA('SAMLET_alle regnskab'!B4:B525)</f>
        <v>515</v>
      </c>
      <c r="C14" s="25" t="s">
        <v>115</v>
      </c>
    </row>
    <row r="15">
      <c r="B15" s="46">
        <f>COUNTA('SAMLET_alle regnskab'!N4:N525)</f>
        <v>488</v>
      </c>
      <c r="C15" s="25" t="s">
        <v>190</v>
      </c>
    </row>
    <row r="16">
      <c r="B16" s="56">
        <f>SUM(S34:S35)</f>
        <v>0</v>
      </c>
      <c r="C16" s="25" t="s">
        <v>117</v>
      </c>
    </row>
    <row r="17">
      <c r="B17" s="46">
        <f>sum(S36:S38)</f>
        <v>0</v>
      </c>
      <c r="C17" s="25" t="s">
        <v>118</v>
      </c>
    </row>
    <row r="20">
      <c r="A20" s="25" t="s">
        <v>126</v>
      </c>
      <c r="D20" s="155" t="str">
        <f t="shared" ref="D20:L20" si="3">D3</f>
        <v>Thomas</v>
      </c>
      <c r="E20" s="155" t="str">
        <f t="shared" si="3"/>
        <v>Peter</v>
      </c>
      <c r="F20" s="155" t="str">
        <f t="shared" si="3"/>
        <v>Janus</v>
      </c>
      <c r="G20" s="155" t="str">
        <f t="shared" si="3"/>
        <v>Christian</v>
      </c>
      <c r="H20" s="155" t="str">
        <f t="shared" si="3"/>
        <v/>
      </c>
      <c r="I20" s="155" t="str">
        <f t="shared" si="3"/>
        <v>Thomas</v>
      </c>
      <c r="J20" s="155" t="str">
        <f t="shared" si="3"/>
        <v>Peter</v>
      </c>
      <c r="K20" s="155" t="str">
        <f t="shared" si="3"/>
        <v>Janus</v>
      </c>
      <c r="L20" s="155" t="str">
        <f t="shared" si="3"/>
        <v>Christian</v>
      </c>
      <c r="N20" s="155" t="str">
        <f t="shared" ref="N20:Q20" si="4">N3</f>
        <v>Thomas</v>
      </c>
      <c r="O20" s="155" t="str">
        <f t="shared" si="4"/>
        <v>Peter</v>
      </c>
      <c r="P20" s="155" t="str">
        <f t="shared" si="4"/>
        <v>Janus</v>
      </c>
      <c r="Q20" s="155" t="str">
        <f t="shared" si="4"/>
        <v>Christian</v>
      </c>
    </row>
    <row r="21">
      <c r="B21" s="25" t="s">
        <v>133</v>
      </c>
      <c r="D21" s="46" t="s">
        <v>191</v>
      </c>
      <c r="E21" s="56"/>
      <c r="F21" s="56"/>
      <c r="G21" s="56"/>
      <c r="I21" s="46" t="s">
        <v>192</v>
      </c>
      <c r="J21" s="56"/>
      <c r="K21" s="56"/>
      <c r="L21" s="56"/>
      <c r="N21" s="156" t="s">
        <v>193</v>
      </c>
      <c r="O21" s="56"/>
      <c r="P21" s="56"/>
      <c r="Q21" s="56"/>
    </row>
    <row r="22">
      <c r="C22" s="129" t="s">
        <v>139</v>
      </c>
      <c r="D22" s="28">
        <f t="array" ref="D22">MAXIFS(INDIRECT("'SAMLET_alle regnskab'!U" &amp; $B$2 &amp; ":U" &amp; $C$2), INDIRECT("'SAMLET_alle regnskab'!N" &amp; $B$2 &amp; ":N" &amp; $C$2), $C22)</f>
        <v>12</v>
      </c>
      <c r="E22" s="28">
        <f t="shared" ref="E22:E29" si="6">MAXIFS(INDIRECT("'SAMLET_alle regnskab'!V" &amp; $B$2 &amp; ":V$" &amp; $C$2), INDIRECT("'SAMLET_alle regnskab'!$N" &amp; $B$2 &amp; ":$N$" &amp; $C$2), $C22)
</f>
        <v>16</v>
      </c>
      <c r="F22" s="28">
        <f t="shared" ref="F22:F29" si="7">MAXIFS(INDIRECT("'SAMLET_alle regnskab'!W" &amp; $B$2 &amp; ":W$" &amp; $C$2), INDIRECT("'SAMLET_alle regnskab'!$N" &amp; $B$2 &amp; ":$N$" &amp; $C$2), $C22)
</f>
        <v>24</v>
      </c>
      <c r="G22" s="28">
        <f t="shared" ref="G22:G29" si="8">MAXIFS(INDIRECT("'SAMLET_alle regnskab'!X" &amp; $B$2 &amp; ":X$" &amp; $C$2), INDIRECT("'SAMLET_alle regnskab'!$N" &amp; $B$2 &amp; ":$N$" &amp; $C$2), $C22)
</f>
        <v>24</v>
      </c>
      <c r="I22" s="28">
        <f t="shared" ref="I22:I29" si="9">MINIFS(INDIRECT("'SAMLET_alle regnskab'!U" &amp; $B$2 &amp; ":U" &amp; $C$2), INDIRECT("'SAMLET_alle regnskab'!$N" &amp; $B$2 &amp; ":$N$" &amp; $C$2), $C22)</f>
        <v>-24</v>
      </c>
      <c r="J22" s="28">
        <f t="shared" ref="J22:J29" si="10">MINIFS(INDIRECT("'SAMLET_alle regnskab'!V" &amp; $B$2 &amp; ":V$" &amp; $C$2), INDIRECT("'SAMLET_alle regnskab'!$N" &amp; $B$2 &amp; ":$N$" &amp; $C$2), $C22)</f>
        <v>-12</v>
      </c>
      <c r="K22" s="28">
        <f t="shared" ref="K22:K29" si="11">MINIFS(INDIRECT("'SAMLET_alle regnskab'!W" &amp; $B$2 &amp; ":W$" &amp; $C$2), INDIRECT("'SAMLET_alle regnskab'!$N" &amp; $B$2 &amp; ":$N$" &amp; $C$2), $C22)</f>
        <v>-16</v>
      </c>
      <c r="L22" s="28">
        <f t="shared" ref="L22:L29" si="12">MINIFS(INDIRECT("'SAMLET_alle regnskab'!X" &amp; $B$2 &amp; ":X$" &amp; $C$2), INDIRECT("'SAMLET_alle regnskab'!$N" &amp; $B$2 &amp; ":$N$" &amp; $C$2), $C22)</f>
        <v>-8</v>
      </c>
      <c r="N22" s="28">
        <f t="shared" ref="N22:Q22" si="5">COUNTIFS(INDIRECT("'SAMLET_alle regnskab'!$N" &amp; $B$2 &amp; ":$N$" &amp; $C$2), $C22, INDIRECT("'SAMLET_alle regnskab'!$H" &amp; $B$2 &amp; ":$H$" &amp; $C$2), N$3)</f>
        <v>3</v>
      </c>
      <c r="O22" s="28">
        <f t="shared" si="5"/>
        <v>1</v>
      </c>
      <c r="P22" s="28">
        <f t="shared" si="5"/>
        <v>1</v>
      </c>
      <c r="Q22" s="28">
        <f t="shared" si="5"/>
        <v>2</v>
      </c>
    </row>
    <row r="23">
      <c r="C23" s="129" t="s">
        <v>140</v>
      </c>
      <c r="D23" s="28">
        <f t="shared" ref="D23:D29" si="14">MAXIFS(INDIRECT("'SAMLET_alle regnskab'!U" &amp; $B$2 &amp; ":U" &amp; $C$2), INDIRECT("'SAMLET_alle regnskab'!$N" &amp; $B$2 &amp; ":$N$" &amp; $C$2), $C23)
</f>
        <v>-8</v>
      </c>
      <c r="E23" s="28">
        <f t="shared" si="6"/>
        <v>10</v>
      </c>
      <c r="F23" s="28">
        <f t="shared" si="7"/>
        <v>24</v>
      </c>
      <c r="G23" s="28">
        <f t="shared" si="8"/>
        <v>10</v>
      </c>
      <c r="I23" s="28">
        <f t="shared" si="9"/>
        <v>-10</v>
      </c>
      <c r="J23" s="28">
        <f t="shared" si="10"/>
        <v>-8</v>
      </c>
      <c r="K23" s="28">
        <f t="shared" si="11"/>
        <v>-10</v>
      </c>
      <c r="L23" s="28">
        <f t="shared" si="12"/>
        <v>-8</v>
      </c>
      <c r="N23" s="28">
        <f t="shared" ref="N23:Q23" si="13">COUNTIFS(INDIRECT("'SAMLET_alle regnskab'!$N" &amp; $B$2 &amp; ":$N$" &amp; $C$2), $C23, INDIRECT("'SAMLET_alle regnskab'!$H" &amp; $B$2 &amp; ":$H$" &amp; $C$2), N$3)</f>
        <v>0</v>
      </c>
      <c r="O23" s="28">
        <f t="shared" si="13"/>
        <v>0</v>
      </c>
      <c r="P23" s="28">
        <f t="shared" si="13"/>
        <v>1</v>
      </c>
      <c r="Q23" s="28">
        <f t="shared" si="13"/>
        <v>1</v>
      </c>
    </row>
    <row r="24">
      <c r="C24" s="131" t="s">
        <v>141</v>
      </c>
      <c r="D24" s="28">
        <f t="shared" si="14"/>
        <v>0</v>
      </c>
      <c r="E24" s="28">
        <f t="shared" si="6"/>
        <v>0</v>
      </c>
      <c r="F24" s="28">
        <f t="shared" si="7"/>
        <v>0</v>
      </c>
      <c r="G24" s="28">
        <f t="shared" si="8"/>
        <v>0</v>
      </c>
      <c r="I24" s="28">
        <f t="shared" si="9"/>
        <v>0</v>
      </c>
      <c r="J24" s="28">
        <f t="shared" si="10"/>
        <v>0</v>
      </c>
      <c r="K24" s="28">
        <f t="shared" si="11"/>
        <v>0</v>
      </c>
      <c r="L24" s="28">
        <f t="shared" si="12"/>
        <v>0</v>
      </c>
      <c r="N24" s="28">
        <f t="shared" ref="N24:Q24" si="15">COUNTIFS(INDIRECT("'SAMLET_alle regnskab'!$N" &amp; $B$2 &amp; ":$N$" &amp; $C$2), $C24, INDIRECT("'SAMLET_alle regnskab'!$H" &amp; $B$2 &amp; ":$H$" &amp; $C$2), N$3)</f>
        <v>0</v>
      </c>
      <c r="O24" s="28">
        <f t="shared" si="15"/>
        <v>0</v>
      </c>
      <c r="P24" s="28">
        <f t="shared" si="15"/>
        <v>0</v>
      </c>
      <c r="Q24" s="28">
        <f t="shared" si="15"/>
        <v>0</v>
      </c>
    </row>
    <row r="25">
      <c r="C25" s="129" t="s">
        <v>142</v>
      </c>
      <c r="D25" s="28">
        <f t="shared" si="14"/>
        <v>8</v>
      </c>
      <c r="E25" s="28">
        <f t="shared" si="6"/>
        <v>-8</v>
      </c>
      <c r="F25" s="28">
        <f t="shared" si="7"/>
        <v>6</v>
      </c>
      <c r="G25" s="28">
        <f t="shared" si="8"/>
        <v>-6</v>
      </c>
      <c r="I25" s="28">
        <f t="shared" si="9"/>
        <v>8</v>
      </c>
      <c r="J25" s="28">
        <f t="shared" si="10"/>
        <v>-8</v>
      </c>
      <c r="K25" s="28">
        <f t="shared" si="11"/>
        <v>6</v>
      </c>
      <c r="L25" s="28">
        <f t="shared" si="12"/>
        <v>-6</v>
      </c>
      <c r="N25" s="28">
        <f t="shared" ref="N25:Q25" si="16">COUNTIFS(INDIRECT("'SAMLET_alle regnskab'!$N" &amp; $B$2 &amp; ":$N$" &amp; $C$2), $C25, INDIRECT("'SAMLET_alle regnskab'!$H" &amp; $B$2 &amp; ":$H$" &amp; $C$2), N$3)</f>
        <v>0</v>
      </c>
      <c r="O25" s="28">
        <f t="shared" si="16"/>
        <v>0</v>
      </c>
      <c r="P25" s="28">
        <f t="shared" si="16"/>
        <v>1</v>
      </c>
      <c r="Q25" s="28">
        <f t="shared" si="16"/>
        <v>0</v>
      </c>
    </row>
    <row r="26">
      <c r="C26" s="131" t="s">
        <v>143</v>
      </c>
      <c r="D26" s="28">
        <f t="shared" si="14"/>
        <v>0</v>
      </c>
      <c r="E26" s="28">
        <f t="shared" si="6"/>
        <v>0</v>
      </c>
      <c r="F26" s="28">
        <f t="shared" si="7"/>
        <v>0</v>
      </c>
      <c r="G26" s="28">
        <f t="shared" si="8"/>
        <v>0</v>
      </c>
      <c r="I26" s="28">
        <f t="shared" si="9"/>
        <v>0</v>
      </c>
      <c r="J26" s="28">
        <f t="shared" si="10"/>
        <v>0</v>
      </c>
      <c r="K26" s="28">
        <f t="shared" si="11"/>
        <v>0</v>
      </c>
      <c r="L26" s="28">
        <f t="shared" si="12"/>
        <v>0</v>
      </c>
      <c r="N26" s="28">
        <f t="shared" ref="N26:Q26" si="17">COUNTIFS(INDIRECT("'SAMLET_alle regnskab'!$N" &amp; $B$2 &amp; ":$N$" &amp; $C$2), $C26, INDIRECT("'SAMLET_alle regnskab'!$H" &amp; $B$2 &amp; ":$H$" &amp; $C$2), N$3)</f>
        <v>0</v>
      </c>
      <c r="O26" s="28">
        <f t="shared" si="17"/>
        <v>0</v>
      </c>
      <c r="P26" s="28">
        <f t="shared" si="17"/>
        <v>0</v>
      </c>
      <c r="Q26" s="28">
        <f t="shared" si="17"/>
        <v>0</v>
      </c>
    </row>
    <row r="27">
      <c r="C27" s="129" t="s">
        <v>144</v>
      </c>
      <c r="D27" s="28">
        <f t="shared" si="14"/>
        <v>24</v>
      </c>
      <c r="E27" s="28">
        <f t="shared" si="6"/>
        <v>16</v>
      </c>
      <c r="F27" s="28">
        <f t="shared" si="7"/>
        <v>16</v>
      </c>
      <c r="G27" s="28">
        <f t="shared" si="8"/>
        <v>24</v>
      </c>
      <c r="I27" s="28">
        <f t="shared" si="9"/>
        <v>-48</v>
      </c>
      <c r="J27" s="28">
        <f t="shared" si="10"/>
        <v>-24</v>
      </c>
      <c r="K27" s="28">
        <f t="shared" si="11"/>
        <v>-36</v>
      </c>
      <c r="L27" s="28">
        <f t="shared" si="12"/>
        <v>-12</v>
      </c>
      <c r="N27" s="28">
        <f t="shared" ref="N27:Q27" si="18">COUNTIFS(INDIRECT("'SAMLET_alle regnskab'!$N" &amp; $B$2 &amp; ":$N$" &amp; $C$2), $C27, INDIRECT("'SAMLET_alle regnskab'!$H" &amp; $B$2 &amp; ":$H$" &amp; $C$2), N$3)</f>
        <v>7</v>
      </c>
      <c r="O27" s="28">
        <f t="shared" si="18"/>
        <v>1</v>
      </c>
      <c r="P27" s="28">
        <f t="shared" si="18"/>
        <v>3</v>
      </c>
      <c r="Q27" s="28">
        <f t="shared" si="18"/>
        <v>1</v>
      </c>
    </row>
    <row r="28">
      <c r="C28" s="129" t="s">
        <v>145</v>
      </c>
      <c r="D28" s="28">
        <f t="shared" si="14"/>
        <v>96</v>
      </c>
      <c r="E28" s="28">
        <f t="shared" si="6"/>
        <v>96</v>
      </c>
      <c r="F28" s="28">
        <f t="shared" si="7"/>
        <v>96</v>
      </c>
      <c r="G28" s="28">
        <f t="shared" si="8"/>
        <v>64</v>
      </c>
      <c r="I28" s="28">
        <f t="shared" si="9"/>
        <v>-96</v>
      </c>
      <c r="J28" s="28">
        <f t="shared" si="10"/>
        <v>-96</v>
      </c>
      <c r="K28" s="28">
        <f t="shared" si="11"/>
        <v>-48</v>
      </c>
      <c r="L28" s="28">
        <f t="shared" si="12"/>
        <v>-96</v>
      </c>
      <c r="N28" s="28">
        <f t="shared" ref="N28:Q28" si="19">COUNTIFS(INDIRECT("'SAMLET_alle regnskab'!$N" &amp; $B$2 &amp; ":$N$" &amp; $C$2), $C28, INDIRECT("'SAMLET_alle regnskab'!$H" &amp; $B$2 &amp; ":$H$" &amp; $C$2), N$3)</f>
        <v>10</v>
      </c>
      <c r="O28" s="28">
        <f t="shared" si="19"/>
        <v>1</v>
      </c>
      <c r="P28" s="28">
        <f t="shared" si="19"/>
        <v>0</v>
      </c>
      <c r="Q28" s="28">
        <f t="shared" si="19"/>
        <v>1</v>
      </c>
    </row>
    <row r="29">
      <c r="C29" s="129" t="s">
        <v>146</v>
      </c>
      <c r="D29" s="28">
        <f t="shared" si="14"/>
        <v>16</v>
      </c>
      <c r="E29" s="28">
        <f t="shared" si="6"/>
        <v>48</v>
      </c>
      <c r="F29" s="28">
        <f t="shared" si="7"/>
        <v>6</v>
      </c>
      <c r="G29" s="28">
        <f t="shared" si="8"/>
        <v>16</v>
      </c>
      <c r="I29" s="28">
        <f t="shared" si="9"/>
        <v>-18</v>
      </c>
      <c r="J29" s="28">
        <f t="shared" si="10"/>
        <v>-16</v>
      </c>
      <c r="K29" s="28">
        <f t="shared" si="11"/>
        <v>-16</v>
      </c>
      <c r="L29" s="28">
        <f t="shared" si="12"/>
        <v>-16</v>
      </c>
      <c r="N29" s="28">
        <f t="shared" ref="N29:Q29" si="20">COUNTIFS(INDIRECT("'SAMLET_alle regnskab'!$N" &amp; $B$2 &amp; ":$N$" &amp; $C$2), $C29, INDIRECT("'SAMLET_alle regnskab'!$H" &amp; $B$2 &amp; ":$H$" &amp; $C$2), N$3)</f>
        <v>2</v>
      </c>
      <c r="O29" s="28">
        <f t="shared" si="20"/>
        <v>1</v>
      </c>
      <c r="P29" s="28">
        <f t="shared" si="20"/>
        <v>0</v>
      </c>
      <c r="Q29" s="28">
        <f t="shared" si="20"/>
        <v>1</v>
      </c>
    </row>
    <row r="30">
      <c r="M30" s="157" t="s">
        <v>194</v>
      </c>
      <c r="N30" s="158">
        <f t="shared" ref="N30:Q30" si="21">SUM(N22:N29)</f>
        <v>22</v>
      </c>
      <c r="O30" s="158">
        <f t="shared" si="21"/>
        <v>4</v>
      </c>
      <c r="P30" s="158">
        <f t="shared" si="21"/>
        <v>6</v>
      </c>
      <c r="Q30" s="158">
        <f t="shared" si="21"/>
        <v>6</v>
      </c>
    </row>
    <row r="31">
      <c r="D31" s="159">
        <v>20.0</v>
      </c>
      <c r="E31" s="159">
        <v>21.0</v>
      </c>
      <c r="F31" s="159">
        <v>22.0</v>
      </c>
      <c r="G31" s="159">
        <v>23.0</v>
      </c>
    </row>
    <row r="32">
      <c r="B32" s="141" t="s">
        <v>195</v>
      </c>
      <c r="D32" s="160" t="str">
        <f t="shared" ref="D32:G32" si="22">D3</f>
        <v>Thomas</v>
      </c>
      <c r="E32" s="160" t="str">
        <f t="shared" si="22"/>
        <v>Peter</v>
      </c>
      <c r="F32" s="160" t="str">
        <f t="shared" si="22"/>
        <v>Janus</v>
      </c>
      <c r="G32" s="160" t="str">
        <f t="shared" si="22"/>
        <v>Christian</v>
      </c>
    </row>
    <row r="33">
      <c r="C33" s="25" t="s">
        <v>196</v>
      </c>
      <c r="D33" s="183">
        <f t="array" ref="D33">OFFSET(INDIRECT("'SAMLET_alle regnskab'!$A" &amp; $B$2), MATCH(MAX(INDIRECT("'SAMLET_alle regnskab'!U" &amp; $B$2 &amp; ":U" &amp; $C$2)), INDIRECT("'SAMLET_alle regnskab'!U" &amp; $B$2 &amp; ":U" &amp; $C$2), 0) -1, 20, 1, 1)</f>
        <v>96</v>
      </c>
      <c r="E33" s="183">
        <f t="array" ref="E33">OFFSET(INDIRECT("'SAMLET_alle regnskab'!$A" &amp; $B$2), MATCH(MAX(INDIRECT("'SAMLET_alle regnskab'!V" &amp; $B$2 &amp; ":V" &amp; $C$2)), INDIRECT("'SAMLET_alle regnskab'!V" &amp; $B$2 &amp; ":V" &amp; $C$2), 0) -1, 21, 1, 1)</f>
        <v>96</v>
      </c>
      <c r="F33" s="183">
        <f t="array" ref="F33">OFFSET(INDIRECT("'SAMLET_alle regnskab'!$A" &amp; $B$2), MATCH(MAX(INDIRECT("'SAMLET_alle regnskab'!W" &amp; $B$2 &amp; ":W" &amp; $C$2)), INDIRECT("'SAMLET_alle regnskab'!W" &amp; $B$2 &amp; ":W" &amp; $C$2), 0) -1, 22, 1, 1)</f>
        <v>96</v>
      </c>
      <c r="G33" s="184">
        <f t="array" ref="G33">OFFSET(INDIRECT("'SAMLET_alle regnskab'!$A" &amp; $B$2), MATCH(MAX(INDIRECT("'SAMLET_alle regnskab'!X" &amp; $B$2 &amp; ":X" &amp; $C$2)), INDIRECT("'SAMLET_alle regnskab'!X" &amp; $B$2 &amp; ":X" &amp; $C$2), 0) -1, 23, 1, 1)</f>
        <v>64</v>
      </c>
      <c r="I33" s="25" t="s">
        <v>197</v>
      </c>
    </row>
    <row r="34">
      <c r="C34" s="25" t="s">
        <v>64</v>
      </c>
      <c r="D34" s="185" t="str">
        <f t="array" ref="D34">OFFSET(INDIRECT("'SAMLET_alle regnskab'!$A" &amp; $B$2), MATCH(MAX(INDIRECT("'SAMLET_alle regnskab'!U" &amp; $B$2 &amp; ":U" &amp; $C$2)), INDIRECT("'SAMLET_alle regnskab'!U" &amp; $B$2 &amp; ":U" &amp; $C$2), 0) -1, 10, 1, 1)</f>
        <v>9 vip i 3. (gode)</v>
      </c>
      <c r="E34" s="185" t="str">
        <f t="array" ref="E34">OFFSET(INDIRECT("'SAMLET_alle regnskab'!$A" &amp; $B$2), MATCH(MAX(INDIRECT("'SAMLET_alle regnskab'!V" &amp; $B$2 &amp; ":V" &amp; $C$2)), INDIRECT("'SAMLET_alle regnskab'!V" &amp; $B$2 &amp; ":V" &amp; $C$2), 0) -1, 10, 1, 1)
</f>
        <v>9 vip i 3.</v>
      </c>
      <c r="F34" s="185" t="str">
        <f t="array" ref="F34">OFFSET(INDIRECT("'SAMLET_alle regnskab'!$A" &amp; $B$2), MATCH(MAX(INDIRECT("'SAMLET_alle regnskab'!W" &amp; $B$2 &amp; ":W" &amp; $C$2)), INDIRECT("'SAMLET_alle regnskab'!W" &amp; $B$2 &amp; ":W" &amp; $C$2), 0) -1, 10, 1, 1)</f>
        <v>9 vip i 3.</v>
      </c>
      <c r="G34" s="185" t="str">
        <f t="array" ref="G34">OFFSET(INDIRECT("'SAMLET_alle regnskab'!$A" &amp; $B$2), MATCH(MAX(INDIRECT("'SAMLET_alle regnskab'!X" &amp; $B$2 &amp; ":X" &amp; $C$2)), INDIRECT("'SAMLET_alle regnskab'!X" &amp; $B$2 &amp; ":X" &amp; $C$2), 0) -1, 10, 1, 1)</f>
        <v>10 vip i 3.</v>
      </c>
      <c r="I34" s="25" t="s">
        <v>198</v>
      </c>
    </row>
    <row r="35">
      <c r="C35" s="25" t="s">
        <v>80</v>
      </c>
      <c r="D35" s="185" t="str">
        <f t="array" ref="D35">OFFSET(INDIRECT("'SAMLET_alle regnskab'!$A" &amp; $B$2), MATCH(MAX(INDIRECT("'SAMLET_alle regnskab'!U" &amp; $B$2 &amp; ":U" &amp; $C$2)), INDIRECT("'SAMLET_alle regnskab'!U" &amp; $B$2 &amp; ":U" &amp; $C$2), 0) -1, 7, 1, 1)</f>
        <v>Thomas</v>
      </c>
      <c r="E35" s="185" t="str">
        <f t="array" ref="E35">OFFSET(INDIRECT("'SAMLET_alle regnskab'!$A" &amp; $B$2), MATCH(MAX(INDIRECT("'SAMLET_alle regnskab'!V" &amp; $B$2 &amp; ":V" &amp; $C$2)), INDIRECT("'SAMLET_alle regnskab'!V" &amp; $B$2 &amp; ":V" &amp; $C$2), 0) -1, 7, 1, 1)
</f>
        <v>Thomas</v>
      </c>
      <c r="F35" s="185" t="str">
        <f t="array" ref="F35">OFFSET(INDIRECT("'SAMLET_alle regnskab'!$A" &amp; $B$2), MATCH(MAX(INDIRECT("'SAMLET_alle regnskab'!W" &amp; $B$2 &amp; ":W" &amp; $C$2)), INDIRECT("'SAMLET_alle regnskab'!W" &amp; $B$2 &amp; ":W" &amp; $C$2), 0) -1, 7, 1, 1)
</f>
        <v>Thomas</v>
      </c>
      <c r="G35" s="185" t="str">
        <f t="array" ref="G35">OFFSET(INDIRECT("'SAMLET_alle regnskab'!$A" &amp; $B$2), MATCH(MAX(INDIRECT("'SAMLET_alle regnskab'!X" &amp; $B$2 &amp; ":X" &amp; $C$2)), INDIRECT("'SAMLET_alle regnskab'!X" &amp; $B$2 &amp; ":X" &amp; $C$2), 0) -1, 7, 1, 1)
</f>
        <v>Thomas</v>
      </c>
    </row>
    <row r="36">
      <c r="C36" s="25" t="s">
        <v>81</v>
      </c>
      <c r="D36" s="185" t="str">
        <f t="array" ref="D36">OFFSET(INDIRECT("'SAMLET_alle regnskab'!$A" &amp; $B$2), MATCH(MAX(INDIRECT("'SAMLET_alle regnskab'!U" &amp; $B$2 &amp; ":U" &amp; $C$2)), INDIRECT("'SAMLET_alle regnskab'!U" &amp; $B$2 &amp; ":U" &amp; $C$2), 0) -1, 8, 1, 1)
</f>
        <v/>
      </c>
      <c r="E36" s="185" t="str">
        <f t="array" ref="E36">OFFSET(INDIRECT("'SAMLET_alle regnskab'!$A" &amp; $B$2), MATCH(MAX(INDIRECT("'SAMLET_alle regnskab'!V" &amp; $B$2 &amp; ":V" &amp; $C$2)), INDIRECT("'SAMLET_alle regnskab'!V" &amp; $B$2 &amp; ":V" &amp; $C$2), 0) -1, 8, 1, 1)
</f>
        <v/>
      </c>
      <c r="F36" s="185" t="str">
        <f t="array" ref="F36">OFFSET(INDIRECT("'SAMLET_alle regnskab'!$A" &amp; $B$2), MATCH(MAX(INDIRECT("'SAMLET_alle regnskab'!W" &amp; $B$2 &amp; ":W" &amp; $C$2)), INDIRECT("'SAMLET_alle regnskab'!W" &amp; $B$2 &amp; ":W" &amp; $C$2), 0) -1, 8, 1, 1)
</f>
        <v/>
      </c>
      <c r="G36" s="185" t="str">
        <f t="array" ref="G36">OFFSET(INDIRECT("'SAMLET_alle regnskab'!$A" &amp; $B$2), MATCH(MAX(INDIRECT("'SAMLET_alle regnskab'!X" &amp; $B$2 &amp; ":X" &amp; $C$2)), INDIRECT("'SAMLET_alle regnskab'!X" &amp; $B$2 &amp; ":X" &amp; $C$2), 0) -1, 8, 1, 1)
</f>
        <v/>
      </c>
    </row>
    <row r="37">
      <c r="B37" s="25"/>
      <c r="C37" s="25" t="s">
        <v>1</v>
      </c>
      <c r="D37" s="186">
        <f>OFFSET('00_Regnskab_01'!$A$1,MATCH(D$39,'00_Regnskab_01'!$A$1:$A$25)-1,2)</f>
        <v>43491</v>
      </c>
      <c r="E37" s="186">
        <f>OFFSET('00_Regnskab_01'!$A$1,MATCH(E$39,'00_Regnskab_01'!$A$1:$A$25)-1,2)</f>
        <v>43491</v>
      </c>
      <c r="F37" s="186">
        <f>OFFSET('00_Regnskab_01'!$A$1,MATCH(F$39,'00_Regnskab_01'!$A$1:$A$25)-1,2)</f>
        <v>43491</v>
      </c>
      <c r="G37" s="186">
        <f>OFFSET('00_Regnskab_01'!$A$1,MATCH(G$39,'00_Regnskab_01'!$A$1:$A$25)-1,2)</f>
        <v>43491</v>
      </c>
    </row>
    <row r="38">
      <c r="C38" s="25" t="s">
        <v>199</v>
      </c>
      <c r="D38" s="185">
        <f t="array" ref="D38">OFFSET(INDIRECT("'SAMLET_alle regnskab'!$A" &amp; $B$2), MATCH(MAX(INDIRECT("'SAMLET_alle regnskab'!U" &amp; $B$2 &amp; ":U" &amp; $C$2)), INDIRECT("'SAMLET_alle regnskab'!U" &amp; $B$2 &amp; ":U" &amp; $C$2), 0) -1, 1, 1, 1)</f>
        <v>24</v>
      </c>
      <c r="E38" s="185">
        <f t="array" ref="E38">OFFSET(INDIRECT("'SAMLET_alle regnskab'!$A" &amp; $B$2), MATCH(MAX(INDIRECT("'SAMLET_alle regnskab'!V" &amp; $B$2 &amp; ":V$" &amp; $C$2)), INDIRECT("'SAMLET_alle regnskab'!V" &amp; $B$2 &amp; ":V$" &amp; $C$2), 0) -1, 1, 1, 1)
</f>
        <v>10</v>
      </c>
      <c r="F38" s="185">
        <f t="array" ref="F38">OFFSET(INDIRECT("'SAMLET_alle regnskab'!$A" &amp; $B$2), MATCH(MAX(INDIRECT("'SAMLET_alle regnskab'!W" &amp; $B$2 &amp; ":W$" &amp; $C$2)), INDIRECT("'SAMLET_alle regnskab'!W" &amp; $B$2 &amp; ":W$" &amp; $C$2), 0) -1, 1, 1, 1)
</f>
        <v>10</v>
      </c>
      <c r="G38" s="185">
        <f t="array" ref="G38">OFFSET(INDIRECT("'SAMLET_alle regnskab'!$A" &amp; $B$2), MATCH(MAX(INDIRECT("'SAMLET_alle regnskab'!X" &amp; $B$2 &amp; ":X$" &amp; $C$2)), INDIRECT("'SAMLET_alle regnskab'!X" &amp; $B$2 &amp; ":X$" &amp; $C$2), 0) -1, 1, 1, 1)
</f>
        <v>38</v>
      </c>
    </row>
    <row r="39">
      <c r="C39" s="25" t="s">
        <v>186</v>
      </c>
      <c r="D39" s="187">
        <f t="array" ref="D39">OFFSET(INDIRECT("'SAMLET_alle regnskab'!$A" &amp; $B$2), MATCH(MAX(INDIRECT("'SAMLET_alle regnskab'!U" &amp; $B$2 &amp; ":U" &amp; $C$2)), INDIRECT("'SAMLET_alle regnskab'!U" &amp; $B$2 &amp; ":U" &amp; $C$2), 0) + 2, 0, 1, 1)
</f>
        <v>9</v>
      </c>
      <c r="E39" s="187">
        <f t="array" ref="E39">OFFSET(INDIRECT("'SAMLET_alle regnskab'!$A" &amp; $B$2), MATCH(MAX(INDIRECT("'SAMLET_alle regnskab'!V" &amp; $B$2 &amp; ":V$" &amp; $C$2)), INDIRECT("'SAMLET_alle regnskab'!V" &amp; $B$2 &amp; ":V$" &amp; $C$2), 0) + 2, 0, 1, 1)
</f>
        <v>9</v>
      </c>
      <c r="F39" s="187">
        <f t="array" ref="F39">OFFSET(INDIRECT("'SAMLET_alle regnskab'!$A" &amp; $B$2), MATCH(MAX(INDIRECT("'SAMLET_alle regnskab'!W" &amp; $B$2 &amp; ":W$" &amp; $C$2)), INDIRECT("'SAMLET_alle regnskab'!W" &amp; $B$2 &amp; ":W$" &amp; $C$2), 0) + 2, 0, 1, 1)
</f>
        <v>9</v>
      </c>
      <c r="G39" s="187">
        <f t="array" ref="G39">OFFSET(INDIRECT("'SAMLET_alle regnskab'!$A" &amp; $B$2), MATCH(MAX(INDIRECT("'SAMLET_alle regnskab'!X" &amp; $B$2 &amp; ":X$" &amp; $C$2)), INDIRECT("'SAMLET_alle regnskab'!X" &amp; $B$2 &amp; ":X$" &amp; $C$2), 0) + 2, 0, 1, 1)
</f>
        <v>9</v>
      </c>
    </row>
    <row r="40">
      <c r="B40" s="25"/>
      <c r="D40" s="26"/>
      <c r="E40" s="26"/>
      <c r="F40" s="26"/>
      <c r="G40" s="26"/>
    </row>
    <row r="41">
      <c r="B41" s="141" t="s">
        <v>200</v>
      </c>
      <c r="D41" s="164" t="str">
        <f t="shared" ref="D41:G41" si="23">D3</f>
        <v>Thomas</v>
      </c>
      <c r="E41" s="164" t="str">
        <f t="shared" si="23"/>
        <v>Peter</v>
      </c>
      <c r="F41" s="164" t="str">
        <f t="shared" si="23"/>
        <v>Janus</v>
      </c>
      <c r="G41" s="164" t="str">
        <f t="shared" si="23"/>
        <v>Christian</v>
      </c>
    </row>
    <row r="42">
      <c r="C42" s="25" t="s">
        <v>196</v>
      </c>
      <c r="D42" s="161">
        <f t="array" ref="D42">OFFSET(INDIRECT("'SAMLET_alle regnskab'!$A" &amp; $B$2), MATCH(MIN(INDIRECT("'SAMLET_alle regnskab'!U" &amp; $B$2 &amp; ":U$" &amp; $C$2)), INDIRECT("'SAMLET_alle regnskab'!U" &amp; $B$2 &amp; ":U$" &amp; $C$2), 0) -1, 20, 1, 1)</f>
        <v>-96</v>
      </c>
      <c r="E42" s="161">
        <f t="array" ref="E42">OFFSET(INDIRECT("'SAMLET_alle regnskab'!$A" &amp; $B$2), MATCH(MIN(INDIRECT("'SAMLET_alle regnskab'!V" &amp; $B$2 &amp; ":V$" &amp; $C$2)), INDIRECT("'SAMLET_alle regnskab'!V" &amp; $B$2 &amp; ":V$" &amp; $C$2), 0) -1, 21, 1, 1)</f>
        <v>-96</v>
      </c>
      <c r="F42" s="161">
        <f t="array" ref="F42">OFFSET(INDIRECT("'SAMLET_alle regnskab'!$A" &amp; $B$2), MATCH(MIN(INDIRECT("'SAMLET_alle regnskab'!W" &amp; $B$2 &amp; ":W$" &amp; $C$2)), INDIRECT("'SAMLET_alle regnskab'!W" &amp; $B$2 &amp; ":W$" &amp; $C$2), 0) -1, 22, 1, 1)</f>
        <v>-48</v>
      </c>
      <c r="G42" s="161">
        <f t="array" ref="G42">OFFSET(INDIRECT("'SAMLET_alle regnskab'!$A" &amp; $B$2), MATCH(MIN(INDIRECT("'SAMLET_alle regnskab'!X" &amp; $B$2 &amp; ":X$" &amp; $C$2)), INDIRECT("'SAMLET_alle regnskab'!X" &amp; $B$2 &amp; ":X$" &amp; $C$2), 0) -1, 23, 1, 1)</f>
        <v>-96</v>
      </c>
    </row>
    <row r="43">
      <c r="C43" s="25" t="s">
        <v>64</v>
      </c>
      <c r="D43" s="26" t="str">
        <f t="array" ref="D43">OFFSET(INDIRECT("'SAMLET_alle regnskab'!$A" &amp; $B$2), MATCH(MIN(INDIRECT("'SAMLET_alle regnskab'!U" &amp; $B$2 &amp; ":U$" &amp; $C$2)), INDIRECT("'SAMLET_alle regnskab'!U" &amp; $B$2 &amp; ":U$" &amp; $C$2), 0) -1, 10, 1, 1)
</f>
        <v>9 vip i 3.</v>
      </c>
      <c r="E43" s="26" t="str">
        <f t="array" ref="E43">OFFSET(INDIRECT("'SAMLET_alle regnskab'!$A" &amp; $B$2), MATCH(MIN(INDIRECT("'SAMLET_alle regnskab'!V" &amp; $B$2 &amp; ":V$" &amp; $C$2)), INDIRECT("'SAMLET_alle regnskab'!V" &amp; $B$2 &amp; ":V$" &amp; $C$2), 0) -1, 10, 1, 1)
</f>
        <v>9 vip i 3. (gode)</v>
      </c>
      <c r="F43" s="26" t="str">
        <f t="array" ref="F43">OFFSET(INDIRECT("'SAMLET_alle regnskab'!$A" &amp; $B$2), MATCH(MIN(INDIRECT("'SAMLET_alle regnskab'!W" &amp; $B$2 &amp; ":W$" &amp; $C$2)), INDIRECT("'SAMLET_alle regnskab'!W" &amp; $B$2 &amp; ":W$" &amp; $C$2), 0) -1, 10, 1, 1)
</f>
        <v>9 vip i 3.</v>
      </c>
      <c r="G43" s="26" t="str">
        <f t="array" ref="G43">OFFSET(INDIRECT("'SAMLET_alle regnskab'!$A" &amp; $B$2), MATCH(MIN(INDIRECT("'SAMLET_alle regnskab'!X" &amp; $B$2 &amp; ":X$" &amp; $C$2)), INDIRECT("'SAMLET_alle regnskab'!X" &amp; $B$2 &amp; ":X$" &amp; $C$2), 0) -1, 10, 1, 1)
</f>
        <v>9 vip i 3.</v>
      </c>
      <c r="I43" s="25" t="s">
        <v>198</v>
      </c>
    </row>
    <row r="44">
      <c r="C44" s="25" t="s">
        <v>80</v>
      </c>
      <c r="D44" s="26" t="str">
        <f t="array" ref="D44">OFFSET(INDIRECT("'SAMLET_alle regnskab'!$A" &amp; $B$2), MATCH(MIN(INDIRECT("'SAMLET_alle regnskab'!U" &amp; $B$2 &amp; ":U$" &amp; $C$2)), INDIRECT("'SAMLET_alle regnskab'!U" &amp; $B$2 &amp; ":U$" &amp; $C$2), 0) -1, 7, 1, 1)
</f>
        <v>Thomas</v>
      </c>
      <c r="E44" s="26" t="str">
        <f t="array" ref="E44">OFFSET(INDIRECT("'SAMLET_alle regnskab'!$A" &amp; $B$2), MATCH(MIN(INDIRECT("'SAMLET_alle regnskab'!V" &amp; $B$2 &amp; ":V$" &amp; $C$2)), INDIRECT("'SAMLET_alle regnskab'!V" &amp; $B$2 &amp; ":V$" &amp; $C$2), 0) -1, 7, 1, 1)
</f>
        <v>Thomas</v>
      </c>
      <c r="F44" s="26" t="str">
        <f t="array" ref="F44">OFFSET(INDIRECT("'SAMLET_alle regnskab'!$A" &amp; $B$2), MATCH(MIN(INDIRECT("'SAMLET_alle regnskab'!W" &amp; $B$2 &amp; ":W$" &amp; $C$2)), INDIRECT("'SAMLET_alle regnskab'!W" &amp; $B$2 &amp; ":W$" &amp; $C$2), 0) -1, 7, 1, 1)
</f>
        <v>Thomas</v>
      </c>
      <c r="G44" s="26" t="str">
        <f t="array" ref="G44">OFFSET(INDIRECT("'SAMLET_alle regnskab'!$A" &amp; $B$2), MATCH(MIN(INDIRECT("'SAMLET_alle regnskab'!X" &amp; $B$2 &amp; ":X$" &amp; $C$2)), INDIRECT("'SAMLET_alle regnskab'!X" &amp; $B$2 &amp; ":X$" &amp; $C$2), 0) -1, 7, 1, 1)
</f>
        <v>Thomas</v>
      </c>
    </row>
    <row r="45">
      <c r="C45" s="25" t="s">
        <v>81</v>
      </c>
      <c r="D45" s="26" t="str">
        <f t="array" ref="D45">OFFSET(INDIRECT("'SAMLET_alle regnskab'!$A" &amp; $B$2), MATCH(MIN(INDIRECT("'SAMLET_alle regnskab'!U" &amp; $B$2 &amp; ":U$" &amp; $C$2)), INDIRECT("'SAMLET_alle regnskab'!U" &amp; $B$2 &amp; ":U$" &amp; $C$2), 0) -1, 8, 1, 1)
</f>
        <v/>
      </c>
      <c r="E45" s="26" t="str">
        <f t="array" ref="E45">OFFSET(INDIRECT("'SAMLET_alle regnskab'!$A" &amp; $B$2), MATCH(MIN(INDIRECT("'SAMLET_alle regnskab'!V" &amp; $B$2 &amp; ":V$" &amp; $C$2)), INDIRECT("'SAMLET_alle regnskab'!V" &amp; $B$2 &amp; ":V$" &amp; $C$2), 0) -1, 8, 1, 1)
</f>
        <v/>
      </c>
      <c r="F45" s="26" t="str">
        <f t="array" ref="F45">OFFSET(INDIRECT("'SAMLET_alle regnskab'!$A" &amp; $B$2), MATCH(MIN(INDIRECT("'SAMLET_alle regnskab'!W" &amp; $B$2 &amp; ":W$" &amp; $C$2)), INDIRECT("'SAMLET_alle regnskab'!W" &amp; $B$2 &amp; ":W$" &amp; $C$2), 0) -1, 8, 1, 1)
</f>
        <v/>
      </c>
      <c r="G45" s="26" t="str">
        <f t="array" ref="G45">OFFSET(INDIRECT("'SAMLET_alle regnskab'!$A" &amp; $B$2), MATCH(MIN(INDIRECT("'SAMLET_alle regnskab'!X" &amp; $B$2 &amp; ":X$" &amp; $C$2)), INDIRECT("'SAMLET_alle regnskab'!X" &amp; $B$2 &amp; ":X$" &amp; $C$2), 0) -1, 8, 1, 1)
</f>
        <v/>
      </c>
    </row>
    <row r="46">
      <c r="C46" s="25" t="s">
        <v>1</v>
      </c>
      <c r="D46" s="163">
        <f>OFFSET('00_Regnskab_01'!$A$1,MATCH(D$48,'00_Regnskab_01'!$A$1:$A$25)-1,2)</f>
        <v>43491</v>
      </c>
      <c r="E46" s="163">
        <f>OFFSET('00_Regnskab_01'!$A$1,MATCH(E$48,'00_Regnskab_01'!$A$1:$A$25)-1,2)</f>
        <v>43491</v>
      </c>
      <c r="F46" s="163">
        <f>OFFSET('00_Regnskab_01'!$A$1,MATCH(F$48,'00_Regnskab_01'!$A$1:$A$25)-1,2)</f>
        <v>43491</v>
      </c>
      <c r="G46" s="163">
        <f>OFFSET('00_Regnskab_01'!$A$1,MATCH(G$48,'00_Regnskab_01'!$A$1:$A$25)-1,2)</f>
        <v>43491</v>
      </c>
    </row>
    <row r="47">
      <c r="C47" s="25" t="s">
        <v>199</v>
      </c>
      <c r="D47" s="26">
        <f t="array" ref="D47">OFFSET(INDIRECT("'SAMLET_alle regnskab'!$A" &amp; $B$2), MATCH(MIN(INDIRECT("'SAMLET_alle regnskab'!U" &amp; $B$2 &amp; ":U$" &amp; $C$2)), INDIRECT("'SAMLET_alle regnskab'!U" &amp; $B$2 &amp; ":U$" &amp; $C$2), 0) -1, 1, 1, 1)</f>
        <v>10</v>
      </c>
      <c r="E47" s="26">
        <f t="array" ref="E47">OFFSET(INDIRECT("'SAMLET_alle regnskab'!$A" &amp; $B$2), MATCH(MIN(INDIRECT("'SAMLET_alle regnskab'!V" &amp; $B$2 &amp; ":V$" &amp; $C$2)), INDIRECT("'SAMLET_alle regnskab'!V" &amp; $B$2 &amp; ":V$" &amp; $C$2), 0) -1, 1, 1, 1)</f>
        <v>24</v>
      </c>
      <c r="F47" s="26">
        <f t="array" ref="F47">OFFSET(INDIRECT("'SAMLET_alle regnskab'!$A" &amp; $B$2), MATCH(MIN(INDIRECT("'SAMLET_alle regnskab'!W" &amp; $B$2 &amp; ":W$" &amp; $C$2)), INDIRECT("'SAMLET_alle regnskab'!W" &amp; $B$2 &amp; ":W$" &amp; $C$2), 0) -1, 1, 1, 1)</f>
        <v>31</v>
      </c>
      <c r="G47" s="26">
        <f t="array" ref="G47">OFFSET(INDIRECT("'SAMLET_alle regnskab'!$A" &amp; $B$2), MATCH(MIN(INDIRECT("'SAMLET_alle regnskab'!X" &amp; $B$2 &amp; ":X$" &amp; $C$2)), INDIRECT("'SAMLET_alle regnskab'!X" &amp; $B$2 &amp; ":X$" &amp; $C$2), 0) -1, 1, 1, 1)</f>
        <v>10</v>
      </c>
      <c r="K47" s="80">
        <v>6.0</v>
      </c>
      <c r="L47" s="28">
        <v>7.0</v>
      </c>
      <c r="M47" s="28">
        <v>1.0</v>
      </c>
    </row>
    <row r="48">
      <c r="C48" s="25" t="s">
        <v>186</v>
      </c>
      <c r="D48" s="162">
        <f t="array" ref="D48">OFFSET(INDIRECT("'SAMLET_alle regnskab'!$A" &amp; $B$2), MATCH(MIN(INDIRECT("'SAMLET_alle regnskab'!U" &amp; $B$2 &amp; ":U$" &amp; $C$2)), INDIRECT("'SAMLET_alle regnskab'!U" &amp; $B$2 &amp; ":U$" &amp; $C$2), 0) -1, 0, 1, 1)
</f>
        <v>9</v>
      </c>
      <c r="E48" s="162">
        <f t="array" ref="E48">OFFSET(INDIRECT("'SAMLET_alle regnskab'!$A" &amp; $B$2), MATCH(MIN(INDIRECT("'SAMLET_alle regnskab'!V" &amp; $B$2 &amp; ":V$" &amp; $C$2)), INDIRECT("'SAMLET_alle regnskab'!V" &amp; $B$2 &amp; ":V$" &amp; $C$2), 0) -1, 0, 1, 1)
</f>
        <v>9</v>
      </c>
      <c r="F48" s="162">
        <f t="array" ref="F48">OFFSET(INDIRECT("'SAMLET_alle regnskab'!$A" &amp; $B$2), MATCH(MIN(INDIRECT("'SAMLET_alle regnskab'!W" &amp; $B$2 &amp; ":W$" &amp; $C$2)), INDIRECT("'SAMLET_alle regnskab'!W" &amp; $B$2 &amp; ":W$" &amp; $C$2), 0) -1, 0, 1, 1)
</f>
        <v>9</v>
      </c>
      <c r="G48" s="162">
        <f t="array" ref="G48">OFFSET(INDIRECT("'SAMLET_alle regnskab'!$A" &amp; $B$2), MATCH(MIN(INDIRECT("'SAMLET_alle regnskab'!X" &amp; $B$2 &amp; ":X$" &amp; $C$2)), INDIRECT("'SAMLET_alle regnskab'!X" &amp; $B$2 &amp; ":X$" &amp; $C$2), 0) -1, 0, 1, 1)
</f>
        <v>9</v>
      </c>
      <c r="K48" s="80">
        <v>22.0</v>
      </c>
      <c r="L48" s="80">
        <v>8.0</v>
      </c>
      <c r="M48" s="80">
        <v>19.0</v>
      </c>
    </row>
    <row r="49">
      <c r="D49" s="78"/>
    </row>
    <row r="50">
      <c r="A50" s="25" t="s">
        <v>72</v>
      </c>
      <c r="C50" s="129"/>
      <c r="D50" s="188" t="str">
        <f t="shared" ref="D50:G50" si="24">D3</f>
        <v>Thomas</v>
      </c>
      <c r="E50" s="188" t="str">
        <f t="shared" si="24"/>
        <v>Peter</v>
      </c>
      <c r="F50" s="188" t="str">
        <f t="shared" si="24"/>
        <v>Janus</v>
      </c>
      <c r="G50" s="188" t="str">
        <f t="shared" si="24"/>
        <v>Christian</v>
      </c>
    </row>
    <row r="51">
      <c r="B51" s="25" t="s">
        <v>202</v>
      </c>
      <c r="D51" s="166">
        <f t="array" ref="D51">max(INDIRECT("'SAMLET_alle regnskab'!$BE" &amp; $B$2 &amp; ":BE" &amp; $C$2))</f>
        <v>5</v>
      </c>
      <c r="E51" s="167">
        <f t="array" ref="E51">max(INDIRECT("'SAMLET_alle regnskab'!$BF" &amp; $B$2 &amp; ":BF" &amp; $C$2))</f>
        <v>3</v>
      </c>
      <c r="F51" s="167">
        <f t="array" ref="F51">max(INDIRECT("'SAMLET_alle regnskab'!$BG" &amp; $B$2 &amp; ":BG" &amp; $C$2))</f>
        <v>5</v>
      </c>
      <c r="G51" s="167">
        <f t="array" ref="G51">max(INDIRECT("'SAMLET_alle regnskab'!$BH" &amp; $B$2 &amp; ":BH" &amp; $C$2))</f>
        <v>5</v>
      </c>
      <c r="I51" s="25" t="s">
        <v>244</v>
      </c>
      <c r="M51" s="78"/>
      <c r="N51" s="78"/>
      <c r="O51" s="78"/>
      <c r="P51" s="78"/>
      <c r="Q51" s="78"/>
    </row>
    <row r="52">
      <c r="B52" s="25"/>
      <c r="D52" s="189">
        <f t="array" ref="D52">INDEX(INDIRECT("'SAMLET_alle regnskab'!A" &amp; $B$2 &amp; ":A" &amp; $C$2), MATCH(D$51, INDIRECT("'SAMLET_alle regnskab'!BE" &amp; $B$2 &amp; ":BE" &amp; $C$2), 0))
</f>
        <v>9</v>
      </c>
      <c r="E52" s="189">
        <f t="array" ref="E52">INDEX(INDIRECT("'SAMLET_alle regnskab'!A" &amp; $B$2 &amp; ":A" &amp; $C$2), MATCH(E$51, INDIRECT("'SAMLET_alle regnskab'!BF" &amp; $B$2 &amp; ":BF" &amp; $C$2), 0))</f>
        <v>9</v>
      </c>
      <c r="F52" s="189">
        <f t="array" ref="F52">INDEX(INDIRECT("'SAMLET_alle regnskab'!A" &amp; $B$2 &amp; ":A" &amp; $C$2), MATCH(F$51, INDIRECT("'SAMLET_alle regnskab'!BG" &amp; $B$2 &amp; ":BG" &amp; $C$2), 0))</f>
        <v>9</v>
      </c>
      <c r="G52" s="189">
        <f t="array" ref="G52">INDEX(INDIRECT("'SAMLET_alle regnskab'!A" &amp; $B$2 &amp; ":A" &amp; $C$2), MATCH(G$51, INDIRECT("'SAMLET_alle regnskab'!BH" &amp; $B$2 &amp; ":BH" &amp; $C$2), 0))</f>
        <v>9</v>
      </c>
      <c r="I52" s="25" t="s">
        <v>245</v>
      </c>
    </row>
    <row r="53">
      <c r="B53" s="25"/>
      <c r="D53" s="168">
        <f t="array" ref="D53">INDEX(INDIRECT("'SAMLET_alle regnskab'!BC" &amp; $B$2 &amp; ":BC" &amp; $C$2), MATCH(D$51, INDIRECT("'SAMLET_alle regnskab'!BE" &amp; $B$2 &amp; ":BE" &amp; $C$2), 0))
</f>
        <v>43491</v>
      </c>
      <c r="E53" s="168">
        <f t="array" ref="E53">INDEX(INDIRECT("'SAMLET_alle regnskab'!BC" &amp; $B$2 &amp; ":BC" &amp; $C$2), MATCH(E$51, INDIRECT("'SAMLET_alle regnskab'!BF" &amp; $B$2 &amp; ":BF" &amp; $C$2), 0))</f>
        <v>43491</v>
      </c>
      <c r="F53" s="168">
        <f t="array" ref="F53">INDEX(INDIRECT("'SAMLET_alle regnskab'!BC" &amp; $B$2 &amp; ":BC" &amp; $C$2), MATCH(F$51, INDIRECT("'SAMLET_alle regnskab'!BG" &amp; $B$2 &amp; ":BG" &amp; $C$2), 0))</f>
        <v>43491</v>
      </c>
      <c r="G53" s="168">
        <f t="array" ref="G53">INDEX(INDIRECT("'SAMLET_alle regnskab'!BC" &amp; $B$2 &amp; ":BC" &amp; $C$2), MATCH(G$51, INDIRECT("'SAMLET_alle regnskab'!BH" &amp; $B$2 &amp; ":BH" &amp; $C$2), 0))</f>
        <v>43491</v>
      </c>
    </row>
    <row r="54">
      <c r="B54" s="25"/>
      <c r="D54" s="167"/>
      <c r="E54" s="167"/>
      <c r="F54" s="167"/>
      <c r="G54" s="167"/>
    </row>
    <row r="55">
      <c r="B55" s="25" t="s">
        <v>203</v>
      </c>
      <c r="D55" s="167">
        <f t="array" ref="D55">max(INDIRECT("'SAMLET_alle regnskab'!$BJ" &amp; $B$2 &amp; ":BJ" &amp; $C$2))</f>
        <v>4</v>
      </c>
      <c r="E55" s="167">
        <f t="array" ref="E55">max(INDIRECT("'SAMLET_alle regnskab'!$BK" &amp; $B$2 &amp; ":BK" &amp; $C$2))</f>
        <v>6</v>
      </c>
      <c r="F55" s="167">
        <f t="array" ref="F55">max(INDIRECT("'SAMLET_alle regnskab'!$BL" &amp; $B$2 &amp; ":BL" &amp; $C$2))</f>
        <v>4</v>
      </c>
      <c r="G55" s="167">
        <f t="array" ref="G55">max(INDIRECT("'SAMLET_alle regnskab'!$BM" &amp; $B$2 &amp; ":BM" &amp; $C$2))</f>
        <v>3</v>
      </c>
      <c r="I55" s="25" t="s">
        <v>246</v>
      </c>
    </row>
    <row r="56">
      <c r="B56" s="25"/>
      <c r="C56" s="25" t="s">
        <v>247</v>
      </c>
      <c r="D56" s="190">
        <f t="array" ref="D56">INDEX(INDIRECT("'SAMLET_alle regnskab'!A" &amp; $B$2 &amp; ":A" &amp; $C$2), MATCH(D$55, INDIRECT("'SAMLET_alle regnskab'!BJ" &amp; $B$2 &amp; ":BJ" &amp; $C$2), 0))
</f>
        <v>9</v>
      </c>
      <c r="E56" s="190">
        <f t="array" ref="E56">INDEX(INDIRECT("'SAMLET_alle regnskab'!A" &amp; $B$2 &amp; ":A" &amp; $C$2), MATCH(E$55, INDIRECT("'SAMLET_alle regnskab'!BK" &amp; $B$2 &amp; ":BK" &amp; $C$2), 0))
</f>
        <v>9</v>
      </c>
      <c r="F56" s="190">
        <f t="array" ref="F56">INDEX(INDIRECT("'SAMLET_alle regnskab'!A" &amp; $B$2 &amp; ":A" &amp; $C$2), MATCH(F$55, INDIRECT("'SAMLET_alle regnskab'!BL" &amp; $B$2 &amp; ":BL" &amp; $C$2), 0))
</f>
        <v>9</v>
      </c>
      <c r="G56" s="190">
        <f t="array" ref="G56">INDEX(INDIRECT("'SAMLET_alle regnskab'!A" &amp; $B$2 &amp; ":A" &amp; $C$2), MATCH(G$55, INDIRECT("'SAMLET_alle regnskab'!BM" &amp; $B$2 &amp; ":BM" &amp; $C$2), 0))
</f>
        <v>9</v>
      </c>
    </row>
    <row r="57">
      <c r="B57" s="25"/>
      <c r="C57" s="25" t="s">
        <v>248</v>
      </c>
      <c r="D57" s="191">
        <f t="array" ref="D57">INDEX(INDIRECT("'SAMLET_alle regnskab'!BC" &amp; $B$2 &amp; ":BC" &amp; $C$2), MATCH(D$55, INDIRECT("'SAMLET_alle regnskab'!BJ" &amp; $B$2 &amp; ":BJ" &amp; $C$2), 0))
</f>
        <v>43491</v>
      </c>
      <c r="E57" s="191">
        <f t="array" ref="E57">INDEX(INDIRECT("'SAMLET_alle regnskab'!BC" &amp; $B$2 &amp; ":BC" &amp; $C$2), MATCH(E$55, INDIRECT("'SAMLET_alle regnskab'!BK" &amp; $B$2 &amp; ":BK" &amp; $C$2), 0))
</f>
        <v>43491</v>
      </c>
      <c r="F57" s="191">
        <f t="array" ref="F57">INDEX(INDIRECT("'SAMLET_alle regnskab'!BC" &amp; $B$2 &amp; ":BC" &amp; $C$2), MATCH(F$55, INDIRECT("'SAMLET_alle regnskab'!BL" &amp; $B$2 &amp; ":BL" &amp; $C$2), 0))
</f>
        <v>43491</v>
      </c>
      <c r="G57" s="191">
        <f t="array" ref="G57">INDEX(INDIRECT("'SAMLET_alle regnskab'!BC" &amp; $B$2 &amp; ":BC" &amp; $C$2), MATCH(G$55, INDIRECT("'SAMLET_alle regnskab'!BM" &amp; $B$2 &amp; ":BM" &amp; $C$2), 0))
</f>
        <v>43491</v>
      </c>
    </row>
    <row r="58">
      <c r="I58" s="26"/>
      <c r="J58" s="26"/>
      <c r="K58" s="26"/>
      <c r="L58" s="26"/>
    </row>
    <row r="59">
      <c r="B59" s="25"/>
      <c r="D59" s="170"/>
      <c r="E59" s="170"/>
      <c r="F59" s="170"/>
      <c r="G59" s="170"/>
      <c r="I59" s="26"/>
      <c r="J59" s="26"/>
      <c r="K59" s="26"/>
      <c r="L59" s="26"/>
    </row>
    <row r="60">
      <c r="B60" s="25" t="s">
        <v>204</v>
      </c>
      <c r="D60" s="170">
        <f t="array" ref="D60">max(INDIRECT("'SAMLET_alle regnskab'!BO" &amp; $B$2 &amp; ":BO" &amp; $C$2))</f>
        <v>160</v>
      </c>
      <c r="E60" s="170">
        <f t="array" ref="E60">max(INDIRECT("'SAMLET_alle regnskab'!BP" &amp; $B$2 &amp; ":BP" &amp; $C$2))</f>
        <v>168</v>
      </c>
      <c r="F60" s="170">
        <f t="array" ref="F60">max(INDIRECT("'SAMLET_alle regnskab'!BQ" &amp; $B$2 &amp; ":BQ" &amp; $C$2))</f>
        <v>240</v>
      </c>
      <c r="G60" s="170">
        <f t="array" ref="G60">max(INDIRECT("'SAMLET_alle regnskab'!BR" &amp; $B$2 &amp; ":BR" &amp; $C$2))</f>
        <v>120</v>
      </c>
      <c r="I60" s="26"/>
      <c r="J60" s="26"/>
      <c r="K60" s="26"/>
      <c r="L60" s="26"/>
    </row>
    <row r="61">
      <c r="B61" s="25"/>
      <c r="C61" s="25" t="s">
        <v>247</v>
      </c>
      <c r="D61" s="166">
        <f t="array" ref="D61">INDEX(INDIRECT("'SAMLET_alle regnskab'!A" &amp; $B$2 &amp; ":A" &amp; $C$2), MATCH(D$60, INDIRECT("'SAMLET_alle regnskab'!BO" &amp; $B$2 &amp; ":BO" &amp; $C$2), 0))
</f>
        <v>9</v>
      </c>
      <c r="E61" s="166">
        <f t="array" ref="E61">INDEX(INDIRECT("'SAMLET_alle regnskab'!A" &amp; $B$2 &amp; ":A" &amp; $C$2), MATCH(E$60, INDIRECT("'SAMLET_alle regnskab'!BP" &amp; $B$2 &amp; ":BP" &amp; $C$2), 0))
</f>
        <v>9</v>
      </c>
      <c r="F61" s="166">
        <f t="array" ref="F61">INDEX(INDIRECT("'SAMLET_alle regnskab'!A" &amp; $B$2 &amp; ":A" &amp; $C$2), MATCH(F$60, INDIRECT("'SAMLET_alle regnskab'!BQ" &amp; $B$2 &amp; ":BQ" &amp; $C$2), 0))
</f>
        <v>9</v>
      </c>
      <c r="G61" s="166">
        <f t="array" ref="G61">INDEX(INDIRECT("'SAMLET_alle regnskab'!A" &amp; $B$2 &amp; ":A" &amp; $C$2), MATCH(G$60, INDIRECT("'SAMLET_alle regnskab'!BR" &amp; $B$2 &amp; ":BR" &amp; $C$2), 0))
</f>
        <v>9</v>
      </c>
      <c r="I61" s="26"/>
      <c r="J61" s="26"/>
      <c r="K61" s="26"/>
      <c r="L61" s="26"/>
    </row>
    <row r="62">
      <c r="B62" s="25"/>
      <c r="C62" s="25" t="s">
        <v>248</v>
      </c>
      <c r="D62" s="191">
        <f t="array" ref="D62">INDEX(INDIRECT("'SAMLET_alle regnskab'!BC" &amp; $B$2 &amp; ":BC" &amp; $C$2), MATCH(D$60, INDIRECT("'SAMLET_alle regnskab'!BO" &amp; $B$2 &amp; ":BO" &amp; $C$2), 0))
</f>
        <v>43491</v>
      </c>
      <c r="E62" s="191">
        <f t="array" ref="E62">INDEX(INDIRECT("'SAMLET_alle regnskab'!BC" &amp; $B$2 &amp; ":BC" &amp; $C$2), MATCH(E$60, INDIRECT("'SAMLET_alle regnskab'!BP" &amp; $B$2 &amp; ":BP" &amp; $C$2), 0))
</f>
        <v>43491</v>
      </c>
      <c r="F62" s="191">
        <f t="array" ref="F62">INDEX(INDIRECT("'SAMLET_alle regnskab'!BC" &amp; $B$2 &amp; ":BC" &amp; $C$2), MATCH(F$60, INDIRECT("'SAMLET_alle regnskab'!BQ" &amp; $B$2 &amp; ":BQ" &amp; $C$2), 0))
</f>
        <v>43491</v>
      </c>
      <c r="G62" s="191">
        <f t="array" ref="G62">INDEX(INDIRECT("'SAMLET_alle regnskab'!BC" &amp; $B$2 &amp; ":BC" &amp; $C$2), MATCH(G$60, INDIRECT("'SAMLET_alle regnskab'!BR" &amp; $B$2 &amp; ":BR" &amp; $C$2), 0))
</f>
        <v>43491</v>
      </c>
      <c r="I62" s="26"/>
      <c r="J62" s="26"/>
      <c r="K62" s="26"/>
      <c r="L62" s="26"/>
    </row>
    <row r="63">
      <c r="B63" s="25"/>
      <c r="D63" s="171"/>
      <c r="E63" s="171"/>
      <c r="F63" s="171"/>
      <c r="G63" s="171"/>
      <c r="I63" s="26"/>
      <c r="J63" s="26"/>
      <c r="K63" s="26"/>
      <c r="L63" s="26"/>
    </row>
    <row r="64">
      <c r="B64" s="25" t="s">
        <v>205</v>
      </c>
      <c r="D64" s="170">
        <f t="array" ref="D64">MIN(INDIRECT("'SAMLET_alle regnskab'!BT" &amp; $B$2 &amp; ":BT" &amp; $C$2))</f>
        <v>-208</v>
      </c>
      <c r="E64" s="170">
        <f t="array" ref="E64">MIN(INDIRECT("'SAMLET_alle regnskab'!BU" &amp; $B$2 &amp; ":BU" &amp; $C$2))</f>
        <v>-156</v>
      </c>
      <c r="F64" s="170">
        <f t="array" ref="F64">MIN(INDIRECT("'SAMLET_alle regnskab'!BV" &amp; $B$2 &amp; ":BV" &amp; $C$2))</f>
        <v>-76</v>
      </c>
      <c r="G64" s="170">
        <f t="array" ref="G64">MIN(INDIRECT("'SAMLET_alle regnskab'!BW" &amp; $B$2 &amp; ":BW" &amp; $C$2))</f>
        <v>-168</v>
      </c>
      <c r="I64" s="26"/>
      <c r="J64" s="26"/>
      <c r="K64" s="26"/>
      <c r="L64" s="26"/>
    </row>
    <row r="65">
      <c r="C65" s="25" t="s">
        <v>247</v>
      </c>
      <c r="D65" s="166">
        <f t="array" ref="D65">INDEX(INDIRECT("'SAMLET_alle regnskab'!A" &amp; $B$2 &amp; ":A" &amp; $C$2), MATCH(D$64, INDIRECT("'SAMLET_alle regnskab'!BT" &amp; $B$2 &amp; ":BT" &amp; $C$2), 0))
</f>
        <v>9</v>
      </c>
      <c r="E65" s="166">
        <f t="array" ref="E65">INDEX(INDIRECT("'SAMLET_alle regnskab'!A" &amp; $B$2 &amp; ":A" &amp; $C$2), MATCH(E$64, INDIRECT("'SAMLET_alle regnskab'!BU" &amp; $B$2 &amp; ":BU" &amp; $C$2), 0))
</f>
        <v>9</v>
      </c>
      <c r="F65" s="166">
        <f t="array" ref="F65">INDEX(INDIRECT("'SAMLET_alle regnskab'!A" &amp; $B$2 &amp; ":A" &amp; $C$2), MATCH(F$64, INDIRECT("'SAMLET_alle regnskab'!BV" &amp; $B$2 &amp; ":BV" &amp; $C$2), 0))
</f>
        <v>9</v>
      </c>
      <c r="G65" s="166">
        <f t="array" ref="G65">INDEX(INDIRECT("'SAMLET_alle regnskab'!A" &amp; $B$2 &amp; ":A" &amp; $C$2), MATCH(G$64, INDIRECT("'SAMLET_alle regnskab'!BW" &amp; $B$2 &amp; ":BW" &amp; $C$2), 0))
</f>
        <v>9</v>
      </c>
      <c r="I65" s="26"/>
      <c r="J65" s="26"/>
      <c r="K65" s="26"/>
      <c r="L65" s="26"/>
    </row>
    <row r="66">
      <c r="C66" s="25" t="s">
        <v>248</v>
      </c>
      <c r="D66" s="191">
        <f t="array" ref="D66">INDEX(INDIRECT("'SAMLET_alle regnskab'!BC" &amp; $B$2 &amp; ":BC" &amp; $C$2), MATCH(D$64, INDIRECT("'SAMLET_alle regnskab'!BT" &amp; $B$2 &amp; ":BT" &amp; $C$2), 0))
</f>
        <v>43491</v>
      </c>
      <c r="E66" s="191">
        <f t="array" ref="E66">INDEX(INDIRECT("'SAMLET_alle regnskab'!BC" &amp; $B$2 &amp; ":BC" &amp; $C$2), MATCH(E$64, INDIRECT("'SAMLET_alle regnskab'!BU" &amp; $B$2 &amp; ":BU" &amp; $C$2), 0))
</f>
        <v>43491</v>
      </c>
      <c r="F66" s="191">
        <f t="array" ref="F66">INDEX(INDIRECT("'SAMLET_alle regnskab'!BC" &amp; $B$2 &amp; ":BC" &amp; $C$2), MATCH(F$64, INDIRECT("'SAMLET_alle regnskab'!BV" &amp; $B$2 &amp; ":BV" &amp; $C$2), 0))
</f>
        <v>43491</v>
      </c>
      <c r="G66" s="191">
        <f t="array" ref="G66">INDEX(INDIRECT("'SAMLET_alle regnskab'!BC" &amp; $B$2 &amp; ":BC" &amp; $C$2), MATCH(G$64, INDIRECT("'SAMLET_alle regnskab'!Bw" &amp; $B$2 &amp; ":BW" &amp; $C$2), 0))
</f>
        <v>43491</v>
      </c>
      <c r="I66" s="26"/>
      <c r="J66" s="26"/>
      <c r="K66" s="26"/>
      <c r="L66" s="26"/>
    </row>
    <row r="67">
      <c r="I67" s="26"/>
      <c r="J67" s="26"/>
      <c r="K67" s="26"/>
      <c r="L67" s="26"/>
    </row>
    <row r="68">
      <c r="I68" s="26"/>
      <c r="J68" s="26"/>
      <c r="K68" s="26"/>
      <c r="L68" s="26"/>
    </row>
    <row r="69">
      <c r="I69" s="26" t="str">
        <f t="shared" ref="I69:L69" si="25">I3</f>
        <v>Thomas</v>
      </c>
      <c r="J69" s="26" t="str">
        <f t="shared" si="25"/>
        <v>Peter</v>
      </c>
      <c r="K69" s="26" t="str">
        <f t="shared" si="25"/>
        <v>Janus</v>
      </c>
      <c r="L69" s="26" t="str">
        <f t="shared" si="25"/>
        <v>Christian</v>
      </c>
    </row>
    <row r="70">
      <c r="C70" s="25" t="s">
        <v>154</v>
      </c>
      <c r="D70" s="25" t="s">
        <v>206</v>
      </c>
      <c r="I70" s="25" t="s">
        <v>207</v>
      </c>
      <c r="J70" s="25"/>
    </row>
    <row r="71">
      <c r="C71" s="53">
        <v>5.0</v>
      </c>
      <c r="D71" s="26">
        <f>COUNTIF('SAMLET_alle regnskab'!BE$1:BE144,$C71)</f>
        <v>10</v>
      </c>
      <c r="E71" s="26">
        <f>COUNTIF('SAMLET_alle regnskab'!BF$1:BF144,$C71)</f>
        <v>6</v>
      </c>
      <c r="F71" s="26">
        <f>COUNTIF('SAMLET_alle regnskab'!BG$1:BG144,$C71)</f>
        <v>13</v>
      </c>
      <c r="G71" s="26">
        <f>COUNTIF('SAMLET_alle regnskab'!BH$1:BH144,$C71)</f>
        <v>5</v>
      </c>
      <c r="H71" s="26"/>
      <c r="I71" s="26">
        <f>COUNTIF('SAMLET_alle regnskab'!BJ$1:BJ144,$C71)</f>
        <v>2</v>
      </c>
      <c r="J71" s="26">
        <f>COUNTIF('SAMLET_alle regnskab'!BK$1:BK144,$C71)</f>
        <v>16</v>
      </c>
      <c r="K71" s="26">
        <f>COUNTIF('SAMLET_alle regnskab'!BL$1:BL144,$C71)</f>
        <v>9</v>
      </c>
      <c r="L71" s="26">
        <f>COUNTIF('SAMLET_alle regnskab'!BM$1:BM144,$C71)</f>
        <v>7</v>
      </c>
    </row>
    <row r="72">
      <c r="C72" s="53">
        <v>6.0</v>
      </c>
      <c r="D72" s="26">
        <f>COUNTIF('SAMLET_alle regnskab'!BE$1:BE144,$C72)</f>
        <v>5</v>
      </c>
      <c r="E72" s="26">
        <f>COUNTIF('SAMLET_alle regnskab'!BF$1:BF144,$C72)</f>
        <v>1</v>
      </c>
      <c r="F72" s="26">
        <f>COUNTIF('SAMLET_alle regnskab'!BG$1:BG144,$C72)</f>
        <v>3</v>
      </c>
      <c r="G72" s="26">
        <f>COUNTIF('SAMLET_alle regnskab'!BH$1:BH144,$C72)</f>
        <v>3</v>
      </c>
      <c r="H72" s="26"/>
      <c r="I72" s="26">
        <f>COUNTIF('SAMLET_alle regnskab'!BJ$1:BJ144,$C72)</f>
        <v>1</v>
      </c>
      <c r="J72" s="26">
        <f>COUNTIF('SAMLET_alle regnskab'!BK$1:BK144,$C72)</f>
        <v>12</v>
      </c>
      <c r="K72" s="26">
        <f>COUNTIF('SAMLET_alle regnskab'!BL$1:BL144,$C72)</f>
        <v>4</v>
      </c>
      <c r="L72" s="26">
        <f>COUNTIF('SAMLET_alle regnskab'!BM$1:BM144,$C72)</f>
        <v>4</v>
      </c>
    </row>
    <row r="73">
      <c r="C73" s="53">
        <v>7.0</v>
      </c>
      <c r="D73" s="26">
        <f>COUNTIF('SAMLET_alle regnskab'!BE$1:BE144,$C73)</f>
        <v>4</v>
      </c>
      <c r="E73" s="26">
        <f>COUNTIF('SAMLET_alle regnskab'!BF$1:BF144,$C73)</f>
        <v>1</v>
      </c>
      <c r="F73" s="26">
        <f>COUNTIF('SAMLET_alle regnskab'!BG$1:BG144,$C73)</f>
        <v>2</v>
      </c>
      <c r="G73" s="26">
        <f>COUNTIF('SAMLET_alle regnskab'!BH$1:BH144,$C73)</f>
        <v>1</v>
      </c>
      <c r="H73" s="26"/>
      <c r="I73" s="26">
        <f>COUNTIF('SAMLET_alle regnskab'!BJ$1:BJ144,$C73)</f>
        <v>1</v>
      </c>
      <c r="J73" s="26">
        <f>COUNTIF('SAMLET_alle regnskab'!BK$1:BK144,$C73)</f>
        <v>8</v>
      </c>
      <c r="K73" s="26">
        <f>COUNTIF('SAMLET_alle regnskab'!BL$1:BL144,$C73)</f>
        <v>1</v>
      </c>
      <c r="L73" s="26">
        <f>COUNTIF('SAMLET_alle regnskab'!BM$1:BM144,$C73)</f>
        <v>2</v>
      </c>
    </row>
    <row r="74">
      <c r="C74" s="53">
        <v>8.0</v>
      </c>
      <c r="D74" s="26">
        <f>COUNTIF('SAMLET_alle regnskab'!BE$1:BE144,$C74)</f>
        <v>3</v>
      </c>
      <c r="E74" s="26">
        <f>COUNTIF('SAMLET_alle regnskab'!BF$1:BF144,$C74)</f>
        <v>0</v>
      </c>
      <c r="F74" s="26">
        <f>COUNTIF('SAMLET_alle regnskab'!BG$1:BG144,$C74)</f>
        <v>2</v>
      </c>
      <c r="G74" s="26">
        <f>COUNTIF('SAMLET_alle regnskab'!BH$1:BH144,$C74)</f>
        <v>1</v>
      </c>
      <c r="H74" s="26"/>
      <c r="I74" s="26">
        <f>COUNTIF('SAMLET_alle regnskab'!BJ$1:BJ144,$C74)</f>
        <v>0</v>
      </c>
      <c r="J74" s="26">
        <f>COUNTIF('SAMLET_alle regnskab'!BK$1:BK144,$C74)</f>
        <v>7</v>
      </c>
      <c r="K74" s="26">
        <f>COUNTIF('SAMLET_alle regnskab'!BL$1:BL144,$C74)</f>
        <v>0</v>
      </c>
      <c r="L74" s="26">
        <f>COUNTIF('SAMLET_alle regnskab'!BM$1:BM144,$C74)</f>
        <v>0</v>
      </c>
    </row>
    <row r="75">
      <c r="C75" s="53">
        <v>9.0</v>
      </c>
      <c r="D75" s="26">
        <f>COUNTIF('SAMLET_alle regnskab'!BE$1:BE144,$C75)</f>
        <v>0</v>
      </c>
      <c r="E75" s="26">
        <f>COUNTIF('SAMLET_alle regnskab'!BF$1:BF144,$C75)</f>
        <v>0</v>
      </c>
      <c r="F75" s="26">
        <f>COUNTIF('SAMLET_alle regnskab'!BG$1:BG144,$C75)</f>
        <v>1</v>
      </c>
      <c r="G75" s="26">
        <f>COUNTIF('SAMLET_alle regnskab'!BH$1:BH144,$C75)</f>
        <v>1</v>
      </c>
      <c r="H75" s="26"/>
      <c r="I75" s="26">
        <f>COUNTIF('SAMLET_alle regnskab'!BJ$1:BJ144,$C75)</f>
        <v>0</v>
      </c>
      <c r="J75" s="26">
        <f>COUNTIF('SAMLET_alle regnskab'!BK$1:BK144,$C75)</f>
        <v>2</v>
      </c>
      <c r="K75" s="26">
        <f>COUNTIF('SAMLET_alle regnskab'!BL$1:BL144,$C75)</f>
        <v>0</v>
      </c>
      <c r="L75" s="26">
        <f>COUNTIF('SAMLET_alle regnskab'!BM$1:BM144,$C75)</f>
        <v>0</v>
      </c>
    </row>
    <row r="76">
      <c r="C76" s="53">
        <v>10.0</v>
      </c>
      <c r="D76" s="26">
        <f>COUNTIF('SAMLET_alle regnskab'!BE$1:BE144,$C76)</f>
        <v>0</v>
      </c>
      <c r="E76" s="26">
        <f>COUNTIF('SAMLET_alle regnskab'!BF$1:BF144,$C76)</f>
        <v>0</v>
      </c>
      <c r="F76" s="26">
        <f>COUNTIF('SAMLET_alle regnskab'!BG$1:BG144,$C76)</f>
        <v>0</v>
      </c>
      <c r="G76" s="26">
        <f>COUNTIF('SAMLET_alle regnskab'!BH$1:BH144,$C76)</f>
        <v>1</v>
      </c>
      <c r="H76" s="26"/>
      <c r="I76" s="26">
        <f>COUNTIF('SAMLET_alle regnskab'!BJ$1:BJ144,$C76)</f>
        <v>0</v>
      </c>
      <c r="J76" s="26">
        <f>COUNTIF('SAMLET_alle regnskab'!BK$1:BK144,$C76)</f>
        <v>2</v>
      </c>
      <c r="K76" s="26">
        <f>COUNTIF('SAMLET_alle regnskab'!BL$1:BL144,$C76)</f>
        <v>0</v>
      </c>
      <c r="L76" s="26">
        <f>COUNTIF('SAMLET_alle regnskab'!BM$1:BM144,$C76)</f>
        <v>0</v>
      </c>
    </row>
    <row r="77">
      <c r="C77" s="53">
        <v>11.0</v>
      </c>
      <c r="D77" s="26">
        <f>COUNTIF('SAMLET_alle regnskab'!BE$1:BE144,$C77)</f>
        <v>0</v>
      </c>
      <c r="E77" s="26">
        <f>COUNTIF('SAMLET_alle regnskab'!BF$1:BF144,$C77)</f>
        <v>0</v>
      </c>
      <c r="F77" s="26">
        <f>COUNTIF('SAMLET_alle regnskab'!BG$1:BG144,$C77)</f>
        <v>0</v>
      </c>
      <c r="G77" s="26">
        <f>COUNTIF('SAMLET_alle regnskab'!BH$1:BH144,$C77)</f>
        <v>1</v>
      </c>
      <c r="H77" s="26"/>
      <c r="I77" s="26">
        <f>COUNTIF('SAMLET_alle regnskab'!BJ$1:BJ144,$C77)</f>
        <v>0</v>
      </c>
      <c r="J77" s="26">
        <f>COUNTIF('SAMLET_alle regnskab'!BK$1:BK144,$C77)</f>
        <v>2</v>
      </c>
      <c r="K77" s="26">
        <f>COUNTIF('SAMLET_alle regnskab'!BL$1:BL144,$C77)</f>
        <v>0</v>
      </c>
      <c r="L77" s="26">
        <f>COUNTIF('SAMLET_alle regnskab'!BM$1:BM144,$C77)</f>
        <v>0</v>
      </c>
    </row>
    <row r="78">
      <c r="C78" s="53">
        <v>12.0</v>
      </c>
      <c r="D78" s="26">
        <f>COUNTIF('SAMLET_alle regnskab'!BE$1:BE144,$C78)</f>
        <v>0</v>
      </c>
      <c r="E78" s="26">
        <f>COUNTIF('SAMLET_alle regnskab'!BF$1:BF144,$C78)</f>
        <v>0</v>
      </c>
      <c r="F78" s="26">
        <f>COUNTIF('SAMLET_alle regnskab'!BG$1:BG144,$C78)</f>
        <v>0</v>
      </c>
      <c r="G78" s="26">
        <f>COUNTIF('SAMLET_alle regnskab'!BH$1:BH144,$C78)</f>
        <v>1</v>
      </c>
      <c r="H78" s="26"/>
      <c r="I78" s="26">
        <f>COUNTIF('SAMLET_alle regnskab'!BJ$1:BJ144,$C78)</f>
        <v>0</v>
      </c>
      <c r="J78" s="26">
        <f>COUNTIF('SAMLET_alle regnskab'!BK$1:BK144,$C78)</f>
        <v>2</v>
      </c>
      <c r="K78" s="26">
        <f>COUNTIF('SAMLET_alle regnskab'!BL$1:BL144,$C78)</f>
        <v>0</v>
      </c>
      <c r="L78" s="26">
        <f>COUNTIF('SAMLET_alle regnskab'!BM$1:BM144,$C78)</f>
        <v>0</v>
      </c>
    </row>
    <row r="79">
      <c r="C79" s="53">
        <v>13.0</v>
      </c>
      <c r="D79" s="26">
        <f>COUNTIF('SAMLET_alle regnskab'!BE$1:BE144,$C79)</f>
        <v>0</v>
      </c>
      <c r="E79" s="26">
        <f>COUNTIF('SAMLET_alle regnskab'!BF$1:BF144,$C79)</f>
        <v>0</v>
      </c>
      <c r="F79" s="26">
        <f>COUNTIF('SAMLET_alle regnskab'!BG$1:BG144,$C79)</f>
        <v>0</v>
      </c>
      <c r="G79" s="26">
        <f>COUNTIF('SAMLET_alle regnskab'!BH$1:BH144,$C79)</f>
        <v>0</v>
      </c>
      <c r="H79" s="26"/>
      <c r="I79" s="26">
        <f>COUNTIF('SAMLET_alle regnskab'!BJ$1:BJ144,$C79)</f>
        <v>0</v>
      </c>
      <c r="J79" s="26">
        <f>COUNTIF('SAMLET_alle regnskab'!BK$1:BK144,$C79)</f>
        <v>1</v>
      </c>
      <c r="K79" s="26">
        <f>COUNTIF('SAMLET_alle regnskab'!BL$1:BL144,$C79)</f>
        <v>0</v>
      </c>
      <c r="L79" s="26">
        <f>COUNTIF('SAMLET_alle regnskab'!BM$1:BM144,$C79)</f>
        <v>0</v>
      </c>
    </row>
    <row r="80">
      <c r="C80" s="53">
        <v>14.0</v>
      </c>
      <c r="D80" s="26">
        <f>COUNTIF('SAMLET_alle regnskab'!BE$1:BE144,$C80)</f>
        <v>0</v>
      </c>
      <c r="E80" s="26">
        <f>COUNTIF('SAMLET_alle regnskab'!BF$1:BF144,$C80)</f>
        <v>0</v>
      </c>
      <c r="F80" s="26">
        <f>COUNTIF('SAMLET_alle regnskab'!BG$1:BG144,$C80)</f>
        <v>0</v>
      </c>
      <c r="G80" s="26">
        <f>COUNTIF('SAMLET_alle regnskab'!BH$1:BH144,$C80)</f>
        <v>0</v>
      </c>
      <c r="H80" s="26"/>
      <c r="I80" s="26">
        <f>COUNTIF('SAMLET_alle regnskab'!BJ$1:BJ144,$C80)</f>
        <v>0</v>
      </c>
      <c r="J80" s="26">
        <f>COUNTIF('SAMLET_alle regnskab'!BK$1:BK144,$C80)</f>
        <v>1</v>
      </c>
      <c r="K80" s="26">
        <f>COUNTIF('SAMLET_alle regnskab'!BL$1:BL144,$C80)</f>
        <v>0</v>
      </c>
      <c r="L80" s="26">
        <f>COUNTIF('SAMLET_alle regnskab'!BM$1:BM144,$C80)</f>
        <v>0</v>
      </c>
    </row>
    <row r="81">
      <c r="C81" s="53">
        <v>15.0</v>
      </c>
      <c r="D81" s="26">
        <f>COUNTIF('SAMLET_alle regnskab'!BE$1:BE144,$C81)</f>
        <v>0</v>
      </c>
      <c r="E81" s="26">
        <f>COUNTIF('SAMLET_alle regnskab'!BF$1:BF144,$C81)</f>
        <v>0</v>
      </c>
      <c r="F81" s="26">
        <f>COUNTIF('SAMLET_alle regnskab'!BG$1:BG144,$C81)</f>
        <v>0</v>
      </c>
      <c r="G81" s="26">
        <f>COUNTIF('SAMLET_alle regnskab'!BH$1:BH144,$C81)</f>
        <v>0</v>
      </c>
      <c r="H81" s="26"/>
      <c r="I81" s="26">
        <f>COUNTIF('SAMLET_alle regnskab'!BJ$1:BJ144,$C81)</f>
        <v>0</v>
      </c>
      <c r="J81" s="26">
        <f>COUNTIF('SAMLET_alle regnskab'!BK$1:BK144,$C81)</f>
        <v>1</v>
      </c>
      <c r="K81" s="26">
        <f>COUNTIF('SAMLET_alle regnskab'!BL$1:BL144,$C81)</f>
        <v>0</v>
      </c>
      <c r="L81" s="26">
        <f>COUNTIF('SAMLET_alle regnskab'!BM$1:BM144,$C81)</f>
        <v>0</v>
      </c>
    </row>
    <row r="82">
      <c r="J82" s="25"/>
    </row>
    <row r="83">
      <c r="C83" s="25" t="s">
        <v>208</v>
      </c>
      <c r="D83" s="25" t="s">
        <v>209</v>
      </c>
      <c r="I83" s="25" t="s">
        <v>210</v>
      </c>
      <c r="J83" s="25"/>
    </row>
    <row r="84">
      <c r="A84" s="172" t="s">
        <v>211</v>
      </c>
      <c r="B84" s="25">
        <v>0.0</v>
      </c>
      <c r="C84" s="173">
        <v>7.0</v>
      </c>
      <c r="D84" s="26">
        <f>COUNTIFS('SAMLET_alle regnskab'!BO$1:BO144,"&gt;=0",'SAMLET_alle regnskab'!BO$1:BO144,"&lt;=7")</f>
        <v>270</v>
      </c>
      <c r="E84" s="26">
        <f>COUNTIFS('SAMLET_alle regnskab'!BP$1:BP144,"&gt;=0",'SAMLET_alle regnskab'!BP$1:BP144,"&lt;=7")</f>
        <v>347</v>
      </c>
      <c r="F84" s="26">
        <f>COUNTIFS('SAMLET_alle regnskab'!BQ$1:BQ144,"&gt;=0",'SAMLET_alle regnskab'!BQ$1:BQ144,"&lt;=7")</f>
        <v>303</v>
      </c>
      <c r="G84" s="26">
        <f>COUNTIFS('SAMLET_alle regnskab'!BR$1:BR144,"&gt;=0",'SAMLET_alle regnskab'!BR$1:BR144,"&lt;=7")</f>
        <v>311</v>
      </c>
      <c r="I84" s="26">
        <f>COUNTIFS('SAMLET_alle regnskab'!BT$1:BT144,"&lt;=-1",'SAMLET_alle regnskab'!BT$1:BT144,"&lt;=-7")</f>
        <v>229</v>
      </c>
      <c r="J84" s="26">
        <f>COUNTIFS('SAMLET_alle regnskab'!BU$1:BU144,"&lt;=-1",'SAMLET_alle regnskab'!BU$1:BU144,"&lt;=-7")</f>
        <v>311</v>
      </c>
      <c r="K84" s="26">
        <f>COUNTIFS('SAMLET_alle regnskab'!BV$1:BV144,"&lt;=-1",'SAMLET_alle regnskab'!BV$1:BV144,"&lt;=-7")</f>
        <v>269</v>
      </c>
      <c r="L84" s="26">
        <f>COUNTIFS('SAMLET_alle regnskab'!BW$1:BW144,"&lt;=-1",'SAMLET_alle regnskab'!BW$1:BW144,"&lt;=-7")</f>
        <v>271</v>
      </c>
    </row>
    <row r="85">
      <c r="A85" s="172" t="s">
        <v>211</v>
      </c>
      <c r="B85" s="25">
        <v>8.0</v>
      </c>
      <c r="C85" s="173">
        <v>15.0</v>
      </c>
      <c r="D85" s="26">
        <f>COUNTIFS('SAMLET_alle regnskab'!BO$1:BO144,"&gt;=8",'SAMLET_alle regnskab'!BO$1:BO144,"&lt;=15")</f>
        <v>78</v>
      </c>
      <c r="E85" s="26">
        <f>COUNTIFS('SAMLET_alle regnskab'!BP$1:BP144,"&gt;=8",'SAMLET_alle regnskab'!BP$1:BP144,"&lt;=15")</f>
        <v>60</v>
      </c>
      <c r="F85" s="26">
        <f>COUNTIFS('SAMLET_alle regnskab'!BQ$1:BQ144,"&gt;=8",'SAMLET_alle regnskab'!BQ$1:BQ144,"&lt;=15")</f>
        <v>63</v>
      </c>
      <c r="G85" s="26">
        <f>COUNTIFS('SAMLET_alle regnskab'!BR$1:BR144,"&gt;=8",'SAMLET_alle regnskab'!BR$1:BR144,"&lt;=15")</f>
        <v>77</v>
      </c>
      <c r="I85" s="26">
        <f>COUNTIFS('SAMLET_alle regnskab'!BT$1:BT144,"&lt;=-8",'SAMLET_alle regnskab'!BT$1:BT144,"&gt;=-15")</f>
        <v>67</v>
      </c>
      <c r="J85" s="26">
        <f>COUNTIFS('SAMLET_alle regnskab'!BU$1:BU144,"&lt;=-8",'SAMLET_alle regnskab'!BU$1:BU144,"&gt;=-15")</f>
        <v>50</v>
      </c>
      <c r="K85" s="26">
        <f>COUNTIFS('SAMLET_alle regnskab'!BV$1:BV144,"&lt;=-8",'SAMLET_alle regnskab'!BV$1:BV144,"&gt;=-15")</f>
        <v>66</v>
      </c>
      <c r="L85" s="26">
        <f>COUNTIFS('SAMLET_alle regnskab'!BW$1:BW144,"&lt;=-8",'SAMLET_alle regnskab'!BW$1:BW144,"&gt;=-15")</f>
        <v>66</v>
      </c>
    </row>
    <row r="86">
      <c r="A86" s="172" t="s">
        <v>211</v>
      </c>
      <c r="B86" s="25">
        <v>16.0</v>
      </c>
      <c r="C86" s="173">
        <v>31.0</v>
      </c>
      <c r="D86" s="26">
        <f>COUNTIFS('SAMLET_alle regnskab'!BO$1:BO144,"&gt;=16",'SAMLET_alle regnskab'!BO$1:BO144,"&lt;=31")</f>
        <v>83</v>
      </c>
      <c r="E86" s="26">
        <f>COUNTIFS('SAMLET_alle regnskab'!BP$1:BP144,"&gt;=16",'SAMLET_alle regnskab'!BP$1:BP144,"&lt;=31")</f>
        <v>62</v>
      </c>
      <c r="F86" s="26">
        <f>COUNTIFS('SAMLET_alle regnskab'!BQ$1:BQ144,"&gt;=16",'SAMLET_alle regnskab'!BQ$1:BQ144,"&lt;=31")</f>
        <v>73</v>
      </c>
      <c r="G86" s="26">
        <f>COUNTIFS('SAMLET_alle regnskab'!BR$1:BR144,"&gt;=16",'SAMLET_alle regnskab'!BR$1:BR144,"&lt;=31")</f>
        <v>78</v>
      </c>
      <c r="I86" s="26">
        <f>COUNTIFS('SAMLET_alle regnskab'!BT$1:BT144,"&lt;=-16",'SAMLET_alle regnskab'!BT$1:BT144,"&gt;=-31")</f>
        <v>66</v>
      </c>
      <c r="J86" s="26">
        <f>COUNTIFS('SAMLET_alle regnskab'!BU$1:BU144,"&lt;=-16",'SAMLET_alle regnskab'!BU$1:BU144,"&gt;=-31")</f>
        <v>58</v>
      </c>
      <c r="K86" s="26">
        <f>COUNTIFS('SAMLET_alle regnskab'!BV$1:BV144,"&lt;=-16",'SAMLET_alle regnskab'!BV$1:BV144,"&gt;=-31")</f>
        <v>66</v>
      </c>
      <c r="L86" s="26">
        <f>COUNTIFS('SAMLET_alle regnskab'!BW$1:BW144,"&lt;=-16",'SAMLET_alle regnskab'!BW$1:BW144,"&gt;=-31")</f>
        <v>68</v>
      </c>
    </row>
    <row r="87">
      <c r="A87" s="172" t="s">
        <v>211</v>
      </c>
      <c r="B87" s="25">
        <v>32.0</v>
      </c>
      <c r="C87" s="173">
        <v>63.0</v>
      </c>
      <c r="D87" s="26">
        <f>COUNTIFS('SAMLET_alle regnskab'!BO$1:BO144,"&gt;=32",'SAMLET_alle regnskab'!BO$1:BO144,"&lt;=63")</f>
        <v>77</v>
      </c>
      <c r="E87" s="26">
        <f>COUNTIFS('SAMLET_alle regnskab'!BP$1:BP144,"&gt;=32",'SAMLET_alle regnskab'!BP$1:BP144,"&lt;=63")</f>
        <v>68</v>
      </c>
      <c r="F87" s="26">
        <f>COUNTIFS('SAMLET_alle regnskab'!BQ$1:BQ144,"&gt;=32",'SAMLET_alle regnskab'!BQ$1:BQ144,"&lt;=63")</f>
        <v>81</v>
      </c>
      <c r="G87" s="26">
        <f>COUNTIFS('SAMLET_alle regnskab'!BR$1:BR144,"&gt;=32",'SAMLET_alle regnskab'!BR$1:BR144,"&lt;=63")</f>
        <v>64</v>
      </c>
      <c r="I87" s="26">
        <f>COUNTIFS('SAMLET_alle regnskab'!BT$1:BT144,"&lt;=-32",'SAMLET_alle regnskab'!BT$1:BT144,"&gt;=-63")</f>
        <v>39</v>
      </c>
      <c r="J87" s="26">
        <f>COUNTIFS('SAMLET_alle regnskab'!BU$1:BU144,"&lt;=-32",'SAMLET_alle regnskab'!BU$1:BU144,"&gt;=-63")</f>
        <v>83</v>
      </c>
      <c r="K87" s="26">
        <f>COUNTIFS('SAMLET_alle regnskab'!BV$1:BV144,"&lt;=-32",'SAMLET_alle regnskab'!BV$1:BV144,"&gt;=-63")</f>
        <v>70</v>
      </c>
      <c r="L87" s="26">
        <f>COUNTIFS('SAMLET_alle regnskab'!BW$1:BW144,"&lt;=-32",'SAMLET_alle regnskab'!BW$1:BW144,"&gt;=-63")</f>
        <v>80</v>
      </c>
    </row>
    <row r="88">
      <c r="A88" s="172" t="s">
        <v>211</v>
      </c>
      <c r="B88" s="25">
        <v>64.0</v>
      </c>
      <c r="C88" s="173">
        <v>95.0</v>
      </c>
      <c r="D88" s="26">
        <f>COUNTIFS('SAMLET_alle regnskab'!BO$1:BO144,"&gt;=64",'SAMLET_alle regnskab'!BO$1:BO144,"&lt;=95")</f>
        <v>38</v>
      </c>
      <c r="E88" s="26">
        <f>COUNTIFS('SAMLET_alle regnskab'!BP$1:BP144,"&gt;=64",'SAMLET_alle regnskab'!BP$1:BP144,"&lt;=95")</f>
        <v>29</v>
      </c>
      <c r="F88" s="26">
        <f>COUNTIFS('SAMLET_alle regnskab'!BQ$1:BQ144,"&gt;=64",'SAMLET_alle regnskab'!BQ$1:BQ144,"&lt;=95")</f>
        <v>26</v>
      </c>
      <c r="G88" s="26">
        <f>COUNTIFS('SAMLET_alle regnskab'!BR$1:BR144,"&gt;=64",'SAMLET_alle regnskab'!BR$1:BR144,"&lt;=95")</f>
        <v>28</v>
      </c>
      <c r="I88" s="26">
        <f>COUNTIFS('SAMLET_alle regnskab'!BT$1:BT144,"&lt;=-64",'SAMLET_alle regnskab'!BT$1:BT144,"&gt;=-95")</f>
        <v>20</v>
      </c>
      <c r="J88" s="26">
        <f>COUNTIFS('SAMLET_alle regnskab'!BU$1:BU144,"&lt;=-64",'SAMLET_alle regnskab'!BU$1:BU144,"&gt;=-95")</f>
        <v>39</v>
      </c>
      <c r="K88" s="26">
        <f>COUNTIFS('SAMLET_alle regnskab'!BV$1:BV144,"&lt;=-64",'SAMLET_alle regnskab'!BV$1:BV144,"&gt;=-95")</f>
        <v>37</v>
      </c>
      <c r="L88" s="26">
        <f>COUNTIFS('SAMLET_alle regnskab'!BW$1:BW144,"&lt;=-64",'SAMLET_alle regnskab'!BW$1:BW144,"&gt;=-95")</f>
        <v>32</v>
      </c>
    </row>
    <row r="89">
      <c r="A89" s="172" t="s">
        <v>211</v>
      </c>
      <c r="B89" s="25">
        <v>96.0</v>
      </c>
      <c r="C89" s="173">
        <v>127.0</v>
      </c>
      <c r="D89" s="26">
        <f>COUNTIFS('SAMLET_alle regnskab'!BO$1:BO144,"&gt;=96",'SAMLET_alle regnskab'!BO$1:BO144,"&lt;=127")</f>
        <v>21</v>
      </c>
      <c r="E89" s="26">
        <f>COUNTIFS('SAMLET_alle regnskab'!BP$1:BP144,"&gt;=96",'SAMLET_alle regnskab'!BP$1:BP144,"&lt;=127")</f>
        <v>12</v>
      </c>
      <c r="F89" s="26">
        <f>COUNTIFS('SAMLET_alle regnskab'!BQ$1:BQ144,"&gt;=96",'SAMLET_alle regnskab'!BQ$1:BQ144,"&lt;=127")</f>
        <v>9</v>
      </c>
      <c r="G89" s="26">
        <f>COUNTIFS('SAMLET_alle regnskab'!BR$1:BR144,"&gt;=96",'SAMLET_alle regnskab'!BR$1:BR144,"&lt;=127")</f>
        <v>11</v>
      </c>
      <c r="I89" s="26">
        <f>COUNTIFS('SAMLET_alle regnskab'!BT$1:BT144,"&lt;=-96",'SAMLET_alle regnskab'!BT$1:BT144,"&gt;=-127")</f>
        <v>15</v>
      </c>
      <c r="J89" s="26">
        <f>COUNTIFS('SAMLET_alle regnskab'!BU$1:BU144,"&lt;=-96",'SAMLET_alle regnskab'!BU$1:BU144,"&gt;=-127")</f>
        <v>25</v>
      </c>
      <c r="K89" s="26">
        <f>COUNTIFS('SAMLET_alle regnskab'!BV$1:BV144,"&lt;=-96",'SAMLET_alle regnskab'!BV$1:BV144,"&gt;=-127")</f>
        <v>19</v>
      </c>
      <c r="L89" s="26">
        <f>COUNTIFS('SAMLET_alle regnskab'!BW$1:BW144,"&lt;=-96",'SAMLET_alle regnskab'!BW$1:BW144,"&gt;=-127")</f>
        <v>14</v>
      </c>
    </row>
    <row r="90">
      <c r="A90" s="172" t="s">
        <v>211</v>
      </c>
      <c r="B90" s="25">
        <v>128.0</v>
      </c>
      <c r="C90" s="173">
        <v>199.0</v>
      </c>
      <c r="D90" s="26">
        <f>COUNTIFS('SAMLET_alle regnskab'!BO$1:BO144,"&gt;=128",'SAMLET_alle regnskab'!BO$1:BO144,"&lt;=199")</f>
        <v>15</v>
      </c>
      <c r="E90" s="26">
        <f>COUNTIFS('SAMLET_alle regnskab'!BP$1:BP144,"&gt;=128",'SAMLET_alle regnskab'!BP$1:BP144,"&lt;=199")</f>
        <v>8</v>
      </c>
      <c r="F90" s="26">
        <f>COUNTIFS('SAMLET_alle regnskab'!BQ$1:BQ144,"&gt;=128",'SAMLET_alle regnskab'!BQ$1:BQ144,"&lt;=199")</f>
        <v>15</v>
      </c>
      <c r="G90" s="26">
        <f>COUNTIFS('SAMLET_alle regnskab'!BR$1:BR144,"&gt;=128",'SAMLET_alle regnskab'!BR$1:BR144,"&lt;=199")</f>
        <v>5</v>
      </c>
      <c r="I90" s="26">
        <f>COUNTIFS('SAMLET_alle regnskab'!BT$1:BT144,"&lt;=-128",'SAMLET_alle regnskab'!BT$1:BT144,"&gt;=-199")</f>
        <v>7</v>
      </c>
      <c r="J90" s="26">
        <f>COUNTIFS('SAMLET_alle regnskab'!BU$1:BU144,"&lt;=-128",'SAMLET_alle regnskab'!BU$1:BU144,"&gt;=-199")</f>
        <v>39</v>
      </c>
      <c r="K90" s="26">
        <f>COUNTIFS('SAMLET_alle regnskab'!BV$1:BV144,"&lt;=-128",'SAMLET_alle regnskab'!BV$1:BV144,"&gt;=-199")</f>
        <v>11</v>
      </c>
      <c r="L90" s="26">
        <f>COUNTIFS('SAMLET_alle regnskab'!BW$1:BW144,"&lt;=-128",'SAMLET_alle regnskab'!BW$1:BW144,"&gt;=-199")</f>
        <v>8</v>
      </c>
    </row>
    <row r="91">
      <c r="A91" s="172" t="s">
        <v>211</v>
      </c>
      <c r="B91" s="25">
        <v>200.0</v>
      </c>
      <c r="C91" s="173">
        <v>299.0</v>
      </c>
      <c r="D91" s="26">
        <f>COUNTIFS('SAMLET_alle regnskab'!BO$1:BO144,"&gt;=200",'SAMLET_alle regnskab'!BO$1:BO144,"&lt;=299")</f>
        <v>4</v>
      </c>
      <c r="E91" s="26">
        <f>COUNTIFS('SAMLET_alle regnskab'!BP$1:BP144,"&gt;=200",'SAMLET_alle regnskab'!BP$1:BP144,"&lt;=299")</f>
        <v>0</v>
      </c>
      <c r="F91" s="26">
        <f>COUNTIFS('SAMLET_alle regnskab'!BQ$1:BQ144,"&gt;=200",'SAMLET_alle regnskab'!BQ$1:BQ144,"&lt;=299")</f>
        <v>14</v>
      </c>
      <c r="G91" s="26">
        <f>COUNTIFS('SAMLET_alle regnskab'!BR$1:BR144,"&gt;=200",'SAMLET_alle regnskab'!BR$1:BR144,"&lt;=299")</f>
        <v>9</v>
      </c>
      <c r="I91" s="26">
        <f>COUNTIFS('SAMLET_alle regnskab'!BT$1:BT144,"&lt;=-200",'SAMLET_alle regnskab'!BT$1:BT144,"&gt;=-299")</f>
        <v>13</v>
      </c>
      <c r="J91" s="26">
        <f>COUNTIFS('SAMLET_alle regnskab'!BU$1:BU144,"&lt;=-200",'SAMLET_alle regnskab'!BU$1:BU144,"&gt;=-299")</f>
        <v>17</v>
      </c>
      <c r="K91" s="26">
        <f>COUNTIFS('SAMLET_alle regnskab'!BV$1:BV144,"&lt;=-200",'SAMLET_alle regnskab'!BV$1:BV144,"&gt;=-299")</f>
        <v>0</v>
      </c>
      <c r="L91" s="26">
        <f>COUNTIFS('SAMLET_alle regnskab'!BW$1:BW144,"&lt;=-200",'SAMLET_alle regnskab'!BW$1:BW144,"&gt;=-299")</f>
        <v>2</v>
      </c>
    </row>
    <row r="92">
      <c r="A92" s="172" t="s">
        <v>211</v>
      </c>
      <c r="C92" s="25" t="s">
        <v>212</v>
      </c>
      <c r="D92" s="26">
        <f>COUNTIF('SAMLET_alle regnskab'!BO$1:BO144,"&gt;=300")</f>
        <v>0</v>
      </c>
      <c r="E92" s="26">
        <f>COUNTIF('SAMLET_alle regnskab'!BP$1:BP144,"&gt;=300")</f>
        <v>0</v>
      </c>
      <c r="F92" s="26">
        <f>COUNTIF('SAMLET_alle regnskab'!BQ$1:BQ144,"&gt;=300")</f>
        <v>2</v>
      </c>
      <c r="G92" s="26">
        <f>COUNTIF('SAMLET_alle regnskab'!BR$1:BR144,"&gt;=300")</f>
        <v>3</v>
      </c>
      <c r="I92" s="26">
        <f>COUNTIF('SAMLET_alle regnskab'!BT$1:BT144,"&lt;=-300")</f>
        <v>2</v>
      </c>
      <c r="J92" s="26">
        <f>COUNTIF('SAMLET_alle regnskab'!BU$1:BU144,"&lt;=-300")</f>
        <v>0</v>
      </c>
      <c r="K92" s="26">
        <f>COUNTIF('SAMLET_alle regnskab'!BV$1:BV144,"&lt;=-300")</f>
        <v>0</v>
      </c>
      <c r="L92" s="26">
        <f>COUNTIF('SAMLET_alle regnskab'!BW$1:BW144,"&lt;=-300")</f>
        <v>1</v>
      </c>
    </row>
    <row r="94">
      <c r="A94" s="25" t="s">
        <v>213</v>
      </c>
    </row>
    <row r="95">
      <c r="B95" s="25" t="s">
        <v>214</v>
      </c>
      <c r="D95" s="25" t="s">
        <v>215</v>
      </c>
      <c r="I95" s="25" t="s">
        <v>216</v>
      </c>
      <c r="N95" s="25" t="s">
        <v>217</v>
      </c>
    </row>
    <row r="96">
      <c r="C96" s="129" t="s">
        <v>139</v>
      </c>
      <c r="D96" s="174">
        <f t="shared" ref="D96:D99" si="27">AVERAGEIFS(INDIRECT("'SAMLET_alle regnskab'!U" &amp; $B$2 &amp; ":U" &amp; $C$2), INDIRECT("'SAMLET_alle regnskab'!$N" &amp; $B$2 &amp; ":$N$" &amp; $C$2), $C96)</f>
        <v>-6</v>
      </c>
      <c r="E96" s="174">
        <f t="shared" ref="E96:E99" si="28">AVERAGEIFS(INDIRECT("'SAMLET_alle regnskab'!V" &amp; $B$2 &amp; ":V$" &amp; $C$2), INDIRECT("'SAMLET_alle regnskab'!$N" &amp; $B$2 &amp; ":$N$" &amp; $C$2), $C96)</f>
        <v>-2</v>
      </c>
      <c r="F96" s="174">
        <f t="shared" ref="F96:F99" si="29">AVERAGEIFS(INDIRECT("'SAMLET_alle regnskab'!W" &amp; $B$2 &amp; ":W$" &amp; $C$2), INDIRECT("'SAMLET_alle regnskab'!$N" &amp; $B$2 &amp; ":$N$" &amp; $C$2), $C96)</f>
        <v>1</v>
      </c>
      <c r="G96" s="175">
        <f t="shared" ref="G96:G99" si="30">AVERAGEIFS(INDIRECT("'SAMLET_alle regnskab'!X" &amp; $B$2 &amp; ":X$" &amp; $C$2), INDIRECT("'SAMLET_alle regnskab'!$N" &amp; $B$2 &amp; ":$N$" &amp; $C$2), $C96)</f>
        <v>7</v>
      </c>
      <c r="I96" s="176">
        <f t="shared" ref="I96:I103" si="31">IFERROR(AVERAGEIFS(INDIRECT("'SAMLET_alle regnskab'!U" &amp; $B$2 &amp; ":U" &amp; $C$2), INDIRECT("'SAMLET_alle regnskab'!$N" &amp; $B$2 &amp; ":$N$" &amp; $C$2), $C96, INDIRECT("'SAMLET_alle regnskab'!$H" &amp; $B$2 &amp; ":$H$" &amp; $C$2), I$3), "n/a")
</f>
        <v>0</v>
      </c>
      <c r="J96" s="176">
        <f t="shared" ref="J96:J103" si="32">IFERROR(AVERAGEIFS(INDIRECT("'SAMLET_alle regnskab'!V" &amp; $B$2 &amp; ":V$" &amp; $C$2), INDIRECT("'SAMLET_alle regnskab'!$N" &amp; $B$2 &amp; ":$N$" &amp; $C$2), $C96, INDIRECT("'SAMLET_alle regnskab'!$H" &amp; $B$2 &amp; ":$H$" &amp; $C$2), J$3), "n/a")
</f>
        <v>-12</v>
      </c>
      <c r="K96" s="176">
        <f t="shared" ref="K96:K103" si="33">IFERROR(AVERAGEIFS(INDIRECT("'SAMLET_alle regnskab'!W" &amp; $B$2 &amp; ":W$" &amp; $C$2), INDIRECT("'SAMLET_alle regnskab'!$N" &amp; $B$2 &amp; ":$N$" &amp; $C$2), $C96, INDIRECT("'SAMLET_alle regnskab'!$H" &amp; $B$2 &amp; ":$H$" &amp; $C$2), K$3), "n/a")</f>
        <v>24</v>
      </c>
      <c r="L96" s="176">
        <f t="shared" ref="L96:L103" si="34">IFERROR(AVERAGEIFS(INDIRECT("'SAMLET_alle regnskab'!X" &amp; $B$2 &amp; ":X$" &amp; $C$2), INDIRECT("'SAMLET_alle regnskab'!$N" &amp; $B$2 &amp; ":$N$" &amp; $C$2), $C96, INDIRECT("'SAMLET_alle regnskab'!$H" &amp; $B$2 &amp; ":$H$" &amp; $C$2), L$3), "n/a")
</f>
        <v>18</v>
      </c>
      <c r="N96" s="28">
        <f t="shared" ref="N96:Q96" si="26">COUNTIFS(INDIRECT("'SAMLET_alle regnskab'!$N" &amp; $B$2 &amp; ":$N$" &amp; $C$2), $C96, INDIRECT("'SAMLET_alle regnskab'!$H" &amp; $B$2 &amp; ":$H$" &amp; $C$2), N$3)</f>
        <v>3</v>
      </c>
      <c r="O96" s="28">
        <f t="shared" si="26"/>
        <v>1</v>
      </c>
      <c r="P96" s="28">
        <f t="shared" si="26"/>
        <v>1</v>
      </c>
      <c r="Q96" s="28">
        <f t="shared" si="26"/>
        <v>2</v>
      </c>
    </row>
    <row r="97">
      <c r="C97" s="129" t="s">
        <v>140</v>
      </c>
      <c r="D97" s="174">
        <f t="shared" si="27"/>
        <v>-9</v>
      </c>
      <c r="E97" s="174">
        <f t="shared" si="28"/>
        <v>1</v>
      </c>
      <c r="F97" s="174">
        <f t="shared" si="29"/>
        <v>7</v>
      </c>
      <c r="G97" s="175">
        <f t="shared" si="30"/>
        <v>1</v>
      </c>
      <c r="I97" s="176" t="str">
        <f t="shared" si="31"/>
        <v>n/a</v>
      </c>
      <c r="J97" s="176" t="str">
        <f t="shared" si="32"/>
        <v>n/a</v>
      </c>
      <c r="K97" s="176">
        <f t="shared" si="33"/>
        <v>24</v>
      </c>
      <c r="L97" s="176">
        <f t="shared" si="34"/>
        <v>10</v>
      </c>
      <c r="N97" s="28">
        <f t="shared" ref="N97:Q97" si="35">COUNTIFS(INDIRECT("'SAMLET_alle regnskab'!$N" &amp; $B$2 &amp; ":$N$" &amp; $C$2), $C97, INDIRECT("'SAMLET_alle regnskab'!$H" &amp; $B$2 &amp; ":$H$" &amp; $C$2), N$3)</f>
        <v>0</v>
      </c>
      <c r="O97" s="28">
        <f t="shared" si="35"/>
        <v>0</v>
      </c>
      <c r="P97" s="28">
        <f t="shared" si="35"/>
        <v>1</v>
      </c>
      <c r="Q97" s="28">
        <f t="shared" si="35"/>
        <v>1</v>
      </c>
    </row>
    <row r="98">
      <c r="C98" s="131" t="s">
        <v>141</v>
      </c>
      <c r="D98" s="174" t="str">
        <f t="shared" si="27"/>
        <v>#DIV/0!</v>
      </c>
      <c r="E98" s="174" t="str">
        <f t="shared" si="28"/>
        <v>#DIV/0!</v>
      </c>
      <c r="F98" s="174" t="str">
        <f t="shared" si="29"/>
        <v>#DIV/0!</v>
      </c>
      <c r="G98" s="175" t="str">
        <f t="shared" si="30"/>
        <v>#DIV/0!</v>
      </c>
      <c r="I98" s="176" t="str">
        <f t="shared" si="31"/>
        <v>n/a</v>
      </c>
      <c r="J98" s="176" t="str">
        <f t="shared" si="32"/>
        <v>n/a</v>
      </c>
      <c r="K98" s="176" t="str">
        <f t="shared" si="33"/>
        <v>n/a</v>
      </c>
      <c r="L98" s="176" t="str">
        <f t="shared" si="34"/>
        <v>n/a</v>
      </c>
      <c r="N98" s="28">
        <f t="shared" ref="N98:Q98" si="36">COUNTIFS(INDIRECT("'SAMLET_alle regnskab'!$N" &amp; $B$2 &amp; ":$N$" &amp; $C$2), $C98, INDIRECT("'SAMLET_alle regnskab'!$H" &amp; $B$2 &amp; ":$H$" &amp; $C$2), N$3)</f>
        <v>0</v>
      </c>
      <c r="O98" s="28">
        <f t="shared" si="36"/>
        <v>0</v>
      </c>
      <c r="P98" s="28">
        <f t="shared" si="36"/>
        <v>0</v>
      </c>
      <c r="Q98" s="28">
        <f t="shared" si="36"/>
        <v>0</v>
      </c>
    </row>
    <row r="99">
      <c r="C99" s="129" t="s">
        <v>142</v>
      </c>
      <c r="D99" s="174">
        <f t="shared" si="27"/>
        <v>8</v>
      </c>
      <c r="E99" s="174">
        <f t="shared" si="28"/>
        <v>-8</v>
      </c>
      <c r="F99" s="174">
        <f t="shared" si="29"/>
        <v>6</v>
      </c>
      <c r="G99" s="175">
        <f t="shared" si="30"/>
        <v>-6</v>
      </c>
      <c r="I99" s="176" t="str">
        <f t="shared" si="31"/>
        <v>n/a</v>
      </c>
      <c r="J99" s="176" t="str">
        <f t="shared" si="32"/>
        <v>n/a</v>
      </c>
      <c r="K99" s="176">
        <f t="shared" si="33"/>
        <v>6</v>
      </c>
      <c r="L99" s="176" t="str">
        <f t="shared" si="34"/>
        <v>n/a</v>
      </c>
      <c r="N99" s="28">
        <f t="shared" ref="N99:Q99" si="37">COUNTIFS(INDIRECT("'SAMLET_alle regnskab'!$N" &amp; $B$2 &amp; ":$N$" &amp; $C$2), $C99, INDIRECT("'SAMLET_alle regnskab'!$H" &amp; $B$2 &amp; ":$H$" &amp; $C$2), N$3)</f>
        <v>0</v>
      </c>
      <c r="O99" s="28">
        <f t="shared" si="37"/>
        <v>0</v>
      </c>
      <c r="P99" s="28">
        <f t="shared" si="37"/>
        <v>1</v>
      </c>
      <c r="Q99" s="28">
        <f t="shared" si="37"/>
        <v>0</v>
      </c>
    </row>
    <row r="100">
      <c r="A100" s="122" t="s">
        <v>249</v>
      </c>
      <c r="C100" s="131" t="s">
        <v>143</v>
      </c>
      <c r="D100" s="174" t="str">
        <f t="array" ref="D100">IFERROR(AVERAGEIFS(INDIRECT("'SAMLET_alle regnskab'!U" &amp; $B$2 &amp; ":U" &amp; $C$2), INDIRECT("'SAMLET_alle regnskab'!$N" &amp; $B$2 &amp; ":$N$" &amp; $C$2), $C100), "n/a")</f>
        <v>n/a</v>
      </c>
      <c r="E100" s="174" t="str">
        <f t="array" ref="E100">IFERROR(AVERAGEIFS(INDIRECT("'SAMLET_alle regnskab'!V" &amp; $B$2 &amp; ":V$" &amp; $C$2), INDIRECT("'SAMLET_alle regnskab'!$N" &amp; $B$2 &amp; ":$N$" &amp; $C$2), $C100), "n/a")</f>
        <v>n/a</v>
      </c>
      <c r="F100" s="174" t="str">
        <f t="array" ref="F100">IFERROR(AVERAGEIFS(INDIRECT("'SAMLET_alle regnskab'!W" &amp; $B$2 &amp; ":W$" &amp; $C$2), INDIRECT("'SAMLET_alle regnskab'!$N" &amp; $B$2 &amp; ":$N$" &amp; $C$2), $C100), "n/a")</f>
        <v>n/a</v>
      </c>
      <c r="G100" s="175" t="str">
        <f t="array" ref="G100">IFERROR(AVERAGEIFS(INDIRECT("'SAMLET_alle regnskab'!X" &amp; $B$2 &amp; ":X$" &amp; $C$2), INDIRECT("'SAMLET_alle regnskab'!$N" &amp; $B$2 &amp; ":$N$" &amp; $C$2), $C100), "n/a")</f>
        <v>n/a</v>
      </c>
      <c r="I100" s="176" t="str">
        <f t="shared" si="31"/>
        <v>n/a</v>
      </c>
      <c r="J100" s="176" t="str">
        <f t="shared" si="32"/>
        <v>n/a</v>
      </c>
      <c r="K100" s="177" t="str">
        <f t="shared" si="33"/>
        <v>n/a</v>
      </c>
      <c r="L100" s="176" t="str">
        <f t="shared" si="34"/>
        <v>n/a</v>
      </c>
      <c r="N100" s="28">
        <f t="shared" ref="N100:Q100" si="38">COUNTIFS(INDIRECT("'SAMLET_alle regnskab'!$N" &amp; $B$2 &amp; ":$N$" &amp; $C$2), $C100, INDIRECT("'SAMLET_alle regnskab'!$H" &amp; $B$2 &amp; ":$H$" &amp; $C$2), N$3)</f>
        <v>0</v>
      </c>
      <c r="O100" s="28">
        <f t="shared" si="38"/>
        <v>0</v>
      </c>
      <c r="P100" s="28">
        <f t="shared" si="38"/>
        <v>0</v>
      </c>
      <c r="Q100" s="28">
        <f t="shared" si="38"/>
        <v>0</v>
      </c>
    </row>
    <row r="101">
      <c r="C101" s="129" t="s">
        <v>144</v>
      </c>
      <c r="D101" s="174">
        <f t="shared" ref="D101:D103" si="40">AVERAGEIFS(INDIRECT("'SAMLET_alle regnskab'!U" &amp; $B$2 &amp; ":U" &amp; $C$2), INDIRECT("'SAMLET_alle regnskab'!$N" &amp; $B$2 &amp; ":$N$" &amp; $C$2), $C101)</f>
        <v>0.3333333333</v>
      </c>
      <c r="E101" s="174">
        <f t="shared" ref="E101:E103" si="41">AVERAGEIFS(INDIRECT("'SAMLET_alle regnskab'!V" &amp; $B$2 &amp; ":V$" &amp; $C$2), INDIRECT("'SAMLET_alle regnskab'!$N" &amp; $B$2 &amp; ":$N$" &amp; $C$2), $C101)</f>
        <v>-1</v>
      </c>
      <c r="F101" s="174">
        <f t="shared" ref="F101:F103" si="42">AVERAGEIFS(INDIRECT("'SAMLET_alle regnskab'!W" &amp; $B$2 &amp; ":W$" &amp; $C$2), INDIRECT("'SAMLET_alle regnskab'!$N" &amp; $B$2 &amp; ":$N$" &amp; $C$2), $C101)</f>
        <v>-4.333333333</v>
      </c>
      <c r="G101" s="175">
        <f t="shared" ref="G101:G103" si="43">AVERAGEIFS(INDIRECT("'SAMLET_alle regnskab'!X" &amp; $B$2 &amp; ":X$" &amp; $C$2), INDIRECT("'SAMLET_alle regnskab'!$N" &amp; $B$2 &amp; ":$N$" &amp; $C$2), $C101)</f>
        <v>5</v>
      </c>
      <c r="I101" s="176">
        <f t="shared" si="31"/>
        <v>-4</v>
      </c>
      <c r="J101" s="176">
        <f t="shared" si="32"/>
        <v>-12</v>
      </c>
      <c r="K101" s="176">
        <f t="shared" si="33"/>
        <v>-18.66666667</v>
      </c>
      <c r="L101" s="176">
        <f t="shared" si="34"/>
        <v>-12</v>
      </c>
      <c r="N101" s="28">
        <f t="shared" ref="N101:Q101" si="39">COUNTIFS(INDIRECT("'SAMLET_alle regnskab'!$N" &amp; $B$2 &amp; ":$N$" &amp; $C$2), $C101, INDIRECT("'SAMLET_alle regnskab'!$H" &amp; $B$2 &amp; ":$H$" &amp; $C$2), N$3)</f>
        <v>7</v>
      </c>
      <c r="O101" s="28">
        <f t="shared" si="39"/>
        <v>1</v>
      </c>
      <c r="P101" s="28">
        <f t="shared" si="39"/>
        <v>3</v>
      </c>
      <c r="Q101" s="28">
        <f t="shared" si="39"/>
        <v>1</v>
      </c>
    </row>
    <row r="102">
      <c r="C102" s="129" t="s">
        <v>145</v>
      </c>
      <c r="D102" s="174">
        <f t="shared" si="40"/>
        <v>-5</v>
      </c>
      <c r="E102" s="174">
        <f t="shared" si="41"/>
        <v>-9.666666667</v>
      </c>
      <c r="F102" s="174">
        <f t="shared" si="42"/>
        <v>27.66666667</v>
      </c>
      <c r="G102" s="175">
        <f t="shared" si="43"/>
        <v>-13</v>
      </c>
      <c r="I102" s="176">
        <f t="shared" si="31"/>
        <v>-3.6</v>
      </c>
      <c r="J102" s="176">
        <f t="shared" si="32"/>
        <v>-24</v>
      </c>
      <c r="K102" s="176" t="str">
        <f t="shared" si="33"/>
        <v>n/a</v>
      </c>
      <c r="L102" s="176">
        <f t="shared" si="34"/>
        <v>48</v>
      </c>
      <c r="N102" s="28">
        <f t="shared" ref="N102:Q102" si="44">COUNTIFS(INDIRECT("'SAMLET_alle regnskab'!$N" &amp; $B$2 &amp; ":$N$" &amp; $C$2), $C102, INDIRECT("'SAMLET_alle regnskab'!$H" &amp; $B$2 &amp; ":$H$" &amp; $C$2), N$3)</f>
        <v>10</v>
      </c>
      <c r="O102" s="28">
        <f t="shared" si="44"/>
        <v>1</v>
      </c>
      <c r="P102" s="28">
        <f t="shared" si="44"/>
        <v>0</v>
      </c>
      <c r="Q102" s="28">
        <f t="shared" si="44"/>
        <v>1</v>
      </c>
    </row>
    <row r="103">
      <c r="C103" s="129" t="s">
        <v>146</v>
      </c>
      <c r="D103" s="174">
        <f t="shared" si="40"/>
        <v>-6.5</v>
      </c>
      <c r="E103" s="174">
        <f t="shared" si="41"/>
        <v>11.5</v>
      </c>
      <c r="F103" s="174">
        <f t="shared" si="42"/>
        <v>-8.5</v>
      </c>
      <c r="G103" s="175">
        <f t="shared" si="43"/>
        <v>3.5</v>
      </c>
      <c r="I103" s="176">
        <f t="shared" si="31"/>
        <v>-1</v>
      </c>
      <c r="J103" s="176">
        <f t="shared" si="32"/>
        <v>48</v>
      </c>
      <c r="K103" s="176" t="str">
        <f t="shared" si="33"/>
        <v>n/a</v>
      </c>
      <c r="L103" s="176">
        <f t="shared" si="34"/>
        <v>8</v>
      </c>
      <c r="N103" s="28">
        <f t="shared" ref="N103:Q103" si="45">COUNTIFS(INDIRECT("'SAMLET_alle regnskab'!$N" &amp; $B$2 &amp; ":$N$" &amp; $C$2), $C103, INDIRECT("'SAMLET_alle regnskab'!$H" &amp; $B$2 &amp; ":$H$" &amp; $C$2), N$3)</f>
        <v>2</v>
      </c>
      <c r="O103" s="28">
        <f t="shared" si="45"/>
        <v>1</v>
      </c>
      <c r="P103" s="28">
        <f t="shared" si="45"/>
        <v>0</v>
      </c>
      <c r="Q103" s="28">
        <f t="shared" si="45"/>
        <v>1</v>
      </c>
    </row>
    <row r="104">
      <c r="I104" s="176"/>
      <c r="J104" s="176"/>
      <c r="K104" s="176"/>
      <c r="L104" s="176"/>
    </row>
    <row r="105">
      <c r="B105" s="25" t="s">
        <v>218</v>
      </c>
      <c r="C105" s="25">
        <v>1.0</v>
      </c>
      <c r="D105" s="123">
        <f t="shared" ref="D105:D107" si="47">AVERAGEIFS(INDIRECT("'SAMLET_alle regnskab'!U" &amp; $B$2 &amp; ":U" &amp; $C$2), INDIRECT("'SAMLET_alle regnskab'!$N" &amp; $B$2 &amp; ":$N$" &amp; $C$2), $C$102, INDIRECT("'SAMLET_alle regnskab'!$O" &amp; $B$2 &amp; ":$O$" &amp; $C$2), $C105)
</f>
        <v>12</v>
      </c>
      <c r="E105" s="123">
        <f t="shared" ref="E105:E107" si="48">AVERAGEIFS(INDIRECT("'SAMLET_alle regnskab'!V" &amp; $B$2 &amp; ":V$" &amp; $C$2), INDIRECT("'SAMLET_alle regnskab'!$N" &amp; $B$2 &amp; ":$N$" &amp; $C$2), $C$102, INDIRECT("'SAMLET_alle regnskab'!$O" &amp; $B$2 &amp; ":$O$" &amp; $C$2), $C105)
</f>
        <v>-12</v>
      </c>
      <c r="F105" s="123">
        <f t="shared" ref="F105:F107" si="49">AVERAGEIFS(INDIRECT("'SAMLET_alle regnskab'!W" &amp; $B$2 &amp; ":W$" &amp; $C$2), INDIRECT("'SAMLET_alle regnskab'!$N" &amp; $B$2 &amp; ":$N$" &amp; $C$2), $C$102, INDIRECT("'SAMLET_alle regnskab'!$O" &amp; $B$2 &amp; ":$O$" &amp; $C$2), $C105)
</f>
        <v>-12</v>
      </c>
      <c r="G105" s="123">
        <f t="shared" ref="G105:G107" si="50">AVERAGEIFS(INDIRECT("'SAMLET_alle regnskab'!X" &amp; $B$2 &amp; ":X$" &amp; $C$2), INDIRECT("'SAMLET_alle regnskab'!$N" &amp; $B$2 &amp; ":$N$" &amp; $C$2), $C$102, INDIRECT("'SAMLET_alle regnskab'!$O" &amp; $B$2 &amp; ":$O$" &amp; $C$2), $C105)
</f>
        <v>12</v>
      </c>
      <c r="I105" s="176">
        <f t="shared" ref="I105:I107" si="51">IFERROR(AVERAGEIFS(INDIRECT("'SAMLET_alle regnskab'!U" &amp; $B$2 &amp; ":U" &amp; $C$2), INDIRECT("'SAMLET_alle regnskab'!$N" &amp; $B$2 &amp; ":$N$" &amp; $C$2), $C$102, INDIRECT("'SAMLET_alle regnskab'!$O" &amp; $B$2 &amp; ":$O$" &amp; $C$2), $C105, INDIRECT("'SAMLET_alle regnskab'!$H" &amp; $B$2 &amp; ":$H$" &amp; $C$2), I$3), "n/a")
</f>
        <v>12</v>
      </c>
      <c r="J105" s="178">
        <f t="shared" ref="J105:J107" si="52">IFERROR(AVERAGEIFS(INDIRECT("'SAMLET_alle regnskab'!V" &amp; $B$2 &amp; ":V$" &amp; $C$2), INDIRECT("'SAMLET_alle regnskab'!$N" &amp; $B$2 &amp; ":$N$" &amp; $C$2), $C$102, INDIRECT("'SAMLET_alle regnskab'!$O" &amp; $B$2 &amp; ":$O$" &amp; $C$2), $C105, INDIRECT("'SAMLET_alle regnskab'!$H" &amp; $B$2 &amp; ":$H$" &amp; $C$2), I$3), "n/a")
</f>
        <v>-12</v>
      </c>
      <c r="K105" s="177" t="str">
        <f t="shared" ref="K105:K107" si="53">IFERROR(AVERAGEIFS(INDIRECT("'SAMLET_alle regnskab'!W" &amp; $B$2 &amp; ":W$" &amp; $C$2), INDIRECT("'SAMLET_alle regnskab'!$N" &amp; $B$2 &amp; ":$N$" &amp; $C$2), $C$102, INDIRECT("'SAMLET_alle regnskab'!$O" &amp; $B$2 &amp; ":$O$" &amp; $C$2), $C105, INDIRECT("'SAMLET_alle regnskab'!$H" &amp; $B$2 &amp; ":$H$" &amp; $C$2), K$3), "n/a")
</f>
        <v>n/a</v>
      </c>
      <c r="L105" s="177" t="str">
        <f t="array" ref="L105">IFERROR(AVERAGEIFS(INDIRECT("'SAMLET_alle regnskab'!X" &amp; $B$2 &amp; ":x$" &amp; $C$2), INDIRECT("'SAMLET_alle regnskab'!$N" &amp; $B$2 &amp; ":$N$" &amp; $C$2), $C$102, INDIRECT("'SAMLET_alle regnskab'!$O" &amp; $B$2 &amp; ":$O$" &amp; $C$2), $C105, INDIRECT("'SAMLET_alle regnskab'!$H" &amp; $B$2 &amp; ":$H$" &amp; $C$2), K$3), "n/a")</f>
        <v>n/a</v>
      </c>
      <c r="N105" s="28">
        <f t="shared" ref="N105:Q105" si="46">COUNTIFS(INDIRECT("'SAMLET_alle regnskab'!$N" &amp; $B$2 &amp; ":$N$" &amp; $C$2), $C$102, INDIRECT("'SAMLET_alle regnskab'!$O" &amp; $B$2 &amp; ":$O$" &amp; $C$2), $C105, INDIRECT("'SAMLET_alle regnskab'!$H" &amp; $B$2 &amp; ":$H$" &amp; $C$2), I$3)</f>
        <v>1</v>
      </c>
      <c r="O105" s="28">
        <f t="shared" si="46"/>
        <v>0</v>
      </c>
      <c r="P105" s="28">
        <f t="shared" si="46"/>
        <v>0</v>
      </c>
      <c r="Q105" s="28">
        <f t="shared" si="46"/>
        <v>0</v>
      </c>
    </row>
    <row r="106">
      <c r="B106" s="25" t="s">
        <v>218</v>
      </c>
      <c r="C106" s="25">
        <v>2.0</v>
      </c>
      <c r="D106" s="123">
        <f t="shared" si="47"/>
        <v>12</v>
      </c>
      <c r="E106" s="123">
        <f t="shared" si="48"/>
        <v>-28</v>
      </c>
      <c r="F106" s="123">
        <f t="shared" si="49"/>
        <v>8</v>
      </c>
      <c r="G106" s="123">
        <f t="shared" si="50"/>
        <v>8</v>
      </c>
      <c r="I106" s="176">
        <f t="shared" si="51"/>
        <v>8</v>
      </c>
      <c r="J106" s="178">
        <f t="shared" si="52"/>
        <v>-29.33333333</v>
      </c>
      <c r="K106" s="176" t="str">
        <f t="shared" si="53"/>
        <v>n/a</v>
      </c>
      <c r="L106" s="176" t="str">
        <f t="shared" ref="L106:L107" si="55">IFERROR(AVERAGEIFS(INDIRECT("'SAMLET_alle regnskab'!X" &amp; $B$2 &amp; ":X$" &amp; $C$2), INDIRECT("'SAMLET_alle regnskab'!$N" &amp; $B$2 &amp; ":$N$" &amp; $C$2), $C$102, INDIRECT("'SAMLET_alle regnskab'!$O" &amp; $B$2 &amp; ":$O$" &amp; $C$2), $C106, INDIRECT("'SAMLET_alle regnskab'!$H" &amp; $B$2 &amp; ":$H$" &amp; $C$2), L$3), "n/a")
</f>
        <v>n/a</v>
      </c>
      <c r="N106" s="28">
        <f t="shared" ref="N106:Q106" si="54">COUNTIFS(INDIRECT("'SAMLET_alle regnskab'!$N" &amp; $B$2 &amp; ":$N$" &amp; $C$2), $C$102, INDIRECT("'SAMLET_alle regnskab'!$O" &amp; $B$2 &amp; ":$O$" &amp; $C$2), $C106, INDIRECT("'SAMLET_alle regnskab'!$H" &amp; $B$2 &amp; ":$H$" &amp; $C$2), I$3)</f>
        <v>3</v>
      </c>
      <c r="O106" s="28">
        <f t="shared" si="54"/>
        <v>1</v>
      </c>
      <c r="P106" s="28">
        <f t="shared" si="54"/>
        <v>0</v>
      </c>
      <c r="Q106" s="28">
        <f t="shared" si="54"/>
        <v>0</v>
      </c>
    </row>
    <row r="107">
      <c r="B107" s="25" t="s">
        <v>218</v>
      </c>
      <c r="C107" s="25">
        <v>3.0</v>
      </c>
      <c r="D107" s="123">
        <f t="shared" si="47"/>
        <v>-21.33333333</v>
      </c>
      <c r="E107" s="123">
        <f t="shared" si="48"/>
        <v>0</v>
      </c>
      <c r="F107" s="123">
        <f t="shared" si="49"/>
        <v>53.33333333</v>
      </c>
      <c r="G107" s="123">
        <f t="shared" si="50"/>
        <v>-32</v>
      </c>
      <c r="I107" s="176">
        <f t="shared" si="51"/>
        <v>-16</v>
      </c>
      <c r="J107" s="178">
        <f t="shared" si="52"/>
        <v>9.6</v>
      </c>
      <c r="K107" s="176" t="str">
        <f t="shared" si="53"/>
        <v>n/a</v>
      </c>
      <c r="L107" s="176">
        <f t="shared" si="55"/>
        <v>48</v>
      </c>
      <c r="N107" s="28">
        <f t="shared" ref="N107:Q107" si="56">COUNTIFS(INDIRECT("'SAMLET_alle regnskab'!$N" &amp; $B$2 &amp; ":$N$" &amp; $C$2), $C$102, INDIRECT("'SAMLET_alle regnskab'!$O" &amp; $B$2 &amp; ":$O$" &amp; $C$2), $C107, INDIRECT("'SAMLET_alle regnskab'!$H" &amp; $B$2 &amp; ":$H$" &amp; $C$2), I$3)</f>
        <v>5</v>
      </c>
      <c r="O107" s="28">
        <f t="shared" si="56"/>
        <v>0</v>
      </c>
      <c r="P107" s="28">
        <f t="shared" si="56"/>
        <v>0</v>
      </c>
      <c r="Q107" s="28">
        <f t="shared" si="56"/>
        <v>1</v>
      </c>
    </row>
    <row r="108">
      <c r="M108" s="192" t="s">
        <v>250</v>
      </c>
      <c r="N108" s="154">
        <f t="shared" ref="N108:Q108" si="57">SUM(N96:N107)</f>
        <v>31</v>
      </c>
      <c r="O108" s="154">
        <f t="shared" si="57"/>
        <v>5</v>
      </c>
      <c r="P108" s="154">
        <f t="shared" si="57"/>
        <v>6</v>
      </c>
      <c r="Q108" s="154">
        <f t="shared" si="57"/>
        <v>7</v>
      </c>
    </row>
    <row r="109">
      <c r="B109" s="25" t="s">
        <v>220</v>
      </c>
      <c r="N109" s="124" t="s">
        <v>219</v>
      </c>
      <c r="O109" s="179"/>
      <c r="P109" s="179"/>
      <c r="Q109" s="179"/>
    </row>
    <row r="110">
      <c r="C110" s="129" t="s">
        <v>139</v>
      </c>
      <c r="D110" s="28">
        <f t="shared" ref="D110:D117" si="58">SUMIFS(INDIRECT("'SAMLET_alle regnskab'!U" &amp; $B$2 &amp; ":U" &amp; $C$2), INDIRECT("'SAMLET_alle regnskab'!$N" &amp; $B$2 &amp; ":$N$" &amp; $C$2), $C96)
</f>
        <v>-48</v>
      </c>
      <c r="E110" s="28">
        <f t="shared" ref="E110:E117" si="59">SUMIFS(INDIRECT("'SAMLET_alle regnskab'!V" &amp; $B$2 &amp; ":V$" &amp; $C$2), INDIRECT("'SAMLET_alle regnskab'!$N" &amp; $B$2 &amp; ":$N$" &amp; $C$2), $C96)
</f>
        <v>-16</v>
      </c>
      <c r="F110" s="28">
        <f t="shared" ref="F110:F117" si="60">SUMIFS(INDIRECT("'SAMLET_alle regnskab'!W" &amp; $B$2 &amp; ":W$" &amp; $C$2), INDIRECT("'SAMLET_alle regnskab'!$N" &amp; $B$2 &amp; ":$N$" &amp; $C$2), $C96)
</f>
        <v>8</v>
      </c>
      <c r="G110" s="28">
        <f t="shared" ref="G110:G117" si="61">SUMIFS(INDIRECT("'SAMLET_alle regnskab'!X" &amp; $B$2 &amp; ":X$" &amp; $C$2), INDIRECT("'SAMLET_alle regnskab'!$N" &amp; $B$2 &amp; ":$N$" &amp; $C$2), $C96)
</f>
        <v>56</v>
      </c>
    </row>
    <row r="111">
      <c r="C111" s="129" t="s">
        <v>140</v>
      </c>
      <c r="D111" s="28">
        <f t="shared" si="58"/>
        <v>-18</v>
      </c>
      <c r="E111" s="28">
        <f t="shared" si="59"/>
        <v>2</v>
      </c>
      <c r="F111" s="28">
        <f t="shared" si="60"/>
        <v>14</v>
      </c>
      <c r="G111" s="28">
        <f t="shared" si="61"/>
        <v>2</v>
      </c>
    </row>
    <row r="112">
      <c r="C112" s="131" t="s">
        <v>141</v>
      </c>
      <c r="D112" s="28">
        <f t="shared" si="58"/>
        <v>0</v>
      </c>
      <c r="E112" s="28">
        <f t="shared" si="59"/>
        <v>0</v>
      </c>
      <c r="F112" s="28">
        <f t="shared" si="60"/>
        <v>0</v>
      </c>
      <c r="G112" s="28">
        <f t="shared" si="61"/>
        <v>0</v>
      </c>
    </row>
    <row r="113">
      <c r="C113" s="129" t="s">
        <v>142</v>
      </c>
      <c r="D113" s="28">
        <f t="shared" si="58"/>
        <v>8</v>
      </c>
      <c r="E113" s="28">
        <f t="shared" si="59"/>
        <v>-8</v>
      </c>
      <c r="F113" s="28">
        <f t="shared" si="60"/>
        <v>6</v>
      </c>
      <c r="G113" s="28">
        <f t="shared" si="61"/>
        <v>-6</v>
      </c>
    </row>
    <row r="114">
      <c r="C114" s="131" t="s">
        <v>143</v>
      </c>
      <c r="D114" s="28">
        <f t="shared" si="58"/>
        <v>0</v>
      </c>
      <c r="E114" s="28">
        <f t="shared" si="59"/>
        <v>0</v>
      </c>
      <c r="F114" s="28">
        <f t="shared" si="60"/>
        <v>0</v>
      </c>
      <c r="G114" s="28">
        <f t="shared" si="61"/>
        <v>0</v>
      </c>
      <c r="I114" s="56"/>
      <c r="J114" s="46" t="s">
        <v>221</v>
      </c>
      <c r="K114" s="56"/>
      <c r="L114" s="56"/>
      <c r="M114" s="56"/>
      <c r="N114" s="56"/>
      <c r="O114" s="56"/>
      <c r="P114" s="56"/>
      <c r="Q114" s="56"/>
    </row>
    <row r="115">
      <c r="C115" s="129" t="s">
        <v>144</v>
      </c>
      <c r="D115" s="28">
        <f t="shared" si="58"/>
        <v>4</v>
      </c>
      <c r="E115" s="28">
        <f t="shared" si="59"/>
        <v>-12</v>
      </c>
      <c r="F115" s="28">
        <f t="shared" si="60"/>
        <v>-52</v>
      </c>
      <c r="G115" s="28">
        <f t="shared" si="61"/>
        <v>60</v>
      </c>
      <c r="I115" s="56"/>
      <c r="J115" s="46" t="s">
        <v>222</v>
      </c>
      <c r="K115" s="46" t="s">
        <v>223</v>
      </c>
      <c r="L115" s="46" t="s">
        <v>224</v>
      </c>
      <c r="M115" s="46" t="s">
        <v>104</v>
      </c>
      <c r="N115" s="46"/>
      <c r="O115" s="46"/>
      <c r="P115" s="46"/>
      <c r="Q115" s="46"/>
    </row>
    <row r="116">
      <c r="C116" s="129" t="s">
        <v>145</v>
      </c>
      <c r="D116" s="28">
        <f t="shared" si="58"/>
        <v>-60</v>
      </c>
      <c r="E116" s="28">
        <f t="shared" si="59"/>
        <v>-116</v>
      </c>
      <c r="F116" s="28">
        <f t="shared" si="60"/>
        <v>332</v>
      </c>
      <c r="G116" s="28">
        <f t="shared" si="61"/>
        <v>-156</v>
      </c>
      <c r="I116" s="46" t="s">
        <v>225</v>
      </c>
      <c r="J116" s="66">
        <v>632.0</v>
      </c>
      <c r="K116" s="66">
        <v>-2124.0</v>
      </c>
      <c r="L116" s="66">
        <v>874.0</v>
      </c>
      <c r="M116" s="66">
        <v>618.0</v>
      </c>
      <c r="N116" s="66"/>
      <c r="O116" s="66"/>
      <c r="P116" s="66"/>
      <c r="Q116" s="66"/>
    </row>
    <row r="117">
      <c r="C117" s="129" t="s">
        <v>146</v>
      </c>
      <c r="D117" s="28">
        <f t="shared" si="58"/>
        <v>-26</v>
      </c>
      <c r="E117" s="28">
        <f t="shared" si="59"/>
        <v>46</v>
      </c>
      <c r="F117" s="28">
        <f t="shared" si="60"/>
        <v>-34</v>
      </c>
      <c r="G117" s="28">
        <f t="shared" si="61"/>
        <v>14</v>
      </c>
      <c r="I117" s="46" t="s">
        <v>226</v>
      </c>
      <c r="J117" s="66">
        <f t="shared" ref="J117:M117" si="62">SUM(D118-J116)</f>
        <v>-772</v>
      </c>
      <c r="K117" s="66">
        <f t="shared" si="62"/>
        <v>2020</v>
      </c>
      <c r="L117" s="66">
        <f t="shared" si="62"/>
        <v>-600</v>
      </c>
      <c r="M117" s="66">
        <f t="shared" si="62"/>
        <v>-648</v>
      </c>
      <c r="N117" s="56"/>
      <c r="O117" s="56"/>
      <c r="P117" s="56"/>
      <c r="Q117" s="56"/>
    </row>
    <row r="118">
      <c r="D118" s="180">
        <f t="shared" ref="D118:G118" si="63">SUM(D110:D117)</f>
        <v>-140</v>
      </c>
      <c r="E118" s="180">
        <f t="shared" si="63"/>
        <v>-104</v>
      </c>
      <c r="F118" s="180">
        <f t="shared" si="63"/>
        <v>274</v>
      </c>
      <c r="G118" s="180">
        <f t="shared" si="63"/>
        <v>-30</v>
      </c>
    </row>
    <row r="119">
      <c r="B119" s="25" t="s">
        <v>218</v>
      </c>
      <c r="C119" s="25">
        <v>1.0</v>
      </c>
      <c r="D119" s="28">
        <f t="shared" ref="D119:D121" si="64">SUMIFS(INDIRECT("'SAMLET_alle regnskab'!U" &amp; $B$2 &amp; ":U" &amp; $C$2), INDIRECT("'SAMLET_alle regnskab'!$N" &amp; $B$2 &amp; ":$N$" &amp; $C$2), $C$102, INDIRECT("'SAMLET_alle regnskab'!$O" &amp; $B$2 &amp; ":$O$" &amp; $C$2), $C119)
</f>
        <v>12</v>
      </c>
      <c r="E119" s="28">
        <f t="shared" ref="E119:E121" si="65">SUMIFS(INDIRECT("'SAMLET_alle regnskab'!V" &amp; $B$2 &amp; ":V$" &amp; $C$2), INDIRECT("'SAMLET_alle regnskab'!$N" &amp; $B$2 &amp; ":$N$" &amp; $C$2), $C$102, INDIRECT("'SAMLET_alle regnskab'!$O" &amp; $B$2 &amp; ":$O$" &amp; $C$2), $C119)
</f>
        <v>-12</v>
      </c>
      <c r="F119" s="28">
        <f t="shared" ref="F119:F121" si="66">SUMIFS(INDIRECT("'SAMLET_alle regnskab'!W" &amp; $B$2 &amp; ":W$" &amp; $C$2), INDIRECT("'SAMLET_alle regnskab'!$N" &amp; $B$2 &amp; ":$N$" &amp; $C$2), $C$102, INDIRECT("'SAMLET_alle regnskab'!$O" &amp; $B$2 &amp; ":$O$" &amp; $C$2), $C119)
</f>
        <v>-12</v>
      </c>
      <c r="G119" s="28">
        <f t="shared" ref="G119:G121" si="67">SUMIFS(INDIRECT("'SAMLET_alle regnskab'!X" &amp; $B$2 &amp; ":X$" &amp; $C$2), INDIRECT("'SAMLET_alle regnskab'!$N" &amp; $B$2 &amp; ":$N$" &amp; $C$2), $C$102, INDIRECT("'SAMLET_alle regnskab'!$O" &amp; $B$2 &amp; ":$O$" &amp; $C$2), $C119)
</f>
        <v>12</v>
      </c>
    </row>
    <row r="120">
      <c r="B120" s="25" t="s">
        <v>218</v>
      </c>
      <c r="C120" s="25">
        <v>2.0</v>
      </c>
      <c r="D120" s="28">
        <f t="shared" si="64"/>
        <v>48</v>
      </c>
      <c r="E120" s="28">
        <f t="shared" si="65"/>
        <v>-112</v>
      </c>
      <c r="F120" s="28">
        <f t="shared" si="66"/>
        <v>32</v>
      </c>
      <c r="G120" s="28">
        <f t="shared" si="67"/>
        <v>32</v>
      </c>
    </row>
    <row r="121">
      <c r="B121" s="25" t="s">
        <v>218</v>
      </c>
      <c r="C121" s="25">
        <v>3.0</v>
      </c>
      <c r="D121" s="28">
        <f t="shared" si="64"/>
        <v>-128</v>
      </c>
      <c r="E121" s="28">
        <f t="shared" si="65"/>
        <v>0</v>
      </c>
      <c r="F121" s="28">
        <f t="shared" si="66"/>
        <v>320</v>
      </c>
      <c r="G121" s="28">
        <f t="shared" si="67"/>
        <v>-192</v>
      </c>
    </row>
    <row r="123">
      <c r="A123" s="46" t="s">
        <v>227</v>
      </c>
      <c r="B123" s="56"/>
      <c r="C123" s="56"/>
      <c r="D123" s="56"/>
      <c r="E123" s="56"/>
      <c r="F123" s="56"/>
      <c r="G123" s="56"/>
      <c r="H123" s="56"/>
      <c r="I123" s="56"/>
      <c r="J123" s="56"/>
      <c r="K123" s="56"/>
      <c r="L123" s="56"/>
      <c r="M123" s="56"/>
      <c r="N123" s="56"/>
      <c r="O123" s="56"/>
      <c r="P123" s="56"/>
      <c r="Q123" s="56"/>
    </row>
    <row r="124">
      <c r="B124" s="25" t="s">
        <v>228</v>
      </c>
    </row>
    <row r="125">
      <c r="B125" s="25" t="s">
        <v>229</v>
      </c>
    </row>
    <row r="126">
      <c r="B126" s="25" t="s">
        <v>230</v>
      </c>
    </row>
    <row r="127">
      <c r="B127" s="25" t="s">
        <v>231</v>
      </c>
    </row>
    <row r="128">
      <c r="B128" s="25" t="s">
        <v>232</v>
      </c>
    </row>
  </sheetData>
  <conditionalFormatting sqref="D64:G64">
    <cfRule type="colorScale" priority="1">
      <colorScale>
        <cfvo type="min"/>
        <cfvo type="max"/>
        <color rgb="FFE67C73"/>
        <color rgb="FFFFFFFF"/>
      </colorScale>
    </cfRule>
  </conditionalFormatting>
  <conditionalFormatting sqref="D60:G60">
    <cfRule type="colorScale" priority="2">
      <colorScale>
        <cfvo type="min"/>
        <cfvo type="max"/>
        <color rgb="FFFFFFFF"/>
        <color rgb="FF57BB8A"/>
      </colorScale>
    </cfRule>
  </conditionalFormatting>
  <conditionalFormatting sqref="D22:G29">
    <cfRule type="cellIs" dxfId="3" priority="3" operator="greaterThanOrEqual">
      <formula>224</formula>
    </cfRule>
  </conditionalFormatting>
  <conditionalFormatting sqref="D22:L29">
    <cfRule type="cellIs" dxfId="0" priority="4" operator="between">
      <formula>100</formula>
      <formula>223</formula>
    </cfRule>
  </conditionalFormatting>
  <conditionalFormatting sqref="D22:L29">
    <cfRule type="cellIs" dxfId="1" priority="5" operator="between">
      <formula>-239</formula>
      <formula>-100</formula>
    </cfRule>
  </conditionalFormatting>
  <conditionalFormatting sqref="D22:L29">
    <cfRule type="cellIs" dxfId="4" priority="6" operator="lessThanOrEqual">
      <formula>-240</formula>
    </cfRule>
  </conditionalFormatting>
  <conditionalFormatting sqref="D55:G55">
    <cfRule type="colorScale" priority="7">
      <colorScale>
        <cfvo type="min"/>
        <cfvo type="max"/>
        <color rgb="FFFFFFFF"/>
        <color rgb="FFE67C73"/>
      </colorScale>
    </cfRule>
  </conditionalFormatting>
  <conditionalFormatting sqref="D51:G51">
    <cfRule type="colorScale" priority="8">
      <colorScale>
        <cfvo type="min"/>
        <cfvo type="max"/>
        <color rgb="FFFFFFFF"/>
        <color rgb="FF57BB8A"/>
      </colorScale>
    </cfRule>
  </conditionalFormatting>
  <conditionalFormatting sqref="D42:G42">
    <cfRule type="expression" dxfId="1" priority="9">
      <formula>B42&gt;=min(D42:G42)</formula>
    </cfRule>
  </conditionalFormatting>
  <conditionalFormatting sqref="D33:G33">
    <cfRule type="expression" dxfId="0" priority="10">
      <formula>D33&gt;=max(D33:G33)</formula>
    </cfRule>
  </conditionalFormatting>
  <conditionalFormatting sqref="D96:G107 I96:L107">
    <cfRule type="cellIs" dxfId="1" priority="11" operator="between">
      <formula>-0.00001</formula>
      <formula>-4.99</formula>
    </cfRule>
  </conditionalFormatting>
  <conditionalFormatting sqref="D96:G107 I96:L107">
    <cfRule type="cellIs" dxfId="5" priority="12" operator="between">
      <formula>0</formula>
      <formula>4.99</formula>
    </cfRule>
  </conditionalFormatting>
  <conditionalFormatting sqref="D96:G107 I96:L107">
    <cfRule type="cellIs" dxfId="6" priority="13" operator="greaterThanOrEqual">
      <formula>5</formula>
    </cfRule>
  </conditionalFormatting>
  <conditionalFormatting sqref="D96:G107 I96:L107">
    <cfRule type="cellIs" dxfId="7" priority="14" operator="lessThan">
      <formula>-5</formula>
    </cfRule>
  </conditionalFormatting>
  <conditionalFormatting sqref="D110:G117">
    <cfRule type="expression" dxfId="6" priority="15">
      <formula>D110=MAX($D$110:$G$117)</formula>
    </cfRule>
  </conditionalFormatting>
  <conditionalFormatting sqref="D110:G117">
    <cfRule type="expression" dxfId="7" priority="16">
      <formula>D110=MIN($D$110:$G$117)</formula>
    </cfRule>
  </conditionalFormatting>
  <conditionalFormatting sqref="N22:Q29">
    <cfRule type="colorScale" priority="17">
      <colorScale>
        <cfvo type="min"/>
        <cfvo type="percentile" val="50"/>
        <cfvo type="max"/>
        <color rgb="FFE67C73"/>
        <color rgb="FFFFFFFF"/>
        <color rgb="FF57BB8A"/>
      </colorScale>
    </cfRule>
  </conditionalFormatting>
  <conditionalFormatting sqref="D71:G81">
    <cfRule type="colorScale" priority="18">
      <colorScale>
        <cfvo type="min"/>
        <cfvo type="max"/>
        <color rgb="FFFFFFFF"/>
        <color rgb="FF57BB8A"/>
      </colorScale>
    </cfRule>
  </conditionalFormatting>
  <conditionalFormatting sqref="I71:L81">
    <cfRule type="colorScale" priority="19">
      <colorScale>
        <cfvo type="min"/>
        <cfvo type="max"/>
        <color rgb="FFFFFFFF"/>
        <color rgb="FFE67C73"/>
      </colorScale>
    </cfRule>
  </conditionalFormatting>
  <conditionalFormatting sqref="D84:G92">
    <cfRule type="colorScale" priority="20">
      <colorScale>
        <cfvo type="min"/>
        <cfvo type="max"/>
        <color rgb="FFFFFFFF"/>
        <color rgb="FF57BB8A"/>
      </colorScale>
    </cfRule>
  </conditionalFormatting>
  <conditionalFormatting sqref="I84:L92">
    <cfRule type="colorScale" priority="21">
      <colorScale>
        <cfvo type="min"/>
        <cfvo type="max"/>
        <color rgb="FFFFFFFF"/>
        <color rgb="FFE67C73"/>
      </colorScale>
    </cfRule>
  </conditionalFormatting>
  <dataValidations>
    <dataValidation type="list" allowBlank="1" showErrorMessage="1" sqref="B4">
      <formula1>'SAMLET_alle regnskab'!$BY$11:$BY144</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49.88"/>
  </cols>
  <sheetData>
    <row r="1">
      <c r="C1" s="25" t="s">
        <v>234</v>
      </c>
    </row>
    <row r="2">
      <c r="A2" s="25" t="s">
        <v>251</v>
      </c>
      <c r="B2" s="25" t="s">
        <v>252</v>
      </c>
      <c r="C2" s="25" t="s">
        <v>253</v>
      </c>
      <c r="D2" s="25" t="s">
        <v>254</v>
      </c>
      <c r="E2" s="25" t="s">
        <v>255</v>
      </c>
    </row>
    <row r="3">
      <c r="A3" s="25"/>
      <c r="B3" s="25" t="s">
        <v>6</v>
      </c>
    </row>
    <row r="4">
      <c r="A4" s="25"/>
      <c r="B4" s="25" t="s">
        <v>5</v>
      </c>
    </row>
    <row r="5">
      <c r="A5" s="25"/>
      <c r="B5" s="25" t="s">
        <v>256</v>
      </c>
    </row>
    <row r="6">
      <c r="A6" s="25"/>
      <c r="B6" s="25" t="s">
        <v>257</v>
      </c>
    </row>
    <row r="7">
      <c r="A7" s="25" t="s">
        <v>258</v>
      </c>
    </row>
    <row r="8">
      <c r="A8" s="25"/>
      <c r="B8" s="25" t="s">
        <v>259</v>
      </c>
    </row>
    <row r="9">
      <c r="A9" s="25"/>
      <c r="B9" s="25" t="s">
        <v>260</v>
      </c>
    </row>
    <row r="11">
      <c r="A11" s="25" t="s">
        <v>261</v>
      </c>
    </row>
    <row r="12">
      <c r="A12" s="25"/>
      <c r="B12" s="25" t="s">
        <v>262</v>
      </c>
    </row>
    <row r="13">
      <c r="A13" s="25"/>
      <c r="B13" s="25" t="s">
        <v>263</v>
      </c>
    </row>
    <row r="14">
      <c r="B14" s="25" t="s">
        <v>264</v>
      </c>
    </row>
    <row r="17">
      <c r="A17" s="25" t="s">
        <v>71</v>
      </c>
    </row>
    <row r="18">
      <c r="B18" s="25" t="s">
        <v>265</v>
      </c>
    </row>
    <row r="19">
      <c r="B19" s="25" t="s">
        <v>266</v>
      </c>
    </row>
    <row r="20">
      <c r="B20" s="25" t="s">
        <v>267</v>
      </c>
    </row>
    <row r="21">
      <c r="B21" s="25" t="s">
        <v>268</v>
      </c>
    </row>
    <row r="22">
      <c r="B22" s="25" t="s">
        <v>269</v>
      </c>
    </row>
    <row r="24">
      <c r="A24" s="25" t="s">
        <v>252</v>
      </c>
    </row>
    <row r="25">
      <c r="B25" s="25" t="s">
        <v>270</v>
      </c>
    </row>
    <row r="26">
      <c r="B26" s="25" t="s">
        <v>271</v>
      </c>
    </row>
    <row r="27">
      <c r="B27" s="25" t="s">
        <v>272</v>
      </c>
    </row>
    <row r="30">
      <c r="A30" s="25" t="s">
        <v>126</v>
      </c>
    </row>
    <row r="31">
      <c r="B31" s="25" t="s">
        <v>273</v>
      </c>
    </row>
    <row r="32">
      <c r="B32" s="25" t="s">
        <v>274</v>
      </c>
    </row>
    <row r="33">
      <c r="B33" s="25" t="s">
        <v>275</v>
      </c>
    </row>
    <row r="37">
      <c r="A37" s="25" t="s">
        <v>276</v>
      </c>
    </row>
    <row r="38">
      <c r="B38" s="25" t="s">
        <v>277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5.5"/>
    <col customWidth="1" min="2" max="5" width="7.88"/>
    <col customWidth="1" min="6" max="6" width="8.0"/>
    <col customWidth="1" min="7" max="9" width="9.25"/>
    <col customWidth="1" min="10" max="10" width="3.38"/>
    <col customWidth="1" min="11" max="16" width="10.5"/>
    <col customWidth="1" min="17" max="17" width="2.63"/>
    <col customWidth="1" min="18" max="18" width="8.13"/>
    <col customWidth="1" min="19" max="19" width="6.75"/>
    <col customWidth="1" min="20" max="20" width="7.38"/>
    <col customWidth="1" min="21" max="21" width="9.13"/>
    <col customWidth="1" min="22" max="22" width="8.88"/>
    <col customWidth="1" min="23" max="23" width="10.25"/>
    <col customWidth="1" min="24" max="24" width="2.63"/>
  </cols>
  <sheetData>
    <row r="1">
      <c r="A1" s="40">
        <f>'00_Regnskab_01'!A3</f>
        <v>1</v>
      </c>
      <c r="B1" s="193">
        <f>'00_Regnskab_01'!C3</f>
        <v>42542</v>
      </c>
      <c r="C1" s="42"/>
      <c r="D1" s="42" t="str">
        <f>'00_Regnskab_01'!L3</f>
        <v>Thomas, Vanløse</v>
      </c>
      <c r="E1" s="42"/>
      <c r="F1" s="42"/>
      <c r="G1" s="42"/>
      <c r="H1" s="42"/>
      <c r="I1" s="42"/>
      <c r="J1" s="42"/>
      <c r="K1" s="194"/>
      <c r="L1" s="194"/>
      <c r="M1" s="194"/>
      <c r="N1" s="194"/>
      <c r="O1" s="194"/>
      <c r="P1" s="194"/>
      <c r="Q1" s="42"/>
      <c r="R1" s="42"/>
      <c r="S1" s="42"/>
      <c r="T1" s="42"/>
      <c r="U1" s="32"/>
      <c r="V1" s="32"/>
      <c r="W1" s="32"/>
      <c r="X1" s="32"/>
    </row>
    <row r="2">
      <c r="A2" s="25"/>
      <c r="B2" s="25"/>
      <c r="C2" s="25"/>
      <c r="D2" s="25"/>
      <c r="E2" s="25"/>
      <c r="F2" s="25"/>
      <c r="G2" s="25"/>
      <c r="H2" s="25"/>
      <c r="I2" s="25"/>
      <c r="J2" s="56"/>
      <c r="Q2" s="56"/>
      <c r="R2" s="25" t="s">
        <v>64</v>
      </c>
      <c r="X2" s="56"/>
    </row>
    <row r="3">
      <c r="A3" s="25" t="s">
        <v>78</v>
      </c>
      <c r="B3" s="25" t="s">
        <v>7</v>
      </c>
      <c r="C3" s="25" t="s">
        <v>8</v>
      </c>
      <c r="D3" s="25" t="s">
        <v>9</v>
      </c>
      <c r="E3" s="25" t="s">
        <v>10</v>
      </c>
      <c r="F3" s="25" t="s">
        <v>278</v>
      </c>
      <c r="G3" s="25" t="s">
        <v>64</v>
      </c>
      <c r="H3" s="25" t="s">
        <v>82</v>
      </c>
      <c r="I3" s="25" t="s">
        <v>83</v>
      </c>
      <c r="J3" s="56"/>
      <c r="K3" s="28" t="str">
        <f t="shared" ref="K3:N3" si="1">B3</f>
        <v>Thomas</v>
      </c>
      <c r="L3" s="28" t="str">
        <f t="shared" si="1"/>
        <v>Peter</v>
      </c>
      <c r="M3" s="28" t="str">
        <f t="shared" si="1"/>
        <v>Janus</v>
      </c>
      <c r="N3" s="28" t="str">
        <f t="shared" si="1"/>
        <v>Christian</v>
      </c>
      <c r="Q3" s="56"/>
      <c r="R3" s="25" t="s">
        <v>84</v>
      </c>
      <c r="S3" s="25" t="s">
        <v>85</v>
      </c>
      <c r="T3" s="25" t="s">
        <v>86</v>
      </c>
      <c r="U3" s="25" t="s">
        <v>87</v>
      </c>
      <c r="V3" s="25" t="s">
        <v>88</v>
      </c>
      <c r="W3" s="25" t="s">
        <v>89</v>
      </c>
      <c r="X3" s="46"/>
    </row>
    <row r="4">
      <c r="A4" s="25">
        <v>1.0</v>
      </c>
      <c r="B4" s="25">
        <v>8.0</v>
      </c>
      <c r="C4" s="25">
        <v>-24.0</v>
      </c>
      <c r="D4" s="25">
        <v>8.0</v>
      </c>
      <c r="E4" s="25">
        <v>8.0</v>
      </c>
      <c r="F4" s="28">
        <f t="shared" ref="F4:F27" si="3">SUM(B4:E4)</f>
        <v>0</v>
      </c>
      <c r="J4" s="56"/>
      <c r="K4" s="28">
        <f t="shared" ref="K4:N4" si="2">B4</f>
        <v>8</v>
      </c>
      <c r="L4" s="28">
        <f t="shared" si="2"/>
        <v>-24</v>
      </c>
      <c r="M4" s="28">
        <f t="shared" si="2"/>
        <v>8</v>
      </c>
      <c r="N4" s="28">
        <f t="shared" si="2"/>
        <v>8</v>
      </c>
      <c r="Q4" s="56"/>
      <c r="X4" s="56"/>
    </row>
    <row r="5">
      <c r="A5" s="28">
        <f t="shared" ref="A5:A27" si="5">A4+1</f>
        <v>2</v>
      </c>
      <c r="B5" s="25">
        <v>20.0</v>
      </c>
      <c r="C5" s="25">
        <v>-28.0</v>
      </c>
      <c r="D5" s="25">
        <v>4.0</v>
      </c>
      <c r="E5" s="25">
        <v>4.0</v>
      </c>
      <c r="F5" s="28">
        <f t="shared" si="3"/>
        <v>0</v>
      </c>
      <c r="J5" s="56"/>
      <c r="K5" s="28">
        <f t="shared" ref="K5:N5" si="4">B5-B4</f>
        <v>12</v>
      </c>
      <c r="L5" s="28">
        <f t="shared" si="4"/>
        <v>-4</v>
      </c>
      <c r="M5" s="28">
        <f t="shared" si="4"/>
        <v>-4</v>
      </c>
      <c r="N5" s="28">
        <f t="shared" si="4"/>
        <v>-4</v>
      </c>
      <c r="Q5" s="56"/>
      <c r="X5" s="56"/>
    </row>
    <row r="6">
      <c r="A6" s="28">
        <f t="shared" si="5"/>
        <v>3</v>
      </c>
      <c r="B6" s="25">
        <v>36.0</v>
      </c>
      <c r="C6" s="25">
        <v>-44.0</v>
      </c>
      <c r="D6" s="25">
        <v>-12.0</v>
      </c>
      <c r="E6" s="25">
        <v>20.0</v>
      </c>
      <c r="F6" s="28">
        <f t="shared" si="3"/>
        <v>0</v>
      </c>
      <c r="J6" s="56"/>
      <c r="K6" s="28">
        <f t="shared" ref="K6:N6" si="6">B6-B5</f>
        <v>16</v>
      </c>
      <c r="L6" s="28">
        <f t="shared" si="6"/>
        <v>-16</v>
      </c>
      <c r="M6" s="28">
        <f t="shared" si="6"/>
        <v>-16</v>
      </c>
      <c r="N6" s="28">
        <f t="shared" si="6"/>
        <v>16</v>
      </c>
      <c r="Q6" s="56"/>
      <c r="X6" s="56"/>
    </row>
    <row r="7">
      <c r="A7" s="28">
        <f t="shared" si="5"/>
        <v>4</v>
      </c>
      <c r="B7" s="25">
        <v>42.0</v>
      </c>
      <c r="C7" s="25">
        <v>-52.0</v>
      </c>
      <c r="D7" s="25">
        <v>-4.0</v>
      </c>
      <c r="E7" s="25">
        <v>12.0</v>
      </c>
      <c r="F7" s="28">
        <f t="shared" si="3"/>
        <v>-2</v>
      </c>
      <c r="J7" s="56"/>
      <c r="K7" s="179">
        <f t="shared" ref="K7:N7" si="7">B7-B6</f>
        <v>6</v>
      </c>
      <c r="L7" s="28">
        <f t="shared" si="7"/>
        <v>-8</v>
      </c>
      <c r="M7" s="28">
        <f t="shared" si="7"/>
        <v>8</v>
      </c>
      <c r="N7" s="28">
        <f t="shared" si="7"/>
        <v>-8</v>
      </c>
      <c r="Q7" s="56"/>
      <c r="X7" s="56"/>
    </row>
    <row r="8">
      <c r="A8" s="28">
        <f t="shared" si="5"/>
        <v>5</v>
      </c>
      <c r="B8" s="25">
        <v>-6.0</v>
      </c>
      <c r="C8" s="25">
        <v>-100.0</v>
      </c>
      <c r="D8" s="25">
        <v>44.0</v>
      </c>
      <c r="E8" s="25">
        <v>60.0</v>
      </c>
      <c r="F8" s="28">
        <f t="shared" si="3"/>
        <v>-2</v>
      </c>
      <c r="J8" s="56"/>
      <c r="K8" s="28">
        <f t="shared" ref="K8:N8" si="8">B8-B7</f>
        <v>-48</v>
      </c>
      <c r="L8" s="28">
        <f t="shared" si="8"/>
        <v>-48</v>
      </c>
      <c r="M8" s="28">
        <f t="shared" si="8"/>
        <v>48</v>
      </c>
      <c r="N8" s="28">
        <f t="shared" si="8"/>
        <v>48</v>
      </c>
      <c r="Q8" s="56"/>
      <c r="X8" s="56"/>
    </row>
    <row r="9">
      <c r="A9" s="28">
        <f t="shared" si="5"/>
        <v>6</v>
      </c>
      <c r="B9" s="25">
        <v>2.0</v>
      </c>
      <c r="C9" s="25">
        <v>-92.0</v>
      </c>
      <c r="D9" s="25">
        <v>52.0</v>
      </c>
      <c r="E9" s="25">
        <v>36.0</v>
      </c>
      <c r="F9" s="28">
        <f t="shared" si="3"/>
        <v>-2</v>
      </c>
      <c r="J9" s="56"/>
      <c r="K9" s="28">
        <f t="shared" ref="K9:N9" si="9">B9-B8</f>
        <v>8</v>
      </c>
      <c r="L9" s="28">
        <f t="shared" si="9"/>
        <v>8</v>
      </c>
      <c r="M9" s="28">
        <f t="shared" si="9"/>
        <v>8</v>
      </c>
      <c r="N9" s="28">
        <f t="shared" si="9"/>
        <v>-24</v>
      </c>
      <c r="Q9" s="56"/>
      <c r="X9" s="56"/>
    </row>
    <row r="10">
      <c r="A10" s="28">
        <f t="shared" si="5"/>
        <v>7</v>
      </c>
      <c r="B10" s="25">
        <v>30.0</v>
      </c>
      <c r="C10" s="25">
        <v>-124.0</v>
      </c>
      <c r="D10" s="25">
        <v>84.0</v>
      </c>
      <c r="E10" s="25">
        <v>4.0</v>
      </c>
      <c r="F10" s="28">
        <f t="shared" si="3"/>
        <v>-6</v>
      </c>
      <c r="J10" s="56"/>
      <c r="K10" s="179">
        <f t="shared" ref="K10:N10" si="10">B10-B9</f>
        <v>28</v>
      </c>
      <c r="L10" s="28">
        <f t="shared" si="10"/>
        <v>-32</v>
      </c>
      <c r="M10" s="28">
        <f t="shared" si="10"/>
        <v>32</v>
      </c>
      <c r="N10" s="28">
        <f t="shared" si="10"/>
        <v>-32</v>
      </c>
      <c r="Q10" s="56"/>
      <c r="X10" s="56"/>
    </row>
    <row r="11">
      <c r="A11" s="28">
        <f t="shared" si="5"/>
        <v>8</v>
      </c>
      <c r="B11" s="25">
        <v>26.0</v>
      </c>
      <c r="C11" s="25">
        <v>-128.0</v>
      </c>
      <c r="D11" s="25">
        <v>80.0</v>
      </c>
      <c r="E11" s="25">
        <v>8.0</v>
      </c>
      <c r="F11" s="28">
        <f t="shared" si="3"/>
        <v>-14</v>
      </c>
      <c r="J11" s="56"/>
      <c r="K11" s="179">
        <f t="shared" ref="K11:N11" si="11">B11-B10</f>
        <v>-4</v>
      </c>
      <c r="L11" s="179">
        <f t="shared" si="11"/>
        <v>-4</v>
      </c>
      <c r="M11" s="179">
        <f t="shared" si="11"/>
        <v>-4</v>
      </c>
      <c r="N11" s="179">
        <f t="shared" si="11"/>
        <v>4</v>
      </c>
      <c r="Q11" s="56"/>
      <c r="X11" s="56"/>
    </row>
    <row r="12">
      <c r="A12" s="28">
        <f t="shared" si="5"/>
        <v>9</v>
      </c>
      <c r="B12" s="25">
        <v>34.0</v>
      </c>
      <c r="C12" s="25">
        <v>-152.0</v>
      </c>
      <c r="D12" s="25">
        <v>88.0</v>
      </c>
      <c r="E12" s="25">
        <v>16.0</v>
      </c>
      <c r="F12" s="28">
        <f t="shared" si="3"/>
        <v>-14</v>
      </c>
      <c r="J12" s="56"/>
      <c r="K12" s="28">
        <f t="shared" ref="K12:N12" si="12">B12-B11</f>
        <v>8</v>
      </c>
      <c r="L12" s="28">
        <f t="shared" si="12"/>
        <v>-24</v>
      </c>
      <c r="M12" s="28">
        <f t="shared" si="12"/>
        <v>8</v>
      </c>
      <c r="N12" s="28">
        <f t="shared" si="12"/>
        <v>8</v>
      </c>
      <c r="Q12" s="56"/>
      <c r="X12" s="56"/>
    </row>
    <row r="13">
      <c r="A13" s="28">
        <f t="shared" si="5"/>
        <v>10</v>
      </c>
      <c r="B13" s="25">
        <v>42.0</v>
      </c>
      <c r="C13" s="25">
        <v>-160.0</v>
      </c>
      <c r="D13" s="25">
        <v>80.0</v>
      </c>
      <c r="E13" s="25">
        <v>24.0</v>
      </c>
      <c r="F13" s="28">
        <f t="shared" si="3"/>
        <v>-14</v>
      </c>
      <c r="J13" s="56"/>
      <c r="K13" s="28">
        <f t="shared" ref="K13:N13" si="13">B13-B12</f>
        <v>8</v>
      </c>
      <c r="L13" s="28">
        <f t="shared" si="13"/>
        <v>-8</v>
      </c>
      <c r="M13" s="28">
        <f t="shared" si="13"/>
        <v>-8</v>
      </c>
      <c r="N13" s="28">
        <f t="shared" si="13"/>
        <v>8</v>
      </c>
      <c r="Q13" s="56"/>
      <c r="X13" s="56"/>
    </row>
    <row r="14">
      <c r="A14" s="28">
        <f t="shared" si="5"/>
        <v>11</v>
      </c>
      <c r="B14" s="25">
        <v>-22.0</v>
      </c>
      <c r="C14" s="25">
        <v>-96.0</v>
      </c>
      <c r="D14" s="25">
        <v>144.0</v>
      </c>
      <c r="E14" s="25">
        <v>-40.0</v>
      </c>
      <c r="F14" s="28">
        <f t="shared" si="3"/>
        <v>-14</v>
      </c>
      <c r="J14" s="56"/>
      <c r="K14" s="28">
        <f t="shared" ref="K14:N14" si="14">B14-B13</f>
        <v>-64</v>
      </c>
      <c r="L14" s="28">
        <f t="shared" si="14"/>
        <v>64</v>
      </c>
      <c r="M14" s="28">
        <f t="shared" si="14"/>
        <v>64</v>
      </c>
      <c r="N14" s="28">
        <f t="shared" si="14"/>
        <v>-64</v>
      </c>
      <c r="Q14" s="56"/>
      <c r="X14" s="56"/>
    </row>
    <row r="15">
      <c r="A15" s="28">
        <f t="shared" si="5"/>
        <v>12</v>
      </c>
      <c r="B15" s="25">
        <v>-86.0</v>
      </c>
      <c r="C15" s="25">
        <v>-30.0</v>
      </c>
      <c r="D15" s="25">
        <v>210.0</v>
      </c>
      <c r="E15" s="25">
        <v>-104.0</v>
      </c>
      <c r="F15" s="28">
        <f t="shared" si="3"/>
        <v>-10</v>
      </c>
      <c r="J15" s="56"/>
      <c r="K15" s="179">
        <f t="shared" ref="K15:N15" si="15">B15-B14</f>
        <v>-64</v>
      </c>
      <c r="L15" s="179">
        <f t="shared" si="15"/>
        <v>66</v>
      </c>
      <c r="M15" s="179">
        <f t="shared" si="15"/>
        <v>66</v>
      </c>
      <c r="N15" s="179">
        <f t="shared" si="15"/>
        <v>-64</v>
      </c>
      <c r="Q15" s="56"/>
      <c r="X15" s="56"/>
    </row>
    <row r="16">
      <c r="A16" s="28">
        <f t="shared" si="5"/>
        <v>13</v>
      </c>
      <c r="B16" s="25">
        <v>-82.0</v>
      </c>
      <c r="C16" s="25">
        <v>-42.0</v>
      </c>
      <c r="D16" s="25">
        <v>206.0</v>
      </c>
      <c r="E16" s="25">
        <v>-100.0</v>
      </c>
      <c r="F16" s="28">
        <f t="shared" si="3"/>
        <v>-18</v>
      </c>
      <c r="J16" s="56"/>
      <c r="K16" s="28">
        <f t="shared" ref="K16:N16" si="16">B16-B15</f>
        <v>4</v>
      </c>
      <c r="L16" s="28">
        <f t="shared" si="16"/>
        <v>-12</v>
      </c>
      <c r="M16" s="179">
        <f t="shared" si="16"/>
        <v>-4</v>
      </c>
      <c r="N16" s="28">
        <f t="shared" si="16"/>
        <v>4</v>
      </c>
      <c r="Q16" s="56"/>
      <c r="X16" s="56"/>
    </row>
    <row r="17">
      <c r="A17" s="28">
        <f t="shared" si="5"/>
        <v>14</v>
      </c>
      <c r="B17" s="25">
        <v>-114.0</v>
      </c>
      <c r="C17" s="25">
        <v>-10.0</v>
      </c>
      <c r="D17" s="25">
        <v>238.0</v>
      </c>
      <c r="E17" s="25">
        <v>-132.0</v>
      </c>
      <c r="F17" s="28">
        <f t="shared" si="3"/>
        <v>-18</v>
      </c>
      <c r="J17" s="56"/>
      <c r="K17" s="28">
        <f t="shared" ref="K17:N17" si="17">B17-B16</f>
        <v>-32</v>
      </c>
      <c r="L17" s="28">
        <f t="shared" si="17"/>
        <v>32</v>
      </c>
      <c r="M17" s="28">
        <f t="shared" si="17"/>
        <v>32</v>
      </c>
      <c r="N17" s="28">
        <f t="shared" si="17"/>
        <v>-32</v>
      </c>
      <c r="Q17" s="56"/>
      <c r="X17" s="56"/>
    </row>
    <row r="18">
      <c r="A18" s="28">
        <f t="shared" si="5"/>
        <v>15</v>
      </c>
      <c r="B18" s="25">
        <v>-98.0</v>
      </c>
      <c r="C18" s="25">
        <v>-26.0</v>
      </c>
      <c r="D18" s="25">
        <v>254.0</v>
      </c>
      <c r="E18" s="25">
        <v>-148.0</v>
      </c>
      <c r="F18" s="28">
        <f t="shared" si="3"/>
        <v>-18</v>
      </c>
      <c r="J18" s="56"/>
      <c r="K18" s="28">
        <f t="shared" ref="K18:N18" si="18">B18-B17</f>
        <v>16</v>
      </c>
      <c r="L18" s="28">
        <f t="shared" si="18"/>
        <v>-16</v>
      </c>
      <c r="M18" s="28">
        <f t="shared" si="18"/>
        <v>16</v>
      </c>
      <c r="N18" s="28">
        <f t="shared" si="18"/>
        <v>-16</v>
      </c>
      <c r="Q18" s="56"/>
      <c r="X18" s="56"/>
    </row>
    <row r="19">
      <c r="A19" s="28">
        <f t="shared" si="5"/>
        <v>16</v>
      </c>
      <c r="B19" s="25">
        <v>-94.0</v>
      </c>
      <c r="C19" s="25">
        <v>-30.0</v>
      </c>
      <c r="D19" s="25">
        <v>250.0</v>
      </c>
      <c r="E19" s="25">
        <v>-144.0</v>
      </c>
      <c r="F19" s="28">
        <f t="shared" si="3"/>
        <v>-18</v>
      </c>
      <c r="J19" s="56"/>
      <c r="K19" s="28">
        <f t="shared" ref="K19:N19" si="19">B19-B18</f>
        <v>4</v>
      </c>
      <c r="L19" s="28">
        <f t="shared" si="19"/>
        <v>-4</v>
      </c>
      <c r="M19" s="28">
        <f t="shared" si="19"/>
        <v>-4</v>
      </c>
      <c r="N19" s="28">
        <f t="shared" si="19"/>
        <v>4</v>
      </c>
      <c r="Q19" s="56"/>
      <c r="X19" s="56"/>
    </row>
    <row r="20">
      <c r="A20" s="28">
        <f t="shared" si="5"/>
        <v>17</v>
      </c>
      <c r="B20" s="25">
        <v>-110.0</v>
      </c>
      <c r="C20" s="25">
        <v>-14.0</v>
      </c>
      <c r="D20" s="25">
        <v>266.0</v>
      </c>
      <c r="E20" s="25">
        <v>-160.0</v>
      </c>
      <c r="F20" s="28">
        <f t="shared" si="3"/>
        <v>-18</v>
      </c>
      <c r="J20" s="56"/>
      <c r="K20" s="28">
        <f t="shared" ref="K20:N20" si="20">B20-B19</f>
        <v>-16</v>
      </c>
      <c r="L20" s="28">
        <f t="shared" si="20"/>
        <v>16</v>
      </c>
      <c r="M20" s="28">
        <f t="shared" si="20"/>
        <v>16</v>
      </c>
      <c r="N20" s="28">
        <f t="shared" si="20"/>
        <v>-16</v>
      </c>
      <c r="Q20" s="56"/>
      <c r="X20" s="56"/>
    </row>
    <row r="21">
      <c r="A21" s="28">
        <f t="shared" si="5"/>
        <v>18</v>
      </c>
      <c r="B21" s="25">
        <v>-102.0</v>
      </c>
      <c r="C21" s="25">
        <v>-22.0</v>
      </c>
      <c r="D21" s="25">
        <v>274.0</v>
      </c>
      <c r="E21" s="25">
        <v>-168.0</v>
      </c>
      <c r="F21" s="28">
        <f t="shared" si="3"/>
        <v>-18</v>
      </c>
      <c r="J21" s="56"/>
      <c r="K21" s="28">
        <f t="shared" ref="K21:N21" si="21">B21-B20</f>
        <v>8</v>
      </c>
      <c r="L21" s="28">
        <f t="shared" si="21"/>
        <v>-8</v>
      </c>
      <c r="M21" s="28">
        <f t="shared" si="21"/>
        <v>8</v>
      </c>
      <c r="N21" s="28">
        <f t="shared" si="21"/>
        <v>-8</v>
      </c>
      <c r="Q21" s="56"/>
      <c r="X21" s="56"/>
    </row>
    <row r="22">
      <c r="A22" s="28">
        <f t="shared" si="5"/>
        <v>19</v>
      </c>
      <c r="B22" s="25">
        <v>-38.0</v>
      </c>
      <c r="C22" s="25">
        <v>-214.0</v>
      </c>
      <c r="D22" s="25">
        <v>338.0</v>
      </c>
      <c r="E22" s="25">
        <v>-104.0</v>
      </c>
      <c r="F22" s="28">
        <f t="shared" si="3"/>
        <v>-18</v>
      </c>
      <c r="J22" s="56"/>
      <c r="K22" s="28">
        <f t="shared" ref="K22:N22" si="22">B22-B21</f>
        <v>64</v>
      </c>
      <c r="L22" s="28">
        <f t="shared" si="22"/>
        <v>-192</v>
      </c>
      <c r="M22" s="28">
        <f t="shared" si="22"/>
        <v>64</v>
      </c>
      <c r="N22" s="28">
        <f t="shared" si="22"/>
        <v>64</v>
      </c>
      <c r="Q22" s="56"/>
      <c r="X22" s="56"/>
    </row>
    <row r="23">
      <c r="A23" s="28">
        <f t="shared" si="5"/>
        <v>20</v>
      </c>
      <c r="B23" s="25">
        <v>-14.0</v>
      </c>
      <c r="C23" s="25">
        <v>-238.0</v>
      </c>
      <c r="D23" s="25">
        <v>314.0</v>
      </c>
      <c r="E23" s="25">
        <v>-80.0</v>
      </c>
      <c r="F23" s="28">
        <f t="shared" si="3"/>
        <v>-18</v>
      </c>
      <c r="J23" s="56"/>
      <c r="K23" s="28">
        <f t="shared" ref="K23:N23" si="23">B23-B22</f>
        <v>24</v>
      </c>
      <c r="L23" s="28">
        <f t="shared" si="23"/>
        <v>-24</v>
      </c>
      <c r="M23" s="28">
        <f t="shared" si="23"/>
        <v>-24</v>
      </c>
      <c r="N23" s="28">
        <f t="shared" si="23"/>
        <v>24</v>
      </c>
      <c r="Q23" s="56"/>
      <c r="X23" s="56"/>
    </row>
    <row r="24">
      <c r="A24" s="28">
        <f t="shared" si="5"/>
        <v>21</v>
      </c>
      <c r="B24" s="25">
        <v>-10.0</v>
      </c>
      <c r="C24" s="25">
        <v>-242.0</v>
      </c>
      <c r="D24" s="25">
        <v>310.0</v>
      </c>
      <c r="E24" s="25">
        <v>-76.0</v>
      </c>
      <c r="F24" s="28">
        <f t="shared" si="3"/>
        <v>-18</v>
      </c>
      <c r="J24" s="56"/>
      <c r="K24" s="28">
        <f t="shared" ref="K24:N24" si="24">B24-B23</f>
        <v>4</v>
      </c>
      <c r="L24" s="28">
        <f t="shared" si="24"/>
        <v>-4</v>
      </c>
      <c r="M24" s="28">
        <f t="shared" si="24"/>
        <v>-4</v>
      </c>
      <c r="N24" s="28">
        <f t="shared" si="24"/>
        <v>4</v>
      </c>
      <c r="Q24" s="56"/>
      <c r="X24" s="56"/>
    </row>
    <row r="25">
      <c r="A25" s="28">
        <f t="shared" si="5"/>
        <v>22</v>
      </c>
      <c r="B25" s="25">
        <v>-250.0</v>
      </c>
      <c r="C25" s="25">
        <v>-162.0</v>
      </c>
      <c r="D25" s="25">
        <v>390.0</v>
      </c>
      <c r="E25" s="25">
        <v>4.0</v>
      </c>
      <c r="F25" s="28">
        <f t="shared" si="3"/>
        <v>-18</v>
      </c>
      <c r="J25" s="56"/>
      <c r="K25" s="28">
        <f t="shared" ref="K25:N25" si="25">B25-B24</f>
        <v>-240</v>
      </c>
      <c r="L25" s="28">
        <f t="shared" si="25"/>
        <v>80</v>
      </c>
      <c r="M25" s="28">
        <f t="shared" si="25"/>
        <v>80</v>
      </c>
      <c r="N25" s="28">
        <f t="shared" si="25"/>
        <v>80</v>
      </c>
      <c r="Q25" s="56"/>
      <c r="X25" s="56"/>
    </row>
    <row r="26">
      <c r="A26" s="28">
        <f t="shared" si="5"/>
        <v>23</v>
      </c>
      <c r="B26" s="25">
        <v>-242.0</v>
      </c>
      <c r="C26" s="25">
        <v>-154.0</v>
      </c>
      <c r="D26" s="25">
        <v>382.0</v>
      </c>
      <c r="E26" s="25">
        <v>-4.0</v>
      </c>
      <c r="F26" s="28">
        <f t="shared" si="3"/>
        <v>-18</v>
      </c>
      <c r="J26" s="56"/>
      <c r="K26" s="28">
        <f t="shared" ref="K26:N26" si="26">B26-B25</f>
        <v>8</v>
      </c>
      <c r="L26" s="28">
        <f t="shared" si="26"/>
        <v>8</v>
      </c>
      <c r="M26" s="28">
        <f t="shared" si="26"/>
        <v>-8</v>
      </c>
      <c r="N26" s="28">
        <f t="shared" si="26"/>
        <v>-8</v>
      </c>
      <c r="Q26" s="56"/>
      <c r="X26" s="56"/>
    </row>
    <row r="27">
      <c r="A27" s="28">
        <f t="shared" si="5"/>
        <v>24</v>
      </c>
      <c r="B27" s="25">
        <v>-230.0</v>
      </c>
      <c r="C27" s="25">
        <v>-166.0</v>
      </c>
      <c r="D27" s="25">
        <v>370.0</v>
      </c>
      <c r="E27" s="25">
        <v>8.0</v>
      </c>
      <c r="F27" s="28">
        <f t="shared" si="3"/>
        <v>-18</v>
      </c>
      <c r="J27" s="56"/>
      <c r="K27" s="28">
        <f t="shared" ref="K27:N27" si="27">B27-B26</f>
        <v>12</v>
      </c>
      <c r="L27" s="28">
        <f t="shared" si="27"/>
        <v>-12</v>
      </c>
      <c r="M27" s="28">
        <f t="shared" si="27"/>
        <v>-12</v>
      </c>
      <c r="N27" s="28">
        <f t="shared" si="27"/>
        <v>12</v>
      </c>
      <c r="Q27" s="56"/>
      <c r="X27" s="56"/>
    </row>
    <row r="28">
      <c r="J28" s="56"/>
      <c r="Q28" s="56"/>
      <c r="X28" s="56"/>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38"/>
    <col customWidth="1" min="2" max="5" width="9.63"/>
    <col customWidth="1" min="6" max="6" width="9.75"/>
    <col customWidth="1" min="7" max="7" width="6.88"/>
    <col customWidth="1" min="8" max="12" width="8.88"/>
    <col customWidth="1" min="13" max="13" width="7.13"/>
    <col customWidth="1" min="14" max="14" width="35.25"/>
  </cols>
  <sheetData>
    <row r="1">
      <c r="A1" s="40">
        <f>'00_Regnskab_01'!A4</f>
        <v>2</v>
      </c>
      <c r="B1" s="193">
        <f>'00_Regnskab_01'!C4</f>
        <v>42637</v>
      </c>
      <c r="C1" s="42" t="str">
        <f>'00_Regnskab_01'!L4</f>
        <v>Christian, Østerbro</v>
      </c>
      <c r="D1" s="42"/>
      <c r="E1" s="42"/>
      <c r="F1" s="42"/>
      <c r="G1" s="42"/>
      <c r="H1" s="42"/>
      <c r="I1" s="42"/>
      <c r="J1" s="195"/>
      <c r="K1" s="42"/>
      <c r="L1" s="195"/>
      <c r="M1" s="46"/>
      <c r="N1" s="25"/>
    </row>
    <row r="2">
      <c r="A2" s="25" t="s">
        <v>78</v>
      </c>
      <c r="B2" s="25" t="s">
        <v>7</v>
      </c>
      <c r="C2" s="25" t="s">
        <v>8</v>
      </c>
      <c r="D2" s="25" t="s">
        <v>9</v>
      </c>
      <c r="E2" s="25" t="s">
        <v>10</v>
      </c>
      <c r="G2" s="25" t="s">
        <v>79</v>
      </c>
      <c r="H2" s="25"/>
      <c r="I2" s="195" t="s">
        <v>7</v>
      </c>
      <c r="J2" s="195" t="s">
        <v>8</v>
      </c>
      <c r="K2" s="195" t="s">
        <v>9</v>
      </c>
      <c r="L2" s="195" t="s">
        <v>10</v>
      </c>
      <c r="M2" s="46" t="s">
        <v>279</v>
      </c>
      <c r="N2" s="25" t="s">
        <v>280</v>
      </c>
    </row>
    <row r="3">
      <c r="A3" s="25">
        <v>1.0</v>
      </c>
      <c r="B3" s="25">
        <v>40.0</v>
      </c>
      <c r="C3" s="25">
        <v>-40.0</v>
      </c>
      <c r="D3" s="25">
        <v>40.0</v>
      </c>
      <c r="E3" s="25">
        <v>-40.0</v>
      </c>
      <c r="G3" s="28">
        <f t="shared" ref="G3:G48" si="1">SUM(B3:E3)</f>
        <v>0</v>
      </c>
      <c r="I3" s="196"/>
      <c r="J3" s="196"/>
      <c r="K3" s="196"/>
      <c r="L3" s="196"/>
      <c r="M3" s="56"/>
    </row>
    <row r="4">
      <c r="A4" s="25">
        <f t="shared" ref="A4:A48" si="3">A3+1</f>
        <v>2</v>
      </c>
      <c r="B4" s="25">
        <v>36.0</v>
      </c>
      <c r="C4" s="25">
        <v>-36.0</v>
      </c>
      <c r="D4" s="25">
        <v>36.0</v>
      </c>
      <c r="E4" s="25">
        <v>-36.0</v>
      </c>
      <c r="G4" s="28">
        <f t="shared" si="1"/>
        <v>0</v>
      </c>
      <c r="I4" s="196">
        <f t="shared" ref="I4:L4" si="2">SUM(B4-B3)</f>
        <v>-4</v>
      </c>
      <c r="J4" s="196">
        <f t="shared" si="2"/>
        <v>4</v>
      </c>
      <c r="K4" s="196">
        <f t="shared" si="2"/>
        <v>-4</v>
      </c>
      <c r="L4" s="196">
        <f t="shared" si="2"/>
        <v>4</v>
      </c>
      <c r="M4" s="56">
        <f t="shared" ref="M4:M48" si="5">SUM(I4:L4)</f>
        <v>0</v>
      </c>
    </row>
    <row r="5">
      <c r="A5" s="25">
        <f t="shared" si="3"/>
        <v>3</v>
      </c>
      <c r="B5" s="25">
        <v>24.0</v>
      </c>
      <c r="C5" s="25">
        <v>-24.0</v>
      </c>
      <c r="D5" s="25">
        <v>24.0</v>
      </c>
      <c r="E5" s="25">
        <v>-24.0</v>
      </c>
      <c r="G5" s="28">
        <f t="shared" si="1"/>
        <v>0</v>
      </c>
      <c r="I5" s="196">
        <f t="shared" ref="I5:L5" si="4">SUM(B5-B4)</f>
        <v>-12</v>
      </c>
      <c r="J5" s="196">
        <f t="shared" si="4"/>
        <v>12</v>
      </c>
      <c r="K5" s="196">
        <f t="shared" si="4"/>
        <v>-12</v>
      </c>
      <c r="L5" s="196">
        <f t="shared" si="4"/>
        <v>12</v>
      </c>
      <c r="M5" s="56">
        <f t="shared" si="5"/>
        <v>0</v>
      </c>
    </row>
    <row r="6">
      <c r="A6" s="25">
        <f t="shared" si="3"/>
        <v>4</v>
      </c>
      <c r="B6" s="25">
        <v>32.0</v>
      </c>
      <c r="C6" s="25">
        <v>-32.0</v>
      </c>
      <c r="D6" s="25">
        <v>16.0</v>
      </c>
      <c r="E6" s="25">
        <v>-16.0</v>
      </c>
      <c r="G6" s="28">
        <f t="shared" si="1"/>
        <v>0</v>
      </c>
      <c r="I6" s="196">
        <f t="shared" ref="I6:L6" si="6">SUM(B6-B5)</f>
        <v>8</v>
      </c>
      <c r="J6" s="196">
        <f t="shared" si="6"/>
        <v>-8</v>
      </c>
      <c r="K6" s="196">
        <f t="shared" si="6"/>
        <v>-8</v>
      </c>
      <c r="L6" s="196">
        <f t="shared" si="6"/>
        <v>8</v>
      </c>
      <c r="M6" s="56">
        <f t="shared" si="5"/>
        <v>0</v>
      </c>
    </row>
    <row r="7">
      <c r="A7" s="25">
        <f t="shared" si="3"/>
        <v>5</v>
      </c>
      <c r="B7" s="25">
        <v>-8.0</v>
      </c>
      <c r="C7" s="25">
        <v>-72.0</v>
      </c>
      <c r="D7" s="25">
        <v>56.0</v>
      </c>
      <c r="E7" s="25">
        <v>24.0</v>
      </c>
      <c r="G7" s="28">
        <f t="shared" si="1"/>
        <v>0</v>
      </c>
      <c r="I7" s="196">
        <f t="shared" ref="I7:L7" si="7">SUM(B7-B6)</f>
        <v>-40</v>
      </c>
      <c r="J7" s="196">
        <f t="shared" si="7"/>
        <v>-40</v>
      </c>
      <c r="K7" s="196">
        <f t="shared" si="7"/>
        <v>40</v>
      </c>
      <c r="L7" s="196">
        <f t="shared" si="7"/>
        <v>40</v>
      </c>
      <c r="M7" s="56">
        <f t="shared" si="5"/>
        <v>0</v>
      </c>
    </row>
    <row r="8">
      <c r="A8" s="25">
        <f t="shared" si="3"/>
        <v>6</v>
      </c>
      <c r="B8" s="25">
        <v>-16.0</v>
      </c>
      <c r="C8" s="25">
        <v>-80.0</v>
      </c>
      <c r="D8" s="25">
        <v>64.0</v>
      </c>
      <c r="E8" s="25">
        <v>32.0</v>
      </c>
      <c r="G8" s="28">
        <f t="shared" si="1"/>
        <v>0</v>
      </c>
      <c r="I8" s="196">
        <f t="shared" ref="I8:L8" si="8">SUM(B8-B7)</f>
        <v>-8</v>
      </c>
      <c r="J8" s="196">
        <f t="shared" si="8"/>
        <v>-8</v>
      </c>
      <c r="K8" s="196">
        <f t="shared" si="8"/>
        <v>8</v>
      </c>
      <c r="L8" s="196">
        <f t="shared" si="8"/>
        <v>8</v>
      </c>
      <c r="M8" s="56">
        <f t="shared" si="5"/>
        <v>0</v>
      </c>
    </row>
    <row r="9">
      <c r="A9" s="25">
        <f t="shared" si="3"/>
        <v>7</v>
      </c>
      <c r="B9" s="25">
        <v>-40.0</v>
      </c>
      <c r="C9" s="25">
        <v>-72.0</v>
      </c>
      <c r="D9" s="25">
        <v>72.0</v>
      </c>
      <c r="E9" s="25">
        <v>40.0</v>
      </c>
      <c r="G9" s="28">
        <f t="shared" si="1"/>
        <v>0</v>
      </c>
      <c r="I9" s="196">
        <f t="shared" ref="I9:L9" si="9">SUM(B9-B8)</f>
        <v>-24</v>
      </c>
      <c r="J9" s="196">
        <f t="shared" si="9"/>
        <v>8</v>
      </c>
      <c r="K9" s="196">
        <f t="shared" si="9"/>
        <v>8</v>
      </c>
      <c r="L9" s="196">
        <f t="shared" si="9"/>
        <v>8</v>
      </c>
      <c r="M9" s="56">
        <f t="shared" si="5"/>
        <v>0</v>
      </c>
    </row>
    <row r="10">
      <c r="A10" s="25">
        <f t="shared" si="3"/>
        <v>8</v>
      </c>
      <c r="B10" s="25">
        <v>-44.0</v>
      </c>
      <c r="C10" s="25">
        <v>-76.0</v>
      </c>
      <c r="D10" s="25">
        <v>68.0</v>
      </c>
      <c r="E10" s="25">
        <v>52.0</v>
      </c>
      <c r="G10" s="28">
        <f t="shared" si="1"/>
        <v>0</v>
      </c>
      <c r="I10" s="196">
        <f t="shared" ref="I10:L10" si="10">SUM(B10-B9)</f>
        <v>-4</v>
      </c>
      <c r="J10" s="196">
        <f t="shared" si="10"/>
        <v>-4</v>
      </c>
      <c r="K10" s="196">
        <f t="shared" si="10"/>
        <v>-4</v>
      </c>
      <c r="L10" s="196">
        <f t="shared" si="10"/>
        <v>12</v>
      </c>
      <c r="M10" s="56">
        <f t="shared" si="5"/>
        <v>0</v>
      </c>
    </row>
    <row r="11">
      <c r="A11" s="25">
        <f t="shared" si="3"/>
        <v>9</v>
      </c>
      <c r="B11" s="25">
        <v>468.0</v>
      </c>
      <c r="C11" s="25">
        <v>-588.0</v>
      </c>
      <c r="D11" s="25">
        <v>580.0</v>
      </c>
      <c r="E11" s="25">
        <v>-460.0</v>
      </c>
      <c r="G11" s="28">
        <f t="shared" si="1"/>
        <v>0</v>
      </c>
      <c r="I11" s="196">
        <f t="shared" ref="I11:L11" si="11">SUM(B11-B10)</f>
        <v>512</v>
      </c>
      <c r="J11" s="196">
        <f t="shared" si="11"/>
        <v>-512</v>
      </c>
      <c r="K11" s="196">
        <f t="shared" si="11"/>
        <v>512</v>
      </c>
      <c r="L11" s="196">
        <f t="shared" si="11"/>
        <v>-512</v>
      </c>
      <c r="M11" s="56">
        <f t="shared" si="5"/>
        <v>0</v>
      </c>
    </row>
    <row r="12">
      <c r="A12" s="25">
        <f t="shared" si="3"/>
        <v>10</v>
      </c>
      <c r="B12" s="25">
        <v>456.0</v>
      </c>
      <c r="C12" s="124">
        <v>-576.0</v>
      </c>
      <c r="D12" s="25">
        <v>592.0</v>
      </c>
      <c r="E12" s="25">
        <v>-472.0</v>
      </c>
      <c r="G12" s="28">
        <f t="shared" si="1"/>
        <v>0</v>
      </c>
      <c r="I12" s="196">
        <f t="shared" ref="I12:L12" si="12">SUM(B12-B11)</f>
        <v>-12</v>
      </c>
      <c r="J12" s="196">
        <f t="shared" si="12"/>
        <v>12</v>
      </c>
      <c r="K12" s="196">
        <f t="shared" si="12"/>
        <v>12</v>
      </c>
      <c r="L12" s="196">
        <f t="shared" si="12"/>
        <v>-12</v>
      </c>
      <c r="M12" s="56">
        <f t="shared" si="5"/>
        <v>0</v>
      </c>
    </row>
    <row r="13">
      <c r="A13" s="25">
        <f t="shared" si="3"/>
        <v>11</v>
      </c>
      <c r="B13" s="25">
        <v>448.0</v>
      </c>
      <c r="C13" s="25">
        <v>-552.0</v>
      </c>
      <c r="D13" s="25">
        <v>584.0</v>
      </c>
      <c r="E13" s="25">
        <v>-480.0</v>
      </c>
      <c r="G13" s="28">
        <f t="shared" si="1"/>
        <v>0</v>
      </c>
      <c r="I13" s="196">
        <f t="shared" ref="I13:L13" si="13">SUM(B13-B12)</f>
        <v>-8</v>
      </c>
      <c r="J13" s="196">
        <f t="shared" si="13"/>
        <v>24</v>
      </c>
      <c r="K13" s="196">
        <f t="shared" si="13"/>
        <v>-8</v>
      </c>
      <c r="L13" s="196">
        <f t="shared" si="13"/>
        <v>-8</v>
      </c>
      <c r="M13" s="56">
        <f t="shared" si="5"/>
        <v>0</v>
      </c>
    </row>
    <row r="14">
      <c r="A14" s="25">
        <f t="shared" si="3"/>
        <v>12</v>
      </c>
      <c r="B14" s="25">
        <v>440.0</v>
      </c>
      <c r="C14" s="25">
        <v>-544.0</v>
      </c>
      <c r="D14" s="122">
        <v>566.0</v>
      </c>
      <c r="E14" s="25">
        <v>-462.0</v>
      </c>
      <c r="G14" s="28">
        <f t="shared" si="1"/>
        <v>0</v>
      </c>
      <c r="I14" s="196">
        <f t="shared" ref="I14:L14" si="14">SUM(B14-B13)</f>
        <v>-8</v>
      </c>
      <c r="J14" s="196">
        <f t="shared" si="14"/>
        <v>8</v>
      </c>
      <c r="K14" s="196">
        <f t="shared" si="14"/>
        <v>-18</v>
      </c>
      <c r="L14" s="196">
        <f t="shared" si="14"/>
        <v>18</v>
      </c>
      <c r="M14" s="56">
        <f t="shared" si="5"/>
        <v>0</v>
      </c>
    </row>
    <row r="15">
      <c r="A15" s="25">
        <f t="shared" si="3"/>
        <v>13</v>
      </c>
      <c r="B15" s="25">
        <v>444.0</v>
      </c>
      <c r="C15" s="25">
        <v>-540.0</v>
      </c>
      <c r="D15" s="122">
        <v>462.0</v>
      </c>
      <c r="E15" s="25">
        <v>-466.0</v>
      </c>
      <c r="G15" s="28">
        <f t="shared" si="1"/>
        <v>-100</v>
      </c>
      <c r="I15" s="196">
        <f t="shared" ref="I15:L15" si="15">SUM(B15-B14)</f>
        <v>4</v>
      </c>
      <c r="J15" s="196">
        <f t="shared" si="15"/>
        <v>4</v>
      </c>
      <c r="K15" s="196">
        <f t="shared" si="15"/>
        <v>-104</v>
      </c>
      <c r="L15" s="196">
        <f t="shared" si="15"/>
        <v>-4</v>
      </c>
      <c r="M15" s="56">
        <f t="shared" si="5"/>
        <v>-100</v>
      </c>
      <c r="N15" s="25" t="s">
        <v>281</v>
      </c>
    </row>
    <row r="16">
      <c r="A16" s="25">
        <f t="shared" si="3"/>
        <v>14</v>
      </c>
      <c r="B16" s="25">
        <v>424.0</v>
      </c>
      <c r="C16" s="25">
        <v>-560.0</v>
      </c>
      <c r="D16" s="25">
        <v>482.0</v>
      </c>
      <c r="E16" s="25">
        <v>-486.0</v>
      </c>
      <c r="G16" s="28">
        <f t="shared" si="1"/>
        <v>-140</v>
      </c>
      <c r="I16" s="196">
        <f t="shared" ref="I16:L16" si="16">SUM(B16-B15)</f>
        <v>-20</v>
      </c>
      <c r="J16" s="196">
        <f t="shared" si="16"/>
        <v>-20</v>
      </c>
      <c r="K16" s="196">
        <f t="shared" si="16"/>
        <v>20</v>
      </c>
      <c r="L16" s="196">
        <f t="shared" si="16"/>
        <v>-20</v>
      </c>
      <c r="M16" s="56">
        <f t="shared" si="5"/>
        <v>-40</v>
      </c>
      <c r="N16" s="25" t="s">
        <v>282</v>
      </c>
    </row>
    <row r="17">
      <c r="A17" s="25">
        <f t="shared" si="3"/>
        <v>15</v>
      </c>
      <c r="B17" s="25">
        <v>408.0</v>
      </c>
      <c r="C17" s="25">
        <v>-544.0</v>
      </c>
      <c r="D17" s="25">
        <v>476.0</v>
      </c>
      <c r="E17" s="25">
        <v>-480.0</v>
      </c>
      <c r="G17" s="28">
        <f t="shared" si="1"/>
        <v>-140</v>
      </c>
      <c r="I17" s="196">
        <f t="shared" ref="I17:L17" si="17">SUM(B17-B16)</f>
        <v>-16</v>
      </c>
      <c r="J17" s="196">
        <f t="shared" si="17"/>
        <v>16</v>
      </c>
      <c r="K17" s="196">
        <f t="shared" si="17"/>
        <v>-6</v>
      </c>
      <c r="L17" s="196">
        <f t="shared" si="17"/>
        <v>6</v>
      </c>
      <c r="M17" s="56">
        <f t="shared" si="5"/>
        <v>0</v>
      </c>
    </row>
    <row r="18">
      <c r="A18" s="25">
        <f t="shared" si="3"/>
        <v>16</v>
      </c>
      <c r="B18" s="25">
        <v>400.0</v>
      </c>
      <c r="C18" s="25">
        <v>-536.0</v>
      </c>
      <c r="D18" s="25">
        <v>458.0</v>
      </c>
      <c r="E18" s="25">
        <v>-472.0</v>
      </c>
      <c r="G18" s="28">
        <f t="shared" si="1"/>
        <v>-150</v>
      </c>
      <c r="I18" s="196">
        <f t="shared" ref="I18:L18" si="18">SUM(B18-B17)</f>
        <v>-8</v>
      </c>
      <c r="J18" s="196">
        <f t="shared" si="18"/>
        <v>8</v>
      </c>
      <c r="K18" s="196">
        <f t="shared" si="18"/>
        <v>-18</v>
      </c>
      <c r="L18" s="196">
        <f t="shared" si="18"/>
        <v>8</v>
      </c>
      <c r="M18" s="56">
        <f t="shared" si="5"/>
        <v>-10</v>
      </c>
    </row>
    <row r="19">
      <c r="A19" s="25">
        <f t="shared" si="3"/>
        <v>17</v>
      </c>
      <c r="B19" s="25">
        <v>416.0</v>
      </c>
      <c r="C19" s="25">
        <v>-520.0</v>
      </c>
      <c r="D19" s="25">
        <v>410.0</v>
      </c>
      <c r="E19" s="25">
        <v>-456.0</v>
      </c>
      <c r="G19" s="28">
        <f t="shared" si="1"/>
        <v>-150</v>
      </c>
      <c r="I19" s="196">
        <f t="shared" ref="I19:L19" si="19">SUM(B19-B18)</f>
        <v>16</v>
      </c>
      <c r="J19" s="196">
        <f t="shared" si="19"/>
        <v>16</v>
      </c>
      <c r="K19" s="196">
        <f t="shared" si="19"/>
        <v>-48</v>
      </c>
      <c r="L19" s="196">
        <f t="shared" si="19"/>
        <v>16</v>
      </c>
      <c r="M19" s="56">
        <f t="shared" si="5"/>
        <v>0</v>
      </c>
    </row>
    <row r="20">
      <c r="A20" s="25">
        <f t="shared" si="3"/>
        <v>18</v>
      </c>
      <c r="B20" s="25">
        <v>424.0</v>
      </c>
      <c r="C20" s="25">
        <v>-512.0</v>
      </c>
      <c r="D20" s="25">
        <v>386.0</v>
      </c>
      <c r="E20" s="25">
        <v>-448.0</v>
      </c>
      <c r="G20" s="28">
        <f t="shared" si="1"/>
        <v>-150</v>
      </c>
      <c r="I20" s="196">
        <f t="shared" ref="I20:L20" si="20">SUM(B20-B19)</f>
        <v>8</v>
      </c>
      <c r="J20" s="196">
        <f t="shared" si="20"/>
        <v>8</v>
      </c>
      <c r="K20" s="196">
        <f t="shared" si="20"/>
        <v>-24</v>
      </c>
      <c r="L20" s="196">
        <f t="shared" si="20"/>
        <v>8</v>
      </c>
      <c r="M20" s="56">
        <f t="shared" si="5"/>
        <v>0</v>
      </c>
    </row>
    <row r="21">
      <c r="A21" s="25">
        <f t="shared" si="3"/>
        <v>19</v>
      </c>
      <c r="B21" s="25">
        <v>432.0</v>
      </c>
      <c r="C21" s="25">
        <v>-536.0</v>
      </c>
      <c r="D21" s="25">
        <v>394.0</v>
      </c>
      <c r="E21" s="25">
        <v>-440.0</v>
      </c>
      <c r="G21" s="28">
        <f t="shared" si="1"/>
        <v>-150</v>
      </c>
      <c r="I21" s="196">
        <f t="shared" ref="I21:L21" si="21">SUM(B21-B20)</f>
        <v>8</v>
      </c>
      <c r="J21" s="196">
        <f t="shared" si="21"/>
        <v>-24</v>
      </c>
      <c r="K21" s="196">
        <f t="shared" si="21"/>
        <v>8</v>
      </c>
      <c r="L21" s="196">
        <f t="shared" si="21"/>
        <v>8</v>
      </c>
      <c r="M21" s="56">
        <f t="shared" si="5"/>
        <v>0</v>
      </c>
    </row>
    <row r="22">
      <c r="A22" s="25">
        <f t="shared" si="3"/>
        <v>20</v>
      </c>
      <c r="B22" s="25">
        <v>448.0</v>
      </c>
      <c r="C22" s="25">
        <v>-584.0</v>
      </c>
      <c r="D22" s="25">
        <v>410.0</v>
      </c>
      <c r="E22" s="25">
        <v>-424.0</v>
      </c>
      <c r="G22" s="28">
        <f t="shared" si="1"/>
        <v>-150</v>
      </c>
      <c r="I22" s="196">
        <f t="shared" ref="I22:L22" si="22">SUM(B22-B21)</f>
        <v>16</v>
      </c>
      <c r="J22" s="196">
        <f t="shared" si="22"/>
        <v>-48</v>
      </c>
      <c r="K22" s="196">
        <f t="shared" si="22"/>
        <v>16</v>
      </c>
      <c r="L22" s="196">
        <f t="shared" si="22"/>
        <v>16</v>
      </c>
      <c r="M22" s="56">
        <f t="shared" si="5"/>
        <v>0</v>
      </c>
    </row>
    <row r="23">
      <c r="A23" s="25">
        <f t="shared" si="3"/>
        <v>21</v>
      </c>
      <c r="B23" s="25">
        <v>496.0</v>
      </c>
      <c r="C23" s="25">
        <v>-536.0</v>
      </c>
      <c r="D23" s="25">
        <v>362.0</v>
      </c>
      <c r="E23" s="25">
        <v>-472.0</v>
      </c>
      <c r="G23" s="28">
        <f t="shared" si="1"/>
        <v>-150</v>
      </c>
      <c r="I23" s="196">
        <f t="shared" ref="I23:L23" si="23">SUM(B23-B22)</f>
        <v>48</v>
      </c>
      <c r="J23" s="196">
        <f t="shared" si="23"/>
        <v>48</v>
      </c>
      <c r="K23" s="196">
        <f t="shared" si="23"/>
        <v>-48</v>
      </c>
      <c r="L23" s="196">
        <f t="shared" si="23"/>
        <v>-48</v>
      </c>
      <c r="M23" s="56">
        <f t="shared" si="5"/>
        <v>0</v>
      </c>
    </row>
    <row r="24">
      <c r="A24" s="25">
        <f t="shared" si="3"/>
        <v>22</v>
      </c>
      <c r="B24" s="25">
        <v>544.0</v>
      </c>
      <c r="C24" s="25">
        <v>-584.0</v>
      </c>
      <c r="D24" s="25">
        <v>314.0</v>
      </c>
      <c r="E24" s="25">
        <v>-426.0</v>
      </c>
      <c r="G24" s="28">
        <f t="shared" si="1"/>
        <v>-152</v>
      </c>
      <c r="I24" s="196">
        <f t="shared" ref="I24:L24" si="24">SUM(B24-B23)</f>
        <v>48</v>
      </c>
      <c r="J24" s="196">
        <f t="shared" si="24"/>
        <v>-48</v>
      </c>
      <c r="K24" s="196">
        <f t="shared" si="24"/>
        <v>-48</v>
      </c>
      <c r="L24" s="196">
        <f t="shared" si="24"/>
        <v>46</v>
      </c>
      <c r="M24" s="56">
        <f t="shared" si="5"/>
        <v>-2</v>
      </c>
    </row>
    <row r="25">
      <c r="A25" s="25">
        <f t="shared" si="3"/>
        <v>23</v>
      </c>
      <c r="B25" s="25">
        <v>536.0</v>
      </c>
      <c r="C25" s="25">
        <v>-592.0</v>
      </c>
      <c r="D25" s="25">
        <v>336.0</v>
      </c>
      <c r="E25" s="25">
        <v>-434.0</v>
      </c>
      <c r="G25" s="28">
        <f t="shared" si="1"/>
        <v>-154</v>
      </c>
      <c r="I25" s="196">
        <f t="shared" ref="I25:L25" si="25">SUM(B25-B24)</f>
        <v>-8</v>
      </c>
      <c r="J25" s="196">
        <f t="shared" si="25"/>
        <v>-8</v>
      </c>
      <c r="K25" s="196">
        <f t="shared" si="25"/>
        <v>22</v>
      </c>
      <c r="L25" s="196">
        <f t="shared" si="25"/>
        <v>-8</v>
      </c>
      <c r="M25" s="56">
        <f t="shared" si="5"/>
        <v>-2</v>
      </c>
    </row>
    <row r="26">
      <c r="A26" s="25">
        <f t="shared" si="3"/>
        <v>24</v>
      </c>
      <c r="B26" s="25">
        <v>548.0</v>
      </c>
      <c r="C26" s="25">
        <v>-596.0</v>
      </c>
      <c r="D26" s="25">
        <v>332.0</v>
      </c>
      <c r="E26" s="25">
        <v>-438.0</v>
      </c>
      <c r="G26" s="28">
        <f t="shared" si="1"/>
        <v>-154</v>
      </c>
      <c r="I26" s="196">
        <f t="shared" ref="I26:L26" si="26">SUM(B26-B25)</f>
        <v>12</v>
      </c>
      <c r="J26" s="196">
        <f t="shared" si="26"/>
        <v>-4</v>
      </c>
      <c r="K26" s="196">
        <f t="shared" si="26"/>
        <v>-4</v>
      </c>
      <c r="L26" s="196">
        <f t="shared" si="26"/>
        <v>-4</v>
      </c>
      <c r="M26" s="56">
        <f t="shared" si="5"/>
        <v>0</v>
      </c>
    </row>
    <row r="27">
      <c r="A27" s="25">
        <f t="shared" si="3"/>
        <v>25</v>
      </c>
      <c r="B27" s="106">
        <v>560.0</v>
      </c>
      <c r="C27" s="106">
        <v>-584.0</v>
      </c>
      <c r="D27" s="106">
        <v>320.0</v>
      </c>
      <c r="E27" s="106">
        <v>-450.0</v>
      </c>
      <c r="F27" s="106" t="s">
        <v>283</v>
      </c>
      <c r="G27" s="28">
        <f t="shared" si="1"/>
        <v>-154</v>
      </c>
      <c r="I27" s="196">
        <f t="shared" ref="I27:L27" si="27">SUM(B27-B26)</f>
        <v>12</v>
      </c>
      <c r="J27" s="196">
        <f t="shared" si="27"/>
        <v>12</v>
      </c>
      <c r="K27" s="196">
        <f t="shared" si="27"/>
        <v>-12</v>
      </c>
      <c r="L27" s="196">
        <f t="shared" si="27"/>
        <v>-12</v>
      </c>
      <c r="M27" s="56">
        <f t="shared" si="5"/>
        <v>0</v>
      </c>
    </row>
    <row r="28">
      <c r="A28" s="25">
        <f t="shared" si="3"/>
        <v>26</v>
      </c>
      <c r="B28" s="25">
        <v>554.0</v>
      </c>
      <c r="C28" s="25">
        <v>-590.0</v>
      </c>
      <c r="D28" s="25">
        <v>326.0</v>
      </c>
      <c r="E28" s="25">
        <v>-444.0</v>
      </c>
      <c r="G28" s="28">
        <f t="shared" si="1"/>
        <v>-154</v>
      </c>
      <c r="I28" s="196">
        <f t="shared" ref="I28:L28" si="28">SUM(B28-B27)</f>
        <v>-6</v>
      </c>
      <c r="J28" s="196">
        <f t="shared" si="28"/>
        <v>-6</v>
      </c>
      <c r="K28" s="196">
        <f t="shared" si="28"/>
        <v>6</v>
      </c>
      <c r="L28" s="196">
        <f t="shared" si="28"/>
        <v>6</v>
      </c>
      <c r="M28" s="56">
        <f t="shared" si="5"/>
        <v>0</v>
      </c>
    </row>
    <row r="29">
      <c r="A29" s="25">
        <f t="shared" si="3"/>
        <v>27</v>
      </c>
      <c r="B29" s="25">
        <v>550.0</v>
      </c>
      <c r="C29" s="25">
        <v>-586.0</v>
      </c>
      <c r="D29" s="25">
        <v>330.0</v>
      </c>
      <c r="E29" s="25">
        <v>-448.0</v>
      </c>
      <c r="G29" s="28">
        <f t="shared" si="1"/>
        <v>-154</v>
      </c>
      <c r="I29" s="196">
        <f t="shared" ref="I29:L29" si="29">SUM(B29-B28)</f>
        <v>-4</v>
      </c>
      <c r="J29" s="196">
        <f t="shared" si="29"/>
        <v>4</v>
      </c>
      <c r="K29" s="196">
        <f t="shared" si="29"/>
        <v>4</v>
      </c>
      <c r="L29" s="196">
        <f t="shared" si="29"/>
        <v>-4</v>
      </c>
      <c r="M29" s="56">
        <f t="shared" si="5"/>
        <v>0</v>
      </c>
    </row>
    <row r="30">
      <c r="A30" s="25">
        <f t="shared" si="3"/>
        <v>28</v>
      </c>
      <c r="B30" s="25">
        <v>558.0</v>
      </c>
      <c r="C30" s="25">
        <v>-582.0</v>
      </c>
      <c r="D30" s="25">
        <v>332.0</v>
      </c>
      <c r="E30" s="25">
        <v>-440.0</v>
      </c>
      <c r="G30" s="28">
        <f t="shared" si="1"/>
        <v>-132</v>
      </c>
      <c r="I30" s="196">
        <f t="shared" ref="I30:L30" si="30">SUM(B30-B29)</f>
        <v>8</v>
      </c>
      <c r="J30" s="196">
        <f t="shared" si="30"/>
        <v>4</v>
      </c>
      <c r="K30" s="196">
        <f t="shared" si="30"/>
        <v>2</v>
      </c>
      <c r="L30" s="196">
        <f t="shared" si="30"/>
        <v>8</v>
      </c>
      <c r="M30" s="56">
        <f t="shared" si="5"/>
        <v>22</v>
      </c>
    </row>
    <row r="31">
      <c r="A31" s="25">
        <f t="shared" si="3"/>
        <v>29</v>
      </c>
      <c r="B31" s="25">
        <v>590.0</v>
      </c>
      <c r="C31" s="25">
        <v>-678.0</v>
      </c>
      <c r="D31" s="25">
        <v>364.0</v>
      </c>
      <c r="E31" s="25">
        <v>-408.0</v>
      </c>
      <c r="G31" s="28">
        <f t="shared" si="1"/>
        <v>-132</v>
      </c>
      <c r="I31" s="196">
        <f t="shared" ref="I31:L31" si="31">SUM(B31-B30)</f>
        <v>32</v>
      </c>
      <c r="J31" s="196">
        <f t="shared" si="31"/>
        <v>-96</v>
      </c>
      <c r="K31" s="196">
        <f t="shared" si="31"/>
        <v>32</v>
      </c>
      <c r="L31" s="196">
        <f t="shared" si="31"/>
        <v>32</v>
      </c>
      <c r="M31" s="56">
        <f t="shared" si="5"/>
        <v>0</v>
      </c>
    </row>
    <row r="32">
      <c r="A32" s="25">
        <f t="shared" si="3"/>
        <v>30</v>
      </c>
      <c r="B32" s="25">
        <v>598.0</v>
      </c>
      <c r="C32" s="25">
        <v>-670.0</v>
      </c>
      <c r="D32" s="25">
        <v>356.0</v>
      </c>
      <c r="E32" s="25">
        <v>-416.0</v>
      </c>
      <c r="G32" s="28">
        <f t="shared" si="1"/>
        <v>-132</v>
      </c>
      <c r="I32" s="196">
        <f t="shared" ref="I32:L32" si="32">SUM(B32-B31)</f>
        <v>8</v>
      </c>
      <c r="J32" s="196">
        <f t="shared" si="32"/>
        <v>8</v>
      </c>
      <c r="K32" s="196">
        <f t="shared" si="32"/>
        <v>-8</v>
      </c>
      <c r="L32" s="196">
        <f t="shared" si="32"/>
        <v>-8</v>
      </c>
      <c r="M32" s="56">
        <f t="shared" si="5"/>
        <v>0</v>
      </c>
    </row>
    <row r="33">
      <c r="A33" s="25">
        <f t="shared" si="3"/>
        <v>31</v>
      </c>
      <c r="B33" s="25">
        <v>574.0</v>
      </c>
      <c r="C33" s="25">
        <v>-694.0</v>
      </c>
      <c r="D33" s="25">
        <v>380.0</v>
      </c>
      <c r="E33" s="25">
        <v>-396.0</v>
      </c>
      <c r="G33" s="28">
        <f t="shared" si="1"/>
        <v>-136</v>
      </c>
      <c r="I33" s="196">
        <f t="shared" ref="I33:L33" si="33">SUM(B33-B32)</f>
        <v>-24</v>
      </c>
      <c r="J33" s="196">
        <f t="shared" si="33"/>
        <v>-24</v>
      </c>
      <c r="K33" s="196">
        <f t="shared" si="33"/>
        <v>24</v>
      </c>
      <c r="L33" s="196">
        <f t="shared" si="33"/>
        <v>20</v>
      </c>
      <c r="M33" s="56">
        <f t="shared" si="5"/>
        <v>-4</v>
      </c>
    </row>
    <row r="34">
      <c r="A34" s="25">
        <f t="shared" si="3"/>
        <v>32</v>
      </c>
      <c r="B34" s="25">
        <v>590.0</v>
      </c>
      <c r="C34" s="25">
        <v>-678.0</v>
      </c>
      <c r="D34" s="25">
        <v>396.0</v>
      </c>
      <c r="E34" s="25">
        <v>-380.0</v>
      </c>
      <c r="G34" s="28">
        <f t="shared" si="1"/>
        <v>-72</v>
      </c>
      <c r="I34" s="196">
        <f t="shared" ref="I34:L34" si="34">SUM(B34-B33)</f>
        <v>16</v>
      </c>
      <c r="J34" s="196">
        <f t="shared" si="34"/>
        <v>16</v>
      </c>
      <c r="K34" s="196">
        <f t="shared" si="34"/>
        <v>16</v>
      </c>
      <c r="L34" s="196">
        <f t="shared" si="34"/>
        <v>16</v>
      </c>
      <c r="M34" s="56">
        <f t="shared" si="5"/>
        <v>64</v>
      </c>
    </row>
    <row r="35">
      <c r="A35" s="25">
        <f t="shared" si="3"/>
        <v>33</v>
      </c>
      <c r="B35" s="25">
        <v>606.0</v>
      </c>
      <c r="C35" s="25">
        <v>-726.0</v>
      </c>
      <c r="D35" s="25">
        <v>412.0</v>
      </c>
      <c r="E35" s="25">
        <v>-364.0</v>
      </c>
      <c r="G35" s="28">
        <f t="shared" si="1"/>
        <v>-72</v>
      </c>
      <c r="I35" s="196">
        <f t="shared" ref="I35:L35" si="35">SUM(B35-B34)</f>
        <v>16</v>
      </c>
      <c r="J35" s="196">
        <f t="shared" si="35"/>
        <v>-48</v>
      </c>
      <c r="K35" s="196">
        <f t="shared" si="35"/>
        <v>16</v>
      </c>
      <c r="L35" s="196">
        <f t="shared" si="35"/>
        <v>16</v>
      </c>
      <c r="M35" s="56">
        <f t="shared" si="5"/>
        <v>0</v>
      </c>
    </row>
    <row r="36">
      <c r="A36" s="25">
        <f t="shared" si="3"/>
        <v>34</v>
      </c>
      <c r="B36" s="25">
        <v>622.0</v>
      </c>
      <c r="C36" s="25">
        <v>-742.0</v>
      </c>
      <c r="D36" s="25">
        <v>396.0</v>
      </c>
      <c r="E36" s="25">
        <v>-348.0</v>
      </c>
      <c r="G36" s="28">
        <f t="shared" si="1"/>
        <v>-72</v>
      </c>
      <c r="I36" s="196">
        <f t="shared" ref="I36:L36" si="36">SUM(B36-B35)</f>
        <v>16</v>
      </c>
      <c r="J36" s="196">
        <f t="shared" si="36"/>
        <v>-16</v>
      </c>
      <c r="K36" s="196">
        <f t="shared" si="36"/>
        <v>-16</v>
      </c>
      <c r="L36" s="196">
        <f t="shared" si="36"/>
        <v>16</v>
      </c>
      <c r="M36" s="56">
        <f t="shared" si="5"/>
        <v>0</v>
      </c>
    </row>
    <row r="37">
      <c r="A37" s="25">
        <f t="shared" si="3"/>
        <v>35</v>
      </c>
      <c r="B37" s="25">
        <v>614.0</v>
      </c>
      <c r="C37" s="25">
        <v>-736.0</v>
      </c>
      <c r="D37" s="25">
        <v>404.0</v>
      </c>
      <c r="E37" s="25">
        <v>-356.0</v>
      </c>
      <c r="G37" s="28">
        <f t="shared" si="1"/>
        <v>-74</v>
      </c>
      <c r="I37" s="196">
        <f t="shared" ref="I37:L37" si="37">SUM(B37-B36)</f>
        <v>-8</v>
      </c>
      <c r="J37" s="196">
        <f t="shared" si="37"/>
        <v>6</v>
      </c>
      <c r="K37" s="196">
        <f t="shared" si="37"/>
        <v>8</v>
      </c>
      <c r="L37" s="196">
        <f t="shared" si="37"/>
        <v>-8</v>
      </c>
      <c r="M37" s="56">
        <f t="shared" si="5"/>
        <v>-2</v>
      </c>
    </row>
    <row r="38">
      <c r="A38" s="25">
        <f t="shared" si="3"/>
        <v>36</v>
      </c>
      <c r="B38" s="25">
        <v>622.0</v>
      </c>
      <c r="C38" s="25">
        <v>-728.0</v>
      </c>
      <c r="D38" s="25">
        <v>372.0</v>
      </c>
      <c r="E38" s="25">
        <v>-348.0</v>
      </c>
      <c r="G38" s="28">
        <f t="shared" si="1"/>
        <v>-82</v>
      </c>
      <c r="I38" s="196">
        <f t="shared" ref="I38:L38" si="38">SUM(B38-B37)</f>
        <v>8</v>
      </c>
      <c r="J38" s="196">
        <f t="shared" si="38"/>
        <v>8</v>
      </c>
      <c r="K38" s="196">
        <f t="shared" si="38"/>
        <v>-32</v>
      </c>
      <c r="L38" s="196">
        <f t="shared" si="38"/>
        <v>8</v>
      </c>
      <c r="M38" s="56">
        <f t="shared" si="5"/>
        <v>-8</v>
      </c>
    </row>
    <row r="39">
      <c r="A39" s="25">
        <f t="shared" si="3"/>
        <v>37</v>
      </c>
      <c r="B39" s="25">
        <v>630.0</v>
      </c>
      <c r="C39" s="25">
        <v>-720.0</v>
      </c>
      <c r="D39" s="25">
        <v>348.0</v>
      </c>
      <c r="E39" s="25">
        <v>-340.0</v>
      </c>
      <c r="G39" s="28">
        <f t="shared" si="1"/>
        <v>-82</v>
      </c>
      <c r="I39" s="196">
        <f t="shared" ref="I39:L39" si="39">SUM(B39-B38)</f>
        <v>8</v>
      </c>
      <c r="J39" s="196">
        <f t="shared" si="39"/>
        <v>8</v>
      </c>
      <c r="K39" s="196">
        <f t="shared" si="39"/>
        <v>-24</v>
      </c>
      <c r="L39" s="196">
        <f t="shared" si="39"/>
        <v>8</v>
      </c>
      <c r="M39" s="56">
        <f t="shared" si="5"/>
        <v>0</v>
      </c>
    </row>
    <row r="40">
      <c r="A40" s="25">
        <f t="shared" si="3"/>
        <v>38</v>
      </c>
      <c r="B40" s="25">
        <v>638.0</v>
      </c>
      <c r="C40" s="25">
        <v>-744.0</v>
      </c>
      <c r="D40" s="25">
        <v>356.0</v>
      </c>
      <c r="E40" s="25">
        <v>-332.0</v>
      </c>
      <c r="G40" s="28">
        <f t="shared" si="1"/>
        <v>-82</v>
      </c>
      <c r="I40" s="196">
        <f t="shared" ref="I40:L40" si="40">SUM(B40-B39)</f>
        <v>8</v>
      </c>
      <c r="J40" s="196">
        <f t="shared" si="40"/>
        <v>-24</v>
      </c>
      <c r="K40" s="196">
        <f t="shared" si="40"/>
        <v>8</v>
      </c>
      <c r="L40" s="196">
        <f t="shared" si="40"/>
        <v>8</v>
      </c>
      <c r="M40" s="56">
        <f t="shared" si="5"/>
        <v>0</v>
      </c>
    </row>
    <row r="41">
      <c r="A41" s="25">
        <f t="shared" si="3"/>
        <v>39</v>
      </c>
      <c r="B41" s="25">
        <v>614.0</v>
      </c>
      <c r="C41" s="25">
        <v>-736.0</v>
      </c>
      <c r="D41" s="25">
        <v>364.0</v>
      </c>
      <c r="E41" s="25">
        <v>-326.0</v>
      </c>
      <c r="G41" s="28">
        <f t="shared" si="1"/>
        <v>-84</v>
      </c>
      <c r="I41" s="196">
        <f t="shared" ref="I41:L41" si="41">SUM(B41-B40)</f>
        <v>-24</v>
      </c>
      <c r="J41" s="196">
        <f t="shared" si="41"/>
        <v>8</v>
      </c>
      <c r="K41" s="196">
        <f t="shared" si="41"/>
        <v>8</v>
      </c>
      <c r="L41" s="196">
        <f t="shared" si="41"/>
        <v>6</v>
      </c>
      <c r="M41" s="56">
        <f t="shared" si="5"/>
        <v>-2</v>
      </c>
    </row>
    <row r="42">
      <c r="A42" s="25">
        <f t="shared" si="3"/>
        <v>40</v>
      </c>
      <c r="B42" s="25">
        <v>582.0</v>
      </c>
      <c r="C42" s="25">
        <v>-788.0</v>
      </c>
      <c r="D42" s="25">
        <v>396.0</v>
      </c>
      <c r="E42" s="25">
        <v>-294.0</v>
      </c>
      <c r="G42" s="28">
        <f t="shared" si="1"/>
        <v>-104</v>
      </c>
      <c r="I42" s="196">
        <f t="shared" ref="I42:L42" si="42">SUM(B42-B41)</f>
        <v>-32</v>
      </c>
      <c r="J42" s="196">
        <f t="shared" si="42"/>
        <v>-52</v>
      </c>
      <c r="K42" s="196">
        <f t="shared" si="42"/>
        <v>32</v>
      </c>
      <c r="L42" s="196">
        <f t="shared" si="42"/>
        <v>32</v>
      </c>
      <c r="M42" s="56">
        <f t="shared" si="5"/>
        <v>-20</v>
      </c>
    </row>
    <row r="43">
      <c r="A43" s="25">
        <f t="shared" si="3"/>
        <v>41</v>
      </c>
      <c r="B43" s="25">
        <v>590.0</v>
      </c>
      <c r="C43" s="25">
        <v>-780.0</v>
      </c>
      <c r="D43" s="25">
        <v>388.0</v>
      </c>
      <c r="E43" s="25">
        <v>-302.0</v>
      </c>
      <c r="G43" s="28">
        <f t="shared" si="1"/>
        <v>-104</v>
      </c>
      <c r="I43" s="196">
        <f t="shared" ref="I43:L43" si="43">SUM(B43-B42)</f>
        <v>8</v>
      </c>
      <c r="J43" s="196">
        <f t="shared" si="43"/>
        <v>8</v>
      </c>
      <c r="K43" s="196">
        <f t="shared" si="43"/>
        <v>-8</v>
      </c>
      <c r="L43" s="196">
        <f t="shared" si="43"/>
        <v>-8</v>
      </c>
      <c r="M43" s="56">
        <f t="shared" si="5"/>
        <v>0</v>
      </c>
    </row>
    <row r="44">
      <c r="A44" s="25">
        <f t="shared" si="3"/>
        <v>42</v>
      </c>
      <c r="B44" s="25">
        <v>602.0</v>
      </c>
      <c r="C44" s="25">
        <v>-816.0</v>
      </c>
      <c r="D44" s="25">
        <v>400.0</v>
      </c>
      <c r="E44" s="25">
        <v>-290.0</v>
      </c>
      <c r="G44" s="28">
        <f t="shared" si="1"/>
        <v>-104</v>
      </c>
      <c r="I44" s="196">
        <f t="shared" ref="I44:L44" si="44">SUM(B44-B43)</f>
        <v>12</v>
      </c>
      <c r="J44" s="196">
        <f t="shared" si="44"/>
        <v>-36</v>
      </c>
      <c r="K44" s="196">
        <f t="shared" si="44"/>
        <v>12</v>
      </c>
      <c r="L44" s="196">
        <f t="shared" si="44"/>
        <v>12</v>
      </c>
      <c r="M44" s="56">
        <f t="shared" si="5"/>
        <v>0</v>
      </c>
    </row>
    <row r="45">
      <c r="A45" s="25">
        <f t="shared" si="3"/>
        <v>43</v>
      </c>
      <c r="B45" s="25">
        <v>610.0</v>
      </c>
      <c r="C45" s="25">
        <v>-808.0</v>
      </c>
      <c r="D45" s="25">
        <v>408.0</v>
      </c>
      <c r="E45" s="25">
        <v>-314.0</v>
      </c>
      <c r="G45" s="28">
        <f t="shared" si="1"/>
        <v>-104</v>
      </c>
      <c r="I45" s="196">
        <f t="shared" ref="I45:L45" si="45">SUM(B45-B44)</f>
        <v>8</v>
      </c>
      <c r="J45" s="196">
        <f t="shared" si="45"/>
        <v>8</v>
      </c>
      <c r="K45" s="196">
        <f t="shared" si="45"/>
        <v>8</v>
      </c>
      <c r="L45" s="196">
        <f t="shared" si="45"/>
        <v>-24</v>
      </c>
      <c r="M45" s="56">
        <f t="shared" si="5"/>
        <v>0</v>
      </c>
    </row>
    <row r="46">
      <c r="A46" s="25">
        <f t="shared" si="3"/>
        <v>44</v>
      </c>
      <c r="B46" s="25">
        <v>544.0</v>
      </c>
      <c r="C46" s="25">
        <v>-872.0</v>
      </c>
      <c r="D46" s="25">
        <v>472.0</v>
      </c>
      <c r="E46" s="25">
        <v>-250.0</v>
      </c>
      <c r="G46" s="28">
        <f t="shared" si="1"/>
        <v>-106</v>
      </c>
      <c r="I46" s="196">
        <f t="shared" ref="I46:L46" si="46">SUM(B46-B45)</f>
        <v>-66</v>
      </c>
      <c r="J46" s="196">
        <f t="shared" si="46"/>
        <v>-64</v>
      </c>
      <c r="K46" s="196">
        <f t="shared" si="46"/>
        <v>64</v>
      </c>
      <c r="L46" s="196">
        <f t="shared" si="46"/>
        <v>64</v>
      </c>
      <c r="M46" s="56">
        <f t="shared" si="5"/>
        <v>-2</v>
      </c>
    </row>
    <row r="47">
      <c r="A47" s="25">
        <f t="shared" si="3"/>
        <v>45</v>
      </c>
      <c r="B47" s="25">
        <v>548.0</v>
      </c>
      <c r="C47" s="25">
        <v>-876.0</v>
      </c>
      <c r="D47" s="25">
        <v>468.0</v>
      </c>
      <c r="E47" s="25">
        <v>-254.0</v>
      </c>
      <c r="G47" s="28">
        <f t="shared" si="1"/>
        <v>-114</v>
      </c>
      <c r="I47" s="196">
        <f t="shared" ref="I47:L47" si="47">SUM(B47-B46)</f>
        <v>4</v>
      </c>
      <c r="J47" s="196">
        <f t="shared" si="47"/>
        <v>-4</v>
      </c>
      <c r="K47" s="196">
        <f t="shared" si="47"/>
        <v>-4</v>
      </c>
      <c r="L47" s="196">
        <f t="shared" si="47"/>
        <v>-4</v>
      </c>
      <c r="M47" s="56">
        <f t="shared" si="5"/>
        <v>-8</v>
      </c>
    </row>
    <row r="48">
      <c r="A48" s="25">
        <f t="shared" si="3"/>
        <v>46</v>
      </c>
      <c r="B48" s="25">
        <v>544.0</v>
      </c>
      <c r="C48" s="25">
        <v>-872.0</v>
      </c>
      <c r="D48" s="25">
        <v>472.0</v>
      </c>
      <c r="E48" s="25">
        <v>-258.0</v>
      </c>
      <c r="G48" s="28">
        <f t="shared" si="1"/>
        <v>-114</v>
      </c>
      <c r="I48" s="196">
        <f t="shared" ref="I48:L48" si="48">SUM(B48-B47)</f>
        <v>-4</v>
      </c>
      <c r="J48" s="196">
        <f t="shared" si="48"/>
        <v>4</v>
      </c>
      <c r="K48" s="196">
        <f t="shared" si="48"/>
        <v>4</v>
      </c>
      <c r="L48" s="196">
        <f t="shared" si="48"/>
        <v>-4</v>
      </c>
      <c r="M48" s="56">
        <f t="shared" si="5"/>
        <v>0</v>
      </c>
    </row>
    <row r="49">
      <c r="I49" s="196"/>
      <c r="J49" s="196"/>
      <c r="K49" s="196"/>
      <c r="L49" s="196"/>
      <c r="M49" s="56"/>
    </row>
    <row r="50">
      <c r="I50" s="196"/>
      <c r="J50" s="196"/>
      <c r="K50" s="196"/>
      <c r="L50" s="196"/>
      <c r="M50" s="56"/>
    </row>
    <row r="51">
      <c r="I51" s="196"/>
      <c r="J51" s="196"/>
      <c r="K51" s="196"/>
      <c r="L51" s="196"/>
      <c r="M51" s="5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5"/>
    <col customWidth="1" min="2" max="5" width="7.88"/>
    <col customWidth="1" min="6" max="6" width="8.0"/>
    <col customWidth="1" min="7" max="7" width="15.75"/>
    <col customWidth="1" min="8" max="8" width="10.13"/>
    <col customWidth="1" min="9" max="9" width="14.88"/>
    <col customWidth="1" min="10" max="10" width="2.63"/>
    <col customWidth="1" min="11" max="14" width="7.63"/>
    <col customWidth="1" min="16" max="16" width="3.5"/>
    <col customWidth="1" min="23" max="23" width="2.63"/>
  </cols>
  <sheetData>
    <row r="1">
      <c r="A1" s="40">
        <f>'00_Regnskab_01'!A5</f>
        <v>3</v>
      </c>
      <c r="B1" s="193">
        <f>'00_Regnskab_01'!C5</f>
        <v>42791</v>
      </c>
      <c r="C1" s="42"/>
      <c r="D1" s="42" t="str">
        <f>'00_Regnskab_01'!L5</f>
        <v>Måske 25/2/2017 hos Peter (Lundtoftevej 208)</v>
      </c>
      <c r="E1" s="42"/>
      <c r="F1" s="42"/>
      <c r="G1" s="42"/>
      <c r="H1" s="42"/>
      <c r="I1" s="42"/>
      <c r="J1" s="44"/>
      <c r="K1" s="42"/>
      <c r="L1" s="42"/>
      <c r="M1" s="42"/>
      <c r="N1" s="42"/>
      <c r="O1" s="42"/>
      <c r="P1" s="44"/>
      <c r="Q1" s="42"/>
      <c r="R1" s="42"/>
      <c r="S1" s="42"/>
      <c r="T1" s="32"/>
      <c r="U1" s="32"/>
      <c r="V1" s="32"/>
      <c r="W1" s="56"/>
    </row>
    <row r="2">
      <c r="A2" s="25"/>
      <c r="B2" s="25"/>
      <c r="C2" s="25"/>
      <c r="D2" s="25"/>
      <c r="E2" s="25"/>
      <c r="F2" s="25"/>
      <c r="G2" s="25"/>
      <c r="H2" s="25"/>
      <c r="I2" s="25"/>
      <c r="J2" s="56"/>
      <c r="K2" s="25"/>
      <c r="L2" s="25"/>
      <c r="M2" s="25"/>
      <c r="N2" s="25"/>
      <c r="O2" s="25"/>
      <c r="P2" s="46"/>
      <c r="Q2" s="25" t="s">
        <v>64</v>
      </c>
      <c r="W2" s="56"/>
    </row>
    <row r="3">
      <c r="A3" s="25" t="s">
        <v>78</v>
      </c>
      <c r="B3" s="25" t="s">
        <v>7</v>
      </c>
      <c r="C3" s="25" t="s">
        <v>8</v>
      </c>
      <c r="D3" s="25" t="s">
        <v>9</v>
      </c>
      <c r="E3" s="25" t="s">
        <v>10</v>
      </c>
      <c r="F3" s="25" t="s">
        <v>278</v>
      </c>
      <c r="G3" s="25" t="s">
        <v>64</v>
      </c>
      <c r="H3" s="25" t="s">
        <v>82</v>
      </c>
      <c r="I3" s="25" t="s">
        <v>83</v>
      </c>
      <c r="J3" s="56"/>
      <c r="K3" s="28" t="str">
        <f t="shared" ref="K3:N3" si="1">B3</f>
        <v>Thomas</v>
      </c>
      <c r="L3" s="28" t="str">
        <f t="shared" si="1"/>
        <v>Peter</v>
      </c>
      <c r="M3" s="28" t="str">
        <f t="shared" si="1"/>
        <v>Janus</v>
      </c>
      <c r="N3" s="28" t="str">
        <f t="shared" si="1"/>
        <v>Christian</v>
      </c>
      <c r="O3" s="25"/>
      <c r="P3" s="46"/>
      <c r="Q3" s="25" t="s">
        <v>84</v>
      </c>
      <c r="R3" s="25" t="s">
        <v>85</v>
      </c>
      <c r="S3" s="25" t="s">
        <v>86</v>
      </c>
      <c r="T3" s="25" t="s">
        <v>87</v>
      </c>
      <c r="U3" s="25" t="s">
        <v>88</v>
      </c>
      <c r="V3" s="25" t="s">
        <v>89</v>
      </c>
      <c r="W3" s="46"/>
    </row>
    <row r="4">
      <c r="A4" s="25">
        <v>1.0</v>
      </c>
      <c r="B4" s="25">
        <v>64.0</v>
      </c>
      <c r="C4" s="25">
        <v>64.0</v>
      </c>
      <c r="D4" s="25">
        <v>-64.0</v>
      </c>
      <c r="E4" s="25">
        <v>-64.0</v>
      </c>
      <c r="F4" s="28">
        <f t="shared" ref="F4:F38" si="3">SUM(B4:E4)</f>
        <v>0</v>
      </c>
      <c r="J4" s="56"/>
      <c r="K4" s="28">
        <f t="shared" ref="K4:N4" si="2">B4</f>
        <v>64</v>
      </c>
      <c r="L4" s="28">
        <f t="shared" si="2"/>
        <v>64</v>
      </c>
      <c r="M4" s="28">
        <f t="shared" si="2"/>
        <v>-64</v>
      </c>
      <c r="N4" s="28">
        <f t="shared" si="2"/>
        <v>-64</v>
      </c>
      <c r="P4" s="56"/>
      <c r="W4" s="56"/>
    </row>
    <row r="5">
      <c r="A5" s="25">
        <f t="shared" ref="A5:A38" si="5">A4+1</f>
        <v>2</v>
      </c>
      <c r="B5" s="25">
        <v>56.0</v>
      </c>
      <c r="C5" s="25">
        <v>72.0</v>
      </c>
      <c r="D5" s="25">
        <v>-56.0</v>
      </c>
      <c r="E5" s="25">
        <v>-72.0</v>
      </c>
      <c r="F5" s="28">
        <f t="shared" si="3"/>
        <v>0</v>
      </c>
      <c r="J5" s="56"/>
      <c r="K5" s="28">
        <f t="shared" ref="K5:N5" si="4">B5-B4</f>
        <v>-8</v>
      </c>
      <c r="L5" s="28">
        <f t="shared" si="4"/>
        <v>8</v>
      </c>
      <c r="M5" s="28">
        <f t="shared" si="4"/>
        <v>8</v>
      </c>
      <c r="N5" s="28">
        <f t="shared" si="4"/>
        <v>-8</v>
      </c>
      <c r="P5" s="56"/>
      <c r="W5" s="56"/>
    </row>
    <row r="6">
      <c r="A6" s="25">
        <f t="shared" si="5"/>
        <v>3</v>
      </c>
      <c r="B6" s="25">
        <v>64.0</v>
      </c>
      <c r="C6" s="25">
        <v>64.0</v>
      </c>
      <c r="D6" s="25">
        <v>-48.0</v>
      </c>
      <c r="E6" s="25">
        <v>-80.0</v>
      </c>
      <c r="F6" s="28">
        <f t="shared" si="3"/>
        <v>0</v>
      </c>
      <c r="J6" s="56"/>
      <c r="K6" s="28">
        <f t="shared" ref="K6:N6" si="6">B6-B5</f>
        <v>8</v>
      </c>
      <c r="L6" s="28">
        <f t="shared" si="6"/>
        <v>-8</v>
      </c>
      <c r="M6" s="28">
        <f t="shared" si="6"/>
        <v>8</v>
      </c>
      <c r="N6" s="28">
        <f t="shared" si="6"/>
        <v>-8</v>
      </c>
      <c r="P6" s="56"/>
      <c r="W6" s="56"/>
    </row>
    <row r="7">
      <c r="A7" s="25">
        <f t="shared" si="5"/>
        <v>4</v>
      </c>
      <c r="B7" s="25">
        <v>92.0</v>
      </c>
      <c r="C7" s="25">
        <v>92.0</v>
      </c>
      <c r="D7" s="25">
        <v>-20.0</v>
      </c>
      <c r="E7" s="25">
        <v>-164.0</v>
      </c>
      <c r="F7" s="28">
        <f t="shared" si="3"/>
        <v>0</v>
      </c>
      <c r="J7" s="56"/>
      <c r="K7" s="28">
        <f t="shared" ref="K7:N7" si="7">B7-B6</f>
        <v>28</v>
      </c>
      <c r="L7" s="28">
        <f t="shared" si="7"/>
        <v>28</v>
      </c>
      <c r="M7" s="28">
        <f t="shared" si="7"/>
        <v>28</v>
      </c>
      <c r="N7" s="28">
        <f t="shared" si="7"/>
        <v>-84</v>
      </c>
      <c r="P7" s="56"/>
      <c r="W7" s="56"/>
    </row>
    <row r="8">
      <c r="A8" s="25">
        <f t="shared" si="5"/>
        <v>5</v>
      </c>
      <c r="B8" s="25">
        <v>86.0</v>
      </c>
      <c r="C8" s="25">
        <v>116.0</v>
      </c>
      <c r="D8" s="25">
        <v>-28.0</v>
      </c>
      <c r="E8" s="25">
        <v>-174.0</v>
      </c>
      <c r="F8" s="28">
        <f t="shared" si="3"/>
        <v>0</v>
      </c>
      <c r="J8" s="56"/>
      <c r="K8" s="179">
        <f t="shared" ref="K8:N8" si="8">B8-B7</f>
        <v>-6</v>
      </c>
      <c r="L8" s="179">
        <f t="shared" si="8"/>
        <v>24</v>
      </c>
      <c r="M8" s="179">
        <f t="shared" si="8"/>
        <v>-8</v>
      </c>
      <c r="N8" s="179">
        <f t="shared" si="8"/>
        <v>-10</v>
      </c>
      <c r="P8" s="56"/>
      <c r="W8" s="56"/>
    </row>
    <row r="9">
      <c r="A9" s="25">
        <f t="shared" si="5"/>
        <v>6</v>
      </c>
      <c r="B9" s="25">
        <v>70.0</v>
      </c>
      <c r="C9" s="25">
        <v>164.0</v>
      </c>
      <c r="D9" s="25">
        <v>-44.0</v>
      </c>
      <c r="E9" s="25">
        <v>-190.0</v>
      </c>
      <c r="F9" s="28">
        <f t="shared" si="3"/>
        <v>0</v>
      </c>
      <c r="J9" s="56"/>
      <c r="K9" s="28">
        <f t="shared" ref="K9:N9" si="9">B9-B8</f>
        <v>-16</v>
      </c>
      <c r="L9" s="28">
        <f t="shared" si="9"/>
        <v>48</v>
      </c>
      <c r="M9" s="28">
        <f t="shared" si="9"/>
        <v>-16</v>
      </c>
      <c r="N9" s="28">
        <f t="shared" si="9"/>
        <v>-16</v>
      </c>
      <c r="P9" s="56"/>
      <c r="W9" s="56"/>
    </row>
    <row r="10">
      <c r="A10" s="25">
        <f t="shared" si="5"/>
        <v>7</v>
      </c>
      <c r="B10" s="25">
        <v>94.0</v>
      </c>
      <c r="C10" s="25">
        <v>180.0</v>
      </c>
      <c r="D10" s="25">
        <v>-28.0</v>
      </c>
      <c r="E10" s="25">
        <v>-206.0</v>
      </c>
      <c r="F10" s="28">
        <f t="shared" si="3"/>
        <v>40</v>
      </c>
      <c r="J10" s="56"/>
      <c r="K10" s="28">
        <f t="shared" ref="K10:N10" si="10">B10-B9</f>
        <v>24</v>
      </c>
      <c r="L10" s="28">
        <f t="shared" si="10"/>
        <v>16</v>
      </c>
      <c r="M10" s="28">
        <f t="shared" si="10"/>
        <v>16</v>
      </c>
      <c r="N10" s="28">
        <f t="shared" si="10"/>
        <v>-16</v>
      </c>
      <c r="P10" s="56"/>
      <c r="W10" s="56"/>
    </row>
    <row r="11">
      <c r="A11" s="25">
        <f t="shared" si="5"/>
        <v>8</v>
      </c>
      <c r="B11" s="25">
        <v>86.0</v>
      </c>
      <c r="C11" s="25">
        <v>148.0</v>
      </c>
      <c r="D11" s="25">
        <v>-60.0</v>
      </c>
      <c r="E11" s="25">
        <v>-174.0</v>
      </c>
      <c r="F11" s="28">
        <f t="shared" si="3"/>
        <v>0</v>
      </c>
      <c r="J11" s="56"/>
      <c r="K11" s="179">
        <f t="shared" ref="K11:N11" si="11">B11-B10</f>
        <v>-8</v>
      </c>
      <c r="L11" s="179">
        <f t="shared" si="11"/>
        <v>-32</v>
      </c>
      <c r="M11" s="179">
        <f t="shared" si="11"/>
        <v>-32</v>
      </c>
      <c r="N11" s="179">
        <f t="shared" si="11"/>
        <v>32</v>
      </c>
      <c r="P11" s="56"/>
      <c r="W11" s="56"/>
    </row>
    <row r="12">
      <c r="A12" s="25">
        <f t="shared" si="5"/>
        <v>9</v>
      </c>
      <c r="B12" s="25">
        <v>94.0</v>
      </c>
      <c r="C12" s="25">
        <v>124.0</v>
      </c>
      <c r="D12" s="25">
        <v>-52.0</v>
      </c>
      <c r="E12" s="25">
        <v>-166.0</v>
      </c>
      <c r="F12" s="28">
        <f t="shared" si="3"/>
        <v>0</v>
      </c>
      <c r="J12" s="56"/>
      <c r="K12" s="28">
        <f t="shared" ref="K12:N12" si="12">B12-B11</f>
        <v>8</v>
      </c>
      <c r="L12" s="28">
        <f t="shared" si="12"/>
        <v>-24</v>
      </c>
      <c r="M12" s="28">
        <f t="shared" si="12"/>
        <v>8</v>
      </c>
      <c r="N12" s="28">
        <f t="shared" si="12"/>
        <v>8</v>
      </c>
      <c r="P12" s="56"/>
      <c r="W12" s="56"/>
    </row>
    <row r="13">
      <c r="A13" s="25">
        <f t="shared" si="5"/>
        <v>10</v>
      </c>
      <c r="B13" s="25">
        <v>102.0</v>
      </c>
      <c r="C13" s="25">
        <v>116.0</v>
      </c>
      <c r="D13" s="25">
        <v>-60.0</v>
      </c>
      <c r="E13" s="25">
        <v>-158.0</v>
      </c>
      <c r="F13" s="28">
        <f t="shared" si="3"/>
        <v>0</v>
      </c>
      <c r="J13" s="56"/>
      <c r="K13" s="28">
        <f t="shared" ref="K13:N13" si="13">B13-B12</f>
        <v>8</v>
      </c>
      <c r="L13" s="28">
        <f t="shared" si="13"/>
        <v>-8</v>
      </c>
      <c r="M13" s="28">
        <f t="shared" si="13"/>
        <v>-8</v>
      </c>
      <c r="N13" s="28">
        <f t="shared" si="13"/>
        <v>8</v>
      </c>
      <c r="P13" s="56"/>
      <c r="W13" s="56"/>
    </row>
    <row r="14">
      <c r="A14" s="25">
        <f t="shared" si="5"/>
        <v>11</v>
      </c>
      <c r="B14" s="25">
        <v>134.0</v>
      </c>
      <c r="C14" s="25">
        <v>84.0</v>
      </c>
      <c r="D14" s="25">
        <v>-28.0</v>
      </c>
      <c r="E14" s="25">
        <v>-190.0</v>
      </c>
      <c r="F14" s="28">
        <f t="shared" si="3"/>
        <v>0</v>
      </c>
      <c r="J14" s="56"/>
      <c r="K14" s="28">
        <f t="shared" ref="K14:N14" si="14">B14-B13</f>
        <v>32</v>
      </c>
      <c r="L14" s="28">
        <f t="shared" si="14"/>
        <v>-32</v>
      </c>
      <c r="M14" s="28">
        <f t="shared" si="14"/>
        <v>32</v>
      </c>
      <c r="N14" s="28">
        <f t="shared" si="14"/>
        <v>-32</v>
      </c>
      <c r="P14" s="56"/>
      <c r="W14" s="56"/>
    </row>
    <row r="15">
      <c r="A15" s="25">
        <f t="shared" si="5"/>
        <v>12</v>
      </c>
      <c r="B15" s="25">
        <v>150.0</v>
      </c>
      <c r="C15" s="25">
        <v>100.0</v>
      </c>
      <c r="D15" s="25">
        <v>-12.0</v>
      </c>
      <c r="E15" s="25">
        <v>-238.0</v>
      </c>
      <c r="F15" s="28">
        <f t="shared" si="3"/>
        <v>0</v>
      </c>
      <c r="J15" s="56"/>
      <c r="K15" s="28">
        <f t="shared" ref="K15:N15" si="15">B15-B14</f>
        <v>16</v>
      </c>
      <c r="L15" s="28">
        <f t="shared" si="15"/>
        <v>16</v>
      </c>
      <c r="M15" s="28">
        <f t="shared" si="15"/>
        <v>16</v>
      </c>
      <c r="N15" s="28">
        <f t="shared" si="15"/>
        <v>-48</v>
      </c>
      <c r="P15" s="56"/>
      <c r="W15" s="56"/>
    </row>
    <row r="16">
      <c r="A16" s="25">
        <f t="shared" si="5"/>
        <v>13</v>
      </c>
      <c r="B16" s="25">
        <v>162.0</v>
      </c>
      <c r="C16" s="25">
        <v>96.0</v>
      </c>
      <c r="D16" s="25">
        <v>-16.0</v>
      </c>
      <c r="E16" s="25">
        <v>-242.0</v>
      </c>
      <c r="F16" s="28">
        <f t="shared" si="3"/>
        <v>0</v>
      </c>
      <c r="J16" s="56"/>
      <c r="K16" s="28">
        <f t="shared" ref="K16:N16" si="16">B16-B15</f>
        <v>12</v>
      </c>
      <c r="L16" s="28">
        <f t="shared" si="16"/>
        <v>-4</v>
      </c>
      <c r="M16" s="28">
        <f t="shared" si="16"/>
        <v>-4</v>
      </c>
      <c r="N16" s="28">
        <f t="shared" si="16"/>
        <v>-4</v>
      </c>
      <c r="P16" s="56"/>
      <c r="W16" s="56"/>
    </row>
    <row r="17">
      <c r="A17" s="25">
        <f t="shared" si="5"/>
        <v>14</v>
      </c>
      <c r="B17" s="25">
        <v>36.0</v>
      </c>
      <c r="C17" s="25">
        <v>224.0</v>
      </c>
      <c r="D17" s="25">
        <v>112.0</v>
      </c>
      <c r="E17" s="25">
        <v>-370.0</v>
      </c>
      <c r="F17" s="28">
        <f t="shared" si="3"/>
        <v>2</v>
      </c>
      <c r="J17" s="56"/>
      <c r="K17" s="28">
        <f t="shared" ref="K17:N17" si="17">B17-B16</f>
        <v>-126</v>
      </c>
      <c r="L17" s="28">
        <f t="shared" si="17"/>
        <v>128</v>
      </c>
      <c r="M17" s="28">
        <f t="shared" si="17"/>
        <v>128</v>
      </c>
      <c r="N17" s="28">
        <f t="shared" si="17"/>
        <v>-128</v>
      </c>
      <c r="P17" s="56"/>
      <c r="W17" s="56"/>
    </row>
    <row r="18">
      <c r="A18" s="25">
        <f t="shared" si="5"/>
        <v>15</v>
      </c>
      <c r="B18" s="25">
        <v>42.0</v>
      </c>
      <c r="C18" s="25">
        <v>212.0</v>
      </c>
      <c r="D18" s="25">
        <v>124.0</v>
      </c>
      <c r="E18" s="25">
        <v>-382.0</v>
      </c>
      <c r="F18" s="28">
        <f t="shared" si="3"/>
        <v>-4</v>
      </c>
      <c r="J18" s="56"/>
      <c r="K18" s="179">
        <f t="shared" ref="K18:K25" si="19">B18-B17</f>
        <v>6</v>
      </c>
      <c r="L18" s="28">
        <f t="shared" ref="L18:N18" si="18">C17-C18</f>
        <v>12</v>
      </c>
      <c r="M18" s="28">
        <f t="shared" si="18"/>
        <v>-12</v>
      </c>
      <c r="N18" s="28">
        <f t="shared" si="18"/>
        <v>12</v>
      </c>
      <c r="P18" s="56"/>
      <c r="W18" s="56"/>
    </row>
    <row r="19">
      <c r="A19" s="25">
        <f t="shared" si="5"/>
        <v>16</v>
      </c>
      <c r="B19" s="25">
        <v>50.0</v>
      </c>
      <c r="C19" s="25">
        <v>188.0</v>
      </c>
      <c r="D19" s="25">
        <v>128.0</v>
      </c>
      <c r="E19" s="25">
        <v>-376.0</v>
      </c>
      <c r="F19" s="28">
        <f t="shared" si="3"/>
        <v>-10</v>
      </c>
      <c r="J19" s="56"/>
      <c r="K19" s="179">
        <f t="shared" si="19"/>
        <v>8</v>
      </c>
      <c r="L19" s="179">
        <f t="shared" ref="L19:N19" si="20">C19-C18</f>
        <v>-24</v>
      </c>
      <c r="M19" s="179">
        <f t="shared" si="20"/>
        <v>4</v>
      </c>
      <c r="N19" s="179">
        <f t="shared" si="20"/>
        <v>6</v>
      </c>
      <c r="P19" s="56"/>
      <c r="W19" s="56"/>
    </row>
    <row r="20">
      <c r="A20" s="25">
        <f t="shared" si="5"/>
        <v>17</v>
      </c>
      <c r="B20" s="25">
        <v>34.0</v>
      </c>
      <c r="C20" s="25">
        <v>204.0</v>
      </c>
      <c r="D20" s="25">
        <v>112.0</v>
      </c>
      <c r="E20" s="25">
        <v>-360.0</v>
      </c>
      <c r="F20" s="28">
        <f t="shared" si="3"/>
        <v>-10</v>
      </c>
      <c r="J20" s="56"/>
      <c r="K20" s="28">
        <f t="shared" si="19"/>
        <v>-16</v>
      </c>
      <c r="L20" s="28">
        <f t="shared" ref="L20:N20" si="21">C20-C19</f>
        <v>16</v>
      </c>
      <c r="M20" s="28">
        <f t="shared" si="21"/>
        <v>-16</v>
      </c>
      <c r="N20" s="28">
        <f t="shared" si="21"/>
        <v>16</v>
      </c>
      <c r="P20" s="56"/>
      <c r="W20" s="56"/>
    </row>
    <row r="21">
      <c r="A21" s="25">
        <f t="shared" si="5"/>
        <v>18</v>
      </c>
      <c r="B21" s="25">
        <v>42.0</v>
      </c>
      <c r="C21" s="25">
        <v>180.0</v>
      </c>
      <c r="D21" s="25">
        <v>120.0</v>
      </c>
      <c r="E21" s="25">
        <v>-352.0</v>
      </c>
      <c r="F21" s="28">
        <f t="shared" si="3"/>
        <v>-10</v>
      </c>
      <c r="J21" s="56"/>
      <c r="K21" s="28">
        <f t="shared" si="19"/>
        <v>8</v>
      </c>
      <c r="L21" s="28">
        <f t="shared" ref="L21:N21" si="22">C21-C20</f>
        <v>-24</v>
      </c>
      <c r="M21" s="28">
        <f t="shared" si="22"/>
        <v>8</v>
      </c>
      <c r="N21" s="28">
        <f t="shared" si="22"/>
        <v>8</v>
      </c>
      <c r="P21" s="56"/>
      <c r="W21" s="56"/>
    </row>
    <row r="22">
      <c r="A22" s="25">
        <f t="shared" si="5"/>
        <v>19</v>
      </c>
      <c r="B22" s="25">
        <v>66.0</v>
      </c>
      <c r="C22" s="25">
        <v>172.0</v>
      </c>
      <c r="D22" s="25">
        <v>112.0</v>
      </c>
      <c r="E22" s="25">
        <v>-360.0</v>
      </c>
      <c r="F22" s="28">
        <f t="shared" si="3"/>
        <v>-10</v>
      </c>
      <c r="J22" s="56"/>
      <c r="K22" s="28">
        <f t="shared" si="19"/>
        <v>24</v>
      </c>
      <c r="L22" s="28">
        <f t="shared" ref="L22:N22" si="23">C22-C21</f>
        <v>-8</v>
      </c>
      <c r="M22" s="28">
        <f t="shared" si="23"/>
        <v>-8</v>
      </c>
      <c r="N22" s="28">
        <f t="shared" si="23"/>
        <v>-8</v>
      </c>
      <c r="P22" s="56"/>
      <c r="W22" s="56"/>
    </row>
    <row r="23">
      <c r="A23" s="25">
        <f t="shared" si="5"/>
        <v>20</v>
      </c>
      <c r="B23" s="25">
        <v>74.0</v>
      </c>
      <c r="C23" s="25">
        <v>164.0</v>
      </c>
      <c r="D23" s="25">
        <v>120.0</v>
      </c>
      <c r="E23" s="25">
        <v>-368.0</v>
      </c>
      <c r="F23" s="28">
        <f t="shared" si="3"/>
        <v>-10</v>
      </c>
      <c r="J23" s="56"/>
      <c r="K23" s="28">
        <f t="shared" si="19"/>
        <v>8</v>
      </c>
      <c r="L23" s="28">
        <f t="shared" ref="L23:N23" si="24">C23-C22</f>
        <v>-8</v>
      </c>
      <c r="M23" s="28">
        <f t="shared" si="24"/>
        <v>8</v>
      </c>
      <c r="N23" s="28">
        <f t="shared" si="24"/>
        <v>-8</v>
      </c>
      <c r="P23" s="56"/>
      <c r="W23" s="56"/>
    </row>
    <row r="24">
      <c r="A24" s="25">
        <f t="shared" si="5"/>
        <v>21</v>
      </c>
      <c r="B24" s="25">
        <v>86.0</v>
      </c>
      <c r="C24" s="25">
        <v>168.0</v>
      </c>
      <c r="D24" s="25">
        <v>116.0</v>
      </c>
      <c r="E24" s="25">
        <v>-372.0</v>
      </c>
      <c r="F24" s="28">
        <f t="shared" si="3"/>
        <v>-2</v>
      </c>
      <c r="J24" s="56"/>
      <c r="K24" s="28">
        <f t="shared" si="19"/>
        <v>12</v>
      </c>
      <c r="L24" s="28">
        <f t="shared" ref="L24:N24" si="25">C24-C23</f>
        <v>4</v>
      </c>
      <c r="M24" s="28">
        <f t="shared" si="25"/>
        <v>-4</v>
      </c>
      <c r="N24" s="28">
        <f t="shared" si="25"/>
        <v>-4</v>
      </c>
      <c r="P24" s="56"/>
      <c r="W24" s="56"/>
    </row>
    <row r="25">
      <c r="A25" s="25">
        <f t="shared" si="5"/>
        <v>22</v>
      </c>
      <c r="B25" s="25">
        <v>54.0</v>
      </c>
      <c r="C25" s="25">
        <v>234.0</v>
      </c>
      <c r="D25" s="25">
        <v>148.0</v>
      </c>
      <c r="E25" s="25">
        <v>-404.0</v>
      </c>
      <c r="F25" s="28">
        <f t="shared" si="3"/>
        <v>32</v>
      </c>
      <c r="J25" s="56"/>
      <c r="K25" s="28">
        <f t="shared" si="19"/>
        <v>-32</v>
      </c>
      <c r="L25" s="28">
        <f t="shared" ref="L25:N25" si="26">C25-C24</f>
        <v>66</v>
      </c>
      <c r="M25" s="28">
        <f t="shared" si="26"/>
        <v>32</v>
      </c>
      <c r="N25" s="28">
        <f t="shared" si="26"/>
        <v>-32</v>
      </c>
      <c r="P25" s="56"/>
      <c r="W25" s="56"/>
    </row>
    <row r="26">
      <c r="A26" s="25">
        <f t="shared" si="5"/>
        <v>23</v>
      </c>
      <c r="F26" s="28">
        <f t="shared" si="3"/>
        <v>0</v>
      </c>
      <c r="J26" s="56"/>
      <c r="P26" s="56"/>
      <c r="W26" s="56"/>
    </row>
    <row r="27">
      <c r="A27" s="25">
        <f t="shared" si="5"/>
        <v>24</v>
      </c>
      <c r="F27" s="28">
        <f t="shared" si="3"/>
        <v>0</v>
      </c>
      <c r="J27" s="56"/>
      <c r="P27" s="56"/>
      <c r="W27" s="56"/>
    </row>
    <row r="28">
      <c r="A28" s="25">
        <f t="shared" si="5"/>
        <v>25</v>
      </c>
      <c r="F28" s="28">
        <f t="shared" si="3"/>
        <v>0</v>
      </c>
      <c r="J28" s="56"/>
      <c r="P28" s="56"/>
      <c r="W28" s="56"/>
    </row>
    <row r="29">
      <c r="A29" s="25">
        <f t="shared" si="5"/>
        <v>26</v>
      </c>
      <c r="F29" s="28">
        <f t="shared" si="3"/>
        <v>0</v>
      </c>
      <c r="J29" s="56"/>
      <c r="P29" s="56"/>
      <c r="W29" s="56"/>
    </row>
    <row r="30">
      <c r="A30" s="25">
        <f t="shared" si="5"/>
        <v>27</v>
      </c>
      <c r="F30" s="28">
        <f t="shared" si="3"/>
        <v>0</v>
      </c>
      <c r="J30" s="56"/>
      <c r="P30" s="56"/>
      <c r="W30" s="56"/>
    </row>
    <row r="31">
      <c r="A31" s="25">
        <f t="shared" si="5"/>
        <v>28</v>
      </c>
      <c r="F31" s="28">
        <f t="shared" si="3"/>
        <v>0</v>
      </c>
      <c r="J31" s="56"/>
      <c r="P31" s="56"/>
      <c r="W31" s="56"/>
    </row>
    <row r="32">
      <c r="A32" s="25">
        <f t="shared" si="5"/>
        <v>29</v>
      </c>
      <c r="F32" s="28">
        <f t="shared" si="3"/>
        <v>0</v>
      </c>
      <c r="J32" s="56"/>
      <c r="P32" s="56"/>
      <c r="W32" s="56"/>
    </row>
    <row r="33">
      <c r="A33" s="25">
        <f t="shared" si="5"/>
        <v>30</v>
      </c>
      <c r="F33" s="28">
        <f t="shared" si="3"/>
        <v>0</v>
      </c>
      <c r="J33" s="56"/>
      <c r="P33" s="56"/>
      <c r="W33" s="56"/>
    </row>
    <row r="34">
      <c r="A34" s="25">
        <f t="shared" si="5"/>
        <v>31</v>
      </c>
      <c r="F34" s="28">
        <f t="shared" si="3"/>
        <v>0</v>
      </c>
      <c r="J34" s="56"/>
      <c r="P34" s="56"/>
      <c r="W34" s="56"/>
    </row>
    <row r="35">
      <c r="A35" s="25">
        <f t="shared" si="5"/>
        <v>32</v>
      </c>
      <c r="F35" s="28">
        <f t="shared" si="3"/>
        <v>0</v>
      </c>
      <c r="J35" s="56"/>
      <c r="P35" s="56"/>
      <c r="W35" s="56"/>
    </row>
    <row r="36">
      <c r="A36" s="25">
        <f t="shared" si="5"/>
        <v>33</v>
      </c>
      <c r="F36" s="28">
        <f t="shared" si="3"/>
        <v>0</v>
      </c>
      <c r="J36" s="56"/>
      <c r="P36" s="56"/>
      <c r="W36" s="56"/>
    </row>
    <row r="37">
      <c r="A37" s="25">
        <f t="shared" si="5"/>
        <v>34</v>
      </c>
      <c r="F37" s="28">
        <f t="shared" si="3"/>
        <v>0</v>
      </c>
      <c r="J37" s="56"/>
      <c r="P37" s="56"/>
      <c r="W37" s="56"/>
    </row>
    <row r="38">
      <c r="A38" s="25">
        <f t="shared" si="5"/>
        <v>35</v>
      </c>
      <c r="F38" s="28">
        <f t="shared" si="3"/>
        <v>0</v>
      </c>
      <c r="J38" s="56"/>
      <c r="P38" s="56"/>
      <c r="W38" s="56"/>
    </row>
    <row r="39">
      <c r="J39" s="56"/>
      <c r="P39" s="56"/>
      <c r="W39" s="56"/>
    </row>
  </sheetData>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5.5"/>
    <col customWidth="1" min="2" max="5" width="7.88"/>
    <col customWidth="1" min="6" max="6" width="8.0"/>
    <col customWidth="1" min="7" max="7" width="15.75"/>
    <col customWidth="1" min="8" max="8" width="10.13"/>
    <col customWidth="1" min="9" max="9" width="14.88"/>
    <col customWidth="1" min="10" max="10" width="2.63"/>
    <col customWidth="1" min="11" max="14" width="7.5"/>
    <col customWidth="1" min="16" max="16" width="2.63"/>
    <col customWidth="1" min="23" max="23" width="2.63"/>
  </cols>
  <sheetData>
    <row r="1">
      <c r="A1" s="40">
        <f>'00_Regnskab_01'!A6</f>
        <v>4</v>
      </c>
      <c r="B1" s="193" t="str">
        <f>'00_Regnskab_01'!C6</f>
        <v>?</v>
      </c>
      <c r="C1" s="42"/>
      <c r="D1" s="42" t="str">
        <f>'00_Regnskab_01'!L6</f>
        <v>?</v>
      </c>
      <c r="E1" s="42"/>
      <c r="F1" s="42"/>
      <c r="G1" s="42"/>
      <c r="H1" s="42"/>
      <c r="I1" s="42"/>
      <c r="J1" s="44"/>
      <c r="K1" s="42"/>
      <c r="L1" s="42"/>
      <c r="M1" s="42"/>
      <c r="N1" s="42"/>
      <c r="O1" s="42"/>
      <c r="P1" s="44"/>
      <c r="Q1" s="42"/>
      <c r="R1" s="42"/>
      <c r="S1" s="42"/>
      <c r="T1" s="32"/>
      <c r="U1" s="32"/>
      <c r="V1" s="32"/>
      <c r="W1" s="56"/>
    </row>
    <row r="2">
      <c r="A2" s="25"/>
      <c r="B2" s="25" t="s">
        <v>284</v>
      </c>
      <c r="C2" s="25"/>
      <c r="D2" s="25"/>
      <c r="E2" s="25"/>
      <c r="F2" s="25"/>
      <c r="G2" s="25"/>
      <c r="H2" s="25"/>
      <c r="I2" s="25"/>
      <c r="J2" s="56"/>
      <c r="K2" s="25"/>
      <c r="L2" s="25"/>
      <c r="M2" s="25"/>
      <c r="N2" s="25"/>
      <c r="O2" s="25"/>
      <c r="P2" s="56"/>
      <c r="Q2" s="25" t="s">
        <v>64</v>
      </c>
      <c r="W2" s="56"/>
    </row>
    <row r="3">
      <c r="A3" s="25" t="s">
        <v>78</v>
      </c>
      <c r="B3" s="25" t="s">
        <v>7</v>
      </c>
      <c r="C3" s="25" t="s">
        <v>8</v>
      </c>
      <c r="D3" s="25" t="s">
        <v>9</v>
      </c>
      <c r="E3" s="25" t="s">
        <v>10</v>
      </c>
      <c r="F3" s="25" t="s">
        <v>278</v>
      </c>
      <c r="G3" s="25" t="s">
        <v>64</v>
      </c>
      <c r="H3" s="25" t="s">
        <v>82</v>
      </c>
      <c r="I3" s="25" t="s">
        <v>83</v>
      </c>
      <c r="J3" s="56"/>
      <c r="K3" s="28" t="str">
        <f t="shared" ref="K3:N3" si="1">B3</f>
        <v>Thomas</v>
      </c>
      <c r="L3" s="28" t="str">
        <f t="shared" si="1"/>
        <v>Peter</v>
      </c>
      <c r="M3" s="28" t="str">
        <f t="shared" si="1"/>
        <v>Janus</v>
      </c>
      <c r="N3" s="28" t="str">
        <f t="shared" si="1"/>
        <v>Christian</v>
      </c>
      <c r="O3" s="25"/>
      <c r="P3" s="56"/>
      <c r="Q3" s="25" t="s">
        <v>84</v>
      </c>
      <c r="R3" s="25" t="s">
        <v>85</v>
      </c>
      <c r="S3" s="25" t="s">
        <v>86</v>
      </c>
      <c r="T3" s="25" t="s">
        <v>87</v>
      </c>
      <c r="U3" s="25" t="s">
        <v>88</v>
      </c>
      <c r="V3" s="25" t="s">
        <v>89</v>
      </c>
      <c r="W3" s="46"/>
    </row>
    <row r="4">
      <c r="A4" s="25">
        <v>1.0</v>
      </c>
      <c r="B4" s="25">
        <v>8.0</v>
      </c>
      <c r="C4" s="25">
        <v>-24.0</v>
      </c>
      <c r="D4" s="25">
        <v>8.0</v>
      </c>
      <c r="E4" s="25">
        <v>8.0</v>
      </c>
      <c r="F4" s="28">
        <f t="shared" ref="F4:F32" si="3">SUM(B4:E4)</f>
        <v>0</v>
      </c>
      <c r="J4" s="56"/>
      <c r="K4" s="28">
        <f t="shared" ref="K4:N4" si="2">B4</f>
        <v>8</v>
      </c>
      <c r="L4" s="28">
        <f t="shared" si="2"/>
        <v>-24</v>
      </c>
      <c r="M4" s="28">
        <f t="shared" si="2"/>
        <v>8</v>
      </c>
      <c r="N4" s="28">
        <f t="shared" si="2"/>
        <v>8</v>
      </c>
      <c r="P4" s="56"/>
      <c r="W4" s="56"/>
    </row>
    <row r="5">
      <c r="A5" s="28">
        <f t="shared" ref="A5:A32" si="5">A4+1</f>
        <v>2</v>
      </c>
      <c r="B5" s="25">
        <v>-8.0</v>
      </c>
      <c r="C5" s="25">
        <v>-8.0</v>
      </c>
      <c r="D5" s="25">
        <v>-8.0</v>
      </c>
      <c r="E5" s="25">
        <v>24.0</v>
      </c>
      <c r="F5" s="28">
        <f t="shared" si="3"/>
        <v>0</v>
      </c>
      <c r="J5" s="56"/>
      <c r="K5" s="28">
        <f t="shared" ref="K5:N5" si="4">B5-B4</f>
        <v>-16</v>
      </c>
      <c r="L5" s="28">
        <f t="shared" si="4"/>
        <v>16</v>
      </c>
      <c r="M5" s="28">
        <f t="shared" si="4"/>
        <v>-16</v>
      </c>
      <c r="N5" s="28">
        <f t="shared" si="4"/>
        <v>16</v>
      </c>
      <c r="P5" s="56"/>
      <c r="W5" s="56"/>
    </row>
    <row r="6">
      <c r="A6" s="28">
        <f t="shared" si="5"/>
        <v>3</v>
      </c>
      <c r="B6" s="25">
        <v>-12.0</v>
      </c>
      <c r="C6" s="25">
        <v>-12.0</v>
      </c>
      <c r="D6" s="25">
        <v>4.0</v>
      </c>
      <c r="E6" s="25">
        <v>20.0</v>
      </c>
      <c r="F6" s="28">
        <f t="shared" si="3"/>
        <v>0</v>
      </c>
      <c r="J6" s="56"/>
      <c r="K6" s="28">
        <f t="shared" ref="K6:N6" si="6">B6-B5</f>
        <v>-4</v>
      </c>
      <c r="L6" s="28">
        <f t="shared" si="6"/>
        <v>-4</v>
      </c>
      <c r="M6" s="28">
        <f t="shared" si="6"/>
        <v>12</v>
      </c>
      <c r="N6" s="28">
        <f t="shared" si="6"/>
        <v>-4</v>
      </c>
      <c r="P6" s="56"/>
      <c r="W6" s="56"/>
    </row>
    <row r="7">
      <c r="A7" s="28">
        <f t="shared" si="5"/>
        <v>4</v>
      </c>
      <c r="B7" s="25">
        <v>-20.0</v>
      </c>
      <c r="C7" s="25">
        <v>-4.0</v>
      </c>
      <c r="D7" s="25">
        <v>-4.0</v>
      </c>
      <c r="E7" s="25">
        <v>28.0</v>
      </c>
      <c r="F7" s="28">
        <f t="shared" si="3"/>
        <v>0</v>
      </c>
      <c r="J7" s="56"/>
      <c r="K7" s="28">
        <f t="shared" ref="K7:N7" si="7">B7-B6</f>
        <v>-8</v>
      </c>
      <c r="L7" s="28">
        <f t="shared" si="7"/>
        <v>8</v>
      </c>
      <c r="M7" s="28">
        <f t="shared" si="7"/>
        <v>-8</v>
      </c>
      <c r="N7" s="28">
        <f t="shared" si="7"/>
        <v>8</v>
      </c>
      <c r="P7" s="56"/>
      <c r="W7" s="56"/>
    </row>
    <row r="8">
      <c r="A8" s="28">
        <f t="shared" si="5"/>
        <v>5</v>
      </c>
      <c r="B8" s="25">
        <v>-12.0</v>
      </c>
      <c r="C8" s="25">
        <v>-28.0</v>
      </c>
      <c r="D8" s="25">
        <v>4.0</v>
      </c>
      <c r="E8" s="25">
        <v>36.0</v>
      </c>
      <c r="F8" s="28">
        <f t="shared" si="3"/>
        <v>0</v>
      </c>
      <c r="J8" s="56"/>
      <c r="K8" s="28">
        <f t="shared" ref="K8:N8" si="8">B8-B7</f>
        <v>8</v>
      </c>
      <c r="L8" s="28">
        <f t="shared" si="8"/>
        <v>-24</v>
      </c>
      <c r="M8" s="28">
        <f t="shared" si="8"/>
        <v>8</v>
      </c>
      <c r="N8" s="28">
        <f t="shared" si="8"/>
        <v>8</v>
      </c>
      <c r="P8" s="56"/>
      <c r="W8" s="56"/>
    </row>
    <row r="9">
      <c r="A9" s="28">
        <f t="shared" si="5"/>
        <v>6</v>
      </c>
      <c r="B9" s="25">
        <v>-20.0</v>
      </c>
      <c r="C9" s="25">
        <v>-36.0</v>
      </c>
      <c r="D9" s="25">
        <v>12.0</v>
      </c>
      <c r="E9" s="25">
        <v>44.0</v>
      </c>
      <c r="F9" s="28">
        <f t="shared" si="3"/>
        <v>0</v>
      </c>
      <c r="J9" s="56"/>
      <c r="K9" s="28">
        <f t="shared" ref="K9:N9" si="9">B9-B8</f>
        <v>-8</v>
      </c>
      <c r="L9" s="28">
        <f t="shared" si="9"/>
        <v>-8</v>
      </c>
      <c r="M9" s="28">
        <f t="shared" si="9"/>
        <v>8</v>
      </c>
      <c r="N9" s="28">
        <f t="shared" si="9"/>
        <v>8</v>
      </c>
      <c r="P9" s="56"/>
      <c r="W9" s="56"/>
    </row>
    <row r="10">
      <c r="A10" s="28">
        <f t="shared" si="5"/>
        <v>7</v>
      </c>
      <c r="B10" s="25">
        <v>-12.0</v>
      </c>
      <c r="C10" s="25">
        <v>-60.0</v>
      </c>
      <c r="D10" s="25">
        <v>20.0</v>
      </c>
      <c r="E10" s="25">
        <v>52.0</v>
      </c>
      <c r="F10" s="28">
        <f t="shared" si="3"/>
        <v>0</v>
      </c>
      <c r="J10" s="56"/>
      <c r="K10" s="28">
        <f t="shared" ref="K10:N10" si="10">B10-B9</f>
        <v>8</v>
      </c>
      <c r="L10" s="28">
        <f t="shared" si="10"/>
        <v>-24</v>
      </c>
      <c r="M10" s="28">
        <f t="shared" si="10"/>
        <v>8</v>
      </c>
      <c r="N10" s="28">
        <f t="shared" si="10"/>
        <v>8</v>
      </c>
      <c r="P10" s="56"/>
      <c r="W10" s="56"/>
    </row>
    <row r="11">
      <c r="A11" s="28">
        <f t="shared" si="5"/>
        <v>8</v>
      </c>
      <c r="B11" s="25">
        <v>-20.0</v>
      </c>
      <c r="C11" s="25">
        <v>-52.0</v>
      </c>
      <c r="D11" s="25">
        <v>12.0</v>
      </c>
      <c r="E11" s="25">
        <v>60.0</v>
      </c>
      <c r="F11" s="28">
        <f t="shared" si="3"/>
        <v>0</v>
      </c>
      <c r="J11" s="56"/>
      <c r="K11" s="28">
        <f t="shared" ref="K11:N11" si="11">B11-B10</f>
        <v>-8</v>
      </c>
      <c r="L11" s="28">
        <f t="shared" si="11"/>
        <v>8</v>
      </c>
      <c r="M11" s="28">
        <f t="shared" si="11"/>
        <v>-8</v>
      </c>
      <c r="N11" s="28">
        <f t="shared" si="11"/>
        <v>8</v>
      </c>
      <c r="P11" s="56"/>
      <c r="W11" s="56"/>
    </row>
    <row r="12">
      <c r="A12" s="28">
        <f t="shared" si="5"/>
        <v>9</v>
      </c>
      <c r="B12" s="25">
        <v>-14.0</v>
      </c>
      <c r="C12" s="25">
        <v>-46.0</v>
      </c>
      <c r="D12" s="25">
        <v>18.0</v>
      </c>
      <c r="E12" s="25">
        <v>42.0</v>
      </c>
      <c r="F12" s="28">
        <f t="shared" si="3"/>
        <v>0</v>
      </c>
      <c r="J12" s="56"/>
      <c r="K12" s="28">
        <f t="shared" ref="K12:N12" si="12">B12-B11</f>
        <v>6</v>
      </c>
      <c r="L12" s="28">
        <f t="shared" si="12"/>
        <v>6</v>
      </c>
      <c r="M12" s="28">
        <f t="shared" si="12"/>
        <v>6</v>
      </c>
      <c r="N12" s="28">
        <f t="shared" si="12"/>
        <v>-18</v>
      </c>
      <c r="P12" s="56"/>
      <c r="W12" s="56"/>
    </row>
    <row r="13">
      <c r="A13" s="28">
        <f t="shared" si="5"/>
        <v>10</v>
      </c>
      <c r="B13" s="25">
        <v>-2.0</v>
      </c>
      <c r="C13" s="25">
        <v>-34.0</v>
      </c>
      <c r="D13" s="25">
        <v>6.0</v>
      </c>
      <c r="E13" s="25">
        <v>30.0</v>
      </c>
      <c r="F13" s="28">
        <f t="shared" si="3"/>
        <v>0</v>
      </c>
      <c r="J13" s="56"/>
      <c r="K13" s="28">
        <f t="shared" ref="K13:N13" si="13">B13-B12</f>
        <v>12</v>
      </c>
      <c r="L13" s="28">
        <f t="shared" si="13"/>
        <v>12</v>
      </c>
      <c r="M13" s="28">
        <f t="shared" si="13"/>
        <v>-12</v>
      </c>
      <c r="N13" s="28">
        <f t="shared" si="13"/>
        <v>-12</v>
      </c>
      <c r="P13" s="56"/>
      <c r="W13" s="56"/>
    </row>
    <row r="14">
      <c r="A14" s="28">
        <f t="shared" si="5"/>
        <v>11</v>
      </c>
      <c r="B14" s="25">
        <v>6.0</v>
      </c>
      <c r="C14" s="25">
        <v>-42.0</v>
      </c>
      <c r="D14" s="25">
        <v>14.0</v>
      </c>
      <c r="E14" s="25">
        <v>22.0</v>
      </c>
      <c r="F14" s="28">
        <f t="shared" si="3"/>
        <v>0</v>
      </c>
      <c r="J14" s="56"/>
      <c r="K14" s="28">
        <f t="shared" ref="K14:N14" si="14">B14-B13</f>
        <v>8</v>
      </c>
      <c r="L14" s="28">
        <f t="shared" si="14"/>
        <v>-8</v>
      </c>
      <c r="M14" s="28">
        <f t="shared" si="14"/>
        <v>8</v>
      </c>
      <c r="N14" s="28">
        <f t="shared" si="14"/>
        <v>-8</v>
      </c>
      <c r="P14" s="56"/>
      <c r="W14" s="56"/>
    </row>
    <row r="15">
      <c r="A15" s="28">
        <f t="shared" si="5"/>
        <v>12</v>
      </c>
      <c r="B15" s="25">
        <v>14.0</v>
      </c>
      <c r="C15" s="25">
        <v>-50.0</v>
      </c>
      <c r="D15" s="25">
        <v>6.0</v>
      </c>
      <c r="E15" s="25">
        <v>30.0</v>
      </c>
      <c r="F15" s="28">
        <f t="shared" si="3"/>
        <v>0</v>
      </c>
      <c r="J15" s="56"/>
      <c r="K15" s="28">
        <f t="shared" ref="K15:N15" si="15">B15-B14</f>
        <v>8</v>
      </c>
      <c r="L15" s="28">
        <f t="shared" si="15"/>
        <v>-8</v>
      </c>
      <c r="M15" s="28">
        <f t="shared" si="15"/>
        <v>-8</v>
      </c>
      <c r="N15" s="28">
        <f t="shared" si="15"/>
        <v>8</v>
      </c>
      <c r="P15" s="56"/>
      <c r="W15" s="56"/>
    </row>
    <row r="16">
      <c r="A16" s="28">
        <f t="shared" si="5"/>
        <v>13</v>
      </c>
      <c r="B16" s="25">
        <v>10.0</v>
      </c>
      <c r="C16" s="25">
        <v>-38.0</v>
      </c>
      <c r="D16" s="25">
        <v>2.0</v>
      </c>
      <c r="E16" s="25">
        <v>26.0</v>
      </c>
      <c r="F16" s="28">
        <f t="shared" si="3"/>
        <v>0</v>
      </c>
      <c r="J16" s="56"/>
      <c r="K16" s="28">
        <f t="shared" ref="K16:N16" si="16">B16-B15</f>
        <v>-4</v>
      </c>
      <c r="L16" s="28">
        <f t="shared" si="16"/>
        <v>12</v>
      </c>
      <c r="M16" s="28">
        <f t="shared" si="16"/>
        <v>-4</v>
      </c>
      <c r="N16" s="28">
        <f t="shared" si="16"/>
        <v>-4</v>
      </c>
      <c r="P16" s="56"/>
      <c r="W16" s="56"/>
    </row>
    <row r="17">
      <c r="A17" s="28">
        <f t="shared" si="5"/>
        <v>14</v>
      </c>
      <c r="B17" s="25">
        <v>18.0</v>
      </c>
      <c r="C17" s="25">
        <v>-46.0</v>
      </c>
      <c r="D17" s="25">
        <v>10.0</v>
      </c>
      <c r="E17" s="25">
        <v>18.0</v>
      </c>
      <c r="F17" s="28">
        <f t="shared" si="3"/>
        <v>0</v>
      </c>
      <c r="J17" s="56"/>
      <c r="K17" s="28">
        <f t="shared" ref="K17:N17" si="17">B17-B16</f>
        <v>8</v>
      </c>
      <c r="L17" s="28">
        <f t="shared" si="17"/>
        <v>-8</v>
      </c>
      <c r="M17" s="28">
        <f t="shared" si="17"/>
        <v>8</v>
      </c>
      <c r="N17" s="28">
        <f t="shared" si="17"/>
        <v>-8</v>
      </c>
      <c r="P17" s="56"/>
      <c r="W17" s="56"/>
    </row>
    <row r="18">
      <c r="A18" s="28">
        <f t="shared" si="5"/>
        <v>15</v>
      </c>
      <c r="B18" s="25">
        <v>30.0</v>
      </c>
      <c r="C18" s="25">
        <v>-58.0</v>
      </c>
      <c r="D18" s="25">
        <v>-2.0</v>
      </c>
      <c r="E18" s="25">
        <v>30.0</v>
      </c>
      <c r="F18" s="28">
        <f t="shared" si="3"/>
        <v>0</v>
      </c>
      <c r="J18" s="56"/>
      <c r="K18" s="28">
        <f t="shared" ref="K18:N18" si="18">B18-B17</f>
        <v>12</v>
      </c>
      <c r="L18" s="28">
        <f t="shared" si="18"/>
        <v>-12</v>
      </c>
      <c r="M18" s="28">
        <f t="shared" si="18"/>
        <v>-12</v>
      </c>
      <c r="N18" s="28">
        <f t="shared" si="18"/>
        <v>12</v>
      </c>
      <c r="P18" s="56"/>
      <c r="W18" s="56"/>
    </row>
    <row r="19">
      <c r="A19" s="28">
        <f t="shared" si="5"/>
        <v>16</v>
      </c>
      <c r="B19" s="25">
        <v>42.0</v>
      </c>
      <c r="C19" s="25">
        <v>-62.0</v>
      </c>
      <c r="D19" s="25">
        <v>-6.0</v>
      </c>
      <c r="E19" s="25">
        <v>26.0</v>
      </c>
      <c r="F19" s="28">
        <f t="shared" si="3"/>
        <v>0</v>
      </c>
      <c r="J19" s="56"/>
      <c r="K19" s="28">
        <f t="shared" ref="K19:N19" si="19">B19-B18</f>
        <v>12</v>
      </c>
      <c r="L19" s="28">
        <f t="shared" si="19"/>
        <v>-4</v>
      </c>
      <c r="M19" s="28">
        <f t="shared" si="19"/>
        <v>-4</v>
      </c>
      <c r="N19" s="28">
        <f t="shared" si="19"/>
        <v>-4</v>
      </c>
      <c r="P19" s="56"/>
      <c r="W19" s="56"/>
    </row>
    <row r="20">
      <c r="A20" s="28">
        <f t="shared" si="5"/>
        <v>17</v>
      </c>
      <c r="B20" s="25">
        <v>58.0</v>
      </c>
      <c r="C20" s="25">
        <v>-110.0</v>
      </c>
      <c r="D20" s="25">
        <v>10.0</v>
      </c>
      <c r="E20" s="25">
        <v>42.0</v>
      </c>
      <c r="F20" s="28">
        <f t="shared" si="3"/>
        <v>0</v>
      </c>
      <c r="J20" s="56"/>
      <c r="K20" s="28">
        <f t="shared" ref="K20:N20" si="20">B20-B19</f>
        <v>16</v>
      </c>
      <c r="L20" s="28">
        <f t="shared" si="20"/>
        <v>-48</v>
      </c>
      <c r="M20" s="28">
        <f t="shared" si="20"/>
        <v>16</v>
      </c>
      <c r="N20" s="28">
        <f t="shared" si="20"/>
        <v>16</v>
      </c>
      <c r="P20" s="56"/>
      <c r="W20" s="56"/>
    </row>
    <row r="21">
      <c r="A21" s="28">
        <f t="shared" si="5"/>
        <v>18</v>
      </c>
      <c r="B21" s="25">
        <v>70.0</v>
      </c>
      <c r="C21" s="25">
        <v>-116.0</v>
      </c>
      <c r="D21" s="25">
        <v>6.0</v>
      </c>
      <c r="E21" s="25">
        <v>38.0</v>
      </c>
      <c r="F21" s="28">
        <f t="shared" si="3"/>
        <v>-2</v>
      </c>
      <c r="J21" s="56"/>
      <c r="K21" s="28">
        <f t="shared" ref="K21:N21" si="21">B21-B20</f>
        <v>12</v>
      </c>
      <c r="L21" s="179">
        <f t="shared" si="21"/>
        <v>-6</v>
      </c>
      <c r="M21" s="28">
        <f t="shared" si="21"/>
        <v>-4</v>
      </c>
      <c r="N21" s="28">
        <f t="shared" si="21"/>
        <v>-4</v>
      </c>
      <c r="P21" s="56"/>
      <c r="W21" s="56"/>
    </row>
    <row r="22">
      <c r="A22" s="28">
        <f t="shared" si="5"/>
        <v>19</v>
      </c>
      <c r="B22" s="25">
        <v>-26.0</v>
      </c>
      <c r="C22" s="25">
        <v>-212.0</v>
      </c>
      <c r="D22" s="25">
        <v>102.0</v>
      </c>
      <c r="E22" s="25">
        <v>134.0</v>
      </c>
      <c r="F22" s="28">
        <f t="shared" si="3"/>
        <v>-2</v>
      </c>
      <c r="J22" s="56"/>
      <c r="K22" s="28">
        <f t="shared" ref="K22:N22" si="22">B22-B21</f>
        <v>-96</v>
      </c>
      <c r="L22" s="28">
        <f t="shared" si="22"/>
        <v>-96</v>
      </c>
      <c r="M22" s="28">
        <f t="shared" si="22"/>
        <v>96</v>
      </c>
      <c r="N22" s="28">
        <f t="shared" si="22"/>
        <v>96</v>
      </c>
      <c r="P22" s="56"/>
      <c r="W22" s="56"/>
    </row>
    <row r="23">
      <c r="A23" s="28">
        <f t="shared" si="5"/>
        <v>20</v>
      </c>
      <c r="B23" s="25">
        <v>-50.0</v>
      </c>
      <c r="C23" s="25">
        <v>-202.0</v>
      </c>
      <c r="D23" s="25">
        <v>110.0</v>
      </c>
      <c r="E23" s="25">
        <v>142.0</v>
      </c>
      <c r="F23" s="28">
        <f t="shared" si="3"/>
        <v>0</v>
      </c>
      <c r="J23" s="56"/>
      <c r="K23" s="28">
        <f t="shared" ref="K23:N23" si="23">B23-B22</f>
        <v>-24</v>
      </c>
      <c r="L23" s="28">
        <f t="shared" si="23"/>
        <v>10</v>
      </c>
      <c r="M23" s="28">
        <f t="shared" si="23"/>
        <v>8</v>
      </c>
      <c r="N23" s="28">
        <f t="shared" si="23"/>
        <v>8</v>
      </c>
      <c r="P23" s="56"/>
      <c r="W23" s="56"/>
    </row>
    <row r="24">
      <c r="A24" s="28">
        <f t="shared" si="5"/>
        <v>21</v>
      </c>
      <c r="B24" s="25">
        <v>-42.0</v>
      </c>
      <c r="C24" s="25">
        <v>-196.0</v>
      </c>
      <c r="D24" s="25">
        <v>86.0</v>
      </c>
      <c r="E24" s="25">
        <v>150.0</v>
      </c>
      <c r="F24" s="28">
        <f t="shared" si="3"/>
        <v>-2</v>
      </c>
      <c r="J24" s="56"/>
      <c r="K24" s="28">
        <f t="shared" ref="K24:N24" si="24">B24-B23</f>
        <v>8</v>
      </c>
      <c r="L24" s="179">
        <f t="shared" si="24"/>
        <v>6</v>
      </c>
      <c r="M24" s="28">
        <f t="shared" si="24"/>
        <v>-24</v>
      </c>
      <c r="N24" s="28">
        <f t="shared" si="24"/>
        <v>8</v>
      </c>
      <c r="P24" s="56"/>
      <c r="W24" s="56"/>
    </row>
    <row r="25">
      <c r="A25" s="28">
        <f t="shared" si="5"/>
        <v>22</v>
      </c>
      <c r="B25" s="25">
        <v>-36.0</v>
      </c>
      <c r="C25" s="25">
        <v>-188.0</v>
      </c>
      <c r="D25" s="25">
        <v>94.0</v>
      </c>
      <c r="E25" s="25">
        <v>126.0</v>
      </c>
      <c r="F25" s="28">
        <f t="shared" si="3"/>
        <v>-4</v>
      </c>
      <c r="J25" s="56"/>
      <c r="K25" s="179">
        <f t="shared" ref="K25:N25" si="25">B25-B24</f>
        <v>6</v>
      </c>
      <c r="L25" s="28">
        <f t="shared" si="25"/>
        <v>8</v>
      </c>
      <c r="M25" s="28">
        <f t="shared" si="25"/>
        <v>8</v>
      </c>
      <c r="N25" s="28">
        <f t="shared" si="25"/>
        <v>-24</v>
      </c>
      <c r="P25" s="56"/>
      <c r="W25" s="56"/>
    </row>
    <row r="26">
      <c r="A26" s="28">
        <f t="shared" si="5"/>
        <v>23</v>
      </c>
      <c r="B26" s="25">
        <v>12.0</v>
      </c>
      <c r="C26" s="25">
        <v>-140.0</v>
      </c>
      <c r="D26" s="25">
        <v>46.0</v>
      </c>
      <c r="E26" s="25">
        <v>78.0</v>
      </c>
      <c r="F26" s="28">
        <f t="shared" si="3"/>
        <v>-4</v>
      </c>
      <c r="J26" s="56"/>
      <c r="K26" s="28">
        <f t="shared" ref="K26:N26" si="26">B26-B25</f>
        <v>48</v>
      </c>
      <c r="L26" s="28">
        <f t="shared" si="26"/>
        <v>48</v>
      </c>
      <c r="M26" s="28">
        <f t="shared" si="26"/>
        <v>-48</v>
      </c>
      <c r="N26" s="28">
        <f t="shared" si="26"/>
        <v>-48</v>
      </c>
      <c r="P26" s="56"/>
      <c r="W26" s="56"/>
    </row>
    <row r="27">
      <c r="A27" s="28">
        <f t="shared" si="5"/>
        <v>24</v>
      </c>
      <c r="B27" s="25">
        <v>20.0</v>
      </c>
      <c r="C27" s="25">
        <v>-148.0</v>
      </c>
      <c r="D27" s="25">
        <v>38.0</v>
      </c>
      <c r="E27" s="25">
        <v>86.0</v>
      </c>
      <c r="F27" s="28">
        <f t="shared" si="3"/>
        <v>-4</v>
      </c>
      <c r="J27" s="56"/>
      <c r="K27" s="28">
        <f t="shared" ref="K27:N27" si="27">B27-B26</f>
        <v>8</v>
      </c>
      <c r="L27" s="28">
        <f t="shared" si="27"/>
        <v>-8</v>
      </c>
      <c r="M27" s="28">
        <f t="shared" si="27"/>
        <v>-8</v>
      </c>
      <c r="N27" s="28">
        <f t="shared" si="27"/>
        <v>8</v>
      </c>
      <c r="P27" s="56"/>
      <c r="W27" s="56"/>
    </row>
    <row r="28">
      <c r="A28" s="28">
        <f t="shared" si="5"/>
        <v>25</v>
      </c>
      <c r="B28" s="25">
        <v>-60.0</v>
      </c>
      <c r="C28" s="25">
        <v>-228.0</v>
      </c>
      <c r="D28" s="25">
        <v>118.0</v>
      </c>
      <c r="E28" s="25">
        <v>166.0</v>
      </c>
      <c r="F28" s="28">
        <f t="shared" si="3"/>
        <v>-4</v>
      </c>
      <c r="J28" s="56"/>
      <c r="K28" s="28">
        <f t="shared" ref="K28:N28" si="28">B28-B27</f>
        <v>-80</v>
      </c>
      <c r="L28" s="28">
        <f t="shared" si="28"/>
        <v>-80</v>
      </c>
      <c r="M28" s="28">
        <f t="shared" si="28"/>
        <v>80</v>
      </c>
      <c r="N28" s="28">
        <f t="shared" si="28"/>
        <v>80</v>
      </c>
      <c r="P28" s="56"/>
      <c r="W28" s="56"/>
    </row>
    <row r="29">
      <c r="A29" s="28">
        <f t="shared" si="5"/>
        <v>26</v>
      </c>
      <c r="B29" s="25">
        <v>-64.0</v>
      </c>
      <c r="C29" s="25">
        <v>-224.0</v>
      </c>
      <c r="D29" s="25">
        <v>122.0</v>
      </c>
      <c r="E29" s="25">
        <v>162.0</v>
      </c>
      <c r="F29" s="28">
        <f t="shared" si="3"/>
        <v>-4</v>
      </c>
      <c r="J29" s="56"/>
      <c r="K29" s="28">
        <f t="shared" ref="K29:N29" si="29">B29-B28</f>
        <v>-4</v>
      </c>
      <c r="L29" s="28">
        <f t="shared" si="29"/>
        <v>4</v>
      </c>
      <c r="M29" s="28">
        <f t="shared" si="29"/>
        <v>4</v>
      </c>
      <c r="N29" s="28">
        <f t="shared" si="29"/>
        <v>-4</v>
      </c>
      <c r="P29" s="56"/>
      <c r="W29" s="56"/>
    </row>
    <row r="30">
      <c r="A30" s="28">
        <f t="shared" si="5"/>
        <v>27</v>
      </c>
      <c r="B30" s="25">
        <v>-52.0</v>
      </c>
      <c r="C30" s="25">
        <v>-228.0</v>
      </c>
      <c r="D30" s="25">
        <v>118.0</v>
      </c>
      <c r="E30" s="25">
        <v>158.0</v>
      </c>
      <c r="F30" s="28">
        <f t="shared" si="3"/>
        <v>-4</v>
      </c>
      <c r="J30" s="56"/>
      <c r="K30" s="28">
        <f t="shared" ref="K30:N30" si="30">B30-B29</f>
        <v>12</v>
      </c>
      <c r="L30" s="28">
        <f t="shared" si="30"/>
        <v>-4</v>
      </c>
      <c r="M30" s="28">
        <f t="shared" si="30"/>
        <v>-4</v>
      </c>
      <c r="N30" s="28">
        <f t="shared" si="30"/>
        <v>-4</v>
      </c>
      <c r="P30" s="56"/>
      <c r="W30" s="56"/>
    </row>
    <row r="31">
      <c r="A31" s="28">
        <f t="shared" si="5"/>
        <v>28</v>
      </c>
      <c r="B31" s="25">
        <v>-76.0</v>
      </c>
      <c r="C31" s="25">
        <v>-252.0</v>
      </c>
      <c r="D31" s="25">
        <v>142.0</v>
      </c>
      <c r="E31" s="25">
        <v>182.0</v>
      </c>
      <c r="F31" s="28">
        <f t="shared" si="3"/>
        <v>-4</v>
      </c>
      <c r="J31" s="56"/>
      <c r="K31" s="28">
        <f t="shared" ref="K31:N31" si="31">B31-B30</f>
        <v>-24</v>
      </c>
      <c r="L31" s="28">
        <f t="shared" si="31"/>
        <v>-24</v>
      </c>
      <c r="M31" s="28">
        <f t="shared" si="31"/>
        <v>24</v>
      </c>
      <c r="N31" s="28">
        <f t="shared" si="31"/>
        <v>24</v>
      </c>
      <c r="P31" s="56"/>
      <c r="W31" s="56"/>
    </row>
    <row r="32">
      <c r="A32" s="28">
        <f t="shared" si="5"/>
        <v>29</v>
      </c>
      <c r="B32" s="25">
        <v>-72.0</v>
      </c>
      <c r="C32" s="25">
        <v>-256.0</v>
      </c>
      <c r="D32" s="25">
        <v>138.0</v>
      </c>
      <c r="E32" s="25">
        <v>186.0</v>
      </c>
      <c r="F32" s="28">
        <f t="shared" si="3"/>
        <v>-4</v>
      </c>
      <c r="J32" s="56"/>
      <c r="K32" s="28">
        <f t="shared" ref="K32:N32" si="32">B32-B31</f>
        <v>4</v>
      </c>
      <c r="L32" s="28">
        <f t="shared" si="32"/>
        <v>-4</v>
      </c>
      <c r="M32" s="28">
        <f t="shared" si="32"/>
        <v>-4</v>
      </c>
      <c r="N32" s="28">
        <f t="shared" si="32"/>
        <v>4</v>
      </c>
      <c r="P32" s="56"/>
      <c r="W32" s="56"/>
    </row>
    <row r="33">
      <c r="J33" s="56"/>
      <c r="P33" s="56"/>
      <c r="W33" s="56"/>
    </row>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f>'00_Regnskab_01'!A7</f>
        <v>5</v>
      </c>
      <c r="B1" s="193">
        <f>'00_Regnskab_01'!C7</f>
        <v>43000</v>
      </c>
      <c r="C1" s="42"/>
      <c r="D1" s="42" t="str">
        <f>'00_Regnskab_01'!L7</f>
        <v>Janus, Berlin</v>
      </c>
      <c r="E1" s="42"/>
      <c r="F1" s="42"/>
      <c r="G1" s="42"/>
      <c r="H1" s="42"/>
      <c r="I1" s="42"/>
    </row>
    <row r="2">
      <c r="B2" s="25" t="s">
        <v>285</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
    <col customWidth="1" min="2" max="11" width="7.63"/>
  </cols>
  <sheetData>
    <row r="1">
      <c r="A1" s="40">
        <f>'00_Regnskab_01'!A8</f>
        <v>6</v>
      </c>
      <c r="B1" s="193">
        <f>'00_Regnskab_01'!C8</f>
        <v>43001</v>
      </c>
      <c r="C1" s="42"/>
      <c r="D1" s="42" t="str">
        <f>'00_Regnskab_01'!L8</f>
        <v>Janus, Berlin</v>
      </c>
      <c r="E1" s="42"/>
      <c r="F1" s="42"/>
      <c r="G1" s="42"/>
      <c r="H1" s="42"/>
      <c r="I1" s="42"/>
    </row>
    <row r="2">
      <c r="A2" s="25" t="s">
        <v>78</v>
      </c>
      <c r="B2" s="28" t="s">
        <v>286</v>
      </c>
      <c r="C2" s="28" t="s">
        <v>287</v>
      </c>
      <c r="D2" s="28" t="s">
        <v>8</v>
      </c>
      <c r="E2" s="28" t="s">
        <v>10</v>
      </c>
      <c r="F2" s="28" t="s">
        <v>288</v>
      </c>
    </row>
    <row r="3">
      <c r="A3" s="25">
        <v>1.0</v>
      </c>
      <c r="B3" s="28">
        <v>140.0</v>
      </c>
      <c r="C3" s="28">
        <v>-84.0</v>
      </c>
      <c r="D3" s="28">
        <v>-68.0</v>
      </c>
      <c r="E3" s="28">
        <v>12.0</v>
      </c>
      <c r="F3" s="28">
        <f t="shared" ref="F3:F4" si="1">SUM(B3:E3)</f>
        <v>0</v>
      </c>
    </row>
    <row r="4">
      <c r="A4" s="28">
        <f>A3+1</f>
        <v>2</v>
      </c>
      <c r="B4" s="28">
        <v>132.0</v>
      </c>
      <c r="C4" s="28">
        <v>-92.0</v>
      </c>
      <c r="D4" s="28">
        <v>-60.0</v>
      </c>
      <c r="E4" s="28">
        <v>20.0</v>
      </c>
      <c r="F4" s="28">
        <f t="shared" si="1"/>
        <v>0</v>
      </c>
    </row>
    <row r="5">
      <c r="A5" s="25">
        <v>2.0</v>
      </c>
      <c r="B5" s="28">
        <v>140.0</v>
      </c>
      <c r="C5" s="28">
        <v>-84.0</v>
      </c>
      <c r="D5" s="28">
        <v>-52.0</v>
      </c>
      <c r="E5" s="28">
        <v>-4.0</v>
      </c>
      <c r="F5" s="28">
        <f t="shared" ref="F5:F6" si="2">SUM(B4:E4)</f>
        <v>0</v>
      </c>
    </row>
    <row r="6">
      <c r="A6" s="28">
        <f>A5+1</f>
        <v>3</v>
      </c>
      <c r="B6" s="28">
        <v>156.0</v>
      </c>
      <c r="C6" s="28">
        <v>-68.0</v>
      </c>
      <c r="D6" s="28">
        <v>-100.0</v>
      </c>
      <c r="E6" s="28">
        <v>12.0</v>
      </c>
      <c r="F6" s="28">
        <f t="shared" si="2"/>
        <v>0</v>
      </c>
    </row>
    <row r="7">
      <c r="A7" s="25">
        <v>3.0</v>
      </c>
      <c r="B7" s="28">
        <v>172.0</v>
      </c>
      <c r="C7" s="28">
        <v>-84.0</v>
      </c>
      <c r="D7" s="28">
        <v>-116.0</v>
      </c>
      <c r="E7" s="28">
        <v>28.0</v>
      </c>
      <c r="F7" s="28">
        <f t="shared" ref="F7:F28" si="3">SUM(B7:E7)</f>
        <v>0</v>
      </c>
    </row>
    <row r="8">
      <c r="A8" s="28">
        <f>A7+1</f>
        <v>4</v>
      </c>
      <c r="B8" s="28">
        <v>164.0</v>
      </c>
      <c r="C8" s="28">
        <v>-76.0</v>
      </c>
      <c r="D8" s="28">
        <v>-108.0</v>
      </c>
      <c r="E8" s="28">
        <v>20.0</v>
      </c>
      <c r="F8" s="28">
        <f t="shared" si="3"/>
        <v>0</v>
      </c>
    </row>
    <row r="9">
      <c r="A9" s="25">
        <v>4.0</v>
      </c>
      <c r="B9" s="28">
        <v>172.0</v>
      </c>
      <c r="C9" s="28">
        <v>-68.0</v>
      </c>
      <c r="D9" s="28">
        <v>-116.0</v>
      </c>
      <c r="E9" s="28">
        <v>12.0</v>
      </c>
      <c r="F9" s="28">
        <f t="shared" si="3"/>
        <v>0</v>
      </c>
    </row>
    <row r="10">
      <c r="A10" s="28">
        <f>A9+1</f>
        <v>5</v>
      </c>
      <c r="B10" s="28">
        <v>428.0</v>
      </c>
      <c r="C10" s="28">
        <v>-324.0</v>
      </c>
      <c r="D10" s="28">
        <v>140.0</v>
      </c>
      <c r="E10" s="28">
        <v>-244.0</v>
      </c>
      <c r="F10" s="28">
        <f t="shared" si="3"/>
        <v>0</v>
      </c>
    </row>
    <row r="11">
      <c r="A11" s="25">
        <v>5.0</v>
      </c>
      <c r="B11" s="28">
        <v>436.0</v>
      </c>
      <c r="C11" s="28">
        <v>-348.0</v>
      </c>
      <c r="D11" s="28">
        <v>148.0</v>
      </c>
      <c r="E11" s="28">
        <v>-236.0</v>
      </c>
      <c r="F11" s="28">
        <f t="shared" si="3"/>
        <v>0</v>
      </c>
    </row>
    <row r="12">
      <c r="A12" s="28">
        <f>A11+1</f>
        <v>6</v>
      </c>
      <c r="B12" s="28">
        <v>404.0</v>
      </c>
      <c r="C12" s="28">
        <v>-316.0</v>
      </c>
      <c r="D12" s="28">
        <v>116.0</v>
      </c>
      <c r="E12" s="28">
        <v>-204.0</v>
      </c>
      <c r="F12" s="28">
        <f t="shared" si="3"/>
        <v>0</v>
      </c>
    </row>
    <row r="13">
      <c r="A13" s="25">
        <v>6.0</v>
      </c>
      <c r="B13" s="28">
        <v>392.0</v>
      </c>
      <c r="C13" s="28">
        <v>-328.0</v>
      </c>
      <c r="D13" s="28">
        <v>128.0</v>
      </c>
      <c r="E13" s="28">
        <v>-192.0</v>
      </c>
      <c r="F13" s="28">
        <f t="shared" si="3"/>
        <v>0</v>
      </c>
    </row>
    <row r="14">
      <c r="A14" s="28">
        <f>A13+1</f>
        <v>7</v>
      </c>
      <c r="B14" s="28">
        <v>396.0</v>
      </c>
      <c r="C14" s="28">
        <v>-332.0</v>
      </c>
      <c r="D14" s="28">
        <v>124.0</v>
      </c>
      <c r="E14" s="28">
        <v>-188.0</v>
      </c>
      <c r="F14" s="28">
        <f t="shared" si="3"/>
        <v>0</v>
      </c>
    </row>
    <row r="15">
      <c r="A15" s="25">
        <v>7.0</v>
      </c>
      <c r="B15" s="28">
        <v>398.0</v>
      </c>
      <c r="C15" s="28">
        <v>-338.0</v>
      </c>
      <c r="D15" s="28">
        <v>126.0</v>
      </c>
      <c r="E15" s="28">
        <v>-186.0</v>
      </c>
      <c r="F15" s="28">
        <f t="shared" si="3"/>
        <v>0</v>
      </c>
    </row>
    <row r="16">
      <c r="A16" s="28">
        <f>A15+1</f>
        <v>8</v>
      </c>
      <c r="B16" s="28">
        <v>406.0</v>
      </c>
      <c r="C16" s="28">
        <v>-330.0</v>
      </c>
      <c r="D16" s="28">
        <v>102.0</v>
      </c>
      <c r="E16" s="28">
        <v>-178.0</v>
      </c>
      <c r="F16" s="28">
        <f t="shared" si="3"/>
        <v>0</v>
      </c>
    </row>
    <row r="17">
      <c r="A17" s="25">
        <v>8.0</v>
      </c>
      <c r="B17" s="28">
        <v>398.0</v>
      </c>
      <c r="C17" s="28">
        <v>-322.0</v>
      </c>
      <c r="D17" s="28">
        <v>110.0</v>
      </c>
      <c r="E17" s="28">
        <v>-186.0</v>
      </c>
      <c r="F17" s="28">
        <f t="shared" si="3"/>
        <v>0</v>
      </c>
    </row>
    <row r="18">
      <c r="A18" s="28">
        <f>A17+1</f>
        <v>9</v>
      </c>
      <c r="B18" s="28">
        <v>414.0</v>
      </c>
      <c r="C18" s="28">
        <v>-306.0</v>
      </c>
      <c r="D18" s="28">
        <v>94.0</v>
      </c>
      <c r="E18" s="28">
        <v>-202.0</v>
      </c>
      <c r="F18" s="28">
        <f t="shared" si="3"/>
        <v>0</v>
      </c>
    </row>
    <row r="19">
      <c r="A19" s="25">
        <v>9.0</v>
      </c>
      <c r="B19" s="28">
        <v>410.0</v>
      </c>
      <c r="C19" s="28">
        <v>-294.0</v>
      </c>
      <c r="D19" s="28">
        <v>90.0</v>
      </c>
      <c r="E19" s="28">
        <v>-206.0</v>
      </c>
      <c r="F19" s="28">
        <f t="shared" si="3"/>
        <v>0</v>
      </c>
    </row>
    <row r="20">
      <c r="A20" s="28">
        <f>A19+1</f>
        <v>10</v>
      </c>
      <c r="B20" s="28">
        <v>394.0</v>
      </c>
      <c r="C20" s="28">
        <v>-278.0</v>
      </c>
      <c r="D20" s="28">
        <v>106.0</v>
      </c>
      <c r="E20" s="28">
        <v>-222.0</v>
      </c>
      <c r="F20" s="28">
        <f t="shared" si="3"/>
        <v>0</v>
      </c>
    </row>
    <row r="21">
      <c r="A21" s="25">
        <v>10.0</v>
      </c>
      <c r="B21" s="28">
        <v>402.0</v>
      </c>
      <c r="C21" s="28">
        <v>-270.0</v>
      </c>
      <c r="D21" s="28">
        <v>82.0</v>
      </c>
      <c r="E21" s="28">
        <v>-214.0</v>
      </c>
      <c r="F21" s="28">
        <f t="shared" si="3"/>
        <v>0</v>
      </c>
    </row>
    <row r="22">
      <c r="A22" s="28">
        <f>A21+1</f>
        <v>11</v>
      </c>
      <c r="B22" s="28">
        <v>498.0</v>
      </c>
      <c r="C22" s="28">
        <v>-366.0</v>
      </c>
      <c r="D22" s="28">
        <v>178.0</v>
      </c>
      <c r="E22" s="28">
        <v>-310.0</v>
      </c>
      <c r="F22" s="28">
        <f t="shared" si="3"/>
        <v>0</v>
      </c>
    </row>
    <row r="23">
      <c r="A23" s="25">
        <v>11.0</v>
      </c>
      <c r="B23" s="28">
        <v>482.0</v>
      </c>
      <c r="C23" s="28">
        <v>-350.0</v>
      </c>
      <c r="D23" s="28">
        <v>194.0</v>
      </c>
      <c r="E23" s="28">
        <v>-326.0</v>
      </c>
      <c r="F23" s="28">
        <f t="shared" si="3"/>
        <v>0</v>
      </c>
    </row>
    <row r="24">
      <c r="A24" s="28">
        <f>A23+1</f>
        <v>12</v>
      </c>
      <c r="B24" s="28">
        <v>478.0</v>
      </c>
      <c r="C24" s="28">
        <v>-338.0</v>
      </c>
      <c r="D24" s="28">
        <v>190.0</v>
      </c>
      <c r="E24" s="28">
        <v>-330.0</v>
      </c>
      <c r="F24" s="28">
        <f t="shared" si="3"/>
        <v>0</v>
      </c>
    </row>
    <row r="25">
      <c r="A25" s="25">
        <v>12.0</v>
      </c>
      <c r="B25" s="28">
        <v>526.0</v>
      </c>
      <c r="C25" s="28">
        <v>-386.0</v>
      </c>
      <c r="D25" s="28">
        <v>142.0</v>
      </c>
      <c r="E25" s="28">
        <v>-282.0</v>
      </c>
      <c r="F25" s="28">
        <f t="shared" si="3"/>
        <v>0</v>
      </c>
    </row>
    <row r="26">
      <c r="A26" s="28">
        <f>A25+1</f>
        <v>13</v>
      </c>
      <c r="B26" s="28">
        <v>550.0</v>
      </c>
      <c r="C26" s="28">
        <v>-410.0</v>
      </c>
      <c r="D26" s="28">
        <v>118.0</v>
      </c>
      <c r="E26" s="28">
        <v>-258.0</v>
      </c>
      <c r="F26" s="28">
        <f t="shared" si="3"/>
        <v>0</v>
      </c>
    </row>
    <row r="27">
      <c r="A27" s="25">
        <v>13.0</v>
      </c>
      <c r="B27" s="28">
        <v>558.0</v>
      </c>
      <c r="C27" s="28">
        <v>-402.0</v>
      </c>
      <c r="D27" s="28">
        <v>110.0</v>
      </c>
      <c r="E27" s="28">
        <v>-266.0</v>
      </c>
      <c r="F27" s="28">
        <f t="shared" si="3"/>
        <v>0</v>
      </c>
    </row>
    <row r="28">
      <c r="A28" s="28">
        <f>A27+1</f>
        <v>14</v>
      </c>
      <c r="B28" s="28">
        <v>554.0</v>
      </c>
      <c r="C28" s="28">
        <v>-398.0</v>
      </c>
      <c r="D28" s="28">
        <v>106.0</v>
      </c>
      <c r="E28" s="28">
        <v>-262.0</v>
      </c>
      <c r="F28" s="28">
        <f t="shared" si="3"/>
        <v>0</v>
      </c>
    </row>
    <row r="29"/>
  </sheetData>
  <printOptions/>
  <pageMargins bottom="0.0" footer="0.0" header="0.0" left="0.0" right="0.0" top="0.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38"/>
    <col customWidth="1" min="2" max="9" width="7.63"/>
  </cols>
  <sheetData>
    <row r="1">
      <c r="A1" s="40">
        <f>'00_Regnskab_01'!A9</f>
        <v>7</v>
      </c>
      <c r="B1" s="193">
        <f>'00_Regnskab_01'!C9</f>
        <v>43002</v>
      </c>
      <c r="C1" s="42"/>
      <c r="D1" s="42" t="str">
        <f>'00_Regnskab_01'!L9</f>
        <v>Janus, Berlin</v>
      </c>
      <c r="E1" s="42"/>
      <c r="F1" s="42"/>
      <c r="G1" s="42"/>
      <c r="H1" s="42"/>
      <c r="I1" s="42"/>
    </row>
    <row r="2">
      <c r="A2" s="46" t="s">
        <v>78</v>
      </c>
      <c r="B2" s="28" t="s">
        <v>7</v>
      </c>
      <c r="C2" s="28" t="s">
        <v>10</v>
      </c>
      <c r="D2" s="28" t="s">
        <v>9</v>
      </c>
      <c r="E2" s="28" t="s">
        <v>8</v>
      </c>
      <c r="F2" s="28" t="s">
        <v>288</v>
      </c>
    </row>
    <row r="3">
      <c r="A3" s="46">
        <v>1.0</v>
      </c>
      <c r="B3" s="28">
        <v>-48.0</v>
      </c>
      <c r="C3" s="28">
        <v>48.0</v>
      </c>
      <c r="D3" s="28">
        <v>48.0</v>
      </c>
      <c r="E3" s="28">
        <v>-48.0</v>
      </c>
      <c r="F3" s="28">
        <f t="shared" ref="F3:F9" si="1">SUM(B3:E3)</f>
        <v>0</v>
      </c>
    </row>
    <row r="4">
      <c r="A4" s="56">
        <f t="shared" ref="A4:A13" si="2">A3+1</f>
        <v>2</v>
      </c>
      <c r="B4" s="28">
        <v>-16.0</v>
      </c>
      <c r="C4" s="28">
        <v>16.0</v>
      </c>
      <c r="D4" s="28">
        <v>16.0</v>
      </c>
      <c r="E4" s="28">
        <v>-16.0</v>
      </c>
      <c r="F4" s="28">
        <f t="shared" si="1"/>
        <v>0</v>
      </c>
    </row>
    <row r="5">
      <c r="A5" s="56">
        <f t="shared" si="2"/>
        <v>3</v>
      </c>
      <c r="B5" s="28">
        <v>-40.0</v>
      </c>
      <c r="C5" s="28">
        <v>24.0</v>
      </c>
      <c r="D5" s="28">
        <v>24.0</v>
      </c>
      <c r="E5" s="28">
        <v>-8.0</v>
      </c>
      <c r="F5" s="28">
        <f t="shared" si="1"/>
        <v>0</v>
      </c>
    </row>
    <row r="6">
      <c r="A6" s="56">
        <f t="shared" si="2"/>
        <v>4</v>
      </c>
      <c r="B6" s="28">
        <v>-44.0</v>
      </c>
      <c r="C6" s="28">
        <v>20.0</v>
      </c>
      <c r="D6" s="28">
        <v>36.0</v>
      </c>
      <c r="E6" s="28">
        <v>-12.0</v>
      </c>
      <c r="F6" s="28">
        <f t="shared" si="1"/>
        <v>0</v>
      </c>
    </row>
    <row r="7">
      <c r="A7" s="56">
        <f t="shared" si="2"/>
        <v>5</v>
      </c>
      <c r="B7" s="28">
        <v>-36.0</v>
      </c>
      <c r="C7" s="28">
        <v>28.0</v>
      </c>
      <c r="D7" s="28">
        <v>28.0</v>
      </c>
      <c r="E7" s="28">
        <v>-20.0</v>
      </c>
      <c r="F7" s="28">
        <f t="shared" si="1"/>
        <v>0</v>
      </c>
    </row>
    <row r="8">
      <c r="A8" s="56">
        <f t="shared" si="2"/>
        <v>6</v>
      </c>
      <c r="B8" s="28">
        <v>-28.0</v>
      </c>
      <c r="C8" s="28">
        <v>20.0</v>
      </c>
      <c r="D8" s="28">
        <v>20.0</v>
      </c>
      <c r="E8" s="28">
        <v>-12.0</v>
      </c>
      <c r="F8" s="28">
        <f t="shared" si="1"/>
        <v>0</v>
      </c>
    </row>
    <row r="9">
      <c r="A9" s="56">
        <f t="shared" si="2"/>
        <v>7</v>
      </c>
      <c r="B9" s="28">
        <v>-24.0</v>
      </c>
      <c r="C9" s="28">
        <v>24.0</v>
      </c>
      <c r="D9" s="28">
        <v>16.0</v>
      </c>
      <c r="E9" s="28">
        <v>-16.0</v>
      </c>
      <c r="F9" s="28">
        <f t="shared" si="1"/>
        <v>0</v>
      </c>
    </row>
    <row r="10">
      <c r="A10" s="56">
        <f t="shared" si="2"/>
        <v>8</v>
      </c>
      <c r="B10" s="28">
        <v>-32.0</v>
      </c>
      <c r="C10" s="28">
        <v>16.0</v>
      </c>
      <c r="D10" s="28">
        <v>8.0</v>
      </c>
      <c r="E10" s="28">
        <v>8.0</v>
      </c>
      <c r="F10" s="28">
        <v>0.0</v>
      </c>
    </row>
    <row r="11">
      <c r="A11" s="56">
        <f t="shared" si="2"/>
        <v>9</v>
      </c>
      <c r="B11" s="28">
        <v>-28.0</v>
      </c>
      <c r="C11" s="28">
        <v>4.0</v>
      </c>
      <c r="D11" s="28">
        <v>12.0</v>
      </c>
      <c r="E11" s="28">
        <v>12.0</v>
      </c>
      <c r="F11" s="28">
        <f t="shared" ref="F11:F13" si="3">SUM(B11:E11)</f>
        <v>0</v>
      </c>
    </row>
    <row r="12">
      <c r="A12" s="56">
        <f t="shared" si="2"/>
        <v>10</v>
      </c>
      <c r="B12" s="28">
        <v>-32.0</v>
      </c>
      <c r="C12" s="28">
        <v>8.0</v>
      </c>
      <c r="D12" s="28">
        <v>8.0</v>
      </c>
      <c r="E12" s="28">
        <v>16.0</v>
      </c>
      <c r="F12" s="28">
        <f t="shared" si="3"/>
        <v>0</v>
      </c>
    </row>
    <row r="13">
      <c r="A13" s="56">
        <f t="shared" si="2"/>
        <v>11</v>
      </c>
      <c r="B13" s="28">
        <v>-56.0</v>
      </c>
      <c r="C13" s="28">
        <v>32.0</v>
      </c>
      <c r="D13" s="28">
        <v>32.0</v>
      </c>
      <c r="E13" s="28">
        <v>-8.0</v>
      </c>
      <c r="F13" s="28">
        <f t="shared" si="3"/>
        <v>0</v>
      </c>
    </row>
    <row r="14">
      <c r="A14" s="56"/>
    </row>
    <row r="15">
      <c r="A15" s="56"/>
    </row>
  </sheetData>
  <printOptions/>
  <pageMargins bottom="0.0" footer="0.0" header="0.0" left="0.0" right="0.0" top="0.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8.88"/>
    <col customWidth="1" min="3" max="4" width="7.63"/>
    <col customWidth="1" min="5" max="5" width="9.88"/>
    <col customWidth="1" min="6" max="6" width="10.13"/>
    <col customWidth="1" min="7" max="7" width="10.75"/>
    <col customWidth="1" min="8" max="8" width="13.13"/>
    <col customWidth="1" min="9" max="9" width="11.88"/>
    <col customWidth="1" min="10" max="19" width="7.63"/>
  </cols>
  <sheetData>
    <row r="1">
      <c r="A1" s="40">
        <f>'00_Regnskab_01'!A10</f>
        <v>8</v>
      </c>
      <c r="B1" s="193">
        <f>'00_Regnskab_01'!C10</f>
        <v>43407</v>
      </c>
      <c r="C1" s="42"/>
      <c r="D1" s="42" t="str">
        <f>'00_Regnskab_01'!L10</f>
        <v>Thomas</v>
      </c>
      <c r="E1" s="42"/>
      <c r="F1" s="42"/>
      <c r="G1" s="42"/>
      <c r="H1" s="42"/>
      <c r="I1" s="42"/>
      <c r="J1" s="42"/>
      <c r="K1" s="197"/>
      <c r="N1" s="198"/>
      <c r="O1" s="198"/>
      <c r="P1" s="198"/>
      <c r="Q1" s="198"/>
      <c r="S1" s="198"/>
    </row>
    <row r="2">
      <c r="A2" s="199" t="s">
        <v>78</v>
      </c>
      <c r="B2" s="197" t="s">
        <v>7</v>
      </c>
      <c r="C2" s="197" t="s">
        <v>9</v>
      </c>
      <c r="D2" s="197" t="s">
        <v>8</v>
      </c>
      <c r="E2" s="197" t="s">
        <v>10</v>
      </c>
      <c r="F2" s="197" t="s">
        <v>278</v>
      </c>
      <c r="G2" s="197" t="s">
        <v>64</v>
      </c>
      <c r="H2" s="197" t="s">
        <v>82</v>
      </c>
      <c r="I2" s="197" t="s">
        <v>83</v>
      </c>
      <c r="J2" s="197" t="s">
        <v>289</v>
      </c>
      <c r="K2" s="197" t="s">
        <v>290</v>
      </c>
      <c r="N2" s="198" t="str">
        <f t="shared" ref="N2:Q2" si="1">B2</f>
        <v>Thomas</v>
      </c>
      <c r="O2" s="198" t="str">
        <f t="shared" si="1"/>
        <v>Janus</v>
      </c>
      <c r="P2" s="198" t="str">
        <f t="shared" si="1"/>
        <v>Peter</v>
      </c>
      <c r="Q2" s="198" t="str">
        <f t="shared" si="1"/>
        <v>Christian</v>
      </c>
      <c r="S2" s="198" t="s">
        <v>79</v>
      </c>
    </row>
    <row r="3">
      <c r="A3" s="200">
        <v>1.0</v>
      </c>
      <c r="B3" s="197">
        <v>48.0</v>
      </c>
      <c r="C3" s="197">
        <v>48.0</v>
      </c>
      <c r="D3" s="197">
        <v>-48.0</v>
      </c>
      <c r="E3" s="197">
        <v>-48.0</v>
      </c>
      <c r="F3" s="197">
        <f t="shared" ref="F3:F19" si="4">SUM(B3:E3)</f>
        <v>0</v>
      </c>
      <c r="G3" s="197" t="s">
        <v>7</v>
      </c>
      <c r="H3" s="199" t="s">
        <v>10</v>
      </c>
      <c r="I3" s="197"/>
      <c r="J3" s="197" t="s">
        <v>291</v>
      </c>
      <c r="K3" s="201">
        <v>0.59375</v>
      </c>
      <c r="N3" s="198">
        <f t="shared" ref="N3:Q3" si="2">B3</f>
        <v>48</v>
      </c>
      <c r="O3" s="198">
        <f t="shared" si="2"/>
        <v>48</v>
      </c>
      <c r="P3" s="198">
        <f t="shared" si="2"/>
        <v>-48</v>
      </c>
      <c r="Q3" s="198">
        <f t="shared" si="2"/>
        <v>-48</v>
      </c>
      <c r="S3" s="198">
        <f t="shared" ref="S3:S19" si="6">SUM(N3:Q3)</f>
        <v>0</v>
      </c>
    </row>
    <row r="4">
      <c r="A4" s="202">
        <f t="shared" ref="A4:A19" si="7">A3+1</f>
        <v>2</v>
      </c>
      <c r="B4" s="197">
        <f>B3+12</f>
        <v>60</v>
      </c>
      <c r="C4" s="197">
        <f t="shared" ref="C4:D4" si="3">C3-12</f>
        <v>36</v>
      </c>
      <c r="D4" s="197">
        <f t="shared" si="3"/>
        <v>-60</v>
      </c>
      <c r="E4" s="197">
        <f>E3+12</f>
        <v>-36</v>
      </c>
      <c r="F4" s="197">
        <f t="shared" si="4"/>
        <v>0</v>
      </c>
      <c r="G4" s="197" t="s">
        <v>9</v>
      </c>
      <c r="H4" s="199" t="s">
        <v>7</v>
      </c>
      <c r="I4" s="197"/>
      <c r="J4" s="197" t="s">
        <v>292</v>
      </c>
      <c r="K4" s="201">
        <v>0.13194444444444445</v>
      </c>
      <c r="N4" s="198">
        <f t="shared" ref="N4:Q4" si="5">SUM(B4-B3)</f>
        <v>12</v>
      </c>
      <c r="O4" s="198">
        <f t="shared" si="5"/>
        <v>-12</v>
      </c>
      <c r="P4" s="198">
        <f t="shared" si="5"/>
        <v>-12</v>
      </c>
      <c r="Q4" s="198">
        <f t="shared" si="5"/>
        <v>12</v>
      </c>
      <c r="S4" s="198">
        <f t="shared" si="6"/>
        <v>0</v>
      </c>
    </row>
    <row r="5">
      <c r="A5" s="202">
        <f t="shared" si="7"/>
        <v>3</v>
      </c>
      <c r="B5" s="197">
        <f t="shared" ref="B5:C5" si="8">B4+16</f>
        <v>76</v>
      </c>
      <c r="C5" s="197">
        <f t="shared" si="8"/>
        <v>52</v>
      </c>
      <c r="D5" s="197">
        <f>D4-3*16</f>
        <v>-108</v>
      </c>
      <c r="E5" s="197">
        <f>E4+16</f>
        <v>-20</v>
      </c>
      <c r="F5" s="197">
        <f t="shared" si="4"/>
        <v>0</v>
      </c>
      <c r="G5" s="197" t="s">
        <v>8</v>
      </c>
      <c r="H5" s="199" t="s">
        <v>9</v>
      </c>
      <c r="I5" s="197"/>
      <c r="J5" s="197"/>
      <c r="K5" s="197"/>
      <c r="N5" s="198">
        <f t="shared" ref="N5:Q5" si="9">SUM(B5-B4)</f>
        <v>16</v>
      </c>
      <c r="O5" s="198">
        <f t="shared" si="9"/>
        <v>16</v>
      </c>
      <c r="P5" s="198">
        <f t="shared" si="9"/>
        <v>-48</v>
      </c>
      <c r="Q5" s="198">
        <f t="shared" si="9"/>
        <v>16</v>
      </c>
      <c r="S5" s="198">
        <f t="shared" si="6"/>
        <v>0</v>
      </c>
    </row>
    <row r="6">
      <c r="A6" s="202">
        <f t="shared" si="7"/>
        <v>4</v>
      </c>
      <c r="B6" s="197">
        <f>B5-12</f>
        <v>64</v>
      </c>
      <c r="C6" s="197">
        <f t="shared" ref="C6:D6" si="10">C5+12</f>
        <v>64</v>
      </c>
      <c r="D6" s="197">
        <f t="shared" si="10"/>
        <v>-96</v>
      </c>
      <c r="E6" s="197">
        <f>E5-12</f>
        <v>-32</v>
      </c>
      <c r="F6" s="197">
        <f t="shared" si="4"/>
        <v>0</v>
      </c>
      <c r="G6" s="197" t="s">
        <v>9</v>
      </c>
      <c r="H6" s="199" t="s">
        <v>8</v>
      </c>
      <c r="I6" s="197"/>
      <c r="J6" s="197"/>
      <c r="K6" s="197"/>
      <c r="N6" s="198">
        <f t="shared" ref="N6:Q6" si="11">SUM(B6-B5)</f>
        <v>-12</v>
      </c>
      <c r="O6" s="198">
        <f t="shared" si="11"/>
        <v>12</v>
      </c>
      <c r="P6" s="198">
        <f t="shared" si="11"/>
        <v>12</v>
      </c>
      <c r="Q6" s="198">
        <f t="shared" si="11"/>
        <v>-12</v>
      </c>
      <c r="S6" s="198">
        <f t="shared" si="6"/>
        <v>0</v>
      </c>
    </row>
    <row r="7">
      <c r="A7" s="202">
        <f t="shared" si="7"/>
        <v>5</v>
      </c>
      <c r="B7" s="197">
        <f t="shared" ref="B7:C7" si="12">B6-16</f>
        <v>48</v>
      </c>
      <c r="C7" s="197">
        <f t="shared" si="12"/>
        <v>48</v>
      </c>
      <c r="D7" s="197">
        <f>D6+3*16</f>
        <v>-48</v>
      </c>
      <c r="E7" s="197">
        <f>E6-16</f>
        <v>-48</v>
      </c>
      <c r="F7" s="197">
        <f t="shared" si="4"/>
        <v>0</v>
      </c>
      <c r="G7" s="197" t="s">
        <v>8</v>
      </c>
      <c r="H7" s="199" t="s">
        <v>10</v>
      </c>
      <c r="I7" s="197"/>
      <c r="J7" s="197"/>
      <c r="K7" s="197"/>
      <c r="N7" s="198">
        <f t="shared" ref="N7:Q7" si="13">SUM(B7-B6)</f>
        <v>-16</v>
      </c>
      <c r="O7" s="198">
        <f t="shared" si="13"/>
        <v>-16</v>
      </c>
      <c r="P7" s="198">
        <f t="shared" si="13"/>
        <v>48</v>
      </c>
      <c r="Q7" s="198">
        <f t="shared" si="13"/>
        <v>-16</v>
      </c>
      <c r="S7" s="198">
        <f t="shared" si="6"/>
        <v>0</v>
      </c>
    </row>
    <row r="8">
      <c r="A8" s="202">
        <f t="shared" si="7"/>
        <v>6</v>
      </c>
      <c r="B8" s="203">
        <f t="shared" ref="B8:C8" si="14">B7+16</f>
        <v>64</v>
      </c>
      <c r="C8" s="203">
        <f t="shared" si="14"/>
        <v>64</v>
      </c>
      <c r="D8" s="203">
        <f>D7-3*16</f>
        <v>-96</v>
      </c>
      <c r="E8" s="203">
        <f>E7+16</f>
        <v>-32</v>
      </c>
      <c r="F8" s="203">
        <f t="shared" si="4"/>
        <v>0</v>
      </c>
      <c r="G8" s="203" t="s">
        <v>8</v>
      </c>
      <c r="H8" s="204" t="s">
        <v>7</v>
      </c>
      <c r="I8" s="203"/>
      <c r="J8" s="203"/>
      <c r="K8" s="203"/>
      <c r="N8" s="198">
        <f t="shared" ref="N8:Q8" si="15">SUM(B8-B7)</f>
        <v>16</v>
      </c>
      <c r="O8" s="198">
        <f t="shared" si="15"/>
        <v>16</v>
      </c>
      <c r="P8" s="198">
        <f t="shared" si="15"/>
        <v>-48</v>
      </c>
      <c r="Q8" s="198">
        <f t="shared" si="15"/>
        <v>16</v>
      </c>
      <c r="S8" s="198">
        <f t="shared" si="6"/>
        <v>0</v>
      </c>
    </row>
    <row r="9">
      <c r="A9" s="202">
        <f t="shared" si="7"/>
        <v>7</v>
      </c>
      <c r="B9" s="198">
        <f t="shared" ref="B9:C9" si="16">B8-160</f>
        <v>-96</v>
      </c>
      <c r="C9" s="198">
        <f t="shared" si="16"/>
        <v>-96</v>
      </c>
      <c r="D9" s="198">
        <f t="shared" ref="D9:E9" si="17">D8+160</f>
        <v>64</v>
      </c>
      <c r="E9" s="198">
        <f t="shared" si="17"/>
        <v>128</v>
      </c>
      <c r="F9" s="205">
        <f t="shared" si="4"/>
        <v>0</v>
      </c>
      <c r="G9" s="198" t="s">
        <v>7</v>
      </c>
      <c r="H9" s="206" t="s">
        <v>9</v>
      </c>
      <c r="N9" s="198">
        <f t="shared" ref="N9:Q9" si="18">SUM(B9-B8)</f>
        <v>-160</v>
      </c>
      <c r="O9" s="198">
        <f t="shared" si="18"/>
        <v>-160</v>
      </c>
      <c r="P9" s="198">
        <f t="shared" si="18"/>
        <v>160</v>
      </c>
      <c r="Q9" s="198">
        <f t="shared" si="18"/>
        <v>160</v>
      </c>
      <c r="S9" s="198">
        <f t="shared" si="6"/>
        <v>0</v>
      </c>
    </row>
    <row r="10">
      <c r="A10" s="202">
        <f t="shared" si="7"/>
        <v>8</v>
      </c>
      <c r="B10" s="198">
        <f>B9+12</f>
        <v>-84</v>
      </c>
      <c r="C10" s="198">
        <f>C9-12</f>
        <v>-108</v>
      </c>
      <c r="D10" s="198">
        <f>D9+12</f>
        <v>76</v>
      </c>
      <c r="E10" s="198">
        <f>E9-12</f>
        <v>116</v>
      </c>
      <c r="F10" s="205">
        <f t="shared" si="4"/>
        <v>0</v>
      </c>
      <c r="G10" s="198" t="s">
        <v>10</v>
      </c>
      <c r="H10" s="206" t="s">
        <v>8</v>
      </c>
      <c r="N10" s="198">
        <f t="shared" ref="N10:Q10" si="19">SUM(B10-B9)</f>
        <v>12</v>
      </c>
      <c r="O10" s="198">
        <f t="shared" si="19"/>
        <v>-12</v>
      </c>
      <c r="P10" s="198">
        <f t="shared" si="19"/>
        <v>12</v>
      </c>
      <c r="Q10" s="198">
        <f t="shared" si="19"/>
        <v>-12</v>
      </c>
      <c r="S10" s="198">
        <f t="shared" si="6"/>
        <v>0</v>
      </c>
    </row>
    <row r="11">
      <c r="A11" s="202">
        <f t="shared" si="7"/>
        <v>9</v>
      </c>
      <c r="B11" s="198">
        <f>B10-64</f>
        <v>-148</v>
      </c>
      <c r="C11" s="198">
        <f>C10+64</f>
        <v>-44</v>
      </c>
      <c r="D11" s="198">
        <f t="shared" ref="D11:D12" si="22">D10-64</f>
        <v>12</v>
      </c>
      <c r="E11" s="198">
        <f>E10+64</f>
        <v>180</v>
      </c>
      <c r="F11" s="205">
        <f t="shared" si="4"/>
        <v>0</v>
      </c>
      <c r="G11" s="198" t="s">
        <v>8</v>
      </c>
      <c r="H11" s="206" t="s">
        <v>10</v>
      </c>
      <c r="N11" s="198">
        <f t="shared" ref="N11:Q11" si="20">SUM(B11-B10)</f>
        <v>-64</v>
      </c>
      <c r="O11" s="198">
        <f t="shared" si="20"/>
        <v>64</v>
      </c>
      <c r="P11" s="198">
        <f t="shared" si="20"/>
        <v>-64</v>
      </c>
      <c r="Q11" s="198">
        <f t="shared" si="20"/>
        <v>64</v>
      </c>
      <c r="S11" s="198">
        <f t="shared" si="6"/>
        <v>0</v>
      </c>
    </row>
    <row r="12">
      <c r="A12" s="202">
        <f t="shared" si="7"/>
        <v>10</v>
      </c>
      <c r="B12" s="198">
        <f t="shared" ref="B12:C12" si="21">B11+64</f>
        <v>-84</v>
      </c>
      <c r="C12" s="198">
        <f t="shared" si="21"/>
        <v>20</v>
      </c>
      <c r="D12" s="198">
        <f t="shared" si="22"/>
        <v>-52</v>
      </c>
      <c r="E12" s="198">
        <f>E11-64</f>
        <v>116</v>
      </c>
      <c r="F12" s="205">
        <f t="shared" si="4"/>
        <v>0</v>
      </c>
      <c r="G12" s="198" t="s">
        <v>7</v>
      </c>
      <c r="H12" s="207" t="s">
        <v>7</v>
      </c>
      <c r="N12" s="198">
        <f t="shared" ref="N12:Q12" si="23">SUM(B12-B11)</f>
        <v>64</v>
      </c>
      <c r="O12" s="198">
        <f t="shared" si="23"/>
        <v>64</v>
      </c>
      <c r="P12" s="198">
        <f t="shared" si="23"/>
        <v>-64</v>
      </c>
      <c r="Q12" s="198">
        <f t="shared" si="23"/>
        <v>-64</v>
      </c>
      <c r="S12" s="198">
        <f t="shared" si="6"/>
        <v>0</v>
      </c>
    </row>
    <row r="13">
      <c r="A13" s="202">
        <f t="shared" si="7"/>
        <v>11</v>
      </c>
      <c r="B13" s="198">
        <f>B12+40</f>
        <v>-44</v>
      </c>
      <c r="C13" s="198">
        <f>C12-40</f>
        <v>-20</v>
      </c>
      <c r="D13" s="198">
        <f>D12+40</f>
        <v>-12</v>
      </c>
      <c r="E13" s="198">
        <f>E12-40</f>
        <v>76</v>
      </c>
      <c r="F13" s="205">
        <f t="shared" si="4"/>
        <v>0</v>
      </c>
      <c r="G13" s="198" t="s">
        <v>7</v>
      </c>
      <c r="H13" s="206" t="s">
        <v>9</v>
      </c>
      <c r="N13" s="198">
        <f t="shared" ref="N13:Q13" si="24">SUM(B13-B12)</f>
        <v>40</v>
      </c>
      <c r="O13" s="198">
        <f t="shared" si="24"/>
        <v>-40</v>
      </c>
      <c r="P13" s="198">
        <f t="shared" si="24"/>
        <v>40</v>
      </c>
      <c r="Q13" s="198">
        <f t="shared" si="24"/>
        <v>-40</v>
      </c>
      <c r="S13" s="198">
        <f t="shared" si="6"/>
        <v>0</v>
      </c>
    </row>
    <row r="14">
      <c r="A14" s="202">
        <f t="shared" si="7"/>
        <v>12</v>
      </c>
      <c r="B14" s="198">
        <f t="shared" ref="B14:B15" si="27">B13+3*8</f>
        <v>-20</v>
      </c>
      <c r="C14" s="198">
        <f t="shared" ref="C14:E14" si="25">C13-8</f>
        <v>-28</v>
      </c>
      <c r="D14" s="198">
        <f t="shared" si="25"/>
        <v>-20</v>
      </c>
      <c r="E14" s="198">
        <f t="shared" si="25"/>
        <v>68</v>
      </c>
      <c r="F14" s="205">
        <f t="shared" si="4"/>
        <v>0</v>
      </c>
      <c r="G14" s="198" t="s">
        <v>7</v>
      </c>
      <c r="H14" s="206" t="s">
        <v>8</v>
      </c>
      <c r="N14" s="198">
        <f t="shared" ref="N14:Q14" si="26">SUM(B14-B13)</f>
        <v>24</v>
      </c>
      <c r="O14" s="198">
        <f t="shared" si="26"/>
        <v>-8</v>
      </c>
      <c r="P14" s="198">
        <f t="shared" si="26"/>
        <v>-8</v>
      </c>
      <c r="Q14" s="198">
        <f t="shared" si="26"/>
        <v>-8</v>
      </c>
      <c r="S14" s="198">
        <f t="shared" si="6"/>
        <v>0</v>
      </c>
    </row>
    <row r="15">
      <c r="A15" s="202">
        <f t="shared" si="7"/>
        <v>13</v>
      </c>
      <c r="B15" s="198">
        <f t="shared" si="27"/>
        <v>4</v>
      </c>
      <c r="C15" s="198">
        <f t="shared" ref="C15:E15" si="28">C14-8</f>
        <v>-36</v>
      </c>
      <c r="D15" s="198">
        <f t="shared" si="28"/>
        <v>-28</v>
      </c>
      <c r="E15" s="198">
        <f t="shared" si="28"/>
        <v>60</v>
      </c>
      <c r="F15" s="205">
        <f t="shared" si="4"/>
        <v>0</v>
      </c>
      <c r="G15" s="198" t="s">
        <v>7</v>
      </c>
      <c r="H15" s="206" t="s">
        <v>10</v>
      </c>
      <c r="N15" s="198">
        <f t="shared" ref="N15:Q15" si="29">SUM(B15-B14)</f>
        <v>24</v>
      </c>
      <c r="O15" s="198">
        <f t="shared" si="29"/>
        <v>-8</v>
      </c>
      <c r="P15" s="198">
        <f t="shared" si="29"/>
        <v>-8</v>
      </c>
      <c r="Q15" s="198">
        <f t="shared" si="29"/>
        <v>-8</v>
      </c>
      <c r="S15" s="198">
        <f t="shared" si="6"/>
        <v>0</v>
      </c>
    </row>
    <row r="16">
      <c r="A16" s="202">
        <f t="shared" si="7"/>
        <v>14</v>
      </c>
      <c r="B16" s="198">
        <f>B15-12</f>
        <v>-8</v>
      </c>
      <c r="C16" s="198">
        <f>C15+12</f>
        <v>-24</v>
      </c>
      <c r="D16" s="198">
        <f>D15-12</f>
        <v>-40</v>
      </c>
      <c r="E16" s="198">
        <f>E15+12</f>
        <v>72</v>
      </c>
      <c r="F16" s="205">
        <f t="shared" si="4"/>
        <v>0</v>
      </c>
      <c r="G16" s="198" t="s">
        <v>9</v>
      </c>
      <c r="H16" s="207" t="s">
        <v>7</v>
      </c>
      <c r="N16" s="198">
        <f t="shared" ref="N16:Q16" si="30">SUM(B16-B15)</f>
        <v>-12</v>
      </c>
      <c r="O16" s="198">
        <f t="shared" si="30"/>
        <v>12</v>
      </c>
      <c r="P16" s="198">
        <f t="shared" si="30"/>
        <v>-12</v>
      </c>
      <c r="Q16" s="198">
        <f t="shared" si="30"/>
        <v>12</v>
      </c>
      <c r="S16" s="198">
        <f t="shared" si="6"/>
        <v>0</v>
      </c>
    </row>
    <row r="17">
      <c r="A17" s="202">
        <f t="shared" si="7"/>
        <v>15</v>
      </c>
      <c r="B17" s="198">
        <f t="shared" ref="B17:D17" si="31">B16+20</f>
        <v>12</v>
      </c>
      <c r="C17" s="198">
        <f t="shared" si="31"/>
        <v>-4</v>
      </c>
      <c r="D17" s="198">
        <f t="shared" si="31"/>
        <v>-20</v>
      </c>
      <c r="E17" s="198">
        <f>E16-3*20</f>
        <v>12</v>
      </c>
      <c r="F17" s="205">
        <f t="shared" si="4"/>
        <v>0</v>
      </c>
      <c r="G17" s="198" t="s">
        <v>10</v>
      </c>
      <c r="H17" s="206" t="s">
        <v>9</v>
      </c>
      <c r="N17" s="198">
        <f t="shared" ref="N17:Q17" si="32">SUM(B17-B16)</f>
        <v>20</v>
      </c>
      <c r="O17" s="198">
        <f t="shared" si="32"/>
        <v>20</v>
      </c>
      <c r="P17" s="198">
        <f t="shared" si="32"/>
        <v>20</v>
      </c>
      <c r="Q17" s="198">
        <f t="shared" si="32"/>
        <v>-60</v>
      </c>
      <c r="S17" s="198">
        <f t="shared" si="6"/>
        <v>0</v>
      </c>
    </row>
    <row r="18">
      <c r="A18" s="202">
        <f t="shared" si="7"/>
        <v>16</v>
      </c>
      <c r="B18" s="198">
        <f>B17+8</f>
        <v>20</v>
      </c>
      <c r="C18" s="198">
        <f>C17-8</f>
        <v>-12</v>
      </c>
      <c r="D18" s="198">
        <f>D17+8</f>
        <v>-12</v>
      </c>
      <c r="E18" s="198">
        <f>E17-8</f>
        <v>4</v>
      </c>
      <c r="F18" s="205">
        <f t="shared" si="4"/>
        <v>0</v>
      </c>
      <c r="G18" s="198" t="s">
        <v>9</v>
      </c>
      <c r="H18" s="206" t="s">
        <v>8</v>
      </c>
      <c r="I18" s="198" t="s">
        <v>293</v>
      </c>
      <c r="N18" s="198">
        <f t="shared" ref="N18:Q18" si="33">SUM(B18-B17)</f>
        <v>8</v>
      </c>
      <c r="O18" s="198">
        <f t="shared" si="33"/>
        <v>-8</v>
      </c>
      <c r="P18" s="198">
        <f t="shared" si="33"/>
        <v>8</v>
      </c>
      <c r="Q18" s="198">
        <f t="shared" si="33"/>
        <v>-8</v>
      </c>
      <c r="S18" s="198">
        <f t="shared" si="6"/>
        <v>0</v>
      </c>
    </row>
    <row r="19">
      <c r="A19" s="202">
        <f t="shared" si="7"/>
        <v>17</v>
      </c>
      <c r="B19" s="198">
        <f t="shared" ref="B19:C19" si="34">B18-48</f>
        <v>-28</v>
      </c>
      <c r="C19" s="198">
        <f t="shared" si="34"/>
        <v>-60</v>
      </c>
      <c r="D19" s="198">
        <f t="shared" ref="D19:E19" si="35">D18+48</f>
        <v>36</v>
      </c>
      <c r="E19" s="198">
        <f t="shared" si="35"/>
        <v>52</v>
      </c>
      <c r="F19" s="205">
        <f t="shared" si="4"/>
        <v>0</v>
      </c>
      <c r="G19" s="198" t="s">
        <v>7</v>
      </c>
      <c r="H19" s="206" t="s">
        <v>10</v>
      </c>
      <c r="I19" s="198" t="s">
        <v>294</v>
      </c>
      <c r="N19" s="198">
        <f t="shared" ref="N19:Q19" si="36">SUM(B19-B18)</f>
        <v>-48</v>
      </c>
      <c r="O19" s="198">
        <f t="shared" si="36"/>
        <v>-48</v>
      </c>
      <c r="P19" s="198">
        <f t="shared" si="36"/>
        <v>48</v>
      </c>
      <c r="Q19" s="198">
        <f t="shared" si="36"/>
        <v>48</v>
      </c>
      <c r="S19" s="198">
        <f t="shared" si="6"/>
        <v>0</v>
      </c>
    </row>
    <row r="20">
      <c r="A20" s="202"/>
      <c r="B20" s="198" t="s">
        <v>295</v>
      </c>
      <c r="C20" s="198" t="s">
        <v>296</v>
      </c>
      <c r="D20" s="198" t="s">
        <v>296</v>
      </c>
      <c r="E20" s="198" t="s">
        <v>297</v>
      </c>
      <c r="F20" s="198" t="s">
        <v>297</v>
      </c>
      <c r="G20" s="198" t="s">
        <v>297</v>
      </c>
      <c r="H20" s="198" t="s">
        <v>298</v>
      </c>
      <c r="I20" s="198" t="s">
        <v>298</v>
      </c>
    </row>
    <row r="21">
      <c r="A21" s="202">
        <f>A19+1</f>
        <v>18</v>
      </c>
      <c r="B21" s="198">
        <f>B19+12</f>
        <v>-16</v>
      </c>
      <c r="C21" s="198">
        <f>C19-12</f>
        <v>-72</v>
      </c>
      <c r="D21" s="198">
        <f>D19+12</f>
        <v>48</v>
      </c>
      <c r="E21" s="198">
        <f>E19-12</f>
        <v>40</v>
      </c>
      <c r="F21" s="205">
        <f t="shared" ref="F21:F53" si="39">SUM(B21:E21)</f>
        <v>0</v>
      </c>
      <c r="G21" s="198" t="s">
        <v>8</v>
      </c>
      <c r="H21" s="206" t="s">
        <v>9</v>
      </c>
      <c r="I21" s="198" t="s">
        <v>299</v>
      </c>
      <c r="N21" s="198">
        <f t="shared" ref="N21:Q21" si="37">SUM(B21-B19)</f>
        <v>12</v>
      </c>
      <c r="O21" s="198">
        <f t="shared" si="37"/>
        <v>-12</v>
      </c>
      <c r="P21" s="198">
        <f t="shared" si="37"/>
        <v>12</v>
      </c>
      <c r="Q21" s="198">
        <f t="shared" si="37"/>
        <v>-12</v>
      </c>
      <c r="S21" s="198">
        <f t="shared" ref="S21:S53" si="41">SUM(N21:Q21)</f>
        <v>0</v>
      </c>
    </row>
    <row r="22" ht="15.75" customHeight="1">
      <c r="A22" s="202">
        <f t="shared" ref="A22:A53" si="42">A21+1</f>
        <v>19</v>
      </c>
      <c r="B22" s="198">
        <f>B21-16</f>
        <v>-32</v>
      </c>
      <c r="C22" s="198">
        <f t="shared" ref="C22:D22" si="38">C21+16</f>
        <v>-56</v>
      </c>
      <c r="D22" s="198">
        <f t="shared" si="38"/>
        <v>64</v>
      </c>
      <c r="E22" s="198">
        <f>E21-16</f>
        <v>24</v>
      </c>
      <c r="F22" s="205">
        <f t="shared" si="39"/>
        <v>0</v>
      </c>
      <c r="G22" s="198" t="s">
        <v>9</v>
      </c>
      <c r="H22" s="207" t="s">
        <v>7</v>
      </c>
      <c r="I22" s="198" t="s">
        <v>293</v>
      </c>
      <c r="N22" s="198">
        <f t="shared" ref="N22:Q22" si="40">SUM(B22-B21)</f>
        <v>-16</v>
      </c>
      <c r="O22" s="198">
        <f t="shared" si="40"/>
        <v>16</v>
      </c>
      <c r="P22" s="198">
        <f t="shared" si="40"/>
        <v>16</v>
      </c>
      <c r="Q22" s="198">
        <f t="shared" si="40"/>
        <v>-16</v>
      </c>
      <c r="S22" s="198">
        <f t="shared" si="41"/>
        <v>0</v>
      </c>
    </row>
    <row r="23" ht="15.75" customHeight="1">
      <c r="A23" s="202">
        <f t="shared" si="42"/>
        <v>20</v>
      </c>
      <c r="B23" s="198">
        <f>B22-64</f>
        <v>-96</v>
      </c>
      <c r="C23" s="198">
        <f t="shared" ref="C23:D23" si="43">C22+64</f>
        <v>8</v>
      </c>
      <c r="D23" s="198">
        <f t="shared" si="43"/>
        <v>128</v>
      </c>
      <c r="E23" s="198">
        <f>E22-64</f>
        <v>-40</v>
      </c>
      <c r="F23" s="205">
        <f t="shared" si="39"/>
        <v>0</v>
      </c>
      <c r="G23" s="198" t="s">
        <v>7</v>
      </c>
      <c r="H23" s="206" t="s">
        <v>10</v>
      </c>
      <c r="I23" s="198" t="s">
        <v>300</v>
      </c>
      <c r="N23" s="198">
        <f t="shared" ref="N23:Q23" si="44">SUM(B23-B22)</f>
        <v>-64</v>
      </c>
      <c r="O23" s="198">
        <f t="shared" si="44"/>
        <v>64</v>
      </c>
      <c r="P23" s="198">
        <f t="shared" si="44"/>
        <v>64</v>
      </c>
      <c r="Q23" s="198">
        <f t="shared" si="44"/>
        <v>-64</v>
      </c>
      <c r="S23" s="198">
        <f t="shared" si="41"/>
        <v>0</v>
      </c>
    </row>
    <row r="24" ht="15.75" customHeight="1">
      <c r="A24" s="202">
        <f t="shared" si="42"/>
        <v>21</v>
      </c>
      <c r="B24" s="198">
        <f>B23+20</f>
        <v>-76</v>
      </c>
      <c r="C24" s="198">
        <f>C23-60</f>
        <v>-52</v>
      </c>
      <c r="D24" s="198">
        <f t="shared" ref="D24:E24" si="45">D23+20</f>
        <v>148</v>
      </c>
      <c r="E24" s="198">
        <f t="shared" si="45"/>
        <v>-20</v>
      </c>
      <c r="F24" s="205">
        <f t="shared" si="39"/>
        <v>0</v>
      </c>
      <c r="G24" s="198" t="s">
        <v>9</v>
      </c>
      <c r="H24" s="206" t="s">
        <v>8</v>
      </c>
      <c r="I24" s="198" t="s">
        <v>293</v>
      </c>
      <c r="N24" s="198">
        <f t="shared" ref="N24:Q24" si="46">SUM(B24-B23)</f>
        <v>20</v>
      </c>
      <c r="O24" s="198">
        <f t="shared" si="46"/>
        <v>-60</v>
      </c>
      <c r="P24" s="198">
        <f t="shared" si="46"/>
        <v>20</v>
      </c>
      <c r="Q24" s="198">
        <f t="shared" si="46"/>
        <v>20</v>
      </c>
      <c r="S24" s="198">
        <f t="shared" si="41"/>
        <v>0</v>
      </c>
    </row>
    <row r="25" ht="15.75" customHeight="1">
      <c r="A25" s="202">
        <f t="shared" si="42"/>
        <v>22</v>
      </c>
      <c r="B25" s="198">
        <f t="shared" ref="B25:C25" si="47">B24+16</f>
        <v>-60</v>
      </c>
      <c r="C25" s="198">
        <f t="shared" si="47"/>
        <v>-36</v>
      </c>
      <c r="D25" s="198">
        <f>D24-48</f>
        <v>100</v>
      </c>
      <c r="E25" s="198">
        <f>E24+16</f>
        <v>-4</v>
      </c>
      <c r="F25" s="205">
        <f t="shared" si="39"/>
        <v>0</v>
      </c>
      <c r="G25" s="198" t="s">
        <v>8</v>
      </c>
      <c r="H25" s="206" t="s">
        <v>9</v>
      </c>
      <c r="I25" s="198" t="s">
        <v>301</v>
      </c>
      <c r="N25" s="198">
        <f t="shared" ref="N25:Q25" si="48">SUM(B25-B24)</f>
        <v>16</v>
      </c>
      <c r="O25" s="198">
        <f t="shared" si="48"/>
        <v>16</v>
      </c>
      <c r="P25" s="198">
        <f t="shared" si="48"/>
        <v>-48</v>
      </c>
      <c r="Q25" s="198">
        <f t="shared" si="48"/>
        <v>16</v>
      </c>
      <c r="S25" s="198">
        <f t="shared" si="41"/>
        <v>0</v>
      </c>
    </row>
    <row r="26" ht="15.75" customHeight="1">
      <c r="A26" s="202">
        <f t="shared" si="42"/>
        <v>23</v>
      </c>
      <c r="B26" s="198">
        <f>B25+64</f>
        <v>4</v>
      </c>
      <c r="C26" s="198">
        <f t="shared" ref="C26:D26" si="49">C25-64</f>
        <v>-100</v>
      </c>
      <c r="D26" s="198">
        <f t="shared" si="49"/>
        <v>36</v>
      </c>
      <c r="E26" s="198">
        <f>E25+64</f>
        <v>60</v>
      </c>
      <c r="F26" s="205">
        <f t="shared" si="39"/>
        <v>0</v>
      </c>
      <c r="G26" s="198" t="s">
        <v>10</v>
      </c>
      <c r="H26" s="207" t="s">
        <v>7</v>
      </c>
      <c r="I26" s="198" t="s">
        <v>302</v>
      </c>
      <c r="N26" s="198">
        <f t="shared" ref="N26:Q26" si="50">SUM(B26-B25)</f>
        <v>64</v>
      </c>
      <c r="O26" s="198">
        <f t="shared" si="50"/>
        <v>-64</v>
      </c>
      <c r="P26" s="198">
        <f t="shared" si="50"/>
        <v>-64</v>
      </c>
      <c r="Q26" s="198">
        <f t="shared" si="50"/>
        <v>64</v>
      </c>
      <c r="S26" s="198">
        <f t="shared" si="41"/>
        <v>0</v>
      </c>
    </row>
    <row r="27" ht="15.75" customHeight="1">
      <c r="A27" s="202">
        <f t="shared" si="42"/>
        <v>24</v>
      </c>
      <c r="B27" s="198">
        <f>B26+24</f>
        <v>28</v>
      </c>
      <c r="C27" s="198">
        <f>C26-24</f>
        <v>-124</v>
      </c>
      <c r="D27" s="198">
        <f>D26+24</f>
        <v>60</v>
      </c>
      <c r="E27" s="198">
        <f>E26-24</f>
        <v>36</v>
      </c>
      <c r="F27" s="205">
        <f t="shared" si="39"/>
        <v>0</v>
      </c>
      <c r="G27" s="198" t="s">
        <v>8</v>
      </c>
      <c r="H27" s="206" t="s">
        <v>10</v>
      </c>
      <c r="I27" s="198" t="s">
        <v>303</v>
      </c>
      <c r="N27" s="198">
        <f t="shared" ref="N27:Q27" si="51">SUM(B27-B26)</f>
        <v>24</v>
      </c>
      <c r="O27" s="198">
        <f t="shared" si="51"/>
        <v>-24</v>
      </c>
      <c r="P27" s="198">
        <f t="shared" si="51"/>
        <v>24</v>
      </c>
      <c r="Q27" s="198">
        <f t="shared" si="51"/>
        <v>-24</v>
      </c>
      <c r="S27" s="198">
        <f t="shared" si="41"/>
        <v>0</v>
      </c>
    </row>
    <row r="28" ht="15.75" customHeight="1">
      <c r="A28" s="202">
        <f t="shared" si="42"/>
        <v>25</v>
      </c>
      <c r="B28" s="198">
        <f>B27+12</f>
        <v>40</v>
      </c>
      <c r="C28" s="198">
        <f t="shared" ref="C28:D28" si="52">C27-12</f>
        <v>-136</v>
      </c>
      <c r="D28" s="198">
        <f t="shared" si="52"/>
        <v>48</v>
      </c>
      <c r="E28" s="198">
        <f>E27+12</f>
        <v>48</v>
      </c>
      <c r="F28" s="205">
        <f t="shared" si="39"/>
        <v>0</v>
      </c>
      <c r="G28" s="198" t="s">
        <v>7</v>
      </c>
      <c r="H28" s="206" t="s">
        <v>8</v>
      </c>
      <c r="I28" s="198" t="s">
        <v>293</v>
      </c>
      <c r="N28" s="198">
        <f t="shared" ref="N28:Q28" si="53">SUM(B28-B27)</f>
        <v>12</v>
      </c>
      <c r="O28" s="198">
        <f t="shared" si="53"/>
        <v>-12</v>
      </c>
      <c r="P28" s="198">
        <f t="shared" si="53"/>
        <v>-12</v>
      </c>
      <c r="Q28" s="198">
        <f t="shared" si="53"/>
        <v>12</v>
      </c>
      <c r="S28" s="198">
        <f t="shared" si="41"/>
        <v>0</v>
      </c>
    </row>
    <row r="29" ht="15.75" customHeight="1">
      <c r="A29" s="202">
        <f t="shared" si="42"/>
        <v>26</v>
      </c>
      <c r="B29" s="198">
        <f>B28-8</f>
        <v>32</v>
      </c>
      <c r="C29" s="198">
        <f>C28+8</f>
        <v>-128</v>
      </c>
      <c r="D29" s="198">
        <f>D28-8</f>
        <v>40</v>
      </c>
      <c r="E29" s="198">
        <f>E28+8</f>
        <v>56</v>
      </c>
      <c r="F29" s="205">
        <f t="shared" si="39"/>
        <v>0</v>
      </c>
      <c r="G29" s="198" t="s">
        <v>8</v>
      </c>
      <c r="H29" s="206" t="s">
        <v>9</v>
      </c>
      <c r="I29" s="198" t="s">
        <v>304</v>
      </c>
      <c r="N29" s="198">
        <f t="shared" ref="N29:Q29" si="54">SUM(B29-B28)</f>
        <v>-8</v>
      </c>
      <c r="O29" s="198">
        <f t="shared" si="54"/>
        <v>8</v>
      </c>
      <c r="P29" s="198">
        <f t="shared" si="54"/>
        <v>-8</v>
      </c>
      <c r="Q29" s="198">
        <f t="shared" si="54"/>
        <v>8</v>
      </c>
      <c r="S29" s="198">
        <f t="shared" si="41"/>
        <v>0</v>
      </c>
    </row>
    <row r="30" ht="15.75" customHeight="1">
      <c r="A30" s="202">
        <f t="shared" si="42"/>
        <v>27</v>
      </c>
      <c r="B30" s="198">
        <f>B29+12</f>
        <v>44</v>
      </c>
      <c r="C30" s="198">
        <f t="shared" ref="C30:D30" si="55">C29-12</f>
        <v>-140</v>
      </c>
      <c r="D30" s="198">
        <f t="shared" si="55"/>
        <v>28</v>
      </c>
      <c r="E30" s="198">
        <f>E29+12</f>
        <v>68</v>
      </c>
      <c r="F30" s="205">
        <f t="shared" si="39"/>
        <v>0</v>
      </c>
      <c r="G30" s="198" t="s">
        <v>10</v>
      </c>
      <c r="H30" s="207" t="s">
        <v>7</v>
      </c>
      <c r="I30" s="198" t="s">
        <v>305</v>
      </c>
      <c r="N30" s="198">
        <f t="shared" ref="N30:Q30" si="56">SUM(B30-B29)</f>
        <v>12</v>
      </c>
      <c r="O30" s="198">
        <f t="shared" si="56"/>
        <v>-12</v>
      </c>
      <c r="P30" s="198">
        <f t="shared" si="56"/>
        <v>-12</v>
      </c>
      <c r="Q30" s="198">
        <f t="shared" si="56"/>
        <v>12</v>
      </c>
      <c r="S30" s="198">
        <f t="shared" si="41"/>
        <v>0</v>
      </c>
    </row>
    <row r="31" ht="15.75" customHeight="1">
      <c r="A31" s="202">
        <f t="shared" si="42"/>
        <v>28</v>
      </c>
      <c r="B31" s="198">
        <f>B30+80</f>
        <v>124</v>
      </c>
      <c r="C31" s="198">
        <f t="shared" ref="C31:D31" si="57">C30-80</f>
        <v>-220</v>
      </c>
      <c r="D31" s="198">
        <f t="shared" si="57"/>
        <v>-52</v>
      </c>
      <c r="E31" s="198">
        <f>E30+80</f>
        <v>148</v>
      </c>
      <c r="F31" s="205">
        <f t="shared" si="39"/>
        <v>0</v>
      </c>
      <c r="G31" s="198" t="s">
        <v>7</v>
      </c>
      <c r="H31" s="206" t="s">
        <v>10</v>
      </c>
      <c r="I31" s="198" t="s">
        <v>303</v>
      </c>
      <c r="N31" s="198">
        <f t="shared" ref="N31:Q31" si="58">SUM(B31-B30)</f>
        <v>80</v>
      </c>
      <c r="O31" s="198">
        <f t="shared" si="58"/>
        <v>-80</v>
      </c>
      <c r="P31" s="198">
        <f t="shared" si="58"/>
        <v>-80</v>
      </c>
      <c r="Q31" s="198">
        <f t="shared" si="58"/>
        <v>80</v>
      </c>
      <c r="S31" s="198">
        <f t="shared" si="41"/>
        <v>0</v>
      </c>
    </row>
    <row r="32" ht="15.75" customHeight="1">
      <c r="A32" s="202">
        <f t="shared" si="42"/>
        <v>29</v>
      </c>
      <c r="B32" s="198">
        <f t="shared" ref="B32:C32" si="59">B31-8</f>
        <v>116</v>
      </c>
      <c r="C32" s="198">
        <f t="shared" si="59"/>
        <v>-228</v>
      </c>
      <c r="D32" s="198">
        <f t="shared" ref="D32:E32" si="60">D31+8</f>
        <v>-44</v>
      </c>
      <c r="E32" s="198">
        <f t="shared" si="60"/>
        <v>156</v>
      </c>
      <c r="F32" s="205">
        <f t="shared" si="39"/>
        <v>0</v>
      </c>
      <c r="G32" s="198" t="s">
        <v>9</v>
      </c>
      <c r="H32" s="206" t="s">
        <v>8</v>
      </c>
      <c r="I32" s="198" t="s">
        <v>293</v>
      </c>
      <c r="N32" s="198">
        <f t="shared" ref="N32:Q32" si="61">SUM(B32-B31)</f>
        <v>-8</v>
      </c>
      <c r="O32" s="198">
        <f t="shared" si="61"/>
        <v>-8</v>
      </c>
      <c r="P32" s="198">
        <f t="shared" si="61"/>
        <v>8</v>
      </c>
      <c r="Q32" s="198">
        <f t="shared" si="61"/>
        <v>8</v>
      </c>
      <c r="S32" s="198">
        <f t="shared" si="41"/>
        <v>0</v>
      </c>
    </row>
    <row r="33" ht="15.75" customHeight="1">
      <c r="A33" s="202">
        <f t="shared" si="42"/>
        <v>30</v>
      </c>
      <c r="B33" s="198">
        <f>B32-80</f>
        <v>36</v>
      </c>
      <c r="C33" s="198">
        <f>C32+80</f>
        <v>-148</v>
      </c>
      <c r="D33" s="198">
        <f>D32-80</f>
        <v>-124</v>
      </c>
      <c r="E33" s="198">
        <f>E32+80</f>
        <v>236</v>
      </c>
      <c r="F33" s="205">
        <f t="shared" si="39"/>
        <v>0</v>
      </c>
      <c r="G33" s="198" t="s">
        <v>7</v>
      </c>
      <c r="H33" s="206" t="s">
        <v>9</v>
      </c>
      <c r="I33" s="198" t="s">
        <v>294</v>
      </c>
      <c r="N33" s="198">
        <f t="shared" ref="N33:Q33" si="62">SUM(B33-B32)</f>
        <v>-80</v>
      </c>
      <c r="O33" s="198">
        <f t="shared" si="62"/>
        <v>80</v>
      </c>
      <c r="P33" s="198">
        <f t="shared" si="62"/>
        <v>-80</v>
      </c>
      <c r="Q33" s="198">
        <f t="shared" si="62"/>
        <v>80</v>
      </c>
      <c r="S33" s="198">
        <f t="shared" si="41"/>
        <v>0</v>
      </c>
    </row>
    <row r="34" ht="15.75" customHeight="1">
      <c r="A34" s="202">
        <f t="shared" si="42"/>
        <v>31</v>
      </c>
      <c r="B34" s="198">
        <f t="shared" ref="B34:D34" si="63">B33-8</f>
        <v>28</v>
      </c>
      <c r="C34" s="198">
        <f t="shared" si="63"/>
        <v>-156</v>
      </c>
      <c r="D34" s="198">
        <f t="shared" si="63"/>
        <v>-132</v>
      </c>
      <c r="E34" s="198">
        <f t="shared" ref="E34:E35" si="66">E33+24</f>
        <v>260</v>
      </c>
      <c r="F34" s="205">
        <f t="shared" si="39"/>
        <v>0</v>
      </c>
      <c r="G34" s="198" t="s">
        <v>10</v>
      </c>
      <c r="H34" s="207" t="s">
        <v>7</v>
      </c>
      <c r="I34" s="198" t="s">
        <v>140</v>
      </c>
      <c r="N34" s="198">
        <f t="shared" ref="N34:Q34" si="64">SUM(B34-B33)</f>
        <v>-8</v>
      </c>
      <c r="O34" s="198">
        <f t="shared" si="64"/>
        <v>-8</v>
      </c>
      <c r="P34" s="198">
        <f t="shared" si="64"/>
        <v>-8</v>
      </c>
      <c r="Q34" s="198">
        <f t="shared" si="64"/>
        <v>24</v>
      </c>
      <c r="S34" s="198">
        <f t="shared" si="41"/>
        <v>0</v>
      </c>
    </row>
    <row r="35" ht="15.75" customHeight="1">
      <c r="A35" s="202">
        <f t="shared" si="42"/>
        <v>32</v>
      </c>
      <c r="B35" s="198">
        <f t="shared" ref="B35:C35" si="65">B34+24</f>
        <v>52</v>
      </c>
      <c r="C35" s="198">
        <f t="shared" si="65"/>
        <v>-132</v>
      </c>
      <c r="D35" s="198">
        <f>D34-3*24</f>
        <v>-204</v>
      </c>
      <c r="E35" s="198">
        <f t="shared" si="66"/>
        <v>284</v>
      </c>
      <c r="F35" s="205">
        <f t="shared" si="39"/>
        <v>0</v>
      </c>
      <c r="G35" s="198" t="s">
        <v>8</v>
      </c>
      <c r="H35" s="206" t="s">
        <v>10</v>
      </c>
      <c r="I35" s="198" t="s">
        <v>306</v>
      </c>
      <c r="N35" s="198">
        <f t="shared" ref="N35:Q35" si="67">SUM(B35-B34)</f>
        <v>24</v>
      </c>
      <c r="O35" s="198">
        <f t="shared" si="67"/>
        <v>24</v>
      </c>
      <c r="P35" s="198">
        <f t="shared" si="67"/>
        <v>-72</v>
      </c>
      <c r="Q35" s="198">
        <f t="shared" si="67"/>
        <v>24</v>
      </c>
      <c r="S35" s="198">
        <f t="shared" si="41"/>
        <v>0</v>
      </c>
    </row>
    <row r="36" ht="15.75" customHeight="1">
      <c r="A36" s="202">
        <f t="shared" si="42"/>
        <v>33</v>
      </c>
      <c r="B36" s="198">
        <f t="shared" ref="B36:D36" si="68">B35-16</f>
        <v>36</v>
      </c>
      <c r="C36" s="198">
        <f t="shared" si="68"/>
        <v>-148</v>
      </c>
      <c r="D36" s="198">
        <f t="shared" si="68"/>
        <v>-220</v>
      </c>
      <c r="E36" s="198">
        <f>E35+3*16</f>
        <v>332</v>
      </c>
      <c r="F36" s="205">
        <f t="shared" si="39"/>
        <v>0</v>
      </c>
      <c r="G36" s="198" t="s">
        <v>10</v>
      </c>
      <c r="H36" s="206" t="s">
        <v>8</v>
      </c>
      <c r="I36" s="198" t="s">
        <v>307</v>
      </c>
      <c r="N36" s="198">
        <f t="shared" ref="N36:Q36" si="69">SUM(B36-B35)</f>
        <v>-16</v>
      </c>
      <c r="O36" s="198">
        <f t="shared" si="69"/>
        <v>-16</v>
      </c>
      <c r="P36" s="198">
        <f t="shared" si="69"/>
        <v>-16</v>
      </c>
      <c r="Q36" s="198">
        <f t="shared" si="69"/>
        <v>48</v>
      </c>
      <c r="S36" s="198">
        <f t="shared" si="41"/>
        <v>0</v>
      </c>
    </row>
    <row r="37" ht="15.75" customHeight="1">
      <c r="A37" s="202">
        <f t="shared" si="42"/>
        <v>34</v>
      </c>
      <c r="B37" s="198">
        <f>B36-16</f>
        <v>20</v>
      </c>
      <c r="C37" s="198">
        <f>C36+16</f>
        <v>-132</v>
      </c>
      <c r="D37" s="198">
        <f>D36-16</f>
        <v>-236</v>
      </c>
      <c r="E37" s="198">
        <f>E36+16</f>
        <v>348</v>
      </c>
      <c r="F37" s="205">
        <f t="shared" si="39"/>
        <v>0</v>
      </c>
      <c r="G37" s="198" t="s">
        <v>9</v>
      </c>
      <c r="H37" s="206" t="s">
        <v>9</v>
      </c>
      <c r="I37" s="198" t="s">
        <v>308</v>
      </c>
      <c r="N37" s="198">
        <f t="shared" ref="N37:Q37" si="70">SUM(B37-B36)</f>
        <v>-16</v>
      </c>
      <c r="O37" s="198">
        <f t="shared" si="70"/>
        <v>16</v>
      </c>
      <c r="P37" s="198">
        <f t="shared" si="70"/>
        <v>-16</v>
      </c>
      <c r="Q37" s="198">
        <f t="shared" si="70"/>
        <v>16</v>
      </c>
      <c r="S37" s="198">
        <f t="shared" si="41"/>
        <v>0</v>
      </c>
    </row>
    <row r="38" ht="15.75" customHeight="1">
      <c r="A38" s="202">
        <f t="shared" si="42"/>
        <v>35</v>
      </c>
      <c r="B38" s="198">
        <f t="shared" ref="B38:C38" si="71">B37-24</f>
        <v>-4</v>
      </c>
      <c r="C38" s="198">
        <f t="shared" si="71"/>
        <v>-156</v>
      </c>
      <c r="D38" s="198">
        <f t="shared" ref="D38:E38" si="72">D37+24</f>
        <v>-212</v>
      </c>
      <c r="E38" s="198">
        <f t="shared" si="72"/>
        <v>372</v>
      </c>
      <c r="F38" s="205">
        <f t="shared" si="39"/>
        <v>0</v>
      </c>
      <c r="G38" s="198" t="s">
        <v>10</v>
      </c>
      <c r="H38" s="207" t="s">
        <v>7</v>
      </c>
      <c r="I38" s="198" t="s">
        <v>309</v>
      </c>
      <c r="N38" s="198">
        <f t="shared" ref="N38:Q38" si="73">SUM(B38-B37)</f>
        <v>-24</v>
      </c>
      <c r="O38" s="198">
        <f t="shared" si="73"/>
        <v>-24</v>
      </c>
      <c r="P38" s="198">
        <f t="shared" si="73"/>
        <v>24</v>
      </c>
      <c r="Q38" s="198">
        <f t="shared" si="73"/>
        <v>24</v>
      </c>
      <c r="S38" s="198">
        <f t="shared" si="41"/>
        <v>0</v>
      </c>
    </row>
    <row r="39" ht="15.75" customHeight="1">
      <c r="A39" s="202">
        <f t="shared" si="42"/>
        <v>36</v>
      </c>
      <c r="B39" s="198">
        <f t="shared" ref="B39:C39" si="74">B38+16</f>
        <v>12</v>
      </c>
      <c r="C39" s="198">
        <f t="shared" si="74"/>
        <v>-140</v>
      </c>
      <c r="D39" s="198">
        <f>D38-3*16</f>
        <v>-260</v>
      </c>
      <c r="E39" s="198">
        <f>E38+16</f>
        <v>388</v>
      </c>
      <c r="F39" s="205">
        <f t="shared" si="39"/>
        <v>0</v>
      </c>
      <c r="G39" s="198" t="s">
        <v>8</v>
      </c>
      <c r="H39" s="206" t="s">
        <v>10</v>
      </c>
      <c r="I39" s="198" t="s">
        <v>301</v>
      </c>
      <c r="N39" s="198">
        <f t="shared" ref="N39:Q39" si="75">SUM(B39-B38)</f>
        <v>16</v>
      </c>
      <c r="O39" s="198">
        <f t="shared" si="75"/>
        <v>16</v>
      </c>
      <c r="P39" s="198">
        <f t="shared" si="75"/>
        <v>-48</v>
      </c>
      <c r="Q39" s="198">
        <f t="shared" si="75"/>
        <v>16</v>
      </c>
      <c r="S39" s="198">
        <f t="shared" si="41"/>
        <v>0</v>
      </c>
    </row>
    <row r="40" ht="15.75" customHeight="1">
      <c r="A40" s="202">
        <f t="shared" si="42"/>
        <v>37</v>
      </c>
      <c r="B40" s="198">
        <f t="shared" ref="B40:C40" si="76">B39+24</f>
        <v>36</v>
      </c>
      <c r="C40" s="198">
        <f t="shared" si="76"/>
        <v>-116</v>
      </c>
      <c r="D40" s="198">
        <f t="shared" ref="D40:E40" si="77">D39-24</f>
        <v>-284</v>
      </c>
      <c r="E40" s="198">
        <f t="shared" si="77"/>
        <v>364</v>
      </c>
      <c r="F40" s="205">
        <f t="shared" si="39"/>
        <v>0</v>
      </c>
      <c r="G40" s="198" t="s">
        <v>7</v>
      </c>
      <c r="H40" s="206" t="s">
        <v>8</v>
      </c>
      <c r="I40" s="198" t="s">
        <v>310</v>
      </c>
      <c r="N40" s="198">
        <f t="shared" ref="N40:Q40" si="78">SUM(B40-B39)</f>
        <v>24</v>
      </c>
      <c r="O40" s="198">
        <f t="shared" si="78"/>
        <v>24</v>
      </c>
      <c r="P40" s="198">
        <f t="shared" si="78"/>
        <v>-24</v>
      </c>
      <c r="Q40" s="198">
        <f t="shared" si="78"/>
        <v>-24</v>
      </c>
      <c r="S40" s="198">
        <f t="shared" si="41"/>
        <v>0</v>
      </c>
    </row>
    <row r="41" ht="15.75" customHeight="1">
      <c r="A41" s="202">
        <f t="shared" si="42"/>
        <v>38</v>
      </c>
      <c r="B41" s="198">
        <f>B40-16</f>
        <v>20</v>
      </c>
      <c r="C41" s="198">
        <f>C40+16</f>
        <v>-100</v>
      </c>
      <c r="D41" s="198">
        <f>D40-16</f>
        <v>-300</v>
      </c>
      <c r="E41" s="198">
        <f>E40+16</f>
        <v>380</v>
      </c>
      <c r="F41" s="205">
        <f t="shared" si="39"/>
        <v>0</v>
      </c>
      <c r="G41" s="198" t="s">
        <v>8</v>
      </c>
      <c r="H41" s="206" t="s">
        <v>9</v>
      </c>
      <c r="I41" s="198" t="s">
        <v>311</v>
      </c>
      <c r="N41" s="198">
        <f t="shared" ref="N41:Q41" si="79">SUM(B41-B40)</f>
        <v>-16</v>
      </c>
      <c r="O41" s="198">
        <f t="shared" si="79"/>
        <v>16</v>
      </c>
      <c r="P41" s="198">
        <f t="shared" si="79"/>
        <v>-16</v>
      </c>
      <c r="Q41" s="198">
        <f t="shared" si="79"/>
        <v>16</v>
      </c>
      <c r="S41" s="198">
        <f t="shared" si="41"/>
        <v>0</v>
      </c>
    </row>
    <row r="42" ht="15.75" customHeight="1">
      <c r="A42" s="202">
        <f t="shared" si="42"/>
        <v>39</v>
      </c>
      <c r="B42" s="198">
        <f t="shared" ref="B42:C42" si="80">B41-24</f>
        <v>-4</v>
      </c>
      <c r="C42" s="198">
        <f t="shared" si="80"/>
        <v>-124</v>
      </c>
      <c r="D42" s="198">
        <f t="shared" ref="D42:E42" si="81">D41+24</f>
        <v>-276</v>
      </c>
      <c r="E42" s="198">
        <f t="shared" si="81"/>
        <v>404</v>
      </c>
      <c r="F42" s="205">
        <f t="shared" si="39"/>
        <v>0</v>
      </c>
      <c r="G42" s="198" t="s">
        <v>7</v>
      </c>
      <c r="H42" s="207" t="s">
        <v>7</v>
      </c>
      <c r="I42" s="198" t="s">
        <v>308</v>
      </c>
      <c r="N42" s="198">
        <f t="shared" ref="N42:Q42" si="82">SUM(B42-B41)</f>
        <v>-24</v>
      </c>
      <c r="O42" s="198">
        <f t="shared" si="82"/>
        <v>-24</v>
      </c>
      <c r="P42" s="198">
        <f t="shared" si="82"/>
        <v>24</v>
      </c>
      <c r="Q42" s="198">
        <f t="shared" si="82"/>
        <v>24</v>
      </c>
      <c r="S42" s="198">
        <f t="shared" si="41"/>
        <v>0</v>
      </c>
    </row>
    <row r="43" ht="15.75" customHeight="1">
      <c r="A43" s="202">
        <f t="shared" si="42"/>
        <v>40</v>
      </c>
      <c r="B43" s="198">
        <f>B42-48</f>
        <v>-52</v>
      </c>
      <c r="C43" s="198">
        <f t="shared" ref="C43:D43" si="83">C42+48</f>
        <v>-76</v>
      </c>
      <c r="D43" s="198">
        <f t="shared" si="83"/>
        <v>-228</v>
      </c>
      <c r="E43" s="198">
        <f>E42-48</f>
        <v>356</v>
      </c>
      <c r="F43" s="205">
        <f t="shared" si="39"/>
        <v>0</v>
      </c>
      <c r="G43" s="198" t="s">
        <v>7</v>
      </c>
      <c r="H43" s="206" t="s">
        <v>10</v>
      </c>
      <c r="I43" s="198" t="s">
        <v>312</v>
      </c>
      <c r="N43" s="198">
        <f t="shared" ref="N43:Q43" si="84">SUM(B43-B42)</f>
        <v>-48</v>
      </c>
      <c r="O43" s="198">
        <f t="shared" si="84"/>
        <v>48</v>
      </c>
      <c r="P43" s="198">
        <f t="shared" si="84"/>
        <v>48</v>
      </c>
      <c r="Q43" s="198">
        <f t="shared" si="84"/>
        <v>-48</v>
      </c>
      <c r="S43" s="198">
        <f t="shared" si="41"/>
        <v>0</v>
      </c>
    </row>
    <row r="44" ht="15.75" customHeight="1">
      <c r="A44" s="202">
        <f t="shared" si="42"/>
        <v>41</v>
      </c>
      <c r="B44" s="198">
        <f t="shared" ref="B44:C44" si="85">B43-32</f>
        <v>-84</v>
      </c>
      <c r="C44" s="198">
        <f t="shared" si="85"/>
        <v>-108</v>
      </c>
      <c r="D44" s="198">
        <f t="shared" ref="D44:E44" si="86">D43+32</f>
        <v>-196</v>
      </c>
      <c r="E44" s="198">
        <f t="shared" si="86"/>
        <v>388</v>
      </c>
      <c r="F44" s="205">
        <f t="shared" si="39"/>
        <v>0</v>
      </c>
      <c r="G44" s="198" t="s">
        <v>10</v>
      </c>
      <c r="H44" s="206" t="s">
        <v>8</v>
      </c>
      <c r="I44" s="198" t="s">
        <v>313</v>
      </c>
      <c r="N44" s="198">
        <f t="shared" ref="N44:Q44" si="87">SUM(B44-B43)</f>
        <v>-32</v>
      </c>
      <c r="O44" s="198">
        <f t="shared" si="87"/>
        <v>-32</v>
      </c>
      <c r="P44" s="198">
        <f t="shared" si="87"/>
        <v>32</v>
      </c>
      <c r="Q44" s="198">
        <f t="shared" si="87"/>
        <v>32</v>
      </c>
      <c r="S44" s="198">
        <f t="shared" si="41"/>
        <v>0</v>
      </c>
    </row>
    <row r="45" ht="15.75" customHeight="1">
      <c r="A45" s="202">
        <f t="shared" si="42"/>
        <v>42</v>
      </c>
      <c r="B45" s="198">
        <f>B44-8</f>
        <v>-92</v>
      </c>
      <c r="C45" s="198">
        <f>C44+24</f>
        <v>-84</v>
      </c>
      <c r="D45" s="198">
        <f t="shared" ref="D45:E45" si="88">D44-8</f>
        <v>-204</v>
      </c>
      <c r="E45" s="198">
        <f t="shared" si="88"/>
        <v>380</v>
      </c>
      <c r="F45" s="205">
        <f t="shared" si="39"/>
        <v>0</v>
      </c>
      <c r="G45" s="198" t="s">
        <v>9</v>
      </c>
      <c r="H45" s="206" t="s">
        <v>9</v>
      </c>
      <c r="I45" s="198" t="s">
        <v>99</v>
      </c>
      <c r="N45" s="198">
        <f t="shared" ref="N45:Q45" si="89">SUM(B45-B44)</f>
        <v>-8</v>
      </c>
      <c r="O45" s="198">
        <f t="shared" si="89"/>
        <v>24</v>
      </c>
      <c r="P45" s="198">
        <f t="shared" si="89"/>
        <v>-8</v>
      </c>
      <c r="Q45" s="198">
        <f t="shared" si="89"/>
        <v>-8</v>
      </c>
      <c r="S45" s="198">
        <f t="shared" si="41"/>
        <v>0</v>
      </c>
    </row>
    <row r="46" ht="15.75" customHeight="1">
      <c r="A46" s="202">
        <f t="shared" si="42"/>
        <v>43</v>
      </c>
      <c r="B46" s="198">
        <f t="shared" ref="B46:D46" si="90">B45+8</f>
        <v>-84</v>
      </c>
      <c r="C46" s="198">
        <f t="shared" si="90"/>
        <v>-76</v>
      </c>
      <c r="D46" s="198">
        <f t="shared" si="90"/>
        <v>-196</v>
      </c>
      <c r="E46" s="198">
        <f>E45-24</f>
        <v>356</v>
      </c>
      <c r="F46" s="205">
        <f t="shared" si="39"/>
        <v>0</v>
      </c>
      <c r="G46" s="198" t="s">
        <v>10</v>
      </c>
      <c r="H46" s="207" t="s">
        <v>7</v>
      </c>
      <c r="I46" s="198" t="s">
        <v>99</v>
      </c>
      <c r="N46" s="198">
        <f t="shared" ref="N46:Q46" si="91">SUM(B46-B45)</f>
        <v>8</v>
      </c>
      <c r="O46" s="198">
        <f t="shared" si="91"/>
        <v>8</v>
      </c>
      <c r="P46" s="198">
        <f t="shared" si="91"/>
        <v>8</v>
      </c>
      <c r="Q46" s="198">
        <f t="shared" si="91"/>
        <v>-24</v>
      </c>
      <c r="S46" s="198">
        <f t="shared" si="41"/>
        <v>0</v>
      </c>
    </row>
    <row r="47" ht="15.75" customHeight="1">
      <c r="A47" s="202">
        <f t="shared" si="42"/>
        <v>44</v>
      </c>
      <c r="B47" s="198">
        <f>B46+12</f>
        <v>-72</v>
      </c>
      <c r="C47" s="198">
        <f>C46-12</f>
        <v>-88</v>
      </c>
      <c r="D47" s="198">
        <f>D46+12</f>
        <v>-184</v>
      </c>
      <c r="E47" s="198">
        <f>E46-12</f>
        <v>344</v>
      </c>
      <c r="F47" s="205">
        <f t="shared" si="39"/>
        <v>0</v>
      </c>
      <c r="G47" s="198" t="s">
        <v>9</v>
      </c>
      <c r="H47" s="206" t="s">
        <v>10</v>
      </c>
      <c r="I47" s="198" t="s">
        <v>314</v>
      </c>
      <c r="N47" s="198">
        <f t="shared" ref="N47:Q47" si="92">SUM(B47-B46)</f>
        <v>12</v>
      </c>
      <c r="O47" s="198">
        <f t="shared" si="92"/>
        <v>-12</v>
      </c>
      <c r="P47" s="198">
        <f t="shared" si="92"/>
        <v>12</v>
      </c>
      <c r="Q47" s="198">
        <f t="shared" si="92"/>
        <v>-12</v>
      </c>
      <c r="S47" s="198">
        <f t="shared" si="41"/>
        <v>0</v>
      </c>
    </row>
    <row r="48" ht="15.75" customHeight="1">
      <c r="A48" s="202">
        <f t="shared" si="42"/>
        <v>45</v>
      </c>
      <c r="B48" s="198">
        <f>B47+16</f>
        <v>-56</v>
      </c>
      <c r="C48" s="198">
        <f>C47-3*16</f>
        <v>-136</v>
      </c>
      <c r="D48" s="198">
        <f t="shared" ref="D48:E48" si="93">D47+16</f>
        <v>-168</v>
      </c>
      <c r="E48" s="198">
        <f t="shared" si="93"/>
        <v>360</v>
      </c>
      <c r="F48" s="205">
        <f t="shared" si="39"/>
        <v>0</v>
      </c>
      <c r="G48" s="198" t="s">
        <v>9</v>
      </c>
      <c r="H48" s="206" t="s">
        <v>8</v>
      </c>
      <c r="I48" s="198" t="s">
        <v>301</v>
      </c>
      <c r="N48" s="198">
        <f t="shared" ref="N48:Q48" si="94">SUM(B48-B47)</f>
        <v>16</v>
      </c>
      <c r="O48" s="198">
        <f t="shared" si="94"/>
        <v>-48</v>
      </c>
      <c r="P48" s="198">
        <f t="shared" si="94"/>
        <v>16</v>
      </c>
      <c r="Q48" s="198">
        <f t="shared" si="94"/>
        <v>16</v>
      </c>
      <c r="S48" s="198">
        <f t="shared" si="41"/>
        <v>0</v>
      </c>
    </row>
    <row r="49" ht="15.75" customHeight="1">
      <c r="A49" s="202">
        <f t="shared" si="42"/>
        <v>46</v>
      </c>
      <c r="B49" s="198">
        <f>B48-8</f>
        <v>-64</v>
      </c>
      <c r="C49" s="198">
        <f>C48+8</f>
        <v>-128</v>
      </c>
      <c r="D49" s="198">
        <f>D48-8</f>
        <v>-176</v>
      </c>
      <c r="E49" s="198">
        <f>E48+8</f>
        <v>368</v>
      </c>
      <c r="F49" s="205">
        <f t="shared" si="39"/>
        <v>0</v>
      </c>
      <c r="G49" s="198" t="s">
        <v>7</v>
      </c>
      <c r="H49" s="206" t="s">
        <v>9</v>
      </c>
      <c r="I49" s="198" t="s">
        <v>315</v>
      </c>
      <c r="N49" s="198">
        <f t="shared" ref="N49:Q49" si="95">SUM(B49-B48)</f>
        <v>-8</v>
      </c>
      <c r="O49" s="198">
        <f t="shared" si="95"/>
        <v>8</v>
      </c>
      <c r="P49" s="198">
        <f t="shared" si="95"/>
        <v>-8</v>
      </c>
      <c r="Q49" s="198">
        <f t="shared" si="95"/>
        <v>8</v>
      </c>
      <c r="S49" s="198">
        <f t="shared" si="41"/>
        <v>0</v>
      </c>
    </row>
    <row r="50" ht="15.75" customHeight="1">
      <c r="A50" s="202">
        <f t="shared" si="42"/>
        <v>47</v>
      </c>
      <c r="B50" s="198">
        <f t="shared" ref="B50:C50" si="96">B49-16</f>
        <v>-80</v>
      </c>
      <c r="C50" s="198">
        <f t="shared" si="96"/>
        <v>-144</v>
      </c>
      <c r="D50" s="198">
        <f>D49+48</f>
        <v>-128</v>
      </c>
      <c r="E50" s="198">
        <f>E49-16</f>
        <v>352</v>
      </c>
      <c r="F50" s="205">
        <f t="shared" si="39"/>
        <v>0</v>
      </c>
      <c r="G50" s="198" t="s">
        <v>8</v>
      </c>
      <c r="H50" s="207" t="s">
        <v>7</v>
      </c>
      <c r="I50" s="198" t="s">
        <v>301</v>
      </c>
      <c r="N50" s="198">
        <f t="shared" ref="N50:Q50" si="97">SUM(B50-B49)</f>
        <v>-16</v>
      </c>
      <c r="O50" s="198">
        <f t="shared" si="97"/>
        <v>-16</v>
      </c>
      <c r="P50" s="198">
        <f t="shared" si="97"/>
        <v>48</v>
      </c>
      <c r="Q50" s="198">
        <f t="shared" si="97"/>
        <v>-16</v>
      </c>
      <c r="S50" s="198">
        <f t="shared" si="41"/>
        <v>0</v>
      </c>
    </row>
    <row r="51" ht="15.75" customHeight="1">
      <c r="A51" s="202">
        <f t="shared" si="42"/>
        <v>48</v>
      </c>
      <c r="B51" s="198">
        <f>B50+12</f>
        <v>-68</v>
      </c>
      <c r="C51" s="198">
        <f t="shared" ref="C51:D51" si="98">C50-12</f>
        <v>-156</v>
      </c>
      <c r="D51" s="198">
        <f t="shared" si="98"/>
        <v>-140</v>
      </c>
      <c r="E51" s="198">
        <f>E50+12</f>
        <v>364</v>
      </c>
      <c r="F51" s="205">
        <f t="shared" si="39"/>
        <v>0</v>
      </c>
      <c r="G51" s="198" t="s">
        <v>10</v>
      </c>
      <c r="H51" s="206" t="s">
        <v>10</v>
      </c>
      <c r="I51" s="198" t="s">
        <v>293</v>
      </c>
      <c r="N51" s="198">
        <f t="shared" ref="N51:Q51" si="99">SUM(B51-B50)</f>
        <v>12</v>
      </c>
      <c r="O51" s="198">
        <f t="shared" si="99"/>
        <v>-12</v>
      </c>
      <c r="P51" s="198">
        <f t="shared" si="99"/>
        <v>-12</v>
      </c>
      <c r="Q51" s="198">
        <f t="shared" si="99"/>
        <v>12</v>
      </c>
      <c r="S51" s="198">
        <f t="shared" si="41"/>
        <v>0</v>
      </c>
    </row>
    <row r="52" ht="15.75" customHeight="1">
      <c r="A52" s="202">
        <f t="shared" si="42"/>
        <v>49</v>
      </c>
      <c r="B52" s="198">
        <f t="shared" ref="B52:C52" si="100">B51-16</f>
        <v>-84</v>
      </c>
      <c r="C52" s="198">
        <f t="shared" si="100"/>
        <v>-172</v>
      </c>
      <c r="D52" s="198">
        <f>D51+3*16</f>
        <v>-92</v>
      </c>
      <c r="E52" s="198">
        <f>E51-16</f>
        <v>348</v>
      </c>
      <c r="F52" s="205">
        <f t="shared" si="39"/>
        <v>0</v>
      </c>
      <c r="G52" s="198" t="s">
        <v>8</v>
      </c>
      <c r="H52" s="206" t="s">
        <v>8</v>
      </c>
      <c r="I52" s="198" t="s">
        <v>301</v>
      </c>
      <c r="N52" s="198">
        <f t="shared" ref="N52:Q52" si="101">SUM(B52-B51)</f>
        <v>-16</v>
      </c>
      <c r="O52" s="198">
        <f t="shared" si="101"/>
        <v>-16</v>
      </c>
      <c r="P52" s="198">
        <f t="shared" si="101"/>
        <v>48</v>
      </c>
      <c r="Q52" s="198">
        <f t="shared" si="101"/>
        <v>-16</v>
      </c>
      <c r="S52" s="198">
        <f t="shared" si="41"/>
        <v>0</v>
      </c>
    </row>
    <row r="53" ht="15.75" customHeight="1">
      <c r="A53" s="202">
        <f t="shared" si="42"/>
        <v>50</v>
      </c>
      <c r="B53" s="198">
        <f t="shared" ref="B53:C53" si="102">B52-8</f>
        <v>-92</v>
      </c>
      <c r="C53" s="198">
        <f t="shared" si="102"/>
        <v>-180</v>
      </c>
      <c r="D53" s="198">
        <f t="shared" ref="D53:E53" si="103">D52+8</f>
        <v>-84</v>
      </c>
      <c r="E53" s="198">
        <f t="shared" si="103"/>
        <v>356</v>
      </c>
      <c r="F53" s="205">
        <f t="shared" si="39"/>
        <v>0</v>
      </c>
      <c r="G53" s="198" t="s">
        <v>8</v>
      </c>
      <c r="H53" s="206" t="s">
        <v>9</v>
      </c>
      <c r="I53" s="198" t="s">
        <v>314</v>
      </c>
      <c r="N53" s="198">
        <f t="shared" ref="N53:Q53" si="104">SUM(B53-B52)</f>
        <v>-8</v>
      </c>
      <c r="O53" s="198">
        <f t="shared" si="104"/>
        <v>-8</v>
      </c>
      <c r="P53" s="198">
        <f t="shared" si="104"/>
        <v>8</v>
      </c>
      <c r="Q53" s="198">
        <f t="shared" si="104"/>
        <v>8</v>
      </c>
      <c r="S53" s="198">
        <f t="shared" si="41"/>
        <v>0</v>
      </c>
    </row>
    <row r="54" ht="15.75" customHeight="1"/>
  </sheetData>
  <printOptions/>
  <pageMargins bottom="0.75" footer="0.0" header="0.0" left="0.7" right="0.7" top="0.75"/>
  <pageSetup orientation="landscape"/>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2" max="5" width="7.88"/>
    <col customWidth="1" min="6" max="6" width="8.13"/>
    <col customWidth="1" min="8" max="8" width="5.38"/>
    <col customWidth="1" min="9" max="9" width="17.0"/>
    <col customWidth="1" min="10" max="10" width="3.25"/>
    <col customWidth="1" min="11" max="13" width="7.13"/>
    <col customWidth="1" min="14" max="14" width="7.88"/>
    <col customWidth="1" min="15" max="15" width="7.0"/>
    <col customWidth="1" min="16" max="16" width="9.63"/>
    <col customWidth="1" min="17" max="17" width="3.0"/>
    <col customWidth="1" min="18" max="18" width="7.25"/>
    <col customWidth="1" min="19" max="19" width="10.63"/>
    <col customWidth="1" min="20" max="23" width="7.13"/>
    <col customWidth="1" min="24" max="25" width="9.63"/>
    <col customWidth="1" min="26" max="30" width="7.13"/>
    <col customWidth="1" min="31" max="31" width="8.25"/>
    <col customWidth="1" min="32" max="43" width="7.13"/>
  </cols>
  <sheetData>
    <row r="1">
      <c r="A1" s="40">
        <f>'00_Regnskab_01'!A11</f>
        <v>9</v>
      </c>
      <c r="B1" s="193">
        <f>'00_Regnskab_01'!C11</f>
        <v>43491</v>
      </c>
      <c r="C1" s="42"/>
      <c r="D1" s="42" t="str">
        <f>'00_Regnskab_01'!L11</f>
        <v>Peter, Lyngby</v>
      </c>
      <c r="E1" s="42"/>
      <c r="F1" s="42"/>
      <c r="G1" s="42"/>
      <c r="H1" s="42"/>
      <c r="I1" s="42"/>
      <c r="J1" s="42"/>
      <c r="K1" s="42"/>
      <c r="L1" s="42"/>
      <c r="M1" s="42"/>
      <c r="N1" s="32"/>
      <c r="O1" s="32"/>
      <c r="P1" s="32"/>
      <c r="Q1" s="32"/>
      <c r="R1" s="48"/>
      <c r="S1" s="48"/>
      <c r="T1" s="32"/>
      <c r="U1" s="32"/>
      <c r="V1" s="32"/>
      <c r="W1" s="32"/>
      <c r="X1" s="32"/>
      <c r="Y1" s="32"/>
      <c r="Z1" s="48"/>
      <c r="AA1" s="32"/>
      <c r="AB1" s="32"/>
      <c r="AC1" s="32"/>
      <c r="AD1" s="48"/>
      <c r="AE1" s="48"/>
      <c r="AF1" s="48"/>
      <c r="AG1" s="48"/>
      <c r="AH1" s="48"/>
      <c r="AI1" s="48"/>
      <c r="AJ1" s="48"/>
      <c r="AK1" s="48"/>
      <c r="AL1" s="48"/>
      <c r="AM1" s="48"/>
      <c r="AN1" s="48"/>
      <c r="AO1" s="48"/>
      <c r="AP1" s="48"/>
      <c r="AQ1" s="48"/>
    </row>
    <row r="2">
      <c r="A2" s="25"/>
      <c r="B2" s="25"/>
      <c r="C2" s="25"/>
      <c r="D2" s="25"/>
      <c r="E2" s="25"/>
      <c r="F2" s="25"/>
      <c r="G2" s="25"/>
      <c r="H2" s="25"/>
      <c r="I2" s="25"/>
      <c r="J2" s="56"/>
      <c r="K2" s="25" t="s">
        <v>64</v>
      </c>
      <c r="Q2" s="56"/>
      <c r="R2" s="25"/>
      <c r="S2" s="25" t="s">
        <v>316</v>
      </c>
      <c r="Z2" s="25" t="s">
        <v>66</v>
      </c>
      <c r="AD2" s="25"/>
      <c r="AE2" s="25"/>
      <c r="AF2" s="25" t="s">
        <v>67</v>
      </c>
      <c r="AG2" s="25" t="s">
        <v>68</v>
      </c>
      <c r="AH2" s="25"/>
      <c r="AI2" s="25" t="s">
        <v>71</v>
      </c>
      <c r="AJ2" s="25"/>
      <c r="AK2" s="25"/>
      <c r="AL2" s="25"/>
      <c r="AM2" s="25"/>
      <c r="AN2" s="25"/>
      <c r="AO2" s="25"/>
      <c r="AP2" s="25"/>
      <c r="AQ2" s="25"/>
    </row>
    <row r="3">
      <c r="A3" s="25" t="s">
        <v>78</v>
      </c>
      <c r="B3" s="25" t="s">
        <v>7</v>
      </c>
      <c r="C3" s="25" t="s">
        <v>8</v>
      </c>
      <c r="D3" s="25" t="s">
        <v>9</v>
      </c>
      <c r="E3" s="25" t="s">
        <v>10</v>
      </c>
      <c r="F3" s="25" t="s">
        <v>278</v>
      </c>
      <c r="G3" s="25" t="s">
        <v>64</v>
      </c>
      <c r="H3" s="25" t="s">
        <v>82</v>
      </c>
      <c r="I3" s="25" t="s">
        <v>83</v>
      </c>
      <c r="J3" s="56"/>
      <c r="K3" s="25" t="s">
        <v>84</v>
      </c>
      <c r="L3" s="25" t="s">
        <v>85</v>
      </c>
      <c r="M3" s="25" t="s">
        <v>86</v>
      </c>
      <c r="N3" s="25" t="s">
        <v>87</v>
      </c>
      <c r="O3" s="25" t="s">
        <v>88</v>
      </c>
      <c r="P3" s="25" t="s">
        <v>89</v>
      </c>
      <c r="Q3" s="46"/>
      <c r="T3" s="25" t="str">
        <f t="shared" ref="T3:W3" si="1">B3</f>
        <v>Thomas</v>
      </c>
      <c r="U3" s="25" t="str">
        <f t="shared" si="1"/>
        <v>Peter</v>
      </c>
      <c r="V3" s="25" t="str">
        <f t="shared" si="1"/>
        <v>Janus</v>
      </c>
      <c r="W3" s="25" t="str">
        <f t="shared" si="1"/>
        <v>Christian</v>
      </c>
      <c r="Z3" s="25" t="str">
        <f t="shared" ref="Z3:AC3" si="2">T3</f>
        <v>Thomas</v>
      </c>
      <c r="AA3" s="25" t="str">
        <f t="shared" si="2"/>
        <v>Peter</v>
      </c>
      <c r="AB3" s="25" t="str">
        <f t="shared" si="2"/>
        <v>Janus</v>
      </c>
      <c r="AC3" s="25" t="str">
        <f t="shared" si="2"/>
        <v>Christian</v>
      </c>
      <c r="AD3" s="25"/>
      <c r="AE3" s="25"/>
      <c r="AF3" s="25">
        <f>countif(AF4:AF44, "&gt;0")</f>
        <v>22</v>
      </c>
      <c r="AG3" s="25">
        <f>countif(AG4:AG44, "&lt;0")</f>
        <v>18</v>
      </c>
      <c r="AH3" s="25"/>
      <c r="AI3" s="25"/>
      <c r="AJ3" s="25"/>
      <c r="AK3" s="25"/>
      <c r="AL3" s="25"/>
      <c r="AM3" s="25"/>
      <c r="AN3" s="25"/>
      <c r="AO3" s="25"/>
      <c r="AP3" s="25"/>
      <c r="AQ3" s="25"/>
    </row>
    <row r="4">
      <c r="A4" s="25">
        <v>1.0</v>
      </c>
      <c r="B4" s="25">
        <v>16.0</v>
      </c>
      <c r="C4" s="25">
        <v>-16.0</v>
      </c>
      <c r="D4" s="25">
        <v>16.0</v>
      </c>
      <c r="E4" s="25">
        <v>-16.0</v>
      </c>
      <c r="F4" s="28">
        <f t="shared" ref="F4:F44" si="5">SUM(B4:E4)</f>
        <v>0</v>
      </c>
      <c r="G4" s="25" t="s">
        <v>7</v>
      </c>
      <c r="H4" s="25" t="s">
        <v>10</v>
      </c>
      <c r="I4" s="25" t="s">
        <v>310</v>
      </c>
      <c r="J4" s="56"/>
      <c r="K4" s="25">
        <v>9.0</v>
      </c>
      <c r="L4" s="25" t="s">
        <v>145</v>
      </c>
      <c r="M4" s="53">
        <v>2.0</v>
      </c>
      <c r="Q4" s="56"/>
      <c r="T4" s="28">
        <f t="shared" ref="T4:W4" si="3">B4</f>
        <v>16</v>
      </c>
      <c r="U4" s="28">
        <f t="shared" si="3"/>
        <v>-16</v>
      </c>
      <c r="V4" s="28">
        <f t="shared" si="3"/>
        <v>16</v>
      </c>
      <c r="W4" s="28">
        <f t="shared" si="3"/>
        <v>-16</v>
      </c>
      <c r="Z4" s="28">
        <f t="shared" ref="Z4:AC4" si="4">IF(T$3=$G4,T4,"")</f>
        <v>16</v>
      </c>
      <c r="AA4" s="28" t="str">
        <f t="shared" si="4"/>
        <v/>
      </c>
      <c r="AB4" s="28" t="str">
        <f t="shared" si="4"/>
        <v/>
      </c>
      <c r="AC4" s="28" t="str">
        <f t="shared" si="4"/>
        <v/>
      </c>
      <c r="AF4" s="28">
        <f t="shared" ref="AF4:AF44" si="8">MAXIFS(Z4:AC4,Z4:AC4, "&gt;-1")</f>
        <v>16</v>
      </c>
      <c r="AG4" s="28">
        <f t="shared" ref="AG4:AG44" si="9">MAXIFS(Z4:AC4,Z4:AC4, "&lt;0")</f>
        <v>0</v>
      </c>
    </row>
    <row r="5">
      <c r="A5" s="25">
        <f t="shared" ref="A5:A44" si="10">A4+1</f>
        <v>2</v>
      </c>
      <c r="B5" s="25">
        <v>12.0</v>
      </c>
      <c r="C5" s="25">
        <v>-20.0</v>
      </c>
      <c r="D5" s="25">
        <v>12.0</v>
      </c>
      <c r="E5" s="25">
        <v>-4.0</v>
      </c>
      <c r="F5" s="28">
        <f t="shared" si="5"/>
        <v>0</v>
      </c>
      <c r="G5" s="25" t="s">
        <v>10</v>
      </c>
      <c r="H5" s="25" t="s">
        <v>7</v>
      </c>
      <c r="I5" s="25" t="s">
        <v>99</v>
      </c>
      <c r="J5" s="56"/>
      <c r="L5" s="25" t="s">
        <v>139</v>
      </c>
      <c r="M5" s="80"/>
      <c r="Q5" s="56"/>
      <c r="T5" s="28">
        <f t="shared" ref="T5:W5" si="6">SUM(B5-B4)</f>
        <v>-4</v>
      </c>
      <c r="U5" s="28">
        <f t="shared" si="6"/>
        <v>-4</v>
      </c>
      <c r="V5" s="28">
        <f t="shared" si="6"/>
        <v>-4</v>
      </c>
      <c r="W5" s="28">
        <f t="shared" si="6"/>
        <v>12</v>
      </c>
      <c r="Z5" s="28" t="str">
        <f t="shared" ref="Z5:AC5" si="7">IF(T$3=$G5,T5,"")</f>
        <v/>
      </c>
      <c r="AA5" s="28" t="str">
        <f t="shared" si="7"/>
        <v/>
      </c>
      <c r="AB5" s="28" t="str">
        <f t="shared" si="7"/>
        <v/>
      </c>
      <c r="AC5" s="28">
        <f t="shared" si="7"/>
        <v>12</v>
      </c>
      <c r="AF5" s="28">
        <f t="shared" si="8"/>
        <v>12</v>
      </c>
      <c r="AG5" s="28">
        <f t="shared" si="9"/>
        <v>0</v>
      </c>
    </row>
    <row r="6">
      <c r="A6" s="25">
        <f t="shared" si="10"/>
        <v>3</v>
      </c>
      <c r="B6" s="25">
        <v>24.0</v>
      </c>
      <c r="C6" s="25">
        <v>-8.0</v>
      </c>
      <c r="D6" s="25">
        <v>0.0</v>
      </c>
      <c r="E6" s="25">
        <v>-16.0</v>
      </c>
      <c r="F6" s="28">
        <f t="shared" si="5"/>
        <v>0</v>
      </c>
      <c r="G6" s="25" t="s">
        <v>7</v>
      </c>
      <c r="H6" s="25" t="s">
        <v>8</v>
      </c>
      <c r="I6" s="25" t="s">
        <v>293</v>
      </c>
      <c r="J6" s="56"/>
      <c r="K6" s="25">
        <v>9.0</v>
      </c>
      <c r="L6" s="25" t="s">
        <v>144</v>
      </c>
      <c r="M6" s="80"/>
      <c r="Q6" s="56"/>
      <c r="T6" s="28">
        <f t="shared" ref="T6:W6" si="11">SUM(B6-B5)</f>
        <v>12</v>
      </c>
      <c r="U6" s="28">
        <f t="shared" si="11"/>
        <v>12</v>
      </c>
      <c r="V6" s="28">
        <f t="shared" si="11"/>
        <v>-12</v>
      </c>
      <c r="W6" s="28">
        <f t="shared" si="11"/>
        <v>-12</v>
      </c>
      <c r="Z6" s="28">
        <f t="shared" ref="Z6:AC6" si="12">IF(T$3=$G6,T6,"")</f>
        <v>12</v>
      </c>
      <c r="AA6" s="28" t="str">
        <f t="shared" si="12"/>
        <v/>
      </c>
      <c r="AB6" s="28" t="str">
        <f t="shared" si="12"/>
        <v/>
      </c>
      <c r="AC6" s="28" t="str">
        <f t="shared" si="12"/>
        <v/>
      </c>
      <c r="AF6" s="28">
        <f t="shared" si="8"/>
        <v>12</v>
      </c>
      <c r="AG6" s="28">
        <f t="shared" si="9"/>
        <v>0</v>
      </c>
    </row>
    <row r="7">
      <c r="A7" s="25">
        <f t="shared" si="10"/>
        <v>4</v>
      </c>
      <c r="B7" s="25">
        <v>16.0</v>
      </c>
      <c r="C7" s="25">
        <v>-16.0</v>
      </c>
      <c r="D7" s="25">
        <v>24.0</v>
      </c>
      <c r="E7" s="25">
        <v>-24.0</v>
      </c>
      <c r="F7" s="28">
        <f t="shared" si="5"/>
        <v>0</v>
      </c>
      <c r="G7" s="25" t="s">
        <v>9</v>
      </c>
      <c r="H7" s="25" t="s">
        <v>9</v>
      </c>
      <c r="I7" s="25" t="s">
        <v>97</v>
      </c>
      <c r="J7" s="56"/>
      <c r="L7" s="25" t="s">
        <v>140</v>
      </c>
      <c r="M7" s="80"/>
      <c r="Q7" s="56"/>
      <c r="T7" s="28">
        <f t="shared" ref="T7:W7" si="13">SUM(B7-B6)</f>
        <v>-8</v>
      </c>
      <c r="U7" s="28">
        <f t="shared" si="13"/>
        <v>-8</v>
      </c>
      <c r="V7" s="28">
        <f t="shared" si="13"/>
        <v>24</v>
      </c>
      <c r="W7" s="28">
        <f t="shared" si="13"/>
        <v>-8</v>
      </c>
      <c r="Z7" s="28" t="str">
        <f t="shared" ref="Z7:AC7" si="14">IF(T$3=$G7,T7,"")</f>
        <v/>
      </c>
      <c r="AA7" s="28" t="str">
        <f t="shared" si="14"/>
        <v/>
      </c>
      <c r="AB7" s="28">
        <f t="shared" si="14"/>
        <v>24</v>
      </c>
      <c r="AC7" s="28" t="str">
        <f t="shared" si="14"/>
        <v/>
      </c>
      <c r="AF7" s="28">
        <f t="shared" si="8"/>
        <v>24</v>
      </c>
      <c r="AG7" s="28">
        <f t="shared" si="9"/>
        <v>0</v>
      </c>
    </row>
    <row r="8">
      <c r="A8" s="25">
        <f t="shared" si="10"/>
        <v>5</v>
      </c>
      <c r="B8" s="25">
        <v>24.0</v>
      </c>
      <c r="C8" s="25">
        <v>-24.0</v>
      </c>
      <c r="D8" s="25">
        <v>30.0</v>
      </c>
      <c r="E8" s="25">
        <v>-30.0</v>
      </c>
      <c r="F8" s="28">
        <f t="shared" si="5"/>
        <v>0</v>
      </c>
      <c r="G8" s="25" t="s">
        <v>9</v>
      </c>
      <c r="H8" s="25" t="s">
        <v>10</v>
      </c>
      <c r="I8" s="25" t="s">
        <v>314</v>
      </c>
      <c r="J8" s="56"/>
      <c r="K8" s="25">
        <v>10.0</v>
      </c>
      <c r="L8" s="25" t="s">
        <v>142</v>
      </c>
      <c r="M8" s="80"/>
      <c r="Q8" s="56"/>
      <c r="T8" s="28">
        <f t="shared" ref="T8:W8" si="15">SUM(B8-B7)</f>
        <v>8</v>
      </c>
      <c r="U8" s="28">
        <f t="shared" si="15"/>
        <v>-8</v>
      </c>
      <c r="V8" s="28">
        <f t="shared" si="15"/>
        <v>6</v>
      </c>
      <c r="W8" s="28">
        <f t="shared" si="15"/>
        <v>-6</v>
      </c>
      <c r="X8" s="122" t="s">
        <v>317</v>
      </c>
      <c r="Z8" s="28" t="str">
        <f t="shared" ref="Z8:AC8" si="16">IF(T$3=$G8,T8,"")</f>
        <v/>
      </c>
      <c r="AA8" s="28" t="str">
        <f t="shared" si="16"/>
        <v/>
      </c>
      <c r="AB8" s="28">
        <f t="shared" si="16"/>
        <v>6</v>
      </c>
      <c r="AC8" s="28" t="str">
        <f t="shared" si="16"/>
        <v/>
      </c>
      <c r="AF8" s="28">
        <f t="shared" si="8"/>
        <v>6</v>
      </c>
      <c r="AG8" s="28">
        <f t="shared" si="9"/>
        <v>0</v>
      </c>
    </row>
    <row r="9">
      <c r="A9" s="25">
        <f t="shared" si="10"/>
        <v>6</v>
      </c>
      <c r="B9" s="25">
        <v>8.0</v>
      </c>
      <c r="C9" s="25">
        <v>-8.0</v>
      </c>
      <c r="D9" s="25">
        <v>14.0</v>
      </c>
      <c r="E9" s="25">
        <v>-14.0</v>
      </c>
      <c r="F9" s="28">
        <f t="shared" si="5"/>
        <v>0</v>
      </c>
      <c r="G9" s="124" t="s">
        <v>318</v>
      </c>
      <c r="H9" s="124" t="s">
        <v>7</v>
      </c>
      <c r="I9" s="124" t="s">
        <v>319</v>
      </c>
      <c r="J9" s="179"/>
      <c r="L9" s="124" t="s">
        <v>139</v>
      </c>
      <c r="M9" s="80"/>
      <c r="O9" s="25" t="s">
        <v>15</v>
      </c>
      <c r="Q9" s="56"/>
      <c r="T9" s="179">
        <f t="shared" ref="T9:W9" si="17">SUM(B9-B8)</f>
        <v>-16</v>
      </c>
      <c r="U9" s="179">
        <f t="shared" si="17"/>
        <v>16</v>
      </c>
      <c r="V9" s="179">
        <f t="shared" si="17"/>
        <v>-16</v>
      </c>
      <c r="W9" s="179">
        <f t="shared" si="17"/>
        <v>16</v>
      </c>
      <c r="Z9" s="28" t="str">
        <f t="shared" ref="Z9:AC9" si="18">IF(T$3=$G9,T9,"")</f>
        <v/>
      </c>
      <c r="AA9" s="28" t="str">
        <f t="shared" si="18"/>
        <v/>
      </c>
      <c r="AB9" s="28" t="str">
        <f t="shared" si="18"/>
        <v/>
      </c>
      <c r="AC9" s="28" t="str">
        <f t="shared" si="18"/>
        <v/>
      </c>
      <c r="AF9" s="28">
        <f t="shared" si="8"/>
        <v>0</v>
      </c>
      <c r="AG9" s="28">
        <f t="shared" si="9"/>
        <v>0</v>
      </c>
    </row>
    <row r="10">
      <c r="A10" s="25">
        <f t="shared" si="10"/>
        <v>7</v>
      </c>
      <c r="B10" s="25">
        <v>0.0</v>
      </c>
      <c r="C10" s="25">
        <v>0.0</v>
      </c>
      <c r="D10" s="25">
        <v>6.0</v>
      </c>
      <c r="E10" s="25">
        <v>-6.0</v>
      </c>
      <c r="F10" s="28">
        <f t="shared" si="5"/>
        <v>0</v>
      </c>
      <c r="G10" s="25" t="s">
        <v>10</v>
      </c>
      <c r="H10" s="25" t="s">
        <v>8</v>
      </c>
      <c r="I10" s="25" t="s">
        <v>299</v>
      </c>
      <c r="J10" s="56"/>
      <c r="K10" s="25">
        <v>9.0</v>
      </c>
      <c r="L10" s="25" t="s">
        <v>146</v>
      </c>
      <c r="M10" s="80"/>
      <c r="Q10" s="56"/>
      <c r="T10" s="28">
        <f t="shared" ref="T10:W10" si="19">SUM(B10-B9)</f>
        <v>-8</v>
      </c>
      <c r="U10" s="28">
        <f t="shared" si="19"/>
        <v>8</v>
      </c>
      <c r="V10" s="28">
        <f t="shared" si="19"/>
        <v>-8</v>
      </c>
      <c r="W10" s="28">
        <f t="shared" si="19"/>
        <v>8</v>
      </c>
      <c r="Z10" s="28" t="str">
        <f t="shared" ref="Z10:AC10" si="20">IF(T$3=$G10,T10,"")</f>
        <v/>
      </c>
      <c r="AA10" s="28" t="str">
        <f t="shared" si="20"/>
        <v/>
      </c>
      <c r="AB10" s="28" t="str">
        <f t="shared" si="20"/>
        <v/>
      </c>
      <c r="AC10" s="28">
        <f t="shared" si="20"/>
        <v>8</v>
      </c>
      <c r="AF10" s="28">
        <f t="shared" si="8"/>
        <v>8</v>
      </c>
      <c r="AG10" s="28">
        <f t="shared" si="9"/>
        <v>0</v>
      </c>
    </row>
    <row r="11">
      <c r="A11" s="25">
        <f t="shared" si="10"/>
        <v>8</v>
      </c>
      <c r="B11" s="25">
        <v>40.0</v>
      </c>
      <c r="C11" s="25">
        <v>-40.0</v>
      </c>
      <c r="D11" s="25">
        <v>-34.0</v>
      </c>
      <c r="E11" s="25">
        <v>34.0</v>
      </c>
      <c r="F11" s="28">
        <f t="shared" si="5"/>
        <v>0</v>
      </c>
      <c r="G11" s="25" t="s">
        <v>7</v>
      </c>
      <c r="H11" s="25" t="s">
        <v>9</v>
      </c>
      <c r="I11" s="25" t="s">
        <v>310</v>
      </c>
      <c r="J11" s="56"/>
      <c r="K11" s="25">
        <v>9.0</v>
      </c>
      <c r="L11" s="25" t="s">
        <v>145</v>
      </c>
      <c r="M11" s="53">
        <v>2.0</v>
      </c>
      <c r="Q11" s="56"/>
      <c r="T11" s="28">
        <f t="shared" ref="T11:W11" si="21">SUM(B11-B10)</f>
        <v>40</v>
      </c>
      <c r="U11" s="28">
        <f t="shared" si="21"/>
        <v>-40</v>
      </c>
      <c r="V11" s="28">
        <f t="shared" si="21"/>
        <v>-40</v>
      </c>
      <c r="W11" s="28">
        <f t="shared" si="21"/>
        <v>40</v>
      </c>
      <c r="Z11" s="28">
        <f t="shared" ref="Z11:AC11" si="22">IF(T$3=$G11,T11,"")</f>
        <v>40</v>
      </c>
      <c r="AA11" s="28" t="str">
        <f t="shared" si="22"/>
        <v/>
      </c>
      <c r="AB11" s="28" t="str">
        <f t="shared" si="22"/>
        <v/>
      </c>
      <c r="AC11" s="28" t="str">
        <f t="shared" si="22"/>
        <v/>
      </c>
      <c r="AF11" s="28">
        <f t="shared" si="8"/>
        <v>40</v>
      </c>
      <c r="AG11" s="28">
        <f t="shared" si="9"/>
        <v>0</v>
      </c>
    </row>
    <row r="12">
      <c r="A12" s="25">
        <f t="shared" si="10"/>
        <v>9</v>
      </c>
      <c r="B12" s="25">
        <v>48.0</v>
      </c>
      <c r="C12" s="25">
        <v>-32.0</v>
      </c>
      <c r="D12" s="25">
        <v>-42.0</v>
      </c>
      <c r="E12" s="25">
        <v>26.0</v>
      </c>
      <c r="F12" s="28">
        <f t="shared" si="5"/>
        <v>0</v>
      </c>
      <c r="G12" s="25" t="s">
        <v>9</v>
      </c>
      <c r="H12" s="25" t="s">
        <v>10</v>
      </c>
      <c r="I12" s="25" t="s">
        <v>293</v>
      </c>
      <c r="J12" s="56"/>
      <c r="K12" s="25">
        <v>9.0</v>
      </c>
      <c r="L12" s="25" t="s">
        <v>144</v>
      </c>
      <c r="M12" s="80"/>
      <c r="Q12" s="56"/>
      <c r="T12" s="28">
        <f t="shared" ref="T12:W12" si="23">SUM(B12-B11)</f>
        <v>8</v>
      </c>
      <c r="U12" s="28">
        <f t="shared" si="23"/>
        <v>8</v>
      </c>
      <c r="V12" s="28">
        <f t="shared" si="23"/>
        <v>-8</v>
      </c>
      <c r="W12" s="28">
        <f t="shared" si="23"/>
        <v>-8</v>
      </c>
      <c r="Z12" s="28" t="str">
        <f t="shared" ref="Z12:AC12" si="24">IF(T$3=$G12,T12,"")</f>
        <v/>
      </c>
      <c r="AA12" s="28" t="str">
        <f t="shared" si="24"/>
        <v/>
      </c>
      <c r="AB12" s="28">
        <f t="shared" si="24"/>
        <v>-8</v>
      </c>
      <c r="AC12" s="28" t="str">
        <f t="shared" si="24"/>
        <v/>
      </c>
      <c r="AF12" s="28">
        <f t="shared" si="8"/>
        <v>0</v>
      </c>
      <c r="AG12" s="28">
        <f t="shared" si="9"/>
        <v>-8</v>
      </c>
    </row>
    <row r="13">
      <c r="A13" s="25">
        <f t="shared" si="10"/>
        <v>10</v>
      </c>
      <c r="B13" s="25">
        <v>-48.0</v>
      </c>
      <c r="C13" s="25">
        <v>64.0</v>
      </c>
      <c r="D13" s="25">
        <v>54.0</v>
      </c>
      <c r="E13" s="25">
        <v>-70.0</v>
      </c>
      <c r="F13" s="28">
        <f t="shared" si="5"/>
        <v>0</v>
      </c>
      <c r="G13" s="25" t="s">
        <v>7</v>
      </c>
      <c r="H13" s="25" t="s">
        <v>7</v>
      </c>
      <c r="I13" s="25" t="s">
        <v>294</v>
      </c>
      <c r="J13" s="56"/>
      <c r="K13" s="25">
        <v>9.0</v>
      </c>
      <c r="L13" s="25" t="s">
        <v>145</v>
      </c>
      <c r="M13" s="53">
        <v>3.0</v>
      </c>
      <c r="Q13" s="56"/>
      <c r="T13" s="28">
        <f t="shared" ref="T13:W13" si="25">SUM(B13-B12)</f>
        <v>-96</v>
      </c>
      <c r="U13" s="28">
        <f t="shared" si="25"/>
        <v>96</v>
      </c>
      <c r="V13" s="28">
        <f t="shared" si="25"/>
        <v>96</v>
      </c>
      <c r="W13" s="28">
        <f t="shared" si="25"/>
        <v>-96</v>
      </c>
      <c r="Z13" s="28">
        <f t="shared" ref="Z13:AC13" si="26">IF(T$3=$G13,T13,"")</f>
        <v>-96</v>
      </c>
      <c r="AA13" s="28" t="str">
        <f t="shared" si="26"/>
        <v/>
      </c>
      <c r="AB13" s="28" t="str">
        <f t="shared" si="26"/>
        <v/>
      </c>
      <c r="AC13" s="28" t="str">
        <f t="shared" si="26"/>
        <v/>
      </c>
      <c r="AF13" s="28">
        <f t="shared" si="8"/>
        <v>0</v>
      </c>
      <c r="AG13" s="28">
        <f t="shared" si="9"/>
        <v>-96</v>
      </c>
    </row>
    <row r="14">
      <c r="A14" s="25">
        <f t="shared" si="10"/>
        <v>11</v>
      </c>
      <c r="B14" s="25">
        <v>-112.0</v>
      </c>
      <c r="C14" s="25">
        <v>128.0</v>
      </c>
      <c r="D14" s="25">
        <v>118.0</v>
      </c>
      <c r="E14" s="25">
        <v>-134.0</v>
      </c>
      <c r="F14" s="28">
        <f t="shared" si="5"/>
        <v>0</v>
      </c>
      <c r="G14" s="25" t="s">
        <v>7</v>
      </c>
      <c r="H14" s="25" t="s">
        <v>8</v>
      </c>
      <c r="I14" s="25" t="s">
        <v>294</v>
      </c>
      <c r="J14" s="56"/>
      <c r="K14" s="25">
        <v>9.0</v>
      </c>
      <c r="L14" s="25" t="s">
        <v>145</v>
      </c>
      <c r="M14" s="53">
        <v>3.0</v>
      </c>
      <c r="Q14" s="56"/>
      <c r="T14" s="28">
        <f t="shared" ref="T14:W14" si="27">SUM(B14-B13)</f>
        <v>-64</v>
      </c>
      <c r="U14" s="28">
        <f t="shared" si="27"/>
        <v>64</v>
      </c>
      <c r="V14" s="28">
        <f t="shared" si="27"/>
        <v>64</v>
      </c>
      <c r="W14" s="28">
        <f t="shared" si="27"/>
        <v>-64</v>
      </c>
      <c r="Z14" s="28">
        <f t="shared" ref="Z14:AC14" si="28">IF(T$3=$G14,T14,"")</f>
        <v>-64</v>
      </c>
      <c r="AA14" s="28" t="str">
        <f t="shared" si="28"/>
        <v/>
      </c>
      <c r="AB14" s="28" t="str">
        <f t="shared" si="28"/>
        <v/>
      </c>
      <c r="AC14" s="28" t="str">
        <f t="shared" si="28"/>
        <v/>
      </c>
      <c r="AF14" s="28">
        <f t="shared" si="8"/>
        <v>0</v>
      </c>
      <c r="AG14" s="28">
        <f t="shared" si="9"/>
        <v>-64</v>
      </c>
    </row>
    <row r="15">
      <c r="A15" s="25">
        <f t="shared" si="10"/>
        <v>12</v>
      </c>
      <c r="B15" s="25">
        <v>-160.0</v>
      </c>
      <c r="C15" s="25">
        <v>80.0</v>
      </c>
      <c r="D15" s="25">
        <v>166.0</v>
      </c>
      <c r="E15" s="25">
        <v>-86.0</v>
      </c>
      <c r="F15" s="28">
        <f t="shared" si="5"/>
        <v>0</v>
      </c>
      <c r="G15" s="25" t="s">
        <v>10</v>
      </c>
      <c r="H15" s="25" t="s">
        <v>9</v>
      </c>
      <c r="I15" s="25" t="s">
        <v>294</v>
      </c>
      <c r="J15" s="56"/>
      <c r="K15" s="25">
        <v>9.0</v>
      </c>
      <c r="L15" s="25" t="s">
        <v>145</v>
      </c>
      <c r="M15" s="53">
        <v>3.0</v>
      </c>
      <c r="Q15" s="56"/>
      <c r="T15" s="28">
        <f t="shared" ref="T15:W15" si="29">SUM(B15-B14)</f>
        <v>-48</v>
      </c>
      <c r="U15" s="28">
        <f t="shared" si="29"/>
        <v>-48</v>
      </c>
      <c r="V15" s="28">
        <f t="shared" si="29"/>
        <v>48</v>
      </c>
      <c r="W15" s="28">
        <f t="shared" si="29"/>
        <v>48</v>
      </c>
      <c r="Z15" s="28" t="str">
        <f t="shared" ref="Z15:AC15" si="30">IF(T$3=$G15,T15,"")</f>
        <v/>
      </c>
      <c r="AA15" s="28" t="str">
        <f t="shared" si="30"/>
        <v/>
      </c>
      <c r="AB15" s="28" t="str">
        <f t="shared" si="30"/>
        <v/>
      </c>
      <c r="AC15" s="28">
        <f t="shared" si="30"/>
        <v>48</v>
      </c>
      <c r="AF15" s="28">
        <f t="shared" si="8"/>
        <v>48</v>
      </c>
      <c r="AG15" s="28">
        <f t="shared" si="9"/>
        <v>0</v>
      </c>
    </row>
    <row r="16">
      <c r="A16" s="25">
        <f t="shared" si="10"/>
        <v>13</v>
      </c>
      <c r="B16" s="25">
        <v>-136.0</v>
      </c>
      <c r="C16" s="25">
        <v>8.0</v>
      </c>
      <c r="D16" s="25">
        <v>190.0</v>
      </c>
      <c r="E16" s="25">
        <v>-62.0</v>
      </c>
      <c r="F16" s="28">
        <f t="shared" si="5"/>
        <v>0</v>
      </c>
      <c r="G16" s="25" t="s">
        <v>8</v>
      </c>
      <c r="H16" s="25" t="s">
        <v>10</v>
      </c>
      <c r="I16" s="25" t="s">
        <v>320</v>
      </c>
      <c r="J16" s="56"/>
      <c r="L16" s="25" t="s">
        <v>320</v>
      </c>
      <c r="M16" s="80"/>
      <c r="Q16" s="56"/>
      <c r="T16" s="28">
        <f t="shared" ref="T16:W16" si="31">SUM(B16-B15)</f>
        <v>24</v>
      </c>
      <c r="U16" s="28">
        <f t="shared" si="31"/>
        <v>-72</v>
      </c>
      <c r="V16" s="28">
        <f t="shared" si="31"/>
        <v>24</v>
      </c>
      <c r="W16" s="28">
        <f t="shared" si="31"/>
        <v>24</v>
      </c>
      <c r="Z16" s="28" t="str">
        <f t="shared" ref="Z16:AC16" si="32">IF(T$3=$G16,T16,"")</f>
        <v/>
      </c>
      <c r="AA16" s="28">
        <f t="shared" si="32"/>
        <v>-72</v>
      </c>
      <c r="AB16" s="28" t="str">
        <f t="shared" si="32"/>
        <v/>
      </c>
      <c r="AC16" s="28" t="str">
        <f t="shared" si="32"/>
        <v/>
      </c>
      <c r="AF16" s="28">
        <f t="shared" si="8"/>
        <v>0</v>
      </c>
      <c r="AG16" s="28">
        <f t="shared" si="9"/>
        <v>-72</v>
      </c>
    </row>
    <row r="17">
      <c r="A17" s="25">
        <f t="shared" si="10"/>
        <v>14</v>
      </c>
      <c r="B17" s="25">
        <v>-144.0</v>
      </c>
      <c r="C17" s="25">
        <v>0.0</v>
      </c>
      <c r="D17" s="25">
        <v>198.0</v>
      </c>
      <c r="E17" s="25">
        <v>-54.0</v>
      </c>
      <c r="F17" s="28">
        <f t="shared" si="5"/>
        <v>0</v>
      </c>
      <c r="G17" s="25" t="s">
        <v>7</v>
      </c>
      <c r="H17" s="25" t="s">
        <v>9</v>
      </c>
      <c r="I17" s="25" t="s">
        <v>293</v>
      </c>
      <c r="J17" s="56"/>
      <c r="K17" s="25">
        <v>9.0</v>
      </c>
      <c r="L17" s="25" t="s">
        <v>144</v>
      </c>
      <c r="M17" s="80"/>
      <c r="Q17" s="56"/>
      <c r="T17" s="28">
        <f t="shared" ref="T17:W17" si="33">SUM(B17-B16)</f>
        <v>-8</v>
      </c>
      <c r="U17" s="28">
        <f t="shared" si="33"/>
        <v>-8</v>
      </c>
      <c r="V17" s="28">
        <f t="shared" si="33"/>
        <v>8</v>
      </c>
      <c r="W17" s="28">
        <f t="shared" si="33"/>
        <v>8</v>
      </c>
      <c r="Z17" s="28">
        <f t="shared" ref="Z17:AC17" si="34">IF(T$3=$G17,T17,"")</f>
        <v>-8</v>
      </c>
      <c r="AA17" s="28" t="str">
        <f t="shared" si="34"/>
        <v/>
      </c>
      <c r="AB17" s="28" t="str">
        <f t="shared" si="34"/>
        <v/>
      </c>
      <c r="AC17" s="28" t="str">
        <f t="shared" si="34"/>
        <v/>
      </c>
      <c r="AF17" s="28">
        <f t="shared" si="8"/>
        <v>0</v>
      </c>
      <c r="AG17" s="28">
        <f t="shared" si="9"/>
        <v>-8</v>
      </c>
    </row>
    <row r="18">
      <c r="A18" s="25">
        <f t="shared" si="10"/>
        <v>15</v>
      </c>
      <c r="B18" s="25">
        <v>-152.0</v>
      </c>
      <c r="C18" s="25">
        <v>8.0</v>
      </c>
      <c r="D18" s="25">
        <v>190.0</v>
      </c>
      <c r="E18" s="25">
        <v>-46.0</v>
      </c>
      <c r="F18" s="28">
        <f t="shared" si="5"/>
        <v>0</v>
      </c>
      <c r="G18" s="25" t="s">
        <v>7</v>
      </c>
      <c r="H18" s="25" t="s">
        <v>10</v>
      </c>
      <c r="I18" s="25" t="s">
        <v>293</v>
      </c>
      <c r="J18" s="56"/>
      <c r="K18" s="25">
        <v>9.0</v>
      </c>
      <c r="L18" s="25" t="s">
        <v>144</v>
      </c>
      <c r="M18" s="80"/>
      <c r="Q18" s="56"/>
      <c r="T18" s="28">
        <f t="shared" ref="T18:W18" si="35">SUM(B18-B17)</f>
        <v>-8</v>
      </c>
      <c r="U18" s="28">
        <f t="shared" si="35"/>
        <v>8</v>
      </c>
      <c r="V18" s="28">
        <f t="shared" si="35"/>
        <v>-8</v>
      </c>
      <c r="W18" s="28">
        <f t="shared" si="35"/>
        <v>8</v>
      </c>
      <c r="Z18" s="28">
        <f t="shared" ref="Z18:AC18" si="36">IF(T$3=$G18,T18,"")</f>
        <v>-8</v>
      </c>
      <c r="AA18" s="28" t="str">
        <f t="shared" si="36"/>
        <v/>
      </c>
      <c r="AB18" s="28" t="str">
        <f t="shared" si="36"/>
        <v/>
      </c>
      <c r="AC18" s="28" t="str">
        <f t="shared" si="36"/>
        <v/>
      </c>
      <c r="AF18" s="28">
        <f t="shared" si="8"/>
        <v>0</v>
      </c>
      <c r="AG18" s="28">
        <f t="shared" si="9"/>
        <v>-8</v>
      </c>
    </row>
    <row r="19">
      <c r="A19" s="25">
        <f t="shared" si="10"/>
        <v>16</v>
      </c>
      <c r="B19" s="25">
        <v>-184.0</v>
      </c>
      <c r="C19" s="25">
        <v>-24.0</v>
      </c>
      <c r="D19" s="25">
        <v>222.0</v>
      </c>
      <c r="E19" s="25">
        <v>-14.0</v>
      </c>
      <c r="F19" s="28">
        <f t="shared" si="5"/>
        <v>0</v>
      </c>
      <c r="G19" s="25" t="s">
        <v>7</v>
      </c>
      <c r="H19" s="25" t="s">
        <v>7</v>
      </c>
      <c r="I19" s="25" t="s">
        <v>310</v>
      </c>
      <c r="J19" s="56"/>
      <c r="K19" s="25">
        <v>9.0</v>
      </c>
      <c r="L19" s="25" t="s">
        <v>145</v>
      </c>
      <c r="M19" s="53">
        <v>2.0</v>
      </c>
      <c r="Q19" s="56"/>
      <c r="T19" s="28">
        <f t="shared" ref="T19:W19" si="37">SUM(B19-B18)</f>
        <v>-32</v>
      </c>
      <c r="U19" s="28">
        <f t="shared" si="37"/>
        <v>-32</v>
      </c>
      <c r="V19" s="28">
        <f t="shared" si="37"/>
        <v>32</v>
      </c>
      <c r="W19" s="28">
        <f t="shared" si="37"/>
        <v>32</v>
      </c>
      <c r="Z19" s="28">
        <f t="shared" ref="Z19:AC19" si="38">IF(T$3=$G19,T19,"")</f>
        <v>-32</v>
      </c>
      <c r="AA19" s="28" t="str">
        <f t="shared" si="38"/>
        <v/>
      </c>
      <c r="AB19" s="28" t="str">
        <f t="shared" si="38"/>
        <v/>
      </c>
      <c r="AC19" s="28" t="str">
        <f t="shared" si="38"/>
        <v/>
      </c>
      <c r="AF19" s="28">
        <f t="shared" si="8"/>
        <v>0</v>
      </c>
      <c r="AG19" s="28">
        <f t="shared" si="9"/>
        <v>-32</v>
      </c>
    </row>
    <row r="20">
      <c r="A20" s="25">
        <f t="shared" si="10"/>
        <v>17</v>
      </c>
      <c r="B20" s="25">
        <v>-172.0</v>
      </c>
      <c r="C20" s="25">
        <v>-36.0</v>
      </c>
      <c r="D20" s="25">
        <v>234.0</v>
      </c>
      <c r="E20" s="25">
        <v>-26.0</v>
      </c>
      <c r="F20" s="28">
        <f t="shared" si="5"/>
        <v>0</v>
      </c>
      <c r="G20" s="25" t="s">
        <v>7</v>
      </c>
      <c r="H20" s="25" t="s">
        <v>8</v>
      </c>
      <c r="I20" s="25" t="s">
        <v>293</v>
      </c>
      <c r="J20" s="56"/>
      <c r="K20" s="25">
        <v>9.0</v>
      </c>
      <c r="L20" s="25" t="s">
        <v>144</v>
      </c>
      <c r="M20" s="80"/>
      <c r="Q20" s="56"/>
      <c r="T20" s="28">
        <f t="shared" ref="T20:W20" si="39">SUM(B20-B19)</f>
        <v>12</v>
      </c>
      <c r="U20" s="28">
        <f t="shared" si="39"/>
        <v>-12</v>
      </c>
      <c r="V20" s="28">
        <f t="shared" si="39"/>
        <v>12</v>
      </c>
      <c r="W20" s="28">
        <f t="shared" si="39"/>
        <v>-12</v>
      </c>
      <c r="Z20" s="28">
        <f t="shared" ref="Z20:AC20" si="40">IF(T$3=$G20,T20,"")</f>
        <v>12</v>
      </c>
      <c r="AA20" s="28" t="str">
        <f t="shared" si="40"/>
        <v/>
      </c>
      <c r="AB20" s="28" t="str">
        <f t="shared" si="40"/>
        <v/>
      </c>
      <c r="AC20" s="28" t="str">
        <f t="shared" si="40"/>
        <v/>
      </c>
      <c r="AF20" s="28">
        <f t="shared" si="8"/>
        <v>12</v>
      </c>
      <c r="AG20" s="28">
        <f t="shared" si="9"/>
        <v>0</v>
      </c>
    </row>
    <row r="21">
      <c r="A21" s="25">
        <f t="shared" si="10"/>
        <v>18</v>
      </c>
      <c r="B21" s="25">
        <v>-180.0</v>
      </c>
      <c r="C21" s="25">
        <v>-44.0</v>
      </c>
      <c r="D21" s="25">
        <v>226.0</v>
      </c>
      <c r="E21" s="25">
        <v>-2.0</v>
      </c>
      <c r="F21" s="28">
        <f t="shared" si="5"/>
        <v>0</v>
      </c>
      <c r="G21" s="25" t="s">
        <v>10</v>
      </c>
      <c r="H21" s="25" t="s">
        <v>9</v>
      </c>
      <c r="I21" s="25" t="s">
        <v>139</v>
      </c>
      <c r="J21" s="56"/>
      <c r="L21" s="25" t="s">
        <v>139</v>
      </c>
      <c r="M21" s="80"/>
      <c r="Q21" s="56"/>
      <c r="T21" s="28">
        <f t="shared" ref="T21:W21" si="41">SUM(B21-B20)</f>
        <v>-8</v>
      </c>
      <c r="U21" s="28">
        <f t="shared" si="41"/>
        <v>-8</v>
      </c>
      <c r="V21" s="28">
        <f t="shared" si="41"/>
        <v>-8</v>
      </c>
      <c r="W21" s="28">
        <f t="shared" si="41"/>
        <v>24</v>
      </c>
      <c r="Z21" s="28" t="str">
        <f t="shared" ref="Z21:AC21" si="42">IF(T$3=$G21,T21,"")</f>
        <v/>
      </c>
      <c r="AA21" s="28" t="str">
        <f t="shared" si="42"/>
        <v/>
      </c>
      <c r="AB21" s="28" t="str">
        <f t="shared" si="42"/>
        <v/>
      </c>
      <c r="AC21" s="28">
        <f t="shared" si="42"/>
        <v>24</v>
      </c>
      <c r="AF21" s="28">
        <f t="shared" si="8"/>
        <v>24</v>
      </c>
      <c r="AG21" s="28">
        <f t="shared" si="9"/>
        <v>0</v>
      </c>
    </row>
    <row r="22">
      <c r="A22" s="25">
        <f t="shared" si="10"/>
        <v>19</v>
      </c>
      <c r="B22" s="25">
        <v>-168.0</v>
      </c>
      <c r="C22" s="25">
        <v>-48.0</v>
      </c>
      <c r="D22" s="25">
        <v>222.0</v>
      </c>
      <c r="E22" s="25">
        <v>-6.0</v>
      </c>
      <c r="F22" s="28">
        <f t="shared" si="5"/>
        <v>0</v>
      </c>
      <c r="G22" s="25" t="s">
        <v>7</v>
      </c>
      <c r="H22" s="25" t="s">
        <v>10</v>
      </c>
      <c r="I22" s="25" t="s">
        <v>139</v>
      </c>
      <c r="J22" s="56"/>
      <c r="L22" s="25" t="s">
        <v>139</v>
      </c>
      <c r="M22" s="80"/>
      <c r="Q22" s="56"/>
      <c r="T22" s="28">
        <f t="shared" ref="T22:W22" si="43">SUM(B22-B21)</f>
        <v>12</v>
      </c>
      <c r="U22" s="28">
        <f t="shared" si="43"/>
        <v>-4</v>
      </c>
      <c r="V22" s="28">
        <f t="shared" si="43"/>
        <v>-4</v>
      </c>
      <c r="W22" s="28">
        <f t="shared" si="43"/>
        <v>-4</v>
      </c>
      <c r="Z22" s="28">
        <f t="shared" ref="Z22:AC22" si="44">IF(T$3=$G22,T22,"")</f>
        <v>12</v>
      </c>
      <c r="AA22" s="28" t="str">
        <f t="shared" si="44"/>
        <v/>
      </c>
      <c r="AB22" s="28" t="str">
        <f t="shared" si="44"/>
        <v/>
      </c>
      <c r="AC22" s="28" t="str">
        <f t="shared" si="44"/>
        <v/>
      </c>
      <c r="AF22" s="28">
        <f t="shared" si="8"/>
        <v>12</v>
      </c>
      <c r="AG22" s="28">
        <f t="shared" si="9"/>
        <v>0</v>
      </c>
    </row>
    <row r="23">
      <c r="A23" s="25">
        <f t="shared" si="10"/>
        <v>20</v>
      </c>
      <c r="B23" s="25">
        <v>-180.0</v>
      </c>
      <c r="C23" s="25">
        <v>-60.0</v>
      </c>
      <c r="D23" s="25">
        <v>234.0</v>
      </c>
      <c r="E23" s="25">
        <v>6.0</v>
      </c>
      <c r="F23" s="28">
        <f t="shared" si="5"/>
        <v>0</v>
      </c>
      <c r="G23" s="25" t="s">
        <v>8</v>
      </c>
      <c r="H23" s="25" t="s">
        <v>7</v>
      </c>
      <c r="I23" s="25" t="s">
        <v>293</v>
      </c>
      <c r="J23" s="56"/>
      <c r="K23" s="25">
        <v>9.0</v>
      </c>
      <c r="L23" s="25" t="s">
        <v>144</v>
      </c>
      <c r="M23" s="80"/>
      <c r="Q23" s="56"/>
      <c r="T23" s="28">
        <f t="shared" ref="T23:W23" si="45">SUM(B23-B22)</f>
        <v>-12</v>
      </c>
      <c r="U23" s="28">
        <f t="shared" si="45"/>
        <v>-12</v>
      </c>
      <c r="V23" s="28">
        <f t="shared" si="45"/>
        <v>12</v>
      </c>
      <c r="W23" s="28">
        <f t="shared" si="45"/>
        <v>12</v>
      </c>
      <c r="Z23" s="28" t="str">
        <f t="shared" ref="Z23:AC23" si="46">IF(T$3=$G23,T23,"")</f>
        <v/>
      </c>
      <c r="AA23" s="28">
        <f t="shared" si="46"/>
        <v>-12</v>
      </c>
      <c r="AB23" s="28" t="str">
        <f t="shared" si="46"/>
        <v/>
      </c>
      <c r="AC23" s="28" t="str">
        <f t="shared" si="46"/>
        <v/>
      </c>
      <c r="AF23" s="28">
        <f t="shared" si="8"/>
        <v>0</v>
      </c>
      <c r="AG23" s="28">
        <f t="shared" si="9"/>
        <v>-12</v>
      </c>
    </row>
    <row r="24">
      <c r="A24" s="25">
        <f t="shared" si="10"/>
        <v>21</v>
      </c>
      <c r="B24" s="25">
        <v>-168.0</v>
      </c>
      <c r="C24" s="25">
        <v>-72.0</v>
      </c>
      <c r="D24" s="25">
        <v>246.0</v>
      </c>
      <c r="E24" s="25">
        <v>-6.0</v>
      </c>
      <c r="F24" s="28">
        <f t="shared" si="5"/>
        <v>0</v>
      </c>
      <c r="G24" s="25" t="s">
        <v>10</v>
      </c>
      <c r="H24" s="25" t="s">
        <v>8</v>
      </c>
      <c r="I24" s="25" t="s">
        <v>293</v>
      </c>
      <c r="J24" s="56"/>
      <c r="K24" s="25">
        <v>9.0</v>
      </c>
      <c r="L24" s="25" t="s">
        <v>144</v>
      </c>
      <c r="M24" s="80"/>
      <c r="Q24" s="56"/>
      <c r="T24" s="28">
        <f t="shared" ref="T24:W24" si="47">SUM(B24-B23)</f>
        <v>12</v>
      </c>
      <c r="U24" s="28">
        <f t="shared" si="47"/>
        <v>-12</v>
      </c>
      <c r="V24" s="28">
        <f t="shared" si="47"/>
        <v>12</v>
      </c>
      <c r="W24" s="28">
        <f t="shared" si="47"/>
        <v>-12</v>
      </c>
      <c r="Z24" s="28" t="str">
        <f t="shared" ref="Z24:AC24" si="48">IF(T$3=$G24,T24,"")</f>
        <v/>
      </c>
      <c r="AA24" s="28" t="str">
        <f t="shared" si="48"/>
        <v/>
      </c>
      <c r="AB24" s="28" t="str">
        <f t="shared" si="48"/>
        <v/>
      </c>
      <c r="AC24" s="28">
        <f t="shared" si="48"/>
        <v>-12</v>
      </c>
      <c r="AF24" s="28">
        <f t="shared" si="8"/>
        <v>0</v>
      </c>
      <c r="AG24" s="28">
        <f t="shared" si="9"/>
        <v>-12</v>
      </c>
    </row>
    <row r="25">
      <c r="A25" s="25">
        <f t="shared" si="10"/>
        <v>22</v>
      </c>
      <c r="B25" s="25">
        <v>-180.0</v>
      </c>
      <c r="C25" s="25">
        <v>-60.0</v>
      </c>
      <c r="D25" s="25">
        <v>234.0</v>
      </c>
      <c r="E25" s="25">
        <v>6.0</v>
      </c>
      <c r="F25" s="28">
        <f t="shared" si="5"/>
        <v>0</v>
      </c>
      <c r="G25" s="25" t="s">
        <v>7</v>
      </c>
      <c r="H25" s="25" t="s">
        <v>9</v>
      </c>
      <c r="I25" s="25" t="s">
        <v>293</v>
      </c>
      <c r="J25" s="56"/>
      <c r="K25" s="25">
        <v>9.0</v>
      </c>
      <c r="L25" s="25" t="s">
        <v>144</v>
      </c>
      <c r="M25" s="80"/>
      <c r="Q25" s="56"/>
      <c r="T25" s="28">
        <f t="shared" ref="T25:W25" si="49">SUM(B25-B24)</f>
        <v>-12</v>
      </c>
      <c r="U25" s="28">
        <f t="shared" si="49"/>
        <v>12</v>
      </c>
      <c r="V25" s="28">
        <f t="shared" si="49"/>
        <v>-12</v>
      </c>
      <c r="W25" s="28">
        <f t="shared" si="49"/>
        <v>12</v>
      </c>
      <c r="Z25" s="28">
        <f t="shared" ref="Z25:AC25" si="50">IF(T$3=$G25,T25,"")</f>
        <v>-12</v>
      </c>
      <c r="AA25" s="28" t="str">
        <f t="shared" si="50"/>
        <v/>
      </c>
      <c r="AB25" s="28" t="str">
        <f t="shared" si="50"/>
        <v/>
      </c>
      <c r="AC25" s="28" t="str">
        <f t="shared" si="50"/>
        <v/>
      </c>
      <c r="AF25" s="28">
        <f t="shared" si="8"/>
        <v>0</v>
      </c>
      <c r="AG25" s="28">
        <f t="shared" si="9"/>
        <v>-12</v>
      </c>
    </row>
    <row r="26">
      <c r="A26" s="25">
        <f t="shared" si="10"/>
        <v>23</v>
      </c>
      <c r="B26" s="25">
        <v>-168.0</v>
      </c>
      <c r="C26" s="25">
        <v>-48.0</v>
      </c>
      <c r="D26" s="25">
        <v>198.0</v>
      </c>
      <c r="E26" s="25">
        <v>18.0</v>
      </c>
      <c r="F26" s="28">
        <f t="shared" si="5"/>
        <v>0</v>
      </c>
      <c r="G26" s="25" t="s">
        <v>9</v>
      </c>
      <c r="H26" s="25" t="s">
        <v>10</v>
      </c>
      <c r="I26" s="25" t="s">
        <v>321</v>
      </c>
      <c r="J26" s="56"/>
      <c r="K26" s="25">
        <v>9.0</v>
      </c>
      <c r="L26" s="25" t="s">
        <v>144</v>
      </c>
      <c r="M26" s="80"/>
      <c r="O26" s="25"/>
      <c r="P26" s="25" t="s">
        <v>15</v>
      </c>
      <c r="Q26" s="46"/>
      <c r="R26" s="25"/>
      <c r="S26" s="25"/>
      <c r="T26" s="28">
        <f t="shared" ref="T26:W26" si="51">SUM(B26-B25)</f>
        <v>12</v>
      </c>
      <c r="U26" s="28">
        <f t="shared" si="51"/>
        <v>12</v>
      </c>
      <c r="V26" s="28">
        <f t="shared" si="51"/>
        <v>-36</v>
      </c>
      <c r="W26" s="28">
        <f t="shared" si="51"/>
        <v>12</v>
      </c>
      <c r="X26" s="25"/>
      <c r="Y26" s="25"/>
      <c r="Z26" s="28" t="str">
        <f t="shared" ref="Z26:AC26" si="52">IF(T$3=$G26,T26,"")</f>
        <v/>
      </c>
      <c r="AA26" s="28" t="str">
        <f t="shared" si="52"/>
        <v/>
      </c>
      <c r="AB26" s="28">
        <f t="shared" si="52"/>
        <v>-36</v>
      </c>
      <c r="AC26" s="28" t="str">
        <f t="shared" si="52"/>
        <v/>
      </c>
      <c r="AF26" s="28">
        <f t="shared" si="8"/>
        <v>0</v>
      </c>
      <c r="AG26" s="28">
        <f t="shared" si="9"/>
        <v>-36</v>
      </c>
    </row>
    <row r="27">
      <c r="A27" s="25">
        <f t="shared" si="10"/>
        <v>24</v>
      </c>
      <c r="B27" s="25">
        <v>-72.0</v>
      </c>
      <c r="C27" s="25">
        <v>-144.0</v>
      </c>
      <c r="D27" s="25">
        <v>294.0</v>
      </c>
      <c r="E27" s="25">
        <v>-78.0</v>
      </c>
      <c r="F27" s="28">
        <f t="shared" si="5"/>
        <v>0</v>
      </c>
      <c r="G27" s="25" t="s">
        <v>7</v>
      </c>
      <c r="H27" s="25" t="s">
        <v>7</v>
      </c>
      <c r="I27" s="25" t="s">
        <v>322</v>
      </c>
      <c r="J27" s="56"/>
      <c r="K27" s="25">
        <v>9.0</v>
      </c>
      <c r="L27" s="25" t="s">
        <v>145</v>
      </c>
      <c r="M27" s="53">
        <v>3.0</v>
      </c>
      <c r="N27" s="25" t="s">
        <v>15</v>
      </c>
      <c r="Q27" s="56"/>
      <c r="T27" s="28">
        <f t="shared" ref="T27:W27" si="53">SUM(B27-B26)</f>
        <v>96</v>
      </c>
      <c r="U27" s="28">
        <f t="shared" si="53"/>
        <v>-96</v>
      </c>
      <c r="V27" s="28">
        <f t="shared" si="53"/>
        <v>96</v>
      </c>
      <c r="W27" s="28">
        <f t="shared" si="53"/>
        <v>-96</v>
      </c>
      <c r="Z27" s="28">
        <f t="shared" ref="Z27:AC27" si="54">IF(T$3=$G27,T27,"")</f>
        <v>96</v>
      </c>
      <c r="AA27" s="28" t="str">
        <f t="shared" si="54"/>
        <v/>
      </c>
      <c r="AB27" s="28" t="str">
        <f t="shared" si="54"/>
        <v/>
      </c>
      <c r="AC27" s="28" t="str">
        <f t="shared" si="54"/>
        <v/>
      </c>
      <c r="AF27" s="28">
        <f t="shared" si="8"/>
        <v>96</v>
      </c>
      <c r="AG27" s="28">
        <f t="shared" si="9"/>
        <v>0</v>
      </c>
    </row>
    <row r="28">
      <c r="A28" s="25">
        <f t="shared" si="10"/>
        <v>25</v>
      </c>
      <c r="B28" s="25">
        <v>-56.0</v>
      </c>
      <c r="C28" s="25">
        <v>-160.0</v>
      </c>
      <c r="D28" s="25">
        <v>278.0</v>
      </c>
      <c r="E28" s="25">
        <v>-62.0</v>
      </c>
      <c r="F28" s="28">
        <f t="shared" si="5"/>
        <v>0</v>
      </c>
      <c r="G28" s="25" t="s">
        <v>7</v>
      </c>
      <c r="H28" s="25" t="s">
        <v>8</v>
      </c>
      <c r="I28" s="25" t="s">
        <v>299</v>
      </c>
      <c r="J28" s="56"/>
      <c r="K28" s="25">
        <v>9.0</v>
      </c>
      <c r="L28" s="25" t="s">
        <v>146</v>
      </c>
      <c r="M28" s="80"/>
      <c r="Q28" s="56"/>
      <c r="T28" s="28">
        <f t="shared" ref="T28:W28" si="55">SUM(B28-B27)</f>
        <v>16</v>
      </c>
      <c r="U28" s="28">
        <f t="shared" si="55"/>
        <v>-16</v>
      </c>
      <c r="V28" s="28">
        <f t="shared" si="55"/>
        <v>-16</v>
      </c>
      <c r="W28" s="28">
        <f t="shared" si="55"/>
        <v>16</v>
      </c>
      <c r="Z28" s="28">
        <f t="shared" ref="Z28:AC28" si="56">IF(T$3=$G28,T28,"")</f>
        <v>16</v>
      </c>
      <c r="AA28" s="28" t="str">
        <f t="shared" si="56"/>
        <v/>
      </c>
      <c r="AB28" s="28" t="str">
        <f t="shared" si="56"/>
        <v/>
      </c>
      <c r="AC28" s="28" t="str">
        <f t="shared" si="56"/>
        <v/>
      </c>
      <c r="AF28" s="28">
        <f t="shared" si="8"/>
        <v>16</v>
      </c>
      <c r="AG28" s="28">
        <f t="shared" si="9"/>
        <v>0</v>
      </c>
    </row>
    <row r="29">
      <c r="A29" s="25">
        <f t="shared" si="10"/>
        <v>26</v>
      </c>
      <c r="B29" s="25">
        <v>-44.0</v>
      </c>
      <c r="C29" s="25">
        <v>-172.0</v>
      </c>
      <c r="D29" s="25">
        <v>266.0</v>
      </c>
      <c r="E29" s="25">
        <v>-50.0</v>
      </c>
      <c r="F29" s="28">
        <f t="shared" si="5"/>
        <v>0</v>
      </c>
      <c r="G29" s="25" t="s">
        <v>9</v>
      </c>
      <c r="H29" s="25" t="s">
        <v>9</v>
      </c>
      <c r="I29" s="25" t="s">
        <v>293</v>
      </c>
      <c r="J29" s="56"/>
      <c r="K29" s="25">
        <v>9.0</v>
      </c>
      <c r="L29" s="25" t="s">
        <v>144</v>
      </c>
      <c r="M29" s="80"/>
      <c r="Q29" s="56"/>
      <c r="T29" s="28">
        <f t="shared" ref="T29:W29" si="57">SUM(B29-B28)</f>
        <v>12</v>
      </c>
      <c r="U29" s="28">
        <f t="shared" si="57"/>
        <v>-12</v>
      </c>
      <c r="V29" s="28">
        <f t="shared" si="57"/>
        <v>-12</v>
      </c>
      <c r="W29" s="28">
        <f t="shared" si="57"/>
        <v>12</v>
      </c>
      <c r="Z29" s="28" t="str">
        <f t="shared" ref="Z29:AC29" si="58">IF(T$3=$G29,T29,"")</f>
        <v/>
      </c>
      <c r="AA29" s="28" t="str">
        <f t="shared" si="58"/>
        <v/>
      </c>
      <c r="AB29" s="28">
        <f t="shared" si="58"/>
        <v>-12</v>
      </c>
      <c r="AC29" s="28" t="str">
        <f t="shared" si="58"/>
        <v/>
      </c>
      <c r="AF29" s="28">
        <f t="shared" si="8"/>
        <v>0</v>
      </c>
      <c r="AG29" s="28">
        <f t="shared" si="9"/>
        <v>-12</v>
      </c>
    </row>
    <row r="30">
      <c r="A30" s="25">
        <f t="shared" si="10"/>
        <v>27</v>
      </c>
      <c r="B30" s="25">
        <v>-20.0</v>
      </c>
      <c r="C30" s="25">
        <v>-196.0</v>
      </c>
      <c r="D30" s="25">
        <v>290.0</v>
      </c>
      <c r="E30" s="25">
        <v>-74.0</v>
      </c>
      <c r="F30" s="28">
        <f t="shared" si="5"/>
        <v>0</v>
      </c>
      <c r="G30" s="25" t="s">
        <v>8</v>
      </c>
      <c r="H30" s="25" t="s">
        <v>10</v>
      </c>
      <c r="I30" s="25" t="s">
        <v>310</v>
      </c>
      <c r="J30" s="56"/>
      <c r="K30" s="25">
        <v>9.0</v>
      </c>
      <c r="L30" s="25" t="s">
        <v>145</v>
      </c>
      <c r="M30" s="53">
        <v>2.0</v>
      </c>
      <c r="Q30" s="56"/>
      <c r="T30" s="28">
        <f t="shared" ref="T30:W30" si="59">SUM(B30-B29)</f>
        <v>24</v>
      </c>
      <c r="U30" s="28">
        <f t="shared" si="59"/>
        <v>-24</v>
      </c>
      <c r="V30" s="28">
        <f t="shared" si="59"/>
        <v>24</v>
      </c>
      <c r="W30" s="28">
        <f t="shared" si="59"/>
        <v>-24</v>
      </c>
      <c r="Z30" s="28" t="str">
        <f t="shared" ref="Z30:AC30" si="60">IF(T$3=$G30,T30,"")</f>
        <v/>
      </c>
      <c r="AA30" s="28">
        <f t="shared" si="60"/>
        <v>-24</v>
      </c>
      <c r="AB30" s="28" t="str">
        <f t="shared" si="60"/>
        <v/>
      </c>
      <c r="AC30" s="28" t="str">
        <f t="shared" si="60"/>
        <v/>
      </c>
      <c r="AF30" s="28">
        <f t="shared" si="8"/>
        <v>0</v>
      </c>
      <c r="AG30" s="28">
        <f t="shared" si="9"/>
        <v>-24</v>
      </c>
    </row>
    <row r="31">
      <c r="A31" s="25">
        <f t="shared" si="10"/>
        <v>28</v>
      </c>
      <c r="B31" s="25">
        <v>-28.0</v>
      </c>
      <c r="C31" s="25">
        <v>-204.0</v>
      </c>
      <c r="D31" s="25">
        <v>314.0</v>
      </c>
      <c r="E31" s="25">
        <v>-82.0</v>
      </c>
      <c r="F31" s="28">
        <f t="shared" si="5"/>
        <v>0</v>
      </c>
      <c r="G31" s="25" t="s">
        <v>9</v>
      </c>
      <c r="H31" s="25" t="s">
        <v>7</v>
      </c>
      <c r="I31" s="25" t="s">
        <v>139</v>
      </c>
      <c r="J31" s="56"/>
      <c r="L31" s="25" t="s">
        <v>139</v>
      </c>
      <c r="M31" s="80"/>
      <c r="Q31" s="56"/>
      <c r="T31" s="28">
        <f t="shared" ref="T31:W31" si="61">SUM(B31-B30)</f>
        <v>-8</v>
      </c>
      <c r="U31" s="28">
        <f t="shared" si="61"/>
        <v>-8</v>
      </c>
      <c r="V31" s="28">
        <f t="shared" si="61"/>
        <v>24</v>
      </c>
      <c r="W31" s="28">
        <f t="shared" si="61"/>
        <v>-8</v>
      </c>
      <c r="Z31" s="28" t="str">
        <f t="shared" ref="Z31:AC31" si="62">IF(T$3=$G31,T31,"")</f>
        <v/>
      </c>
      <c r="AA31" s="28" t="str">
        <f t="shared" si="62"/>
        <v/>
      </c>
      <c r="AB31" s="28">
        <f t="shared" si="62"/>
        <v>24</v>
      </c>
      <c r="AC31" s="28" t="str">
        <f t="shared" si="62"/>
        <v/>
      </c>
      <c r="AF31" s="28">
        <f t="shared" si="8"/>
        <v>24</v>
      </c>
      <c r="AG31" s="28">
        <f t="shared" si="9"/>
        <v>0</v>
      </c>
    </row>
    <row r="32">
      <c r="A32" s="25">
        <f t="shared" si="10"/>
        <v>29</v>
      </c>
      <c r="B32" s="25">
        <v>-44.0</v>
      </c>
      <c r="C32" s="25">
        <v>-156.0</v>
      </c>
      <c r="D32" s="25">
        <v>298.0</v>
      </c>
      <c r="E32" s="25">
        <v>-98.0</v>
      </c>
      <c r="F32" s="28">
        <f t="shared" si="5"/>
        <v>0</v>
      </c>
      <c r="G32" s="25" t="s">
        <v>8</v>
      </c>
      <c r="H32" s="25" t="s">
        <v>8</v>
      </c>
      <c r="I32" s="25" t="s">
        <v>299</v>
      </c>
      <c r="J32" s="56"/>
      <c r="K32" s="25">
        <v>9.0</v>
      </c>
      <c r="L32" s="25" t="s">
        <v>146</v>
      </c>
      <c r="M32" s="80"/>
      <c r="Q32" s="56"/>
      <c r="T32" s="28">
        <f t="shared" ref="T32:W32" si="63">SUM(B32-B31)</f>
        <v>-16</v>
      </c>
      <c r="U32" s="28">
        <f t="shared" si="63"/>
        <v>48</v>
      </c>
      <c r="V32" s="28">
        <f t="shared" si="63"/>
        <v>-16</v>
      </c>
      <c r="W32" s="28">
        <f t="shared" si="63"/>
        <v>-16</v>
      </c>
      <c r="Z32" s="28" t="str">
        <f t="shared" ref="Z32:AC32" si="64">IF(T$3=$G32,T32,"")</f>
        <v/>
      </c>
      <c r="AA32" s="28">
        <f t="shared" si="64"/>
        <v>48</v>
      </c>
      <c r="AB32" s="28" t="str">
        <f t="shared" si="64"/>
        <v/>
      </c>
      <c r="AC32" s="28" t="str">
        <f t="shared" si="64"/>
        <v/>
      </c>
      <c r="AF32" s="28">
        <f t="shared" si="8"/>
        <v>48</v>
      </c>
      <c r="AG32" s="28">
        <f t="shared" si="9"/>
        <v>0</v>
      </c>
    </row>
    <row r="33">
      <c r="A33" s="25">
        <f t="shared" si="10"/>
        <v>30</v>
      </c>
      <c r="B33" s="25">
        <v>-32.0</v>
      </c>
      <c r="C33" s="25">
        <v>-168.0</v>
      </c>
      <c r="D33" s="25">
        <v>286.0</v>
      </c>
      <c r="E33" s="25">
        <v>-86.0</v>
      </c>
      <c r="F33" s="28">
        <f t="shared" si="5"/>
        <v>0</v>
      </c>
      <c r="G33" s="25" t="s">
        <v>7</v>
      </c>
      <c r="H33" s="25" t="s">
        <v>9</v>
      </c>
      <c r="I33" s="25" t="s">
        <v>306</v>
      </c>
      <c r="J33" s="56"/>
      <c r="K33" s="25">
        <v>9.0</v>
      </c>
      <c r="L33" s="25" t="s">
        <v>145</v>
      </c>
      <c r="M33" s="53">
        <v>1.0</v>
      </c>
      <c r="Q33" s="56"/>
      <c r="T33" s="28">
        <f t="shared" ref="T33:W33" si="65">SUM(B33-B32)</f>
        <v>12</v>
      </c>
      <c r="U33" s="28">
        <f t="shared" si="65"/>
        <v>-12</v>
      </c>
      <c r="V33" s="28">
        <f t="shared" si="65"/>
        <v>-12</v>
      </c>
      <c r="W33" s="28">
        <f t="shared" si="65"/>
        <v>12</v>
      </c>
      <c r="Z33" s="28">
        <f t="shared" ref="Z33:AC33" si="66">IF(T$3=$G33,T33,"")</f>
        <v>12</v>
      </c>
      <c r="AA33" s="28" t="str">
        <f t="shared" si="66"/>
        <v/>
      </c>
      <c r="AB33" s="28" t="str">
        <f t="shared" si="66"/>
        <v/>
      </c>
      <c r="AC33" s="28" t="str">
        <f t="shared" si="66"/>
        <v/>
      </c>
      <c r="AF33" s="28">
        <f t="shared" si="8"/>
        <v>12</v>
      </c>
      <c r="AG33" s="28">
        <f t="shared" si="9"/>
        <v>0</v>
      </c>
    </row>
    <row r="34">
      <c r="A34" s="25">
        <f t="shared" si="10"/>
        <v>31</v>
      </c>
      <c r="B34" s="25">
        <v>16.0</v>
      </c>
      <c r="C34" s="25">
        <v>-120.0</v>
      </c>
      <c r="D34" s="25">
        <v>238.0</v>
      </c>
      <c r="E34" s="25">
        <v>-134.0</v>
      </c>
      <c r="F34" s="28">
        <f t="shared" si="5"/>
        <v>0</v>
      </c>
      <c r="G34" s="25" t="s">
        <v>7</v>
      </c>
      <c r="H34" s="25" t="s">
        <v>10</v>
      </c>
      <c r="I34" s="25" t="s">
        <v>294</v>
      </c>
      <c r="J34" s="56"/>
      <c r="K34" s="25">
        <v>9.0</v>
      </c>
      <c r="L34" s="25" t="s">
        <v>145</v>
      </c>
      <c r="M34" s="53">
        <v>3.0</v>
      </c>
      <c r="Q34" s="56"/>
      <c r="T34" s="28">
        <f t="shared" ref="T34:W34" si="67">SUM(B34-B33)</f>
        <v>48</v>
      </c>
      <c r="U34" s="28">
        <f t="shared" si="67"/>
        <v>48</v>
      </c>
      <c r="V34" s="28">
        <f t="shared" si="67"/>
        <v>-48</v>
      </c>
      <c r="W34" s="28">
        <f t="shared" si="67"/>
        <v>-48</v>
      </c>
      <c r="Z34" s="28">
        <f t="shared" ref="Z34:AC34" si="68">IF(T$3=$G34,T34,"")</f>
        <v>48</v>
      </c>
      <c r="AA34" s="28" t="str">
        <f t="shared" si="68"/>
        <v/>
      </c>
      <c r="AB34" s="28" t="str">
        <f t="shared" si="68"/>
        <v/>
      </c>
      <c r="AC34" s="28" t="str">
        <f t="shared" si="68"/>
        <v/>
      </c>
      <c r="AF34" s="28">
        <f t="shared" si="8"/>
        <v>48</v>
      </c>
      <c r="AG34" s="28">
        <f t="shared" si="9"/>
        <v>0</v>
      </c>
    </row>
    <row r="35">
      <c r="A35" s="25">
        <f t="shared" si="10"/>
        <v>32</v>
      </c>
      <c r="B35" s="25">
        <v>4.0</v>
      </c>
      <c r="C35" s="25">
        <v>-132.0</v>
      </c>
      <c r="D35" s="25">
        <v>250.0</v>
      </c>
      <c r="E35" s="25">
        <v>-122.0</v>
      </c>
      <c r="F35" s="28">
        <f t="shared" si="5"/>
        <v>0</v>
      </c>
      <c r="G35" s="25" t="s">
        <v>8</v>
      </c>
      <c r="H35" s="25" t="s">
        <v>7</v>
      </c>
      <c r="I35" s="25" t="s">
        <v>139</v>
      </c>
      <c r="J35" s="56"/>
      <c r="L35" s="25" t="s">
        <v>139</v>
      </c>
      <c r="M35" s="80"/>
      <c r="Q35" s="56"/>
      <c r="T35" s="28">
        <f t="shared" ref="T35:W35" si="69">SUM(B35-B34)</f>
        <v>-12</v>
      </c>
      <c r="U35" s="28">
        <f t="shared" si="69"/>
        <v>-12</v>
      </c>
      <c r="V35" s="28">
        <f t="shared" si="69"/>
        <v>12</v>
      </c>
      <c r="W35" s="28">
        <f t="shared" si="69"/>
        <v>12</v>
      </c>
      <c r="Z35" s="28" t="str">
        <f t="shared" ref="Z35:AC35" si="70">IF(T$3=$G35,T35,"")</f>
        <v/>
      </c>
      <c r="AA35" s="28">
        <f t="shared" si="70"/>
        <v>-12</v>
      </c>
      <c r="AB35" s="28" t="str">
        <f t="shared" si="70"/>
        <v/>
      </c>
      <c r="AC35" s="28" t="str">
        <f t="shared" si="70"/>
        <v/>
      </c>
      <c r="AF35" s="28">
        <f t="shared" si="8"/>
        <v>0</v>
      </c>
      <c r="AG35" s="28">
        <f t="shared" si="9"/>
        <v>-12</v>
      </c>
    </row>
    <row r="36">
      <c r="A36" s="25">
        <f t="shared" si="10"/>
        <v>33</v>
      </c>
      <c r="B36" s="25">
        <v>-6.0</v>
      </c>
      <c r="C36" s="25">
        <v>-122.0</v>
      </c>
      <c r="D36" s="25">
        <v>240.0</v>
      </c>
      <c r="E36" s="25">
        <v>-112.0</v>
      </c>
      <c r="F36" s="28">
        <f t="shared" si="5"/>
        <v>0</v>
      </c>
      <c r="G36" s="25" t="s">
        <v>10</v>
      </c>
      <c r="H36" s="25" t="s">
        <v>8</v>
      </c>
      <c r="I36" s="25" t="s">
        <v>323</v>
      </c>
      <c r="J36" s="56"/>
      <c r="K36" s="25">
        <v>9.0</v>
      </c>
      <c r="L36" s="25" t="s">
        <v>142</v>
      </c>
      <c r="M36" s="80"/>
      <c r="Q36" s="56"/>
      <c r="T36" s="28">
        <f t="shared" ref="T36:W36" si="71">SUM(B36-B35)</f>
        <v>-10</v>
      </c>
      <c r="U36" s="28">
        <f t="shared" si="71"/>
        <v>10</v>
      </c>
      <c r="V36" s="28">
        <f t="shared" si="71"/>
        <v>-10</v>
      </c>
      <c r="W36" s="28">
        <f t="shared" si="71"/>
        <v>10</v>
      </c>
      <c r="Z36" s="28" t="str">
        <f t="shared" ref="Z36:AC36" si="72">IF(T$3=$G36,T36,"")</f>
        <v/>
      </c>
      <c r="AA36" s="28" t="str">
        <f t="shared" si="72"/>
        <v/>
      </c>
      <c r="AB36" s="28" t="str">
        <f t="shared" si="72"/>
        <v/>
      </c>
      <c r="AC36" s="28">
        <f t="shared" si="72"/>
        <v>10</v>
      </c>
      <c r="AF36" s="28">
        <f t="shared" si="8"/>
        <v>10</v>
      </c>
      <c r="AG36" s="28">
        <f t="shared" si="9"/>
        <v>0</v>
      </c>
    </row>
    <row r="37">
      <c r="A37" s="25">
        <f t="shared" si="10"/>
        <v>34</v>
      </c>
      <c r="B37" s="25">
        <v>-54.0</v>
      </c>
      <c r="C37" s="25">
        <v>-106.0</v>
      </c>
      <c r="D37" s="25">
        <v>256.0</v>
      </c>
      <c r="E37" s="25">
        <v>-96.0</v>
      </c>
      <c r="F37" s="28">
        <f t="shared" si="5"/>
        <v>0</v>
      </c>
      <c r="G37" s="25" t="s">
        <v>7</v>
      </c>
      <c r="H37" s="25" t="s">
        <v>9</v>
      </c>
      <c r="I37" s="25" t="s">
        <v>293</v>
      </c>
      <c r="J37" s="56"/>
      <c r="K37" s="25">
        <v>9.0</v>
      </c>
      <c r="L37" s="25" t="s">
        <v>144</v>
      </c>
      <c r="M37" s="80"/>
      <c r="Q37" s="56"/>
      <c r="T37" s="28">
        <f t="shared" ref="T37:W37" si="73">SUM(B37-B36)</f>
        <v>-48</v>
      </c>
      <c r="U37" s="28">
        <f t="shared" si="73"/>
        <v>16</v>
      </c>
      <c r="V37" s="28">
        <f t="shared" si="73"/>
        <v>16</v>
      </c>
      <c r="W37" s="28">
        <f t="shared" si="73"/>
        <v>16</v>
      </c>
      <c r="Z37" s="28">
        <f t="shared" ref="Z37:AC37" si="74">IF(T$3=$G37,T37,"")</f>
        <v>-48</v>
      </c>
      <c r="AA37" s="28" t="str">
        <f t="shared" si="74"/>
        <v/>
      </c>
      <c r="AB37" s="28" t="str">
        <f t="shared" si="74"/>
        <v/>
      </c>
      <c r="AC37" s="28" t="str">
        <f t="shared" si="74"/>
        <v/>
      </c>
      <c r="AF37" s="28">
        <f t="shared" si="8"/>
        <v>0</v>
      </c>
      <c r="AG37" s="28">
        <f t="shared" si="9"/>
        <v>-48</v>
      </c>
    </row>
    <row r="38">
      <c r="A38" s="25">
        <f t="shared" si="10"/>
        <v>35</v>
      </c>
      <c r="B38" s="25">
        <v>-42.0</v>
      </c>
      <c r="C38" s="25">
        <v>-110.0</v>
      </c>
      <c r="D38" s="25">
        <v>252.0</v>
      </c>
      <c r="E38" s="25">
        <v>-100.0</v>
      </c>
      <c r="F38" s="28">
        <f t="shared" si="5"/>
        <v>0</v>
      </c>
      <c r="G38" s="25" t="s">
        <v>7</v>
      </c>
      <c r="H38" s="25" t="s">
        <v>10</v>
      </c>
      <c r="I38" s="25" t="s">
        <v>139</v>
      </c>
      <c r="J38" s="56"/>
      <c r="L38" s="25" t="s">
        <v>139</v>
      </c>
      <c r="M38" s="80"/>
      <c r="Q38" s="56"/>
      <c r="T38" s="28">
        <f t="shared" ref="T38:W38" si="75">SUM(B38-B37)</f>
        <v>12</v>
      </c>
      <c r="U38" s="28">
        <f t="shared" si="75"/>
        <v>-4</v>
      </c>
      <c r="V38" s="28">
        <f t="shared" si="75"/>
        <v>-4</v>
      </c>
      <c r="W38" s="28">
        <f t="shared" si="75"/>
        <v>-4</v>
      </c>
      <c r="Z38" s="28">
        <f t="shared" ref="Z38:AC38" si="76">IF(T$3=$G38,T38,"")</f>
        <v>12</v>
      </c>
      <c r="AA38" s="28" t="str">
        <f t="shared" si="76"/>
        <v/>
      </c>
      <c r="AB38" s="28" t="str">
        <f t="shared" si="76"/>
        <v/>
      </c>
      <c r="AC38" s="28" t="str">
        <f t="shared" si="76"/>
        <v/>
      </c>
      <c r="AF38" s="28">
        <f t="shared" si="8"/>
        <v>12</v>
      </c>
      <c r="AG38" s="28">
        <f t="shared" si="9"/>
        <v>0</v>
      </c>
    </row>
    <row r="39">
      <c r="A39" s="25">
        <f t="shared" si="10"/>
        <v>36</v>
      </c>
      <c r="B39" s="25">
        <v>-66.0</v>
      </c>
      <c r="C39" s="25">
        <v>-102.0</v>
      </c>
      <c r="D39" s="25">
        <v>260.0</v>
      </c>
      <c r="E39" s="25">
        <v>-92.0</v>
      </c>
      <c r="F39" s="28">
        <f t="shared" si="5"/>
        <v>0</v>
      </c>
      <c r="G39" s="25" t="s">
        <v>7</v>
      </c>
      <c r="H39" s="25" t="s">
        <v>8</v>
      </c>
      <c r="I39" s="25" t="s">
        <v>139</v>
      </c>
      <c r="J39" s="56"/>
      <c r="L39" s="25" t="s">
        <v>139</v>
      </c>
      <c r="M39" s="80"/>
      <c r="Q39" s="56"/>
      <c r="T39" s="28">
        <f t="shared" ref="T39:W39" si="77">SUM(B39-B38)</f>
        <v>-24</v>
      </c>
      <c r="U39" s="28">
        <f t="shared" si="77"/>
        <v>8</v>
      </c>
      <c r="V39" s="28">
        <f t="shared" si="77"/>
        <v>8</v>
      </c>
      <c r="W39" s="28">
        <f t="shared" si="77"/>
        <v>8</v>
      </c>
      <c r="Z39" s="28">
        <f t="shared" ref="Z39:AC39" si="78">IF(T$3=$G39,T39,"")</f>
        <v>-24</v>
      </c>
      <c r="AA39" s="28" t="str">
        <f t="shared" si="78"/>
        <v/>
      </c>
      <c r="AB39" s="28" t="str">
        <f t="shared" si="78"/>
        <v/>
      </c>
      <c r="AC39" s="28" t="str">
        <f t="shared" si="78"/>
        <v/>
      </c>
      <c r="AF39" s="28">
        <f t="shared" si="8"/>
        <v>0</v>
      </c>
      <c r="AG39" s="28">
        <f t="shared" si="9"/>
        <v>-24</v>
      </c>
    </row>
    <row r="40">
      <c r="A40" s="25">
        <f t="shared" si="10"/>
        <v>37</v>
      </c>
      <c r="B40" s="25">
        <v>-84.0</v>
      </c>
      <c r="C40" s="25">
        <v>-96.0</v>
      </c>
      <c r="D40" s="25">
        <v>266.0</v>
      </c>
      <c r="E40" s="25">
        <v>-86.0</v>
      </c>
      <c r="F40" s="28">
        <f t="shared" si="5"/>
        <v>0</v>
      </c>
      <c r="G40" s="25" t="s">
        <v>7</v>
      </c>
      <c r="H40" s="25" t="s">
        <v>9</v>
      </c>
      <c r="I40" s="25" t="s">
        <v>324</v>
      </c>
      <c r="J40" s="56"/>
      <c r="K40" s="25">
        <v>8.0</v>
      </c>
      <c r="L40" s="25" t="s">
        <v>146</v>
      </c>
      <c r="M40" s="80"/>
      <c r="O40" s="25"/>
      <c r="P40" s="25" t="s">
        <v>15</v>
      </c>
      <c r="Q40" s="46"/>
      <c r="R40" s="25"/>
      <c r="S40" s="25"/>
      <c r="T40" s="28">
        <f t="shared" ref="T40:W40" si="79">SUM(B40-B39)</f>
        <v>-18</v>
      </c>
      <c r="U40" s="28">
        <f t="shared" si="79"/>
        <v>6</v>
      </c>
      <c r="V40" s="28">
        <f t="shared" si="79"/>
        <v>6</v>
      </c>
      <c r="W40" s="28">
        <f t="shared" si="79"/>
        <v>6</v>
      </c>
      <c r="X40" s="25"/>
      <c r="Y40" s="25"/>
      <c r="Z40" s="28">
        <f t="shared" ref="Z40:AC40" si="80">IF(T$3=$G40,T40,"")</f>
        <v>-18</v>
      </c>
      <c r="AA40" s="28" t="str">
        <f t="shared" si="80"/>
        <v/>
      </c>
      <c r="AB40" s="28" t="str">
        <f t="shared" si="80"/>
        <v/>
      </c>
      <c r="AC40" s="28" t="str">
        <f t="shared" si="80"/>
        <v/>
      </c>
      <c r="AF40" s="28">
        <f t="shared" si="8"/>
        <v>0</v>
      </c>
      <c r="AG40" s="28">
        <f t="shared" si="9"/>
        <v>-18</v>
      </c>
    </row>
    <row r="41">
      <c r="A41" s="25">
        <f t="shared" si="10"/>
        <v>38</v>
      </c>
      <c r="B41" s="25">
        <v>-148.0</v>
      </c>
      <c r="C41" s="25">
        <v>-160.0</v>
      </c>
      <c r="D41" s="25">
        <v>330.0</v>
      </c>
      <c r="E41" s="25">
        <v>-22.0</v>
      </c>
      <c r="F41" s="28">
        <f t="shared" si="5"/>
        <v>0</v>
      </c>
      <c r="G41" s="25" t="s">
        <v>7</v>
      </c>
      <c r="H41" s="25" t="s">
        <v>10</v>
      </c>
      <c r="I41" s="25" t="s">
        <v>325</v>
      </c>
      <c r="J41" s="56"/>
      <c r="K41" s="25">
        <v>10.0</v>
      </c>
      <c r="L41" s="25" t="s">
        <v>145</v>
      </c>
      <c r="M41" s="53">
        <v>3.0</v>
      </c>
      <c r="Q41" s="56"/>
      <c r="T41" s="28">
        <f t="shared" ref="T41:W41" si="81">SUM(B41-B40)</f>
        <v>-64</v>
      </c>
      <c r="U41" s="28">
        <f t="shared" si="81"/>
        <v>-64</v>
      </c>
      <c r="V41" s="28">
        <f t="shared" si="81"/>
        <v>64</v>
      </c>
      <c r="W41" s="28">
        <f t="shared" si="81"/>
        <v>64</v>
      </c>
      <c r="Z41" s="28">
        <f t="shared" ref="Z41:AC41" si="82">IF(T$3=$G41,T41,"")</f>
        <v>-64</v>
      </c>
      <c r="AA41" s="28" t="str">
        <f t="shared" si="82"/>
        <v/>
      </c>
      <c r="AB41" s="28" t="str">
        <f t="shared" si="82"/>
        <v/>
      </c>
      <c r="AC41" s="28" t="str">
        <f t="shared" si="82"/>
        <v/>
      </c>
      <c r="AF41" s="28">
        <f t="shared" si="8"/>
        <v>0</v>
      </c>
      <c r="AG41" s="28">
        <f t="shared" si="9"/>
        <v>-64</v>
      </c>
    </row>
    <row r="42">
      <c r="A42" s="25">
        <f t="shared" si="10"/>
        <v>39</v>
      </c>
      <c r="B42" s="25">
        <v>-164.0</v>
      </c>
      <c r="C42" s="25">
        <v>-144.0</v>
      </c>
      <c r="D42" s="25">
        <v>314.0</v>
      </c>
      <c r="E42" s="25">
        <v>-6.0</v>
      </c>
      <c r="F42" s="28">
        <f t="shared" si="5"/>
        <v>0</v>
      </c>
      <c r="G42" s="25" t="s">
        <v>8</v>
      </c>
      <c r="H42" s="25" t="s">
        <v>7</v>
      </c>
      <c r="I42" s="179"/>
      <c r="J42" s="56"/>
      <c r="K42" s="179"/>
      <c r="L42" s="179"/>
      <c r="M42" s="80"/>
      <c r="Q42" s="56"/>
      <c r="T42" s="28">
        <f t="shared" ref="T42:W42" si="83">SUM(B42-B41)</f>
        <v>-16</v>
      </c>
      <c r="U42" s="28">
        <f t="shared" si="83"/>
        <v>16</v>
      </c>
      <c r="V42" s="28">
        <f t="shared" si="83"/>
        <v>-16</v>
      </c>
      <c r="W42" s="28">
        <f t="shared" si="83"/>
        <v>16</v>
      </c>
      <c r="Z42" s="28" t="str">
        <f t="shared" ref="Z42:AC42" si="84">IF(T$3=$G42,T42,"")</f>
        <v/>
      </c>
      <c r="AA42" s="28">
        <f t="shared" si="84"/>
        <v>16</v>
      </c>
      <c r="AB42" s="28" t="str">
        <f t="shared" si="84"/>
        <v/>
      </c>
      <c r="AC42" s="28" t="str">
        <f t="shared" si="84"/>
        <v/>
      </c>
      <c r="AF42" s="28">
        <f t="shared" si="8"/>
        <v>16</v>
      </c>
      <c r="AG42" s="28">
        <f t="shared" si="9"/>
        <v>0</v>
      </c>
    </row>
    <row r="43">
      <c r="A43" s="25">
        <f t="shared" si="10"/>
        <v>40</v>
      </c>
      <c r="B43" s="25">
        <v>-156.0</v>
      </c>
      <c r="C43" s="25">
        <v>-136.0</v>
      </c>
      <c r="D43" s="25">
        <v>306.0</v>
      </c>
      <c r="E43" s="25">
        <v>-14.0</v>
      </c>
      <c r="F43" s="28">
        <f t="shared" si="5"/>
        <v>0</v>
      </c>
      <c r="G43" s="25" t="s">
        <v>7</v>
      </c>
      <c r="H43" s="25" t="s">
        <v>8</v>
      </c>
      <c r="I43" s="25" t="s">
        <v>326</v>
      </c>
      <c r="J43" s="56"/>
      <c r="L43" s="25" t="s">
        <v>145</v>
      </c>
      <c r="M43" s="80"/>
      <c r="Q43" s="56"/>
      <c r="T43" s="28">
        <f t="shared" ref="T43:W43" si="85">SUM(B43-B42)</f>
        <v>8</v>
      </c>
      <c r="U43" s="28">
        <f t="shared" si="85"/>
        <v>8</v>
      </c>
      <c r="V43" s="28">
        <f t="shared" si="85"/>
        <v>-8</v>
      </c>
      <c r="W43" s="28">
        <f t="shared" si="85"/>
        <v>-8</v>
      </c>
      <c r="Z43" s="28">
        <f t="shared" ref="Z43:AC43" si="86">IF(T$3=$G43,T43,"")</f>
        <v>8</v>
      </c>
      <c r="AA43" s="28" t="str">
        <f t="shared" si="86"/>
        <v/>
      </c>
      <c r="AB43" s="28" t="str">
        <f t="shared" si="86"/>
        <v/>
      </c>
      <c r="AC43" s="28" t="str">
        <f t="shared" si="86"/>
        <v/>
      </c>
      <c r="AF43" s="28">
        <f t="shared" si="8"/>
        <v>8</v>
      </c>
      <c r="AG43" s="28">
        <f t="shared" si="9"/>
        <v>0</v>
      </c>
    </row>
    <row r="44">
      <c r="A44" s="25">
        <f t="shared" si="10"/>
        <v>41</v>
      </c>
      <c r="B44" s="25">
        <v>-132.0</v>
      </c>
      <c r="C44" s="25">
        <v>-160.0</v>
      </c>
      <c r="D44" s="25">
        <v>282.0</v>
      </c>
      <c r="E44" s="25">
        <v>10.0</v>
      </c>
      <c r="F44" s="28">
        <f t="shared" si="5"/>
        <v>0</v>
      </c>
      <c r="G44" s="25" t="s">
        <v>7</v>
      </c>
      <c r="H44" s="25" t="s">
        <v>10</v>
      </c>
      <c r="I44" s="25" t="s">
        <v>302</v>
      </c>
      <c r="J44" s="56"/>
      <c r="K44" s="25">
        <v>10.0</v>
      </c>
      <c r="L44" s="25" t="s">
        <v>144</v>
      </c>
      <c r="M44" s="80"/>
      <c r="Q44" s="56"/>
      <c r="T44" s="28">
        <f t="shared" ref="T44:W44" si="87">SUM(B44-B43)</f>
        <v>24</v>
      </c>
      <c r="U44" s="28">
        <f t="shared" si="87"/>
        <v>-24</v>
      </c>
      <c r="V44" s="28">
        <f t="shared" si="87"/>
        <v>-24</v>
      </c>
      <c r="W44" s="28">
        <f t="shared" si="87"/>
        <v>24</v>
      </c>
      <c r="Z44" s="28">
        <f t="shared" ref="Z44:AC44" si="88">IF(T$3=$G44,T44,"")</f>
        <v>24</v>
      </c>
      <c r="AA44" s="28" t="str">
        <f t="shared" si="88"/>
        <v/>
      </c>
      <c r="AB44" s="28" t="str">
        <f t="shared" si="88"/>
        <v/>
      </c>
      <c r="AC44" s="28" t="str">
        <f t="shared" si="88"/>
        <v/>
      </c>
      <c r="AF44" s="28">
        <f t="shared" si="8"/>
        <v>24</v>
      </c>
      <c r="AG44" s="28">
        <f t="shared" si="9"/>
        <v>0</v>
      </c>
    </row>
    <row r="45">
      <c r="J45" s="56"/>
      <c r="Q45" s="56"/>
    </row>
    <row r="46">
      <c r="J46" s="56"/>
      <c r="Q46" s="56"/>
      <c r="R46" s="25"/>
      <c r="S46" s="25" t="s">
        <v>112</v>
      </c>
      <c r="T46" s="28">
        <f t="shared" ref="T46:W46" si="89">MAX(T4:T44)</f>
        <v>96</v>
      </c>
      <c r="U46" s="28">
        <f t="shared" si="89"/>
        <v>96</v>
      </c>
      <c r="V46" s="28">
        <f t="shared" si="89"/>
        <v>96</v>
      </c>
      <c r="W46" s="28">
        <f t="shared" si="89"/>
        <v>64</v>
      </c>
      <c r="Z46" s="28">
        <f t="shared" ref="Z46:AC46" si="90">MAX(Z4:Z44)</f>
        <v>96</v>
      </c>
      <c r="AA46" s="28">
        <f t="shared" si="90"/>
        <v>48</v>
      </c>
      <c r="AB46" s="28">
        <f t="shared" si="90"/>
        <v>24</v>
      </c>
      <c r="AC46" s="28">
        <f t="shared" si="90"/>
        <v>48</v>
      </c>
    </row>
    <row r="47">
      <c r="J47" s="56"/>
      <c r="Q47" s="56"/>
      <c r="R47" s="25"/>
      <c r="S47" s="25" t="s">
        <v>113</v>
      </c>
      <c r="T47" s="28">
        <f t="shared" ref="T47:W47" si="91">MIN(T4:T44)</f>
        <v>-96</v>
      </c>
      <c r="U47" s="28">
        <f t="shared" si="91"/>
        <v>-96</v>
      </c>
      <c r="V47" s="28">
        <f t="shared" si="91"/>
        <v>-48</v>
      </c>
      <c r="W47" s="28">
        <f t="shared" si="91"/>
        <v>-96</v>
      </c>
      <c r="Z47" s="28">
        <f t="shared" ref="Z47:AC47" si="92">MIN(Z4:Z44)</f>
        <v>-96</v>
      </c>
      <c r="AA47" s="28">
        <f t="shared" si="92"/>
        <v>-72</v>
      </c>
      <c r="AB47" s="28">
        <f t="shared" si="92"/>
        <v>-36</v>
      </c>
      <c r="AC47" s="28">
        <f t="shared" si="92"/>
        <v>-12</v>
      </c>
    </row>
    <row r="48">
      <c r="J48" s="56"/>
      <c r="Q48" s="56"/>
      <c r="R48" s="25"/>
      <c r="S48" s="25" t="s">
        <v>114</v>
      </c>
      <c r="T48" s="123">
        <f t="shared" ref="T48:W48" si="93">AVERAGE(T4:T44)</f>
        <v>-3.219512195</v>
      </c>
      <c r="U48" s="123">
        <f t="shared" si="93"/>
        <v>-3.902439024</v>
      </c>
      <c r="V48" s="123">
        <f t="shared" si="93"/>
        <v>6.87804878</v>
      </c>
      <c r="W48" s="123">
        <f t="shared" si="93"/>
        <v>0.243902439</v>
      </c>
      <c r="Z48" s="123">
        <f t="shared" ref="Z48:AC48" si="94">AVERAGE(Z4:Z44)</f>
        <v>-3</v>
      </c>
      <c r="AA48" s="123">
        <f t="shared" si="94"/>
        <v>-9.333333333</v>
      </c>
      <c r="AB48" s="123">
        <f t="shared" si="94"/>
        <v>-0.3333333333</v>
      </c>
      <c r="AC48" s="123">
        <f t="shared" si="94"/>
        <v>15</v>
      </c>
    </row>
    <row r="49">
      <c r="J49" s="56"/>
      <c r="Q49" s="56"/>
    </row>
    <row r="50">
      <c r="J50" s="56"/>
      <c r="Q50" s="56"/>
      <c r="R50" s="25" t="s">
        <v>4</v>
      </c>
      <c r="T50" s="28">
        <f>count(T4:T44)</f>
        <v>41</v>
      </c>
    </row>
    <row r="51">
      <c r="J51" s="56"/>
      <c r="Q51" s="56"/>
    </row>
    <row r="52">
      <c r="J52" s="56"/>
      <c r="Q52" s="56"/>
      <c r="R52" s="25" t="s">
        <v>126</v>
      </c>
      <c r="T52" s="28">
        <f t="shared" ref="T52:W52" si="95">COUNTIF($G$4:$G$44, T3)</f>
        <v>22</v>
      </c>
      <c r="U52" s="28">
        <f t="shared" si="95"/>
        <v>6</v>
      </c>
      <c r="V52" s="28">
        <f t="shared" si="95"/>
        <v>6</v>
      </c>
      <c r="W52" s="28">
        <f t="shared" si="95"/>
        <v>6</v>
      </c>
      <c r="AE52" s="25" t="s">
        <v>327</v>
      </c>
      <c r="AF52" s="25" t="s">
        <v>67</v>
      </c>
      <c r="AG52" s="25" t="s">
        <v>68</v>
      </c>
    </row>
    <row r="53">
      <c r="J53" s="56"/>
      <c r="Q53" s="56"/>
      <c r="R53" s="25" t="s">
        <v>121</v>
      </c>
      <c r="T53" s="28">
        <f t="shared" ref="T53:W53" si="96">COUNTIF(T4:T44, "&gt;0")</f>
        <v>19</v>
      </c>
      <c r="U53" s="28">
        <f t="shared" si="96"/>
        <v>17</v>
      </c>
      <c r="V53" s="28">
        <f t="shared" si="96"/>
        <v>20</v>
      </c>
      <c r="W53" s="28">
        <f t="shared" si="96"/>
        <v>24</v>
      </c>
      <c r="AF53" s="28">
        <f>countif(AF4:AF44, "&gt;0")</f>
        <v>22</v>
      </c>
      <c r="AG53" s="28">
        <f>countif(AG4:AG44, "&lt;0")</f>
        <v>18</v>
      </c>
    </row>
    <row r="54">
      <c r="J54" s="56"/>
      <c r="Q54" s="56"/>
      <c r="R54" s="25" t="s">
        <v>123</v>
      </c>
      <c r="T54" s="28">
        <f t="shared" ref="T54:W54" si="97">COUNTIF(T4:T44, "&lt;0")</f>
        <v>22</v>
      </c>
      <c r="U54" s="28">
        <f t="shared" si="97"/>
        <v>24</v>
      </c>
      <c r="V54" s="28">
        <f t="shared" si="97"/>
        <v>21</v>
      </c>
      <c r="W54" s="28">
        <f t="shared" si="97"/>
        <v>17</v>
      </c>
    </row>
    <row r="55">
      <c r="J55" s="56"/>
      <c r="Q55" s="56"/>
      <c r="R55" s="25"/>
    </row>
    <row r="56">
      <c r="J56" s="56"/>
      <c r="Q56" s="56"/>
      <c r="R56" s="25" t="s">
        <v>328</v>
      </c>
      <c r="T56" s="28">
        <f t="shared" ref="T56:W56" si="98">COUNTIFS($G$4:$G$44, T3,T4:T44, "&gt;0")</f>
        <v>12</v>
      </c>
      <c r="U56" s="28">
        <f t="shared" si="98"/>
        <v>2</v>
      </c>
      <c r="V56" s="28">
        <f t="shared" si="98"/>
        <v>3</v>
      </c>
      <c r="W56" s="28">
        <f t="shared" si="98"/>
        <v>5</v>
      </c>
    </row>
    <row r="57">
      <c r="J57" s="56"/>
      <c r="Q57" s="56"/>
      <c r="R57" s="25"/>
      <c r="S57" s="25" t="s">
        <v>122</v>
      </c>
      <c r="T57" s="128">
        <f t="shared" ref="T57:W57" si="99">sum(T56/T52)</f>
        <v>0.5454545455</v>
      </c>
      <c r="U57" s="128">
        <f t="shared" si="99"/>
        <v>0.3333333333</v>
      </c>
      <c r="V57" s="128">
        <f t="shared" si="99"/>
        <v>0.5</v>
      </c>
      <c r="W57" s="128">
        <f t="shared" si="99"/>
        <v>0.8333333333</v>
      </c>
    </row>
    <row r="58">
      <c r="J58" s="56"/>
      <c r="Q58" s="56"/>
      <c r="R58" s="25" t="s">
        <v>329</v>
      </c>
      <c r="T58" s="28">
        <f t="shared" ref="T58:W58" si="100">COUNTIFS($G$4:$G$44, T3,T4:T44, "&lt;0")</f>
        <v>10</v>
      </c>
      <c r="U58" s="28">
        <f t="shared" si="100"/>
        <v>4</v>
      </c>
      <c r="V58" s="28">
        <f t="shared" si="100"/>
        <v>3</v>
      </c>
      <c r="W58" s="28">
        <f t="shared" si="100"/>
        <v>1</v>
      </c>
    </row>
    <row r="59">
      <c r="J59" s="56"/>
      <c r="Q59" s="56"/>
      <c r="R59" s="25"/>
      <c r="S59" s="25" t="s">
        <v>122</v>
      </c>
      <c r="T59" s="128">
        <f t="shared" ref="T59:W59" si="101">sum(T58/T52)</f>
        <v>0.4545454545</v>
      </c>
      <c r="U59" s="128">
        <f t="shared" si="101"/>
        <v>0.6666666667</v>
      </c>
      <c r="V59" s="128">
        <f t="shared" si="101"/>
        <v>0.5</v>
      </c>
      <c r="W59" s="128">
        <f t="shared" si="101"/>
        <v>0.1666666667</v>
      </c>
    </row>
    <row r="60">
      <c r="J60" s="56"/>
      <c r="Q60" s="56"/>
      <c r="R60" s="25"/>
    </row>
    <row r="61">
      <c r="J61" s="56"/>
      <c r="Q61" s="56"/>
      <c r="R61" s="25" t="s">
        <v>330</v>
      </c>
      <c r="T61" s="28">
        <f t="shared" ref="T61:W61" si="102">MAXIFS(T4:T44, $G$4:$G$44, T3)</f>
        <v>96</v>
      </c>
      <c r="U61" s="28">
        <f t="shared" si="102"/>
        <v>48</v>
      </c>
      <c r="V61" s="28">
        <f t="shared" si="102"/>
        <v>24</v>
      </c>
      <c r="W61" s="28">
        <f t="shared" si="102"/>
        <v>48</v>
      </c>
    </row>
    <row r="62">
      <c r="J62" s="56"/>
      <c r="Q62" s="56"/>
      <c r="R62" s="25" t="s">
        <v>331</v>
      </c>
      <c r="T62" s="28">
        <f t="shared" ref="T62:W62" si="103">MINIFS(T4:T44, $G$4:$G$44, T3)</f>
        <v>-96</v>
      </c>
      <c r="U62" s="28">
        <f t="shared" si="103"/>
        <v>-72</v>
      </c>
      <c r="V62" s="28">
        <f t="shared" si="103"/>
        <v>-36</v>
      </c>
      <c r="W62" s="28">
        <f t="shared" si="103"/>
        <v>-12</v>
      </c>
    </row>
    <row r="63">
      <c r="J63" s="56"/>
      <c r="Q63" s="56"/>
      <c r="R63" s="25"/>
    </row>
    <row r="64">
      <c r="J64" s="56"/>
      <c r="N64" s="25" t="s">
        <v>66</v>
      </c>
      <c r="Q64" s="56"/>
      <c r="R64" s="25"/>
    </row>
    <row r="65">
      <c r="J65" s="56"/>
      <c r="N65" s="25" t="s">
        <v>67</v>
      </c>
      <c r="O65" s="25"/>
      <c r="P65" s="25" t="s">
        <v>68</v>
      </c>
      <c r="Q65" s="56"/>
      <c r="R65" s="25"/>
      <c r="T65" s="120" t="str">
        <f t="shared" ref="T65:W65" si="104">T3</f>
        <v>Thomas</v>
      </c>
      <c r="U65" s="120" t="str">
        <f t="shared" si="104"/>
        <v>Peter</v>
      </c>
      <c r="V65" s="120" t="str">
        <f t="shared" si="104"/>
        <v>Janus</v>
      </c>
      <c r="W65" s="120" t="str">
        <f t="shared" si="104"/>
        <v>Christian</v>
      </c>
      <c r="Z65" s="120" t="str">
        <f t="shared" ref="Z65:AC65" si="105">Z3</f>
        <v>Thomas</v>
      </c>
      <c r="AA65" s="120" t="str">
        <f t="shared" si="105"/>
        <v>Peter</v>
      </c>
      <c r="AB65" s="120" t="str">
        <f t="shared" si="105"/>
        <v>Janus</v>
      </c>
      <c r="AC65" s="120" t="str">
        <f t="shared" si="105"/>
        <v>Christian</v>
      </c>
    </row>
    <row r="66">
      <c r="J66" s="56"/>
      <c r="K66" s="46" t="s">
        <v>261</v>
      </c>
      <c r="L66" s="46" t="s">
        <v>138</v>
      </c>
      <c r="M66" s="46" t="s">
        <v>122</v>
      </c>
      <c r="N66" s="25" t="s">
        <v>332</v>
      </c>
      <c r="O66" s="25"/>
      <c r="P66" s="25" t="s">
        <v>333</v>
      </c>
      <c r="Q66" s="56"/>
      <c r="S66" s="25" t="s">
        <v>261</v>
      </c>
      <c r="T66" s="25" t="s">
        <v>334</v>
      </c>
      <c r="Z66" s="25" t="s">
        <v>109</v>
      </c>
    </row>
    <row r="67">
      <c r="J67" s="56"/>
      <c r="K67" s="25" t="s">
        <v>139</v>
      </c>
      <c r="L67" s="28">
        <f t="shared" ref="L67:L68" si="108">COUNTIF($L$4:$L$44, K67)</f>
        <v>8</v>
      </c>
      <c r="M67" s="128">
        <f t="shared" ref="M67:M68" si="109">SUM(L67/$T$50)</f>
        <v>0.1951219512</v>
      </c>
      <c r="N67" s="28">
        <f t="shared" ref="N67:N68" si="110">MAXIFS(AF4:AF45, $L$3:$L$44,K67)</f>
        <v>48</v>
      </c>
      <c r="P67" s="28">
        <f t="shared" ref="P67:P68" si="111">MINIFS(AG4:AG45,$L$3:$L$44,K67)</f>
        <v>-24</v>
      </c>
      <c r="Q67" s="56"/>
      <c r="S67" s="28" t="str">
        <f t="shared" ref="S67:S73" si="112">K67</f>
        <v>sol</v>
      </c>
      <c r="T67" s="28">
        <f t="shared" ref="T67:W67" si="106">COUNTIFS($L$4:$L$44, $S67,$G$4:$G$44,T$3)</f>
        <v>3</v>
      </c>
      <c r="U67" s="28">
        <f t="shared" si="106"/>
        <v>1</v>
      </c>
      <c r="V67" s="28">
        <f t="shared" si="106"/>
        <v>1</v>
      </c>
      <c r="W67" s="28">
        <f t="shared" si="106"/>
        <v>2</v>
      </c>
      <c r="Y67" s="28" t="str">
        <f t="shared" ref="Y67:Y68" si="114">S67</f>
        <v>sol</v>
      </c>
      <c r="Z67" s="28">
        <f t="shared" ref="Z67:AC67" si="107">COUNTIFS($L$4:$L$44, $S67,$G$4:$G$44,T$3,T$4:T$44,"&gt;0")</f>
        <v>2</v>
      </c>
      <c r="AA67" s="28">
        <f t="shared" si="107"/>
        <v>0</v>
      </c>
      <c r="AB67" s="28">
        <f t="shared" si="107"/>
        <v>1</v>
      </c>
      <c r="AC67" s="28">
        <f t="shared" si="107"/>
        <v>2</v>
      </c>
    </row>
    <row r="68">
      <c r="J68" s="56"/>
      <c r="K68" s="25" t="s">
        <v>140</v>
      </c>
      <c r="L68" s="28">
        <f t="shared" si="108"/>
        <v>1</v>
      </c>
      <c r="M68" s="128">
        <f t="shared" si="109"/>
        <v>0.0243902439</v>
      </c>
      <c r="N68" s="28">
        <f t="shared" si="110"/>
        <v>0</v>
      </c>
      <c r="P68" s="28">
        <f t="shared" si="111"/>
        <v>0</v>
      </c>
      <c r="Q68" s="56"/>
      <c r="S68" s="28" t="str">
        <f t="shared" si="112"/>
        <v>ren sol</v>
      </c>
      <c r="T68" s="28">
        <f t="shared" ref="T68:W68" si="113">COUNTIFS($L$4:$L$44, $S68,$G$4:$G$44,T$3)</f>
        <v>0</v>
      </c>
      <c r="U68" s="28">
        <f t="shared" si="113"/>
        <v>0</v>
      </c>
      <c r="V68" s="28">
        <f t="shared" si="113"/>
        <v>1</v>
      </c>
      <c r="W68" s="28">
        <f t="shared" si="113"/>
        <v>0</v>
      </c>
      <c r="Y68" s="28" t="str">
        <f t="shared" si="114"/>
        <v>ren sol</v>
      </c>
      <c r="Z68" s="28">
        <f t="shared" ref="Z68:AC68" si="115">COUNTIFS($L$4:$L$44, $S68,$G$4:$G$44,T$3,T$4:T$44,"&gt;0")</f>
        <v>0</v>
      </c>
      <c r="AA68" s="28">
        <f t="shared" si="115"/>
        <v>0</v>
      </c>
      <c r="AB68" s="28">
        <f t="shared" si="115"/>
        <v>1</v>
      </c>
      <c r="AC68" s="28">
        <f t="shared" si="115"/>
        <v>0</v>
      </c>
    </row>
    <row r="69">
      <c r="J69" s="56"/>
      <c r="Q69" s="56"/>
      <c r="S69" s="28" t="str">
        <f t="shared" si="112"/>
        <v/>
      </c>
    </row>
    <row r="70">
      <c r="J70" s="56"/>
      <c r="K70" s="25" t="s">
        <v>142</v>
      </c>
      <c r="L70" s="28">
        <f t="shared" ref="L70:L73" si="118">COUNTIF($L$4:$L$44, K70)</f>
        <v>2</v>
      </c>
      <c r="M70" s="128">
        <f t="shared" ref="M70:M73" si="119">SUM(L70/$T$50)</f>
        <v>0.0487804878</v>
      </c>
      <c r="N70" s="28">
        <f>MAXIFS(AF3:AF44, $L$3:$L$44,K70)</f>
        <v>10</v>
      </c>
      <c r="P70" s="28">
        <f>MINIFS(AG3:AG44,$L$3:$L$44,K70)</f>
        <v>0</v>
      </c>
      <c r="Q70" s="56"/>
      <c r="S70" s="28" t="str">
        <f t="shared" si="112"/>
        <v>alm</v>
      </c>
      <c r="T70" s="28">
        <f t="shared" ref="T70:W70" si="116">COUNTIFS($L$4:$L$44, $S70,$G$4:$G$44,T$3)</f>
        <v>0</v>
      </c>
      <c r="U70" s="28">
        <f t="shared" si="116"/>
        <v>0</v>
      </c>
      <c r="V70" s="28">
        <f t="shared" si="116"/>
        <v>1</v>
      </c>
      <c r="W70" s="28">
        <f t="shared" si="116"/>
        <v>1</v>
      </c>
      <c r="Y70" s="28" t="str">
        <f t="shared" ref="Y70:Y73" si="121">S70</f>
        <v>alm</v>
      </c>
      <c r="Z70" s="28">
        <f t="shared" ref="Z70:AC70" si="117">COUNTIFS($L$4:$L$44, $S70,$G$4:$G$44,T$3,T$4:T$44,"&gt;0")</f>
        <v>0</v>
      </c>
      <c r="AA70" s="28">
        <f t="shared" si="117"/>
        <v>0</v>
      </c>
      <c r="AB70" s="28">
        <f t="shared" si="117"/>
        <v>1</v>
      </c>
      <c r="AC70" s="28">
        <f t="shared" si="117"/>
        <v>1</v>
      </c>
    </row>
    <row r="71">
      <c r="J71" s="56"/>
      <c r="K71" s="25" t="s">
        <v>144</v>
      </c>
      <c r="L71" s="28">
        <f t="shared" si="118"/>
        <v>12</v>
      </c>
      <c r="M71" s="128">
        <f t="shared" si="119"/>
        <v>0.2926829268</v>
      </c>
      <c r="N71" s="28">
        <f t="shared" ref="N71:N73" si="123">MAXIFS(AF6:AF47, $L$3:$L$44,K71)</f>
        <v>96</v>
      </c>
      <c r="P71" s="28">
        <f t="shared" ref="P71:P73" si="124">MINIFS(AG6:AG47,$L$3:$L$44,K71)</f>
        <v>-36</v>
      </c>
      <c r="Q71" s="56"/>
      <c r="S71" s="28" t="str">
        <f t="shared" si="112"/>
        <v>halve</v>
      </c>
      <c r="T71" s="28">
        <f t="shared" ref="T71:W71" si="120">COUNTIFS($L$4:$L$44, $S71,$G$4:$G$44,T$3)</f>
        <v>7</v>
      </c>
      <c r="U71" s="28">
        <f t="shared" si="120"/>
        <v>1</v>
      </c>
      <c r="V71" s="28">
        <f t="shared" si="120"/>
        <v>3</v>
      </c>
      <c r="W71" s="28">
        <f t="shared" si="120"/>
        <v>1</v>
      </c>
      <c r="Y71" s="28" t="str">
        <f t="shared" si="121"/>
        <v>halve</v>
      </c>
      <c r="Z71" s="28">
        <f t="shared" ref="Z71:AC71" si="122">COUNTIFS($L$4:$L$44, $S71,$G$4:$G$44,T$3,T$4:T$44,"&gt;0")</f>
        <v>3</v>
      </c>
      <c r="AA71" s="28">
        <f t="shared" si="122"/>
        <v>0</v>
      </c>
      <c r="AB71" s="28">
        <f t="shared" si="122"/>
        <v>0</v>
      </c>
      <c r="AC71" s="28">
        <f t="shared" si="122"/>
        <v>0</v>
      </c>
    </row>
    <row r="72">
      <c r="J72" s="56"/>
      <c r="K72" s="25" t="s">
        <v>145</v>
      </c>
      <c r="L72" s="28">
        <f t="shared" si="118"/>
        <v>12</v>
      </c>
      <c r="M72" s="128">
        <f t="shared" si="119"/>
        <v>0.2926829268</v>
      </c>
      <c r="N72" s="28">
        <f t="shared" si="123"/>
        <v>48</v>
      </c>
      <c r="P72" s="28">
        <f t="shared" si="124"/>
        <v>-48</v>
      </c>
      <c r="Q72" s="56"/>
      <c r="S72" s="28" t="str">
        <f t="shared" si="112"/>
        <v>vip</v>
      </c>
      <c r="T72" s="28">
        <f t="shared" ref="T72:W72" si="125">COUNTIFS($L$4:$L$44, $S72,$G$4:$G$44,T$3)</f>
        <v>10</v>
      </c>
      <c r="U72" s="28">
        <f t="shared" si="125"/>
        <v>1</v>
      </c>
      <c r="V72" s="28">
        <f t="shared" si="125"/>
        <v>0</v>
      </c>
      <c r="W72" s="28">
        <f t="shared" si="125"/>
        <v>1</v>
      </c>
      <c r="Y72" s="28" t="str">
        <f t="shared" si="121"/>
        <v>vip</v>
      </c>
      <c r="Z72" s="28">
        <f t="shared" ref="Z72:AC72" si="126">COUNTIFS($L$4:$L$44, $S72,$G$4:$G$44,T$3,T$4:T$44,"&gt;0")</f>
        <v>6</v>
      </c>
      <c r="AA72" s="28">
        <f t="shared" si="126"/>
        <v>0</v>
      </c>
      <c r="AB72" s="28">
        <f t="shared" si="126"/>
        <v>0</v>
      </c>
      <c r="AC72" s="28">
        <f t="shared" si="126"/>
        <v>1</v>
      </c>
    </row>
    <row r="73">
      <c r="J73" s="56"/>
      <c r="K73" s="25" t="s">
        <v>146</v>
      </c>
      <c r="L73" s="28">
        <f t="shared" si="118"/>
        <v>4</v>
      </c>
      <c r="M73" s="128">
        <f t="shared" si="119"/>
        <v>0.09756097561</v>
      </c>
      <c r="N73" s="28">
        <f t="shared" si="123"/>
        <v>48</v>
      </c>
      <c r="P73" s="28">
        <f t="shared" si="124"/>
        <v>-48</v>
      </c>
      <c r="Q73" s="56"/>
      <c r="S73" s="28" t="str">
        <f t="shared" si="112"/>
        <v>gode</v>
      </c>
      <c r="T73" s="28">
        <f t="shared" ref="T73:W73" si="127">COUNTIFS($L$4:$L$44, $S73,$G$4:$G$44,T$3)</f>
        <v>2</v>
      </c>
      <c r="U73" s="28">
        <f t="shared" si="127"/>
        <v>1</v>
      </c>
      <c r="V73" s="28">
        <f t="shared" si="127"/>
        <v>0</v>
      </c>
      <c r="W73" s="28">
        <f t="shared" si="127"/>
        <v>1</v>
      </c>
      <c r="Y73" s="28" t="str">
        <f t="shared" si="121"/>
        <v>gode</v>
      </c>
      <c r="Z73" s="28">
        <f t="shared" ref="Z73:AC73" si="128">COUNTIFS($L$4:$L$44, $S73,$G$4:$G$44,T$3,T$4:T$44,"&gt;0")</f>
        <v>1</v>
      </c>
      <c r="AA73" s="28">
        <f t="shared" si="128"/>
        <v>1</v>
      </c>
      <c r="AB73" s="28">
        <f t="shared" si="128"/>
        <v>0</v>
      </c>
      <c r="AC73" s="28">
        <f t="shared" si="128"/>
        <v>1</v>
      </c>
    </row>
    <row r="74">
      <c r="J74" s="56"/>
      <c r="Q74" s="56"/>
    </row>
    <row r="75">
      <c r="J75" s="56"/>
      <c r="K75" s="46" t="s">
        <v>152</v>
      </c>
      <c r="L75" s="56"/>
      <c r="Q75" s="56"/>
      <c r="Z75" s="25" t="s">
        <v>110</v>
      </c>
    </row>
    <row r="76">
      <c r="J76" s="56"/>
      <c r="K76" s="53">
        <v>1.0</v>
      </c>
      <c r="L76" s="28">
        <f t="shared" ref="L76:L78" si="130">COUNTIFS($L$4:$L$44, $K$72,$M$4:$M$44, K76)</f>
        <v>1</v>
      </c>
      <c r="Q76" s="56"/>
      <c r="Y76" s="28" t="str">
        <f t="shared" ref="Y76:Y77" si="131">Y67</f>
        <v>sol</v>
      </c>
      <c r="Z76" s="28">
        <f t="shared" ref="Z76:AC76" si="129">COUNTIFS($L$4:$L$44, $S67,$G$4:$G$44,T$3,T$4:T$44,"&lt;0")</f>
        <v>1</v>
      </c>
      <c r="AA76" s="28">
        <f t="shared" si="129"/>
        <v>1</v>
      </c>
      <c r="AB76" s="28">
        <f t="shared" si="129"/>
        <v>0</v>
      </c>
      <c r="AC76" s="28">
        <f t="shared" si="129"/>
        <v>0</v>
      </c>
    </row>
    <row r="77">
      <c r="J77" s="56"/>
      <c r="K77" s="53">
        <v>2.0</v>
      </c>
      <c r="L77" s="28">
        <f t="shared" si="130"/>
        <v>4</v>
      </c>
      <c r="Q77" s="56"/>
      <c r="Y77" s="28" t="str">
        <f t="shared" si="131"/>
        <v>ren sol</v>
      </c>
      <c r="Z77" s="28">
        <f t="shared" ref="Z77:AC77" si="132">COUNTIFS($L$4:$L$44, $S68,$G$4:$G$44,T$3,T$4:T$44,"&lt;0")</f>
        <v>0</v>
      </c>
      <c r="AA77" s="28">
        <f t="shared" si="132"/>
        <v>0</v>
      </c>
      <c r="AB77" s="28">
        <f t="shared" si="132"/>
        <v>0</v>
      </c>
      <c r="AC77" s="28">
        <f t="shared" si="132"/>
        <v>0</v>
      </c>
    </row>
    <row r="78">
      <c r="J78" s="56"/>
      <c r="K78" s="53">
        <v>3.0</v>
      </c>
      <c r="L78" s="28">
        <f t="shared" si="130"/>
        <v>6</v>
      </c>
      <c r="Q78" s="56"/>
    </row>
    <row r="79">
      <c r="J79" s="56"/>
      <c r="Q79" s="56"/>
      <c r="Y79" s="28" t="str">
        <f t="shared" ref="Y79:Y82" si="134">Y70</f>
        <v>alm</v>
      </c>
      <c r="Z79" s="28">
        <f t="shared" ref="Z79:AC79" si="133">COUNTIFS($L$4:$L$44, $S70,$G$4:$G$44,T$3,T$4:T$44,"&lt;0")</f>
        <v>0</v>
      </c>
      <c r="AA79" s="28">
        <f t="shared" si="133"/>
        <v>0</v>
      </c>
      <c r="AB79" s="28">
        <f t="shared" si="133"/>
        <v>0</v>
      </c>
      <c r="AC79" s="28">
        <f t="shared" si="133"/>
        <v>0</v>
      </c>
    </row>
    <row r="80">
      <c r="J80" s="56"/>
      <c r="K80" s="46" t="s">
        <v>335</v>
      </c>
      <c r="L80" s="56"/>
      <c r="M80" s="46" t="s">
        <v>122</v>
      </c>
      <c r="Q80" s="56"/>
      <c r="Y80" s="28" t="str">
        <f t="shared" si="134"/>
        <v>halve</v>
      </c>
      <c r="Z80" s="28">
        <f t="shared" ref="Z80:AC80" si="135">COUNTIFS($L$4:$L$44, $S71,$G$4:$G$44,T$3,T$4:T$44,"&lt;0")</f>
        <v>4</v>
      </c>
      <c r="AA80" s="28">
        <f t="shared" si="135"/>
        <v>1</v>
      </c>
      <c r="AB80" s="28">
        <f t="shared" si="135"/>
        <v>3</v>
      </c>
      <c r="AC80" s="28">
        <f t="shared" si="135"/>
        <v>1</v>
      </c>
    </row>
    <row r="81">
      <c r="J81" s="56"/>
      <c r="K81" s="25">
        <v>8.0</v>
      </c>
      <c r="L81" s="28">
        <f t="shared" ref="L81:L86" si="137">countif($K$4:$K$44,K81)</f>
        <v>1</v>
      </c>
      <c r="Q81" s="56"/>
      <c r="Y81" s="28" t="str">
        <f t="shared" si="134"/>
        <v>vip</v>
      </c>
      <c r="Z81" s="28">
        <f t="shared" ref="Z81:AC81" si="136">COUNTIFS($L$4:$L$44, $S72,$G$4:$G$44,T$3,T$4:T$44,"&lt;0")</f>
        <v>4</v>
      </c>
      <c r="AA81" s="28">
        <f t="shared" si="136"/>
        <v>1</v>
      </c>
      <c r="AB81" s="28">
        <f t="shared" si="136"/>
        <v>0</v>
      </c>
      <c r="AC81" s="28">
        <f t="shared" si="136"/>
        <v>0</v>
      </c>
    </row>
    <row r="82">
      <c r="J82" s="56"/>
      <c r="K82" s="25">
        <v>9.0</v>
      </c>
      <c r="L82" s="28">
        <f t="shared" si="137"/>
        <v>25</v>
      </c>
      <c r="Q82" s="56"/>
      <c r="Y82" s="28" t="str">
        <f t="shared" si="134"/>
        <v>gode</v>
      </c>
      <c r="Z82" s="28">
        <f t="shared" ref="Z82:AC82" si="138">COUNTIFS($L$4:$L$44, $S73,$G$4:$G$44,T$3,T$4:T$44,"&lt;0")</f>
        <v>1</v>
      </c>
      <c r="AA82" s="28">
        <f t="shared" si="138"/>
        <v>0</v>
      </c>
      <c r="AB82" s="28">
        <f t="shared" si="138"/>
        <v>0</v>
      </c>
      <c r="AC82" s="28">
        <f t="shared" si="138"/>
        <v>0</v>
      </c>
    </row>
    <row r="83">
      <c r="J83" s="56"/>
      <c r="K83" s="25">
        <v>10.0</v>
      </c>
      <c r="L83" s="28">
        <f t="shared" si="137"/>
        <v>3</v>
      </c>
      <c r="Q83" s="56"/>
    </row>
    <row r="84">
      <c r="J84" s="56"/>
      <c r="K84" s="25">
        <v>11.0</v>
      </c>
      <c r="L84" s="28">
        <f t="shared" si="137"/>
        <v>0</v>
      </c>
      <c r="Q84" s="56"/>
    </row>
    <row r="85">
      <c r="J85" s="56"/>
      <c r="K85" s="25">
        <v>12.0</v>
      </c>
      <c r="L85" s="28">
        <f t="shared" si="137"/>
        <v>0</v>
      </c>
      <c r="Q85" s="56"/>
    </row>
    <row r="86">
      <c r="J86" s="56"/>
      <c r="K86" s="25">
        <v>13.0</v>
      </c>
      <c r="L86" s="28">
        <f t="shared" si="137"/>
        <v>0</v>
      </c>
      <c r="Q86" s="56"/>
    </row>
    <row r="87">
      <c r="J87" s="56"/>
      <c r="Q87" s="56"/>
    </row>
    <row r="88">
      <c r="J88" s="56"/>
      <c r="Q88" s="56"/>
    </row>
  </sheetData>
  <customSheetViews>
    <customSheetView guid="{1F920E86-4E30-496E-B844-067396839359}" filter="1" showAutoFilter="1">
      <autoFilter ref="$L$2:$L$88">
        <filterColumn colId="0">
          <filters>
            <filter val="sol"/>
            <filter val="ren sol"/>
          </filters>
        </filterColumn>
      </autoFilter>
    </customSheetView>
    <customSheetView guid="{C16C0745-71DE-4181-9F99-A06B2C935C1C}" filter="1" showAutoFilter="1">
      <autoFilter ref="$L$2:$L$88">
        <filterColumn colId="0">
          <filters>
            <filter val="halve"/>
          </filters>
        </filterColumn>
      </autoFilter>
    </customSheetView>
    <customSheetView guid="{417EE87B-F98F-4A26-8A75-395583A589FC}" filter="1" showAutoFilter="1">
      <autoFilter ref="$Z$2:$AG$44"/>
    </customSheetView>
    <customSheetView guid="{21798E50-6015-40D0-A152-9274667AE87C}" filter="1" showAutoFilter="1">
      <autoFilter ref="$L$2:$L$88">
        <filterColumn colId="0">
          <filters>
            <filter val="vip"/>
          </filters>
        </filterColumn>
      </autoFilter>
    </customSheetView>
  </customSheetView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6" width="7.63"/>
    <col customWidth="1" min="7" max="7" width="18.13"/>
    <col customWidth="1" min="8" max="8" width="7.63"/>
    <col customWidth="1" min="9" max="9" width="27.13"/>
    <col customWidth="1" min="10" max="19" width="7.63"/>
  </cols>
  <sheetData>
    <row r="1">
      <c r="A1" s="40">
        <f>'00_Regnskab_01'!A12</f>
        <v>10</v>
      </c>
      <c r="B1" s="193">
        <f>'00_Regnskab_01'!C12</f>
        <v>43644</v>
      </c>
      <c r="C1" s="42"/>
      <c r="D1" s="42" t="str">
        <f>'00_Regnskab_01'!L12</f>
        <v>Peter, Lyngby (Pool)</v>
      </c>
      <c r="E1" s="42"/>
      <c r="F1" s="42"/>
      <c r="G1" s="42"/>
      <c r="H1" s="42"/>
      <c r="I1" s="42"/>
      <c r="J1" s="42"/>
      <c r="N1" s="198"/>
      <c r="O1" s="198"/>
      <c r="P1" s="198"/>
      <c r="Q1" s="198"/>
      <c r="S1" s="198"/>
    </row>
    <row r="2">
      <c r="A2" s="208" t="s">
        <v>78</v>
      </c>
      <c r="B2" s="209" t="s">
        <v>10</v>
      </c>
      <c r="C2" s="210" t="s">
        <v>8</v>
      </c>
      <c r="D2" s="210" t="s">
        <v>7</v>
      </c>
      <c r="E2" s="210" t="s">
        <v>9</v>
      </c>
      <c r="F2" s="210" t="s">
        <v>278</v>
      </c>
      <c r="G2" s="210" t="s">
        <v>64</v>
      </c>
      <c r="H2" s="210" t="s">
        <v>82</v>
      </c>
      <c r="I2" s="210" t="s">
        <v>83</v>
      </c>
      <c r="N2" s="198" t="str">
        <f t="shared" ref="N2:Q2" si="1">B2</f>
        <v>Christian</v>
      </c>
      <c r="O2" s="198" t="str">
        <f t="shared" si="1"/>
        <v>Peter</v>
      </c>
      <c r="P2" s="198" t="str">
        <f t="shared" si="1"/>
        <v>Thomas</v>
      </c>
      <c r="Q2" s="198" t="str">
        <f t="shared" si="1"/>
        <v>Janus</v>
      </c>
      <c r="S2" s="198" t="s">
        <v>79</v>
      </c>
    </row>
    <row r="3">
      <c r="A3" s="200">
        <v>1.0</v>
      </c>
      <c r="B3" s="198">
        <v>16.0</v>
      </c>
      <c r="C3" s="198">
        <v>-16.0</v>
      </c>
      <c r="D3" s="198">
        <v>16.0</v>
      </c>
      <c r="E3" s="198">
        <v>-16.0</v>
      </c>
      <c r="F3" s="198">
        <f t="shared" ref="F3:F34" si="5">SUM(B3:E3)</f>
        <v>0</v>
      </c>
      <c r="G3" s="198" t="s">
        <v>293</v>
      </c>
      <c r="H3" s="198" t="s">
        <v>9</v>
      </c>
      <c r="I3" s="198" t="s">
        <v>7</v>
      </c>
      <c r="J3" s="198" t="s">
        <v>291</v>
      </c>
      <c r="K3" s="211">
        <v>0.7638888888888888</v>
      </c>
      <c r="N3" s="198">
        <f t="shared" ref="N3:Q3" si="2">B3</f>
        <v>16</v>
      </c>
      <c r="O3" s="198">
        <f t="shared" si="2"/>
        <v>-16</v>
      </c>
      <c r="P3" s="198">
        <f t="shared" si="2"/>
        <v>16</v>
      </c>
      <c r="Q3" s="198">
        <f t="shared" si="2"/>
        <v>-16</v>
      </c>
      <c r="S3" s="198">
        <f t="shared" ref="S3:S34" si="7">SUM(N3:Q3)</f>
        <v>0</v>
      </c>
    </row>
    <row r="4">
      <c r="A4" s="202">
        <f t="shared" ref="A4:A34" si="8">A3+1</f>
        <v>2</v>
      </c>
      <c r="B4" s="198">
        <f t="shared" ref="B4:C4" si="3">B3-96</f>
        <v>-80</v>
      </c>
      <c r="C4" s="198">
        <f t="shared" si="3"/>
        <v>-112</v>
      </c>
      <c r="D4" s="198">
        <f t="shared" ref="D4:E4" si="4">D3+96</f>
        <v>112</v>
      </c>
      <c r="E4" s="198">
        <f t="shared" si="4"/>
        <v>80</v>
      </c>
      <c r="F4" s="198">
        <f t="shared" si="5"/>
        <v>0</v>
      </c>
      <c r="G4" s="198" t="s">
        <v>336</v>
      </c>
      <c r="H4" s="198" t="s">
        <v>10</v>
      </c>
      <c r="I4" s="198" t="s">
        <v>7</v>
      </c>
      <c r="J4" s="198" t="s">
        <v>292</v>
      </c>
      <c r="N4" s="198">
        <f t="shared" ref="N4:Q4" si="6">SUM(B4-B3)</f>
        <v>-96</v>
      </c>
      <c r="O4" s="198">
        <f t="shared" si="6"/>
        <v>-96</v>
      </c>
      <c r="P4" s="198">
        <f t="shared" si="6"/>
        <v>96</v>
      </c>
      <c r="Q4" s="198">
        <f t="shared" si="6"/>
        <v>96</v>
      </c>
      <c r="S4" s="198">
        <f t="shared" si="7"/>
        <v>0</v>
      </c>
    </row>
    <row r="5">
      <c r="A5" s="202">
        <f t="shared" si="8"/>
        <v>3</v>
      </c>
      <c r="B5" s="198">
        <v>-88.0</v>
      </c>
      <c r="C5" s="198">
        <v>-120.0</v>
      </c>
      <c r="D5" s="198">
        <f>D4+24</f>
        <v>136</v>
      </c>
      <c r="E5" s="198">
        <v>72.0</v>
      </c>
      <c r="F5" s="198">
        <f t="shared" si="5"/>
        <v>0</v>
      </c>
      <c r="G5" s="198" t="s">
        <v>99</v>
      </c>
      <c r="H5" s="198" t="s">
        <v>8</v>
      </c>
      <c r="I5" s="198" t="s">
        <v>7</v>
      </c>
      <c r="N5" s="198">
        <f t="shared" ref="N5:Q5" si="9">SUM(B5-B4)</f>
        <v>-8</v>
      </c>
      <c r="O5" s="198">
        <f t="shared" si="9"/>
        <v>-8</v>
      </c>
      <c r="P5" s="198">
        <f t="shared" si="9"/>
        <v>24</v>
      </c>
      <c r="Q5" s="198">
        <f t="shared" si="9"/>
        <v>-8</v>
      </c>
      <c r="S5" s="198">
        <f t="shared" si="7"/>
        <v>0</v>
      </c>
    </row>
    <row r="6">
      <c r="A6" s="202">
        <f t="shared" si="8"/>
        <v>4</v>
      </c>
      <c r="B6" s="198">
        <f>B5+12</f>
        <v>-76</v>
      </c>
      <c r="C6" s="198">
        <f>C5-36</f>
        <v>-156</v>
      </c>
      <c r="D6" s="198">
        <f t="shared" ref="D6:E6" si="10">D5+12</f>
        <v>148</v>
      </c>
      <c r="E6" s="198">
        <f t="shared" si="10"/>
        <v>84</v>
      </c>
      <c r="F6" s="198">
        <f t="shared" si="5"/>
        <v>0</v>
      </c>
      <c r="G6" s="198" t="s">
        <v>293</v>
      </c>
      <c r="H6" s="198" t="s">
        <v>7</v>
      </c>
      <c r="I6" s="198" t="s">
        <v>8</v>
      </c>
      <c r="N6" s="198">
        <f t="shared" ref="N6:Q6" si="11">SUM(B6-B5)</f>
        <v>12</v>
      </c>
      <c r="O6" s="198">
        <f t="shared" si="11"/>
        <v>-36</v>
      </c>
      <c r="P6" s="198">
        <f t="shared" si="11"/>
        <v>12</v>
      </c>
      <c r="Q6" s="198">
        <f t="shared" si="11"/>
        <v>12</v>
      </c>
      <c r="S6" s="198">
        <f t="shared" si="7"/>
        <v>0</v>
      </c>
    </row>
    <row r="7">
      <c r="A7" s="202">
        <f t="shared" si="8"/>
        <v>5</v>
      </c>
      <c r="B7" s="198">
        <f t="shared" ref="B7:C7" si="12">B6-12</f>
        <v>-88</v>
      </c>
      <c r="C7" s="198">
        <f t="shared" si="12"/>
        <v>-168</v>
      </c>
      <c r="D7" s="198">
        <f t="shared" ref="D7:E7" si="13">D6+12</f>
        <v>160</v>
      </c>
      <c r="E7" s="198">
        <f t="shared" si="13"/>
        <v>96</v>
      </c>
      <c r="F7" s="198">
        <f t="shared" si="5"/>
        <v>0</v>
      </c>
      <c r="G7" s="198" t="s">
        <v>306</v>
      </c>
      <c r="H7" s="198" t="s">
        <v>9</v>
      </c>
      <c r="I7" s="198" t="s">
        <v>7</v>
      </c>
      <c r="N7" s="198">
        <f t="shared" ref="N7:Q7" si="14">SUM(B7-B6)</f>
        <v>-12</v>
      </c>
      <c r="O7" s="198">
        <f t="shared" si="14"/>
        <v>-12</v>
      </c>
      <c r="P7" s="198">
        <f t="shared" si="14"/>
        <v>12</v>
      </c>
      <c r="Q7" s="198">
        <f t="shared" si="14"/>
        <v>12</v>
      </c>
      <c r="S7" s="198">
        <f t="shared" si="7"/>
        <v>0</v>
      </c>
    </row>
    <row r="8">
      <c r="A8" s="202">
        <f t="shared" si="8"/>
        <v>6</v>
      </c>
      <c r="B8" s="198">
        <f>B7+16</f>
        <v>-72</v>
      </c>
      <c r="C8" s="198">
        <f>C7-48</f>
        <v>-216</v>
      </c>
      <c r="D8" s="198">
        <f t="shared" ref="D8:E8" si="15">D7+16</f>
        <v>176</v>
      </c>
      <c r="E8" s="198">
        <f t="shared" si="15"/>
        <v>112</v>
      </c>
      <c r="F8" s="198">
        <f t="shared" si="5"/>
        <v>0</v>
      </c>
      <c r="G8" s="198" t="s">
        <v>140</v>
      </c>
      <c r="H8" s="198" t="s">
        <v>10</v>
      </c>
      <c r="I8" s="198" t="s">
        <v>8</v>
      </c>
      <c r="N8" s="198">
        <f t="shared" ref="N8:Q8" si="16">SUM(B8-B7)</f>
        <v>16</v>
      </c>
      <c r="O8" s="198">
        <f t="shared" si="16"/>
        <v>-48</v>
      </c>
      <c r="P8" s="198">
        <f t="shared" si="16"/>
        <v>16</v>
      </c>
      <c r="Q8" s="198">
        <f t="shared" si="16"/>
        <v>16</v>
      </c>
      <c r="S8" s="198">
        <f t="shared" si="7"/>
        <v>0</v>
      </c>
    </row>
    <row r="9">
      <c r="A9" s="202">
        <f t="shared" si="8"/>
        <v>7</v>
      </c>
      <c r="B9" s="198">
        <f>B8+8</f>
        <v>-64</v>
      </c>
      <c r="C9" s="198">
        <f t="shared" ref="C9:D9" si="17">C8-8</f>
        <v>-224</v>
      </c>
      <c r="D9" s="198">
        <f t="shared" si="17"/>
        <v>168</v>
      </c>
      <c r="E9" s="198">
        <f>E8+8</f>
        <v>120</v>
      </c>
      <c r="F9" s="198">
        <f t="shared" si="5"/>
        <v>0</v>
      </c>
      <c r="G9" s="198" t="s">
        <v>337</v>
      </c>
      <c r="H9" s="198" t="s">
        <v>8</v>
      </c>
      <c r="I9" s="198" t="s">
        <v>7</v>
      </c>
      <c r="N9" s="198">
        <f t="shared" ref="N9:Q9" si="18">SUM(B9-B8)</f>
        <v>8</v>
      </c>
      <c r="O9" s="198">
        <f t="shared" si="18"/>
        <v>-8</v>
      </c>
      <c r="P9" s="198">
        <f t="shared" si="18"/>
        <v>-8</v>
      </c>
      <c r="Q9" s="198">
        <f t="shared" si="18"/>
        <v>8</v>
      </c>
      <c r="S9" s="198">
        <f t="shared" si="7"/>
        <v>0</v>
      </c>
    </row>
    <row r="10">
      <c r="A10" s="202">
        <f t="shared" si="8"/>
        <v>8</v>
      </c>
      <c r="B10" s="198">
        <f>B9-12</f>
        <v>-76</v>
      </c>
      <c r="C10" s="198">
        <f>C9+12</f>
        <v>-212</v>
      </c>
      <c r="D10" s="198">
        <f>D9-12</f>
        <v>156</v>
      </c>
      <c r="E10" s="198">
        <f>E9+12</f>
        <v>132</v>
      </c>
      <c r="F10" s="198">
        <f t="shared" si="5"/>
        <v>0</v>
      </c>
      <c r="G10" s="198" t="s">
        <v>338</v>
      </c>
      <c r="H10" s="198" t="s">
        <v>7</v>
      </c>
      <c r="I10" s="198" t="s">
        <v>7</v>
      </c>
      <c r="N10" s="198">
        <f t="shared" ref="N10:Q10" si="19">SUM(B10-B9)</f>
        <v>-12</v>
      </c>
      <c r="O10" s="198">
        <f t="shared" si="19"/>
        <v>12</v>
      </c>
      <c r="P10" s="198">
        <f t="shared" si="19"/>
        <v>-12</v>
      </c>
      <c r="Q10" s="198">
        <f t="shared" si="19"/>
        <v>12</v>
      </c>
      <c r="S10" s="198">
        <f t="shared" si="7"/>
        <v>0</v>
      </c>
    </row>
    <row r="11">
      <c r="A11" s="202">
        <f t="shared" si="8"/>
        <v>9</v>
      </c>
      <c r="B11" s="198">
        <f>B10-48</f>
        <v>-124</v>
      </c>
      <c r="C11" s="198">
        <f t="shared" ref="C11:D11" si="20">C10+48</f>
        <v>-164</v>
      </c>
      <c r="D11" s="198">
        <f t="shared" si="20"/>
        <v>204</v>
      </c>
      <c r="E11" s="198">
        <f>E10-48</f>
        <v>84</v>
      </c>
      <c r="F11" s="198">
        <f t="shared" si="5"/>
        <v>0</v>
      </c>
      <c r="G11" s="198" t="s">
        <v>299</v>
      </c>
      <c r="H11" s="198" t="s">
        <v>9</v>
      </c>
      <c r="I11" s="198" t="s">
        <v>7</v>
      </c>
      <c r="N11" s="198">
        <f t="shared" ref="N11:Q11" si="21">SUM(B11-B10)</f>
        <v>-48</v>
      </c>
      <c r="O11" s="198">
        <f t="shared" si="21"/>
        <v>48</v>
      </c>
      <c r="P11" s="198">
        <f t="shared" si="21"/>
        <v>48</v>
      </c>
      <c r="Q11" s="198">
        <f t="shared" si="21"/>
        <v>-48</v>
      </c>
      <c r="S11" s="198">
        <f t="shared" si="7"/>
        <v>0</v>
      </c>
    </row>
    <row r="12">
      <c r="A12" s="202">
        <f t="shared" si="8"/>
        <v>10</v>
      </c>
      <c r="B12" s="198">
        <f t="shared" ref="B12:C12" si="22">B11-20</f>
        <v>-144</v>
      </c>
      <c r="C12" s="198">
        <f t="shared" si="22"/>
        <v>-184</v>
      </c>
      <c r="D12" s="198">
        <f t="shared" ref="D12:E12" si="23">D11+20</f>
        <v>224</v>
      </c>
      <c r="E12" s="198">
        <f t="shared" si="23"/>
        <v>104</v>
      </c>
      <c r="F12" s="198">
        <f t="shared" si="5"/>
        <v>0</v>
      </c>
      <c r="G12" s="198" t="s">
        <v>337</v>
      </c>
      <c r="H12" s="198" t="s">
        <v>10</v>
      </c>
      <c r="I12" s="198" t="s">
        <v>7</v>
      </c>
      <c r="N12" s="198">
        <f t="shared" ref="N12:Q12" si="24">SUM(B12-B11)</f>
        <v>-20</v>
      </c>
      <c r="O12" s="198">
        <f t="shared" si="24"/>
        <v>-20</v>
      </c>
      <c r="P12" s="198">
        <f t="shared" si="24"/>
        <v>20</v>
      </c>
      <c r="Q12" s="198">
        <f t="shared" si="24"/>
        <v>20</v>
      </c>
      <c r="S12" s="198">
        <f t="shared" si="7"/>
        <v>0</v>
      </c>
    </row>
    <row r="13">
      <c r="A13" s="202">
        <f t="shared" si="8"/>
        <v>11</v>
      </c>
      <c r="B13" s="198">
        <f>B12+12</f>
        <v>-132</v>
      </c>
      <c r="C13" s="198">
        <f t="shared" ref="C13:D13" si="25">C12-12</f>
        <v>-196</v>
      </c>
      <c r="D13" s="198">
        <f t="shared" si="25"/>
        <v>212</v>
      </c>
      <c r="E13" s="198">
        <f>E12+12</f>
        <v>116</v>
      </c>
      <c r="F13" s="198">
        <f t="shared" si="5"/>
        <v>0</v>
      </c>
      <c r="G13" s="198" t="s">
        <v>293</v>
      </c>
      <c r="H13" s="198" t="s">
        <v>8</v>
      </c>
      <c r="I13" s="198" t="s">
        <v>9</v>
      </c>
      <c r="N13" s="198">
        <f t="shared" ref="N13:Q13" si="26">SUM(B13-B12)</f>
        <v>12</v>
      </c>
      <c r="O13" s="198">
        <f t="shared" si="26"/>
        <v>-12</v>
      </c>
      <c r="P13" s="198">
        <f t="shared" si="26"/>
        <v>-12</v>
      </c>
      <c r="Q13" s="198">
        <f t="shared" si="26"/>
        <v>12</v>
      </c>
      <c r="S13" s="198">
        <f t="shared" si="7"/>
        <v>0</v>
      </c>
    </row>
    <row r="14">
      <c r="A14" s="202">
        <f t="shared" si="8"/>
        <v>12</v>
      </c>
      <c r="B14" s="198">
        <f>B13-48</f>
        <v>-180</v>
      </c>
      <c r="C14" s="198">
        <f t="shared" ref="C14:D14" si="27">C13+48</f>
        <v>-148</v>
      </c>
      <c r="D14" s="198">
        <f t="shared" si="27"/>
        <v>260</v>
      </c>
      <c r="E14" s="198">
        <f>E13-48</f>
        <v>68</v>
      </c>
      <c r="F14" s="198">
        <f t="shared" si="5"/>
        <v>0</v>
      </c>
      <c r="G14" s="198" t="s">
        <v>337</v>
      </c>
      <c r="H14" s="198" t="s">
        <v>10</v>
      </c>
      <c r="I14" s="198" t="s">
        <v>7</v>
      </c>
      <c r="N14" s="198">
        <f t="shared" ref="N14:Q14" si="28">SUM(B14-B13)</f>
        <v>-48</v>
      </c>
      <c r="O14" s="198">
        <f t="shared" si="28"/>
        <v>48</v>
      </c>
      <c r="P14" s="198">
        <f t="shared" si="28"/>
        <v>48</v>
      </c>
      <c r="Q14" s="198">
        <f t="shared" si="28"/>
        <v>-48</v>
      </c>
      <c r="S14" s="198">
        <f t="shared" si="7"/>
        <v>0</v>
      </c>
    </row>
    <row r="15">
      <c r="A15" s="202">
        <f t="shared" si="8"/>
        <v>13</v>
      </c>
      <c r="B15" s="198">
        <f t="shared" ref="B15:C15" si="29">B14+8</f>
        <v>-172</v>
      </c>
      <c r="C15" s="198">
        <f t="shared" si="29"/>
        <v>-140</v>
      </c>
      <c r="D15" s="198">
        <f>D14-24</f>
        <v>236</v>
      </c>
      <c r="E15" s="198">
        <f>E14+8</f>
        <v>76</v>
      </c>
      <c r="F15" s="198">
        <f t="shared" si="5"/>
        <v>0</v>
      </c>
      <c r="G15" s="198" t="s">
        <v>139</v>
      </c>
      <c r="H15" s="198" t="s">
        <v>9</v>
      </c>
      <c r="I15" s="198" t="s">
        <v>7</v>
      </c>
      <c r="N15" s="198">
        <f t="shared" ref="N15:Q15" si="30">SUM(B15-B14)</f>
        <v>8</v>
      </c>
      <c r="O15" s="198">
        <f t="shared" si="30"/>
        <v>8</v>
      </c>
      <c r="P15" s="198">
        <f t="shared" si="30"/>
        <v>-24</v>
      </c>
      <c r="Q15" s="198">
        <f t="shared" si="30"/>
        <v>8</v>
      </c>
      <c r="S15" s="198">
        <f t="shared" si="7"/>
        <v>0</v>
      </c>
    </row>
    <row r="16">
      <c r="A16" s="202">
        <f t="shared" si="8"/>
        <v>14</v>
      </c>
      <c r="B16" s="198">
        <f t="shared" ref="B16:D16" si="31">B15+16</f>
        <v>-156</v>
      </c>
      <c r="C16" s="198">
        <f t="shared" si="31"/>
        <v>-124</v>
      </c>
      <c r="D16" s="198">
        <f t="shared" si="31"/>
        <v>252</v>
      </c>
      <c r="E16" s="198">
        <f>E15-48</f>
        <v>28</v>
      </c>
      <c r="F16" s="198">
        <f t="shared" si="5"/>
        <v>0</v>
      </c>
      <c r="G16" s="198" t="s">
        <v>140</v>
      </c>
      <c r="H16" s="198" t="s">
        <v>7</v>
      </c>
      <c r="I16" s="198" t="s">
        <v>9</v>
      </c>
      <c r="N16" s="198">
        <f t="shared" ref="N16:Q16" si="32">SUM(B16-B15)</f>
        <v>16</v>
      </c>
      <c r="O16" s="198">
        <f t="shared" si="32"/>
        <v>16</v>
      </c>
      <c r="P16" s="198">
        <f t="shared" si="32"/>
        <v>16</v>
      </c>
      <c r="Q16" s="198">
        <f t="shared" si="32"/>
        <v>-48</v>
      </c>
      <c r="S16" s="198">
        <f t="shared" si="7"/>
        <v>0</v>
      </c>
    </row>
    <row r="17">
      <c r="A17" s="202">
        <f t="shared" si="8"/>
        <v>15</v>
      </c>
      <c r="B17" s="198">
        <f>B16+32</f>
        <v>-124</v>
      </c>
      <c r="C17" s="198">
        <f>C16-32</f>
        <v>-156</v>
      </c>
      <c r="D17" s="198">
        <f>D16+32</f>
        <v>284</v>
      </c>
      <c r="E17" s="198">
        <f>E16-32</f>
        <v>-4</v>
      </c>
      <c r="F17" s="198">
        <f t="shared" si="5"/>
        <v>0</v>
      </c>
      <c r="G17" s="198" t="s">
        <v>339</v>
      </c>
      <c r="H17" s="198" t="s">
        <v>8</v>
      </c>
      <c r="I17" s="198" t="s">
        <v>7</v>
      </c>
      <c r="N17" s="198">
        <f t="shared" ref="N17:Q17" si="33">SUM(B17-B16)</f>
        <v>32</v>
      </c>
      <c r="O17" s="198">
        <f t="shared" si="33"/>
        <v>-32</v>
      </c>
      <c r="P17" s="198">
        <f t="shared" si="33"/>
        <v>32</v>
      </c>
      <c r="Q17" s="198">
        <f t="shared" si="33"/>
        <v>-32</v>
      </c>
      <c r="S17" s="198">
        <f t="shared" si="7"/>
        <v>0</v>
      </c>
    </row>
    <row r="18">
      <c r="A18" s="202">
        <f t="shared" si="8"/>
        <v>16</v>
      </c>
      <c r="B18" s="198">
        <f t="shared" ref="B18:C18" si="34">B17+16</f>
        <v>-108</v>
      </c>
      <c r="C18" s="198">
        <f t="shared" si="34"/>
        <v>-140</v>
      </c>
      <c r="D18" s="198">
        <f t="shared" ref="D18:E18" si="35">D17-16</f>
        <v>268</v>
      </c>
      <c r="E18" s="198">
        <f t="shared" si="35"/>
        <v>-20</v>
      </c>
      <c r="F18" s="198">
        <f t="shared" si="5"/>
        <v>0</v>
      </c>
      <c r="G18" s="198" t="s">
        <v>98</v>
      </c>
      <c r="H18" s="198" t="s">
        <v>10</v>
      </c>
      <c r="I18" s="198" t="s">
        <v>8</v>
      </c>
      <c r="N18" s="198">
        <f t="shared" ref="N18:Q18" si="36">SUM(B18-B17)</f>
        <v>16</v>
      </c>
      <c r="O18" s="198">
        <f t="shared" si="36"/>
        <v>16</v>
      </c>
      <c r="P18" s="198">
        <f t="shared" si="36"/>
        <v>-16</v>
      </c>
      <c r="Q18" s="198">
        <f t="shared" si="36"/>
        <v>-16</v>
      </c>
      <c r="S18" s="198">
        <f t="shared" si="7"/>
        <v>0</v>
      </c>
    </row>
    <row r="19">
      <c r="A19" s="202">
        <f t="shared" si="8"/>
        <v>17</v>
      </c>
      <c r="B19" s="198">
        <f t="shared" ref="B19:B20" si="39">B18-16</f>
        <v>-124</v>
      </c>
      <c r="C19" s="198">
        <f t="shared" ref="C19:D19" si="37">C18+16</f>
        <v>-124</v>
      </c>
      <c r="D19" s="198">
        <f t="shared" si="37"/>
        <v>284</v>
      </c>
      <c r="E19" s="198">
        <f>E18-16</f>
        <v>-36</v>
      </c>
      <c r="F19" s="198">
        <f t="shared" si="5"/>
        <v>0</v>
      </c>
      <c r="G19" s="198" t="s">
        <v>340</v>
      </c>
      <c r="H19" s="198" t="s">
        <v>9</v>
      </c>
      <c r="I19" s="198" t="s">
        <v>341</v>
      </c>
      <c r="N19" s="198">
        <f t="shared" ref="N19:Q19" si="38">SUM(B19-B18)</f>
        <v>-16</v>
      </c>
      <c r="O19" s="198">
        <f t="shared" si="38"/>
        <v>16</v>
      </c>
      <c r="P19" s="198">
        <f t="shared" si="38"/>
        <v>16</v>
      </c>
      <c r="Q19" s="198">
        <f t="shared" si="38"/>
        <v>-16</v>
      </c>
      <c r="S19" s="198">
        <f t="shared" si="7"/>
        <v>0</v>
      </c>
    </row>
    <row r="20">
      <c r="A20" s="202">
        <f t="shared" si="8"/>
        <v>18</v>
      </c>
      <c r="B20" s="198">
        <f t="shared" si="39"/>
        <v>-140</v>
      </c>
      <c r="C20" s="198">
        <f>C19+48</f>
        <v>-76</v>
      </c>
      <c r="D20" s="198">
        <f t="shared" ref="D20:E20" si="40">D19-16</f>
        <v>268</v>
      </c>
      <c r="E20" s="198">
        <f t="shared" si="40"/>
        <v>-52</v>
      </c>
      <c r="F20" s="198">
        <f t="shared" si="5"/>
        <v>0</v>
      </c>
      <c r="G20" s="198" t="s">
        <v>140</v>
      </c>
      <c r="H20" s="198" t="s">
        <v>7</v>
      </c>
      <c r="I20" s="198" t="s">
        <v>8</v>
      </c>
      <c r="N20" s="198">
        <f t="shared" ref="N20:Q20" si="41">SUM(B20-B19)</f>
        <v>-16</v>
      </c>
      <c r="O20" s="198">
        <f t="shared" si="41"/>
        <v>48</v>
      </c>
      <c r="P20" s="198">
        <f t="shared" si="41"/>
        <v>-16</v>
      </c>
      <c r="Q20" s="198">
        <f t="shared" si="41"/>
        <v>-16</v>
      </c>
      <c r="S20" s="198">
        <f t="shared" si="7"/>
        <v>0</v>
      </c>
    </row>
    <row r="21">
      <c r="A21" s="202">
        <f t="shared" si="8"/>
        <v>19</v>
      </c>
      <c r="B21" s="198">
        <f>B20+48</f>
        <v>-92</v>
      </c>
      <c r="C21" s="198">
        <f t="shared" ref="C21:E21" si="42">C20-16</f>
        <v>-92</v>
      </c>
      <c r="D21" s="198">
        <f t="shared" si="42"/>
        <v>252</v>
      </c>
      <c r="E21" s="198">
        <f t="shared" si="42"/>
        <v>-68</v>
      </c>
      <c r="F21" s="198">
        <f t="shared" si="5"/>
        <v>0</v>
      </c>
      <c r="G21" s="198" t="s">
        <v>140</v>
      </c>
      <c r="H21" s="198" t="s">
        <v>8</v>
      </c>
      <c r="I21" s="198" t="s">
        <v>10</v>
      </c>
      <c r="N21" s="198">
        <f t="shared" ref="N21:Q21" si="43">SUM(B21-B20)</f>
        <v>48</v>
      </c>
      <c r="O21" s="198">
        <f t="shared" si="43"/>
        <v>-16</v>
      </c>
      <c r="P21" s="198">
        <f t="shared" si="43"/>
        <v>-16</v>
      </c>
      <c r="Q21" s="198">
        <f t="shared" si="43"/>
        <v>-16</v>
      </c>
      <c r="S21" s="198">
        <f t="shared" si="7"/>
        <v>0</v>
      </c>
    </row>
    <row r="22" ht="15.75" customHeight="1">
      <c r="A22" s="202">
        <f t="shared" si="8"/>
        <v>20</v>
      </c>
      <c r="B22" s="198">
        <f t="shared" ref="B22:C22" si="44">B21-12</f>
        <v>-104</v>
      </c>
      <c r="C22" s="198">
        <f t="shared" si="44"/>
        <v>-104</v>
      </c>
      <c r="D22" s="198">
        <f t="shared" ref="D22:E22" si="45">D21+12</f>
        <v>264</v>
      </c>
      <c r="E22" s="198">
        <f t="shared" si="45"/>
        <v>-56</v>
      </c>
      <c r="F22" s="198">
        <f t="shared" si="5"/>
        <v>0</v>
      </c>
      <c r="G22" s="198" t="s">
        <v>293</v>
      </c>
      <c r="H22" s="198" t="s">
        <v>10</v>
      </c>
      <c r="I22" s="198" t="s">
        <v>10</v>
      </c>
      <c r="N22" s="198">
        <f t="shared" ref="N22:Q22" si="46">SUM(B22-B21)</f>
        <v>-12</v>
      </c>
      <c r="O22" s="198">
        <f t="shared" si="46"/>
        <v>-12</v>
      </c>
      <c r="P22" s="198">
        <f t="shared" si="46"/>
        <v>12</v>
      </c>
      <c r="Q22" s="198">
        <f t="shared" si="46"/>
        <v>12</v>
      </c>
      <c r="S22" s="198">
        <f t="shared" si="7"/>
        <v>0</v>
      </c>
    </row>
    <row r="23" ht="15.75" customHeight="1">
      <c r="A23" s="202">
        <f t="shared" si="8"/>
        <v>21</v>
      </c>
      <c r="B23" s="198">
        <f t="shared" ref="B23:C23" si="47">B22+4</f>
        <v>-100</v>
      </c>
      <c r="C23" s="198">
        <f t="shared" si="47"/>
        <v>-100</v>
      </c>
      <c r="D23" s="198">
        <f t="shared" ref="D23:E23" si="48">D22-4</f>
        <v>260</v>
      </c>
      <c r="E23" s="198">
        <f t="shared" si="48"/>
        <v>-60</v>
      </c>
      <c r="F23" s="198">
        <f t="shared" si="5"/>
        <v>0</v>
      </c>
      <c r="G23" s="198" t="s">
        <v>342</v>
      </c>
      <c r="H23" s="198" t="s">
        <v>9</v>
      </c>
      <c r="I23" s="198" t="s">
        <v>8</v>
      </c>
      <c r="N23" s="198">
        <f t="shared" ref="N23:Q23" si="49">SUM(B23-B22)</f>
        <v>4</v>
      </c>
      <c r="O23" s="198">
        <f t="shared" si="49"/>
        <v>4</v>
      </c>
      <c r="P23" s="198">
        <f t="shared" si="49"/>
        <v>-4</v>
      </c>
      <c r="Q23" s="198">
        <f t="shared" si="49"/>
        <v>-4</v>
      </c>
      <c r="S23" s="198">
        <f t="shared" si="7"/>
        <v>0</v>
      </c>
    </row>
    <row r="24" ht="15.75" customHeight="1">
      <c r="A24" s="202">
        <f t="shared" si="8"/>
        <v>22</v>
      </c>
      <c r="B24" s="198">
        <f>B23+80</f>
        <v>-20</v>
      </c>
      <c r="C24" s="198">
        <f>C23-80</f>
        <v>-180</v>
      </c>
      <c r="D24" s="198">
        <f>D23+80</f>
        <v>340</v>
      </c>
      <c r="E24" s="198">
        <f>E23-80</f>
        <v>-140</v>
      </c>
      <c r="F24" s="198">
        <f t="shared" si="5"/>
        <v>0</v>
      </c>
      <c r="G24" s="198" t="s">
        <v>343</v>
      </c>
      <c r="H24" s="198" t="s">
        <v>7</v>
      </c>
      <c r="I24" s="198" t="s">
        <v>8</v>
      </c>
      <c r="N24" s="198">
        <f t="shared" ref="N24:Q24" si="50">SUM(B24-B23)</f>
        <v>80</v>
      </c>
      <c r="O24" s="198">
        <f t="shared" si="50"/>
        <v>-80</v>
      </c>
      <c r="P24" s="198">
        <f t="shared" si="50"/>
        <v>80</v>
      </c>
      <c r="Q24" s="198">
        <f t="shared" si="50"/>
        <v>-80</v>
      </c>
      <c r="S24" s="198">
        <f t="shared" si="7"/>
        <v>0</v>
      </c>
    </row>
    <row r="25" ht="15.75" customHeight="1">
      <c r="A25" s="202">
        <f t="shared" si="8"/>
        <v>23</v>
      </c>
      <c r="B25" s="198">
        <f>B24-32</f>
        <v>-52</v>
      </c>
      <c r="C25" s="198">
        <f t="shared" ref="C25:D25" si="51">C24+32</f>
        <v>-148</v>
      </c>
      <c r="D25" s="198">
        <f t="shared" si="51"/>
        <v>372</v>
      </c>
      <c r="E25" s="198">
        <f>E24-32</f>
        <v>-172</v>
      </c>
      <c r="F25" s="198">
        <f t="shared" si="5"/>
        <v>0</v>
      </c>
      <c r="G25" s="198" t="s">
        <v>302</v>
      </c>
      <c r="H25" s="198" t="s">
        <v>8</v>
      </c>
      <c r="I25" s="198" t="s">
        <v>7</v>
      </c>
      <c r="N25" s="198">
        <f t="shared" ref="N25:Q25" si="52">SUM(B25-B24)</f>
        <v>-32</v>
      </c>
      <c r="O25" s="198">
        <f t="shared" si="52"/>
        <v>32</v>
      </c>
      <c r="P25" s="198">
        <f t="shared" si="52"/>
        <v>32</v>
      </c>
      <c r="Q25" s="198">
        <f t="shared" si="52"/>
        <v>-32</v>
      </c>
      <c r="S25" s="198">
        <f t="shared" si="7"/>
        <v>0</v>
      </c>
    </row>
    <row r="26" ht="15.75" customHeight="1">
      <c r="A26" s="202">
        <f t="shared" si="8"/>
        <v>24</v>
      </c>
      <c r="B26" s="198">
        <f>B25-24</f>
        <v>-76</v>
      </c>
      <c r="C26" s="198">
        <f>C25+24</f>
        <v>-124</v>
      </c>
      <c r="D26" s="198">
        <f>D25-24</f>
        <v>348</v>
      </c>
      <c r="E26" s="198">
        <f>E25+24</f>
        <v>-148</v>
      </c>
      <c r="F26" s="198">
        <f t="shared" si="5"/>
        <v>0</v>
      </c>
      <c r="G26" s="198" t="s">
        <v>344</v>
      </c>
      <c r="H26" s="198" t="s">
        <v>10</v>
      </c>
      <c r="I26" s="198" t="s">
        <v>9</v>
      </c>
      <c r="N26" s="198">
        <f t="shared" ref="N26:Q26" si="53">SUM(B26-B25)</f>
        <v>-24</v>
      </c>
      <c r="O26" s="198">
        <f t="shared" si="53"/>
        <v>24</v>
      </c>
      <c r="P26" s="198">
        <f t="shared" si="53"/>
        <v>-24</v>
      </c>
      <c r="Q26" s="198">
        <f t="shared" si="53"/>
        <v>24</v>
      </c>
      <c r="S26" s="198">
        <f t="shared" si="7"/>
        <v>0</v>
      </c>
    </row>
    <row r="27" ht="15.75" customHeight="1">
      <c r="A27" s="202">
        <f t="shared" si="8"/>
        <v>25</v>
      </c>
      <c r="B27" s="198">
        <f>B26+4</f>
        <v>-72</v>
      </c>
      <c r="C27" s="198">
        <f t="shared" ref="C27:D27" si="54">C26-4</f>
        <v>-128</v>
      </c>
      <c r="D27" s="198">
        <f t="shared" si="54"/>
        <v>344</v>
      </c>
      <c r="E27" s="198">
        <f>E26+4</f>
        <v>-144</v>
      </c>
      <c r="F27" s="198">
        <f t="shared" si="5"/>
        <v>0</v>
      </c>
      <c r="G27" s="198" t="s">
        <v>345</v>
      </c>
      <c r="H27" s="198" t="s">
        <v>9</v>
      </c>
      <c r="I27" s="198" t="s">
        <v>8</v>
      </c>
      <c r="N27" s="198">
        <f t="shared" ref="N27:Q27" si="55">SUM(B27-B26)</f>
        <v>4</v>
      </c>
      <c r="O27" s="198">
        <f t="shared" si="55"/>
        <v>-4</v>
      </c>
      <c r="P27" s="198">
        <f t="shared" si="55"/>
        <v>-4</v>
      </c>
      <c r="Q27" s="198">
        <f t="shared" si="55"/>
        <v>4</v>
      </c>
      <c r="S27" s="198">
        <f t="shared" si="7"/>
        <v>0</v>
      </c>
    </row>
    <row r="28" ht="15.75" customHeight="1">
      <c r="A28" s="202">
        <f t="shared" si="8"/>
        <v>26</v>
      </c>
      <c r="B28" s="198">
        <f>B27-16</f>
        <v>-88</v>
      </c>
      <c r="C28" s="198">
        <f>C27+16</f>
        <v>-112</v>
      </c>
      <c r="D28" s="198">
        <f>D27-16</f>
        <v>328</v>
      </c>
      <c r="E28" s="198">
        <f>E27+16</f>
        <v>-128</v>
      </c>
      <c r="F28" s="198">
        <f t="shared" si="5"/>
        <v>0</v>
      </c>
      <c r="G28" s="198" t="s">
        <v>346</v>
      </c>
      <c r="H28" s="198" t="s">
        <v>7</v>
      </c>
      <c r="I28" s="198" t="s">
        <v>9</v>
      </c>
      <c r="N28" s="198">
        <f t="shared" ref="N28:Q28" si="56">SUM(B28-B27)</f>
        <v>-16</v>
      </c>
      <c r="O28" s="198">
        <f t="shared" si="56"/>
        <v>16</v>
      </c>
      <c r="P28" s="198">
        <f t="shared" si="56"/>
        <v>-16</v>
      </c>
      <c r="Q28" s="198">
        <f t="shared" si="56"/>
        <v>16</v>
      </c>
      <c r="S28" s="198">
        <f t="shared" si="7"/>
        <v>0</v>
      </c>
    </row>
    <row r="29" ht="15.75" customHeight="1">
      <c r="A29" s="202">
        <f t="shared" si="8"/>
        <v>27</v>
      </c>
      <c r="B29" s="198">
        <f t="shared" ref="B29:C29" si="57">B28+20</f>
        <v>-68</v>
      </c>
      <c r="C29" s="198">
        <f t="shared" si="57"/>
        <v>-92</v>
      </c>
      <c r="D29" s="198">
        <f t="shared" ref="D29:E29" si="58">D28-20</f>
        <v>308</v>
      </c>
      <c r="E29" s="198">
        <f t="shared" si="58"/>
        <v>-148</v>
      </c>
      <c r="F29" s="198">
        <f t="shared" si="5"/>
        <v>0</v>
      </c>
      <c r="G29" s="198" t="s">
        <v>299</v>
      </c>
      <c r="H29" s="198" t="s">
        <v>8</v>
      </c>
      <c r="I29" s="198" t="s">
        <v>10</v>
      </c>
      <c r="N29" s="198">
        <f t="shared" ref="N29:Q29" si="59">SUM(B29-B28)</f>
        <v>20</v>
      </c>
      <c r="O29" s="198">
        <f t="shared" si="59"/>
        <v>20</v>
      </c>
      <c r="P29" s="198">
        <f t="shared" si="59"/>
        <v>-20</v>
      </c>
      <c r="Q29" s="198">
        <f t="shared" si="59"/>
        <v>-20</v>
      </c>
      <c r="S29" s="198">
        <f t="shared" si="7"/>
        <v>0</v>
      </c>
    </row>
    <row r="30" ht="15.75" customHeight="1">
      <c r="A30" s="202">
        <f t="shared" si="8"/>
        <v>28</v>
      </c>
      <c r="B30" s="198">
        <f t="shared" ref="B30:D30" si="60">B29+20</f>
        <v>-48</v>
      </c>
      <c r="C30" s="198">
        <f t="shared" si="60"/>
        <v>-72</v>
      </c>
      <c r="D30" s="198">
        <f t="shared" si="60"/>
        <v>328</v>
      </c>
      <c r="E30" s="198">
        <f>E29-60</f>
        <v>-208</v>
      </c>
      <c r="F30" s="198">
        <f t="shared" si="5"/>
        <v>0</v>
      </c>
      <c r="G30" s="212" t="s">
        <v>321</v>
      </c>
      <c r="H30" s="198" t="s">
        <v>10</v>
      </c>
      <c r="I30" s="198" t="s">
        <v>9</v>
      </c>
      <c r="N30" s="198">
        <f t="shared" ref="N30:Q30" si="61">SUM(B30-B29)</f>
        <v>20</v>
      </c>
      <c r="O30" s="198">
        <f t="shared" si="61"/>
        <v>20</v>
      </c>
      <c r="P30" s="198">
        <f t="shared" si="61"/>
        <v>20</v>
      </c>
      <c r="Q30" s="198">
        <f t="shared" si="61"/>
        <v>-60</v>
      </c>
      <c r="S30" s="198">
        <f t="shared" si="7"/>
        <v>0</v>
      </c>
    </row>
    <row r="31" ht="15.75" customHeight="1">
      <c r="A31" s="202">
        <f t="shared" si="8"/>
        <v>29</v>
      </c>
      <c r="B31" s="198">
        <f t="shared" ref="B31:B32" si="64">B30-16</f>
        <v>-64</v>
      </c>
      <c r="C31" s="198">
        <f>C30+48</f>
        <v>-24</v>
      </c>
      <c r="D31" s="198">
        <f t="shared" ref="D31:E31" si="62">D30-16</f>
        <v>312</v>
      </c>
      <c r="E31" s="198">
        <f t="shared" si="62"/>
        <v>-224</v>
      </c>
      <c r="F31" s="198">
        <f t="shared" si="5"/>
        <v>0</v>
      </c>
      <c r="G31" s="198" t="s">
        <v>140</v>
      </c>
      <c r="H31" s="198" t="s">
        <v>9</v>
      </c>
      <c r="I31" s="198" t="s">
        <v>8</v>
      </c>
      <c r="N31" s="198">
        <f t="shared" ref="N31:Q31" si="63">SUM(B31-B30)</f>
        <v>-16</v>
      </c>
      <c r="O31" s="198">
        <f t="shared" si="63"/>
        <v>48</v>
      </c>
      <c r="P31" s="198">
        <f t="shared" si="63"/>
        <v>-16</v>
      </c>
      <c r="Q31" s="198">
        <f t="shared" si="63"/>
        <v>-16</v>
      </c>
      <c r="S31" s="198">
        <f t="shared" si="7"/>
        <v>0</v>
      </c>
    </row>
    <row r="32" ht="15.75" customHeight="1">
      <c r="A32" s="202">
        <f t="shared" si="8"/>
        <v>30</v>
      </c>
      <c r="B32" s="198">
        <f t="shared" si="64"/>
        <v>-80</v>
      </c>
      <c r="C32" s="198">
        <f t="shared" ref="C32:D32" si="65">C31-16</f>
        <v>-40</v>
      </c>
      <c r="D32" s="198">
        <f t="shared" si="65"/>
        <v>296</v>
      </c>
      <c r="E32" s="198">
        <f>E31+48</f>
        <v>-176</v>
      </c>
      <c r="F32" s="198">
        <f t="shared" si="5"/>
        <v>0</v>
      </c>
      <c r="G32" s="198" t="s">
        <v>140</v>
      </c>
      <c r="H32" s="198" t="s">
        <v>7</v>
      </c>
      <c r="I32" s="198" t="s">
        <v>9</v>
      </c>
      <c r="N32" s="198">
        <f t="shared" ref="N32:Q32" si="66">SUM(B32-B31)</f>
        <v>-16</v>
      </c>
      <c r="O32" s="198">
        <f t="shared" si="66"/>
        <v>-16</v>
      </c>
      <c r="P32" s="198">
        <f t="shared" si="66"/>
        <v>-16</v>
      </c>
      <c r="Q32" s="198">
        <f t="shared" si="66"/>
        <v>48</v>
      </c>
      <c r="S32" s="198">
        <f t="shared" si="7"/>
        <v>0</v>
      </c>
    </row>
    <row r="33" ht="15.75" customHeight="1">
      <c r="A33" s="202">
        <f t="shared" si="8"/>
        <v>31</v>
      </c>
      <c r="B33" s="198">
        <f t="shared" ref="B33:C33" si="67">B32-32</f>
        <v>-112</v>
      </c>
      <c r="C33" s="198">
        <f t="shared" si="67"/>
        <v>-72</v>
      </c>
      <c r="D33" s="198">
        <f t="shared" ref="D33:E33" si="68">D32+32</f>
        <v>328</v>
      </c>
      <c r="E33" s="198">
        <f t="shared" si="68"/>
        <v>-144</v>
      </c>
      <c r="F33" s="198">
        <f t="shared" si="5"/>
        <v>0</v>
      </c>
      <c r="G33" s="198" t="s">
        <v>339</v>
      </c>
      <c r="H33" s="198" t="s">
        <v>8</v>
      </c>
      <c r="I33" s="198" t="s">
        <v>9</v>
      </c>
      <c r="N33" s="198">
        <f t="shared" ref="N33:Q33" si="69">SUM(B33-B32)</f>
        <v>-32</v>
      </c>
      <c r="O33" s="198">
        <f t="shared" si="69"/>
        <v>-32</v>
      </c>
      <c r="P33" s="198">
        <f t="shared" si="69"/>
        <v>32</v>
      </c>
      <c r="Q33" s="198">
        <f t="shared" si="69"/>
        <v>32</v>
      </c>
      <c r="S33" s="198">
        <f t="shared" si="7"/>
        <v>0</v>
      </c>
    </row>
    <row r="34" ht="15.75" customHeight="1">
      <c r="A34" s="202">
        <f t="shared" si="8"/>
        <v>32</v>
      </c>
      <c r="B34" s="198">
        <f t="shared" ref="B34:C34" si="70">B33+8</f>
        <v>-104</v>
      </c>
      <c r="C34" s="198">
        <f t="shared" si="70"/>
        <v>-64</v>
      </c>
      <c r="D34" s="198">
        <f t="shared" ref="D34:E34" si="71">D33-8</f>
        <v>320</v>
      </c>
      <c r="E34" s="198">
        <f t="shared" si="71"/>
        <v>-152</v>
      </c>
      <c r="F34" s="198">
        <f t="shared" si="5"/>
        <v>0</v>
      </c>
      <c r="G34" s="198" t="s">
        <v>347</v>
      </c>
      <c r="H34" s="198" t="s">
        <v>10</v>
      </c>
      <c r="N34" s="198">
        <f t="shared" ref="N34:Q34" si="72">SUM(B34-B33)</f>
        <v>8</v>
      </c>
      <c r="O34" s="198">
        <f t="shared" si="72"/>
        <v>8</v>
      </c>
      <c r="P34" s="198">
        <f t="shared" si="72"/>
        <v>-8</v>
      </c>
      <c r="Q34" s="198">
        <f t="shared" si="72"/>
        <v>-8</v>
      </c>
      <c r="S34" s="198">
        <f t="shared" si="7"/>
        <v>0</v>
      </c>
    </row>
    <row r="35" ht="15.75" customHeight="1">
      <c r="A35" s="56"/>
    </row>
    <row r="36" ht="15.75" customHeight="1">
      <c r="A36" s="56"/>
    </row>
    <row r="37" ht="15.75" customHeight="1">
      <c r="A37" s="56"/>
      <c r="N37" s="202">
        <f t="shared" ref="N37:Q37" si="73">SUM(N3:N36)</f>
        <v>-104</v>
      </c>
      <c r="O37" s="202">
        <f t="shared" si="73"/>
        <v>-64</v>
      </c>
      <c r="P37" s="202">
        <f t="shared" si="73"/>
        <v>320</v>
      </c>
      <c r="Q37" s="202">
        <f t="shared" si="73"/>
        <v>-152</v>
      </c>
    </row>
    <row r="38" ht="15.75" customHeight="1">
      <c r="A38" s="56"/>
    </row>
    <row r="39">
      <c r="A39" s="56"/>
    </row>
    <row r="40">
      <c r="A40" s="56"/>
    </row>
    <row r="41">
      <c r="A41" s="56"/>
    </row>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6" width="7.63"/>
    <col customWidth="1" min="7" max="7" width="18.5"/>
    <col customWidth="1" min="8" max="8" width="14.88"/>
    <col customWidth="1" min="9" max="9" width="15.88"/>
    <col customWidth="1" min="10" max="17" width="7.63"/>
  </cols>
  <sheetData>
    <row r="1">
      <c r="A1" s="40">
        <f>'00_Regnskab_01'!A13</f>
        <v>11</v>
      </c>
      <c r="B1" s="193">
        <f>'00_Regnskab_01'!C13</f>
        <v>43798</v>
      </c>
      <c r="C1" s="42"/>
      <c r="D1" s="42" t="str">
        <f>'00_Regnskab_01'!L13</f>
        <v>Dyrehaven, Vesterbro</v>
      </c>
      <c r="E1" s="42"/>
      <c r="F1" s="42"/>
      <c r="G1" s="42"/>
      <c r="H1" s="42"/>
      <c r="I1" s="42"/>
      <c r="L1" s="198"/>
      <c r="M1" s="198"/>
      <c r="N1" s="198"/>
      <c r="O1" s="198"/>
      <c r="Q1" s="198"/>
    </row>
    <row r="2">
      <c r="A2" s="208" t="s">
        <v>78</v>
      </c>
      <c r="B2" s="209" t="s">
        <v>7</v>
      </c>
      <c r="C2" s="210" t="s">
        <v>8</v>
      </c>
      <c r="D2" s="210" t="s">
        <v>9</v>
      </c>
      <c r="E2" s="210" t="s">
        <v>10</v>
      </c>
      <c r="F2" s="210" t="s">
        <v>278</v>
      </c>
      <c r="G2" s="210" t="s">
        <v>64</v>
      </c>
      <c r="H2" s="210" t="s">
        <v>82</v>
      </c>
      <c r="I2" s="210" t="s">
        <v>83</v>
      </c>
      <c r="L2" s="198" t="str">
        <f t="shared" ref="L2:O2" si="1">B2</f>
        <v>Thomas</v>
      </c>
      <c r="M2" s="198" t="str">
        <f t="shared" si="1"/>
        <v>Peter</v>
      </c>
      <c r="N2" s="198" t="str">
        <f t="shared" si="1"/>
        <v>Janus</v>
      </c>
      <c r="O2" s="198" t="str">
        <f t="shared" si="1"/>
        <v>Christian</v>
      </c>
      <c r="Q2" s="198" t="s">
        <v>79</v>
      </c>
    </row>
    <row r="3">
      <c r="A3" s="200">
        <v>1.0</v>
      </c>
      <c r="B3" s="198">
        <v>12.0</v>
      </c>
      <c r="C3" s="198">
        <v>12.0</v>
      </c>
      <c r="D3" s="198">
        <v>-12.0</v>
      </c>
      <c r="E3" s="198">
        <v>-12.0</v>
      </c>
      <c r="F3" s="198">
        <f t="shared" ref="F3:F28" si="3">SUM(B3:E3)</f>
        <v>0</v>
      </c>
      <c r="G3" s="198" t="s">
        <v>348</v>
      </c>
      <c r="H3" s="198" t="s">
        <v>10</v>
      </c>
      <c r="I3" s="198" t="s">
        <v>9</v>
      </c>
      <c r="L3" s="198">
        <f t="shared" ref="L3:O3" si="2">B3</f>
        <v>12</v>
      </c>
      <c r="M3" s="198">
        <f t="shared" si="2"/>
        <v>12</v>
      </c>
      <c r="N3" s="198">
        <f t="shared" si="2"/>
        <v>-12</v>
      </c>
      <c r="O3" s="198">
        <f t="shared" si="2"/>
        <v>-12</v>
      </c>
    </row>
    <row r="4">
      <c r="A4" s="202">
        <f t="shared" ref="A4:A28" si="5">A3+1</f>
        <v>2</v>
      </c>
      <c r="B4" s="198">
        <v>16.0</v>
      </c>
      <c r="C4" s="198">
        <v>8.0</v>
      </c>
      <c r="D4" s="198">
        <v>-16.0</v>
      </c>
      <c r="E4" s="198">
        <v>-8.0</v>
      </c>
      <c r="F4" s="198">
        <f t="shared" si="3"/>
        <v>0</v>
      </c>
      <c r="G4" s="198" t="s">
        <v>349</v>
      </c>
      <c r="H4" s="198" t="s">
        <v>7</v>
      </c>
      <c r="L4" s="198">
        <f t="shared" ref="L4:O4" si="4">SUM(B4-B3)</f>
        <v>4</v>
      </c>
      <c r="M4" s="198">
        <f t="shared" si="4"/>
        <v>-4</v>
      </c>
      <c r="N4" s="198">
        <f t="shared" si="4"/>
        <v>-4</v>
      </c>
      <c r="O4" s="198">
        <f t="shared" si="4"/>
        <v>4</v>
      </c>
      <c r="Q4" s="198">
        <f t="shared" ref="Q4:Q29" si="9">SUM(L4:O4)</f>
        <v>0</v>
      </c>
    </row>
    <row r="5">
      <c r="A5" s="202">
        <f t="shared" si="5"/>
        <v>3</v>
      </c>
      <c r="B5" s="198">
        <f t="shared" ref="B5:C5" si="6">B4-48</f>
        <v>-32</v>
      </c>
      <c r="C5" s="198">
        <f t="shared" si="6"/>
        <v>-40</v>
      </c>
      <c r="D5" s="198">
        <f t="shared" ref="D5:E5" si="7">D4+48</f>
        <v>32</v>
      </c>
      <c r="E5" s="198">
        <f t="shared" si="7"/>
        <v>40</v>
      </c>
      <c r="F5" s="198">
        <f t="shared" si="3"/>
        <v>0</v>
      </c>
      <c r="G5" s="198" t="s">
        <v>350</v>
      </c>
      <c r="H5" s="198" t="s">
        <v>8</v>
      </c>
      <c r="I5" s="198" t="s">
        <v>10</v>
      </c>
      <c r="L5" s="198">
        <f t="shared" ref="L5:O5" si="8">SUM(B5-B4)</f>
        <v>-48</v>
      </c>
      <c r="M5" s="198">
        <f t="shared" si="8"/>
        <v>-48</v>
      </c>
      <c r="N5" s="198">
        <f t="shared" si="8"/>
        <v>48</v>
      </c>
      <c r="O5" s="198">
        <f t="shared" si="8"/>
        <v>48</v>
      </c>
      <c r="Q5" s="198">
        <f t="shared" si="9"/>
        <v>0</v>
      </c>
    </row>
    <row r="6">
      <c r="A6" s="202">
        <f t="shared" si="5"/>
        <v>4</v>
      </c>
      <c r="B6" s="198">
        <f>B5-36</f>
        <v>-68</v>
      </c>
      <c r="C6" s="198">
        <f t="shared" ref="C6:E6" si="10">C5+12</f>
        <v>-28</v>
      </c>
      <c r="D6" s="198">
        <f t="shared" si="10"/>
        <v>44</v>
      </c>
      <c r="E6" s="198">
        <f t="shared" si="10"/>
        <v>52</v>
      </c>
      <c r="F6" s="198">
        <f t="shared" si="3"/>
        <v>0</v>
      </c>
      <c r="G6" s="198" t="s">
        <v>351</v>
      </c>
      <c r="H6" s="198" t="s">
        <v>9</v>
      </c>
      <c r="I6" s="198" t="s">
        <v>7</v>
      </c>
      <c r="J6" s="212" t="s">
        <v>89</v>
      </c>
      <c r="L6" s="198">
        <f t="shared" ref="L6:O6" si="11">SUM(B6-B5)</f>
        <v>-36</v>
      </c>
      <c r="M6" s="198">
        <f t="shared" si="11"/>
        <v>12</v>
      </c>
      <c r="N6" s="198">
        <f t="shared" si="11"/>
        <v>12</v>
      </c>
      <c r="O6" s="198">
        <f t="shared" si="11"/>
        <v>12</v>
      </c>
      <c r="Q6" s="198">
        <f t="shared" si="9"/>
        <v>0</v>
      </c>
    </row>
    <row r="7">
      <c r="A7" s="202">
        <f t="shared" si="5"/>
        <v>5</v>
      </c>
      <c r="B7" s="198">
        <f>B6-24</f>
        <v>-92</v>
      </c>
      <c r="C7" s="198">
        <v>-4.0</v>
      </c>
      <c r="D7" s="198">
        <f>D6-24</f>
        <v>20</v>
      </c>
      <c r="E7" s="198">
        <f>E6+24</f>
        <v>76</v>
      </c>
      <c r="F7" s="198">
        <f t="shared" si="3"/>
        <v>0</v>
      </c>
      <c r="G7" s="198" t="s">
        <v>302</v>
      </c>
      <c r="H7" s="198" t="s">
        <v>10</v>
      </c>
      <c r="I7" s="198" t="s">
        <v>9</v>
      </c>
      <c r="L7" s="198">
        <f t="shared" ref="L7:O7" si="12">SUM(B7-B6)</f>
        <v>-24</v>
      </c>
      <c r="M7" s="198">
        <f t="shared" si="12"/>
        <v>24</v>
      </c>
      <c r="N7" s="198">
        <f t="shared" si="12"/>
        <v>-24</v>
      </c>
      <c r="O7" s="198">
        <f t="shared" si="12"/>
        <v>24</v>
      </c>
      <c r="Q7" s="198">
        <f t="shared" si="9"/>
        <v>0</v>
      </c>
    </row>
    <row r="8">
      <c r="A8" s="202">
        <f t="shared" si="5"/>
        <v>6</v>
      </c>
      <c r="B8" s="198">
        <f>B7+32</f>
        <v>-60</v>
      </c>
      <c r="C8" s="198">
        <f t="shared" ref="C8:D8" si="13">C7-32</f>
        <v>-36</v>
      </c>
      <c r="D8" s="198">
        <f t="shared" si="13"/>
        <v>-12</v>
      </c>
      <c r="E8" s="198">
        <f>E7+32</f>
        <v>108</v>
      </c>
      <c r="F8" s="198">
        <f t="shared" si="3"/>
        <v>0</v>
      </c>
      <c r="G8" s="198" t="s">
        <v>302</v>
      </c>
      <c r="H8" s="198" t="s">
        <v>7</v>
      </c>
      <c r="I8" s="198" t="s">
        <v>10</v>
      </c>
      <c r="L8" s="198">
        <f t="shared" ref="L8:O8" si="14">SUM(B8-B7)</f>
        <v>32</v>
      </c>
      <c r="M8" s="198">
        <f t="shared" si="14"/>
        <v>-32</v>
      </c>
      <c r="N8" s="198">
        <f t="shared" si="14"/>
        <v>-32</v>
      </c>
      <c r="O8" s="198">
        <f t="shared" si="14"/>
        <v>32</v>
      </c>
      <c r="Q8" s="198">
        <f t="shared" si="9"/>
        <v>0</v>
      </c>
    </row>
    <row r="9">
      <c r="A9" s="202">
        <f t="shared" si="5"/>
        <v>7</v>
      </c>
      <c r="B9" s="198">
        <f>B8+16</f>
        <v>-44</v>
      </c>
      <c r="C9" s="198">
        <f>C8-48</f>
        <v>-84</v>
      </c>
      <c r="D9" s="198">
        <f t="shared" ref="D9:E9" si="15">D8+16</f>
        <v>4</v>
      </c>
      <c r="E9" s="198">
        <f t="shared" si="15"/>
        <v>124</v>
      </c>
      <c r="F9" s="198">
        <f t="shared" si="3"/>
        <v>0</v>
      </c>
      <c r="G9" s="198" t="s">
        <v>140</v>
      </c>
      <c r="H9" s="198" t="s">
        <v>8</v>
      </c>
      <c r="I9" s="198" t="s">
        <v>8</v>
      </c>
      <c r="L9" s="198">
        <f t="shared" ref="L9:O9" si="16">SUM(B9-B8)</f>
        <v>16</v>
      </c>
      <c r="M9" s="198">
        <f t="shared" si="16"/>
        <v>-48</v>
      </c>
      <c r="N9" s="198">
        <f t="shared" si="16"/>
        <v>16</v>
      </c>
      <c r="O9" s="198">
        <f t="shared" si="16"/>
        <v>16</v>
      </c>
      <c r="Q9" s="198">
        <f t="shared" si="9"/>
        <v>0</v>
      </c>
    </row>
    <row r="10">
      <c r="A10" s="202">
        <f t="shared" si="5"/>
        <v>8</v>
      </c>
      <c r="B10" s="198">
        <f>B9+24</f>
        <v>-20</v>
      </c>
      <c r="C10" s="198">
        <f t="shared" ref="C10:E10" si="17">C9-8</f>
        <v>-92</v>
      </c>
      <c r="D10" s="198">
        <f t="shared" si="17"/>
        <v>-4</v>
      </c>
      <c r="E10" s="198">
        <f t="shared" si="17"/>
        <v>116</v>
      </c>
      <c r="F10" s="198">
        <f t="shared" si="3"/>
        <v>0</v>
      </c>
      <c r="G10" s="198" t="s">
        <v>139</v>
      </c>
      <c r="H10" s="198" t="s">
        <v>9</v>
      </c>
      <c r="I10" s="198" t="s">
        <v>7</v>
      </c>
      <c r="L10" s="198">
        <f t="shared" ref="L10:O10" si="18">SUM(B10-B9)</f>
        <v>24</v>
      </c>
      <c r="M10" s="198">
        <f t="shared" si="18"/>
        <v>-8</v>
      </c>
      <c r="N10" s="198">
        <f t="shared" si="18"/>
        <v>-8</v>
      </c>
      <c r="O10" s="198">
        <f t="shared" si="18"/>
        <v>-8</v>
      </c>
      <c r="Q10" s="198">
        <f t="shared" si="9"/>
        <v>0</v>
      </c>
    </row>
    <row r="11">
      <c r="A11" s="202">
        <f t="shared" si="5"/>
        <v>9</v>
      </c>
      <c r="B11" s="198">
        <f t="shared" ref="B11:C11" si="19">B10+8</f>
        <v>-12</v>
      </c>
      <c r="C11" s="198">
        <f t="shared" si="19"/>
        <v>-84</v>
      </c>
      <c r="D11" s="198">
        <f t="shared" ref="D11:E11" si="20">D10-8</f>
        <v>-12</v>
      </c>
      <c r="E11" s="198">
        <f t="shared" si="20"/>
        <v>108</v>
      </c>
      <c r="F11" s="198">
        <f t="shared" si="3"/>
        <v>0</v>
      </c>
      <c r="G11" s="198" t="s">
        <v>352</v>
      </c>
      <c r="H11" s="198" t="s">
        <v>10</v>
      </c>
      <c r="I11" s="198" t="s">
        <v>7</v>
      </c>
      <c r="L11" s="198">
        <f t="shared" ref="L11:O11" si="21">SUM(B11-B10)</f>
        <v>8</v>
      </c>
      <c r="M11" s="198">
        <f t="shared" si="21"/>
        <v>8</v>
      </c>
      <c r="N11" s="198">
        <f t="shared" si="21"/>
        <v>-8</v>
      </c>
      <c r="O11" s="198">
        <f t="shared" si="21"/>
        <v>-8</v>
      </c>
      <c r="Q11" s="198">
        <f t="shared" si="9"/>
        <v>0</v>
      </c>
    </row>
    <row r="12">
      <c r="A12" s="202">
        <f t="shared" si="5"/>
        <v>10</v>
      </c>
      <c r="B12" s="198">
        <f t="shared" ref="B12:C12" si="22">B11+16</f>
        <v>4</v>
      </c>
      <c r="C12" s="198">
        <f t="shared" si="22"/>
        <v>-68</v>
      </c>
      <c r="D12" s="198">
        <f>D11-48</f>
        <v>-60</v>
      </c>
      <c r="E12" s="198">
        <f>E11+16</f>
        <v>124</v>
      </c>
      <c r="F12" s="198">
        <f t="shared" si="3"/>
        <v>0</v>
      </c>
      <c r="G12" s="198" t="s">
        <v>140</v>
      </c>
      <c r="H12" s="198" t="s">
        <v>7</v>
      </c>
      <c r="I12" s="198" t="s">
        <v>9</v>
      </c>
      <c r="L12" s="198">
        <f t="shared" ref="L12:O12" si="23">SUM(B12-B11)</f>
        <v>16</v>
      </c>
      <c r="M12" s="198">
        <f t="shared" si="23"/>
        <v>16</v>
      </c>
      <c r="N12" s="198">
        <f t="shared" si="23"/>
        <v>-48</v>
      </c>
      <c r="O12" s="198">
        <f t="shared" si="23"/>
        <v>16</v>
      </c>
      <c r="Q12" s="198">
        <f t="shared" si="9"/>
        <v>0</v>
      </c>
    </row>
    <row r="13">
      <c r="A13" s="202">
        <f t="shared" si="5"/>
        <v>11</v>
      </c>
      <c r="B13" s="198">
        <f>B12+16</f>
        <v>20</v>
      </c>
      <c r="C13" s="198">
        <f>C12-48</f>
        <v>-116</v>
      </c>
      <c r="D13" s="198">
        <f t="shared" ref="D13:E13" si="24">D12+16</f>
        <v>-44</v>
      </c>
      <c r="E13" s="198">
        <f t="shared" si="24"/>
        <v>140</v>
      </c>
      <c r="F13" s="198">
        <f t="shared" si="3"/>
        <v>0</v>
      </c>
      <c r="G13" s="198" t="s">
        <v>140</v>
      </c>
      <c r="H13" s="198" t="s">
        <v>8</v>
      </c>
      <c r="I13" s="198" t="s">
        <v>8</v>
      </c>
      <c r="L13" s="198">
        <f t="shared" ref="L13:O13" si="25">SUM(B13-B12)</f>
        <v>16</v>
      </c>
      <c r="M13" s="198">
        <f t="shared" si="25"/>
        <v>-48</v>
      </c>
      <c r="N13" s="198">
        <f t="shared" si="25"/>
        <v>16</v>
      </c>
      <c r="O13" s="198">
        <f t="shared" si="25"/>
        <v>16</v>
      </c>
      <c r="Q13" s="198">
        <f t="shared" si="9"/>
        <v>0</v>
      </c>
    </row>
    <row r="14">
      <c r="A14" s="202">
        <f t="shared" si="5"/>
        <v>12</v>
      </c>
      <c r="B14" s="198">
        <f>B13-32</f>
        <v>-12</v>
      </c>
      <c r="C14" s="198">
        <f>C13+96</f>
        <v>-20</v>
      </c>
      <c r="D14" s="198">
        <f t="shared" ref="D14:E14" si="26">D13-32</f>
        <v>-76</v>
      </c>
      <c r="E14" s="198">
        <f t="shared" si="26"/>
        <v>108</v>
      </c>
      <c r="F14" s="198">
        <f t="shared" si="3"/>
        <v>0</v>
      </c>
      <c r="G14" s="198" t="s">
        <v>101</v>
      </c>
      <c r="H14" s="198" t="s">
        <v>9</v>
      </c>
      <c r="I14" s="198" t="s">
        <v>8</v>
      </c>
      <c r="L14" s="198">
        <f t="shared" ref="L14:O14" si="27">SUM(B14-B13)</f>
        <v>-32</v>
      </c>
      <c r="M14" s="198">
        <f t="shared" si="27"/>
        <v>96</v>
      </c>
      <c r="N14" s="198">
        <f t="shared" si="27"/>
        <v>-32</v>
      </c>
      <c r="O14" s="198">
        <f t="shared" si="27"/>
        <v>-32</v>
      </c>
      <c r="Q14" s="198">
        <f t="shared" si="9"/>
        <v>0</v>
      </c>
    </row>
    <row r="15">
      <c r="A15" s="202">
        <f t="shared" si="5"/>
        <v>13</v>
      </c>
      <c r="B15" s="198">
        <f>B14+12</f>
        <v>0</v>
      </c>
      <c r="C15" s="198">
        <f>C14-12</f>
        <v>-32</v>
      </c>
      <c r="D15" s="198">
        <f>D14+12</f>
        <v>-64</v>
      </c>
      <c r="E15" s="198">
        <f>E14-12</f>
        <v>96</v>
      </c>
      <c r="F15" s="198">
        <f t="shared" si="3"/>
        <v>0</v>
      </c>
      <c r="G15" s="198" t="s">
        <v>353</v>
      </c>
      <c r="H15" s="198" t="s">
        <v>10</v>
      </c>
      <c r="I15" s="198" t="s">
        <v>7</v>
      </c>
      <c r="L15" s="198">
        <f t="shared" ref="L15:O15" si="28">SUM(B15-B14)</f>
        <v>12</v>
      </c>
      <c r="M15" s="198">
        <f t="shared" si="28"/>
        <v>-12</v>
      </c>
      <c r="N15" s="198">
        <f t="shared" si="28"/>
        <v>12</v>
      </c>
      <c r="O15" s="198">
        <f t="shared" si="28"/>
        <v>-12</v>
      </c>
      <c r="Q15" s="198">
        <f t="shared" si="9"/>
        <v>0</v>
      </c>
    </row>
    <row r="16">
      <c r="A16" s="202">
        <f t="shared" si="5"/>
        <v>14</v>
      </c>
      <c r="B16" s="198">
        <f>B15+20</f>
        <v>20</v>
      </c>
      <c r="C16" s="198">
        <f>C15-20</f>
        <v>-52</v>
      </c>
      <c r="D16" s="198">
        <f>D15+20</f>
        <v>-44</v>
      </c>
      <c r="E16" s="198">
        <f>E15-20</f>
        <v>76</v>
      </c>
      <c r="F16" s="198">
        <f t="shared" si="3"/>
        <v>0</v>
      </c>
      <c r="G16" s="198" t="s">
        <v>351</v>
      </c>
      <c r="H16" s="198" t="s">
        <v>7</v>
      </c>
      <c r="I16" s="198" t="s">
        <v>7</v>
      </c>
      <c r="L16" s="198">
        <f t="shared" ref="L16:O16" si="29">SUM(B16-B15)</f>
        <v>20</v>
      </c>
      <c r="M16" s="198">
        <f t="shared" si="29"/>
        <v>-20</v>
      </c>
      <c r="N16" s="198">
        <f t="shared" si="29"/>
        <v>20</v>
      </c>
      <c r="O16" s="198">
        <f t="shared" si="29"/>
        <v>-20</v>
      </c>
      <c r="Q16" s="198">
        <f t="shared" si="9"/>
        <v>0</v>
      </c>
    </row>
    <row r="17">
      <c r="A17" s="202">
        <f t="shared" si="5"/>
        <v>15</v>
      </c>
      <c r="B17" s="198">
        <f>B16+32</f>
        <v>52</v>
      </c>
      <c r="C17" s="198">
        <f>C16-96</f>
        <v>-148</v>
      </c>
      <c r="D17" s="198">
        <f t="shared" ref="D17:E17" si="30">D16+32</f>
        <v>-12</v>
      </c>
      <c r="E17" s="198">
        <f t="shared" si="30"/>
        <v>108</v>
      </c>
      <c r="F17" s="198">
        <f t="shared" si="3"/>
        <v>0</v>
      </c>
      <c r="G17" s="198" t="s">
        <v>101</v>
      </c>
      <c r="H17" s="198" t="s">
        <v>8</v>
      </c>
      <c r="I17" s="198" t="s">
        <v>8</v>
      </c>
      <c r="L17" s="198">
        <f t="shared" ref="L17:O17" si="31">SUM(B17-B16)</f>
        <v>32</v>
      </c>
      <c r="M17" s="198">
        <f t="shared" si="31"/>
        <v>-96</v>
      </c>
      <c r="N17" s="198">
        <f t="shared" si="31"/>
        <v>32</v>
      </c>
      <c r="O17" s="198">
        <f t="shared" si="31"/>
        <v>32</v>
      </c>
      <c r="Q17" s="198">
        <f t="shared" si="9"/>
        <v>0</v>
      </c>
    </row>
    <row r="18">
      <c r="A18" s="202">
        <f t="shared" si="5"/>
        <v>16</v>
      </c>
      <c r="B18" s="198">
        <f>B17+12</f>
        <v>64</v>
      </c>
      <c r="C18" s="198">
        <f t="shared" ref="C18:D18" si="32">C17-12</f>
        <v>-160</v>
      </c>
      <c r="D18" s="198">
        <f t="shared" si="32"/>
        <v>-24</v>
      </c>
      <c r="E18" s="198">
        <f>E17+12</f>
        <v>120</v>
      </c>
      <c r="F18" s="198">
        <f t="shared" si="3"/>
        <v>0</v>
      </c>
      <c r="G18" s="198" t="s">
        <v>354</v>
      </c>
      <c r="H18" s="198" t="s">
        <v>9</v>
      </c>
      <c r="I18" s="198" t="s">
        <v>7</v>
      </c>
      <c r="L18" s="198">
        <f t="shared" ref="L18:O18" si="33">SUM(B18-B17)</f>
        <v>12</v>
      </c>
      <c r="M18" s="198">
        <f t="shared" si="33"/>
        <v>-12</v>
      </c>
      <c r="N18" s="198">
        <f t="shared" si="33"/>
        <v>-12</v>
      </c>
      <c r="O18" s="198">
        <f t="shared" si="33"/>
        <v>12</v>
      </c>
      <c r="Q18" s="198">
        <f t="shared" si="9"/>
        <v>0</v>
      </c>
    </row>
    <row r="19">
      <c r="A19" s="202">
        <f t="shared" si="5"/>
        <v>17</v>
      </c>
      <c r="B19" s="198">
        <f t="shared" ref="B19:D19" si="34">B18+8</f>
        <v>72</v>
      </c>
      <c r="C19" s="198">
        <f t="shared" si="34"/>
        <v>-152</v>
      </c>
      <c r="D19" s="198">
        <f t="shared" si="34"/>
        <v>-16</v>
      </c>
      <c r="E19" s="198">
        <v>96.0</v>
      </c>
      <c r="F19" s="198">
        <f t="shared" si="3"/>
        <v>0</v>
      </c>
      <c r="G19" s="198" t="s">
        <v>139</v>
      </c>
      <c r="H19" s="198" t="s">
        <v>10</v>
      </c>
      <c r="L19" s="198">
        <f t="shared" ref="L19:O19" si="35">SUM(B19-B18)</f>
        <v>8</v>
      </c>
      <c r="M19" s="198">
        <f t="shared" si="35"/>
        <v>8</v>
      </c>
      <c r="N19" s="198">
        <f t="shared" si="35"/>
        <v>8</v>
      </c>
      <c r="O19" s="198">
        <f t="shared" si="35"/>
        <v>-24</v>
      </c>
      <c r="Q19" s="198">
        <f t="shared" si="9"/>
        <v>0</v>
      </c>
    </row>
    <row r="20">
      <c r="A20" s="202">
        <f t="shared" si="5"/>
        <v>18</v>
      </c>
      <c r="B20" s="198">
        <f t="shared" ref="B20:C20" si="36">B19+48</f>
        <v>120</v>
      </c>
      <c r="C20" s="198">
        <f t="shared" si="36"/>
        <v>-104</v>
      </c>
      <c r="D20" s="198">
        <f t="shared" ref="D20:E20" si="37">D19-48</f>
        <v>-64</v>
      </c>
      <c r="E20" s="198">
        <f t="shared" si="37"/>
        <v>48</v>
      </c>
      <c r="F20" s="198">
        <f t="shared" si="3"/>
        <v>0</v>
      </c>
      <c r="G20" s="198" t="s">
        <v>355</v>
      </c>
      <c r="H20" s="198" t="s">
        <v>7</v>
      </c>
      <c r="I20" s="198" t="s">
        <v>8</v>
      </c>
      <c r="L20" s="198">
        <f t="shared" ref="L20:O20" si="38">SUM(B20-B19)</f>
        <v>48</v>
      </c>
      <c r="M20" s="198">
        <f t="shared" si="38"/>
        <v>48</v>
      </c>
      <c r="N20" s="198">
        <f t="shared" si="38"/>
        <v>-48</v>
      </c>
      <c r="O20" s="198">
        <f t="shared" si="38"/>
        <v>-48</v>
      </c>
      <c r="Q20" s="198">
        <f t="shared" si="9"/>
        <v>0</v>
      </c>
    </row>
    <row r="21">
      <c r="A21" s="202">
        <f t="shared" si="5"/>
        <v>19</v>
      </c>
      <c r="B21" s="198">
        <f>B20+48</f>
        <v>168</v>
      </c>
      <c r="C21" s="198">
        <f t="shared" ref="C21:E21" si="39">C20-16</f>
        <v>-120</v>
      </c>
      <c r="D21" s="198">
        <f t="shared" si="39"/>
        <v>-80</v>
      </c>
      <c r="E21" s="198">
        <f t="shared" si="39"/>
        <v>32</v>
      </c>
      <c r="F21" s="198">
        <f t="shared" si="3"/>
        <v>0</v>
      </c>
      <c r="G21" s="198" t="s">
        <v>140</v>
      </c>
      <c r="H21" s="198" t="s">
        <v>9</v>
      </c>
      <c r="I21" s="198" t="s">
        <v>7</v>
      </c>
      <c r="L21" s="198">
        <f t="shared" ref="L21:O21" si="40">SUM(B21-B20)</f>
        <v>48</v>
      </c>
      <c r="M21" s="198">
        <f t="shared" si="40"/>
        <v>-16</v>
      </c>
      <c r="N21" s="198">
        <f t="shared" si="40"/>
        <v>-16</v>
      </c>
      <c r="O21" s="198">
        <f t="shared" si="40"/>
        <v>-16</v>
      </c>
      <c r="Q21" s="198">
        <f t="shared" si="9"/>
        <v>0</v>
      </c>
    </row>
    <row r="22" ht="15.75" customHeight="1">
      <c r="A22" s="202">
        <f t="shared" si="5"/>
        <v>20</v>
      </c>
      <c r="B22" s="198">
        <f>B21+16</f>
        <v>184</v>
      </c>
      <c r="C22" s="198">
        <f>C21-16</f>
        <v>-136</v>
      </c>
      <c r="D22" s="198">
        <f>D21+16</f>
        <v>-64</v>
      </c>
      <c r="E22" s="198">
        <f>E21-16</f>
        <v>16</v>
      </c>
      <c r="F22" s="198">
        <f t="shared" si="3"/>
        <v>0</v>
      </c>
      <c r="G22" s="198" t="s">
        <v>356</v>
      </c>
      <c r="H22" s="198" t="s">
        <v>10</v>
      </c>
      <c r="I22" s="198" t="s">
        <v>7</v>
      </c>
      <c r="L22" s="198">
        <f t="shared" ref="L22:O22" si="41">SUM(B22-B21)</f>
        <v>16</v>
      </c>
      <c r="M22" s="198">
        <f t="shared" si="41"/>
        <v>-16</v>
      </c>
      <c r="N22" s="198">
        <f t="shared" si="41"/>
        <v>16</v>
      </c>
      <c r="O22" s="198">
        <f t="shared" si="41"/>
        <v>-16</v>
      </c>
      <c r="Q22" s="198">
        <f t="shared" si="9"/>
        <v>0</v>
      </c>
    </row>
    <row r="23" ht="15.75" customHeight="1">
      <c r="A23" s="202">
        <f t="shared" si="5"/>
        <v>21</v>
      </c>
      <c r="B23" s="198">
        <f t="shared" ref="B23:C23" si="42">B22-10</f>
        <v>174</v>
      </c>
      <c r="C23" s="198">
        <f t="shared" si="42"/>
        <v>-146</v>
      </c>
      <c r="D23" s="198">
        <f t="shared" ref="D23:E23" si="43">D22+10</f>
        <v>-54</v>
      </c>
      <c r="E23" s="198">
        <f t="shared" si="43"/>
        <v>26</v>
      </c>
      <c r="F23" s="198">
        <f t="shared" si="3"/>
        <v>0</v>
      </c>
      <c r="G23" s="198" t="s">
        <v>345</v>
      </c>
      <c r="H23" s="198" t="s">
        <v>7</v>
      </c>
      <c r="I23" s="198" t="s">
        <v>8</v>
      </c>
      <c r="L23" s="198">
        <f t="shared" ref="L23:O23" si="44">SUM(B23-B22)</f>
        <v>-10</v>
      </c>
      <c r="M23" s="198">
        <f t="shared" si="44"/>
        <v>-10</v>
      </c>
      <c r="N23" s="198">
        <f t="shared" si="44"/>
        <v>10</v>
      </c>
      <c r="O23" s="198">
        <f t="shared" si="44"/>
        <v>10</v>
      </c>
      <c r="Q23" s="198">
        <f t="shared" si="9"/>
        <v>0</v>
      </c>
    </row>
    <row r="24" ht="15.75" customHeight="1">
      <c r="A24" s="202">
        <f t="shared" si="5"/>
        <v>22</v>
      </c>
      <c r="B24" s="198">
        <f t="shared" ref="B24:C24" si="45">B23-20</f>
        <v>154</v>
      </c>
      <c r="C24" s="198">
        <f t="shared" si="45"/>
        <v>-166</v>
      </c>
      <c r="D24" s="198">
        <f t="shared" ref="D24:E24" si="46">D23+20</f>
        <v>-34</v>
      </c>
      <c r="E24" s="198">
        <f t="shared" si="46"/>
        <v>46</v>
      </c>
      <c r="F24" s="198">
        <f t="shared" si="3"/>
        <v>0</v>
      </c>
      <c r="G24" s="198" t="s">
        <v>293</v>
      </c>
      <c r="H24" s="198" t="s">
        <v>8</v>
      </c>
      <c r="I24" s="198" t="s">
        <v>10</v>
      </c>
      <c r="L24" s="198">
        <f t="shared" ref="L24:O24" si="47">SUM(B24-B23)</f>
        <v>-20</v>
      </c>
      <c r="M24" s="198">
        <f t="shared" si="47"/>
        <v>-20</v>
      </c>
      <c r="N24" s="198">
        <f t="shared" si="47"/>
        <v>20</v>
      </c>
      <c r="O24" s="198">
        <f t="shared" si="47"/>
        <v>20</v>
      </c>
      <c r="Q24" s="198">
        <f t="shared" si="9"/>
        <v>0</v>
      </c>
    </row>
    <row r="25" ht="15.75" customHeight="1">
      <c r="A25" s="202">
        <f t="shared" si="5"/>
        <v>23</v>
      </c>
      <c r="B25" s="198">
        <f>B24+48</f>
        <v>202</v>
      </c>
      <c r="C25" s="198">
        <f>C24-48</f>
        <v>-214</v>
      </c>
      <c r="D25" s="198">
        <f>D24+48</f>
        <v>14</v>
      </c>
      <c r="E25" s="198">
        <f>E24-48</f>
        <v>-2</v>
      </c>
      <c r="F25" s="198">
        <f t="shared" si="3"/>
        <v>0</v>
      </c>
      <c r="G25" s="198" t="s">
        <v>357</v>
      </c>
      <c r="H25" s="198" t="s">
        <v>9</v>
      </c>
      <c r="L25" s="198">
        <f t="shared" ref="L25:O25" si="48">SUM(B25-B24)</f>
        <v>48</v>
      </c>
      <c r="M25" s="198">
        <f t="shared" si="48"/>
        <v>-48</v>
      </c>
      <c r="N25" s="198">
        <f t="shared" si="48"/>
        <v>48</v>
      </c>
      <c r="O25" s="198">
        <f t="shared" si="48"/>
        <v>-48</v>
      </c>
      <c r="Q25" s="198">
        <f t="shared" si="9"/>
        <v>0</v>
      </c>
    </row>
    <row r="26" ht="15.75" customHeight="1">
      <c r="A26" s="202">
        <f t="shared" si="5"/>
        <v>24</v>
      </c>
      <c r="B26" s="198">
        <f t="shared" ref="B26:C26" si="49">B25-16</f>
        <v>186</v>
      </c>
      <c r="C26" s="198">
        <f t="shared" si="49"/>
        <v>-230</v>
      </c>
      <c r="D26" s="198">
        <f t="shared" ref="D26:E26" si="50">D25+16</f>
        <v>30</v>
      </c>
      <c r="E26" s="198">
        <f t="shared" si="50"/>
        <v>14</v>
      </c>
      <c r="F26" s="198">
        <f t="shared" si="3"/>
        <v>0</v>
      </c>
      <c r="G26" s="198" t="s">
        <v>357</v>
      </c>
      <c r="H26" s="198" t="s">
        <v>10</v>
      </c>
      <c r="L26" s="198">
        <f t="shared" ref="L26:O26" si="51">SUM(B26-B25)</f>
        <v>-16</v>
      </c>
      <c r="M26" s="198">
        <f t="shared" si="51"/>
        <v>-16</v>
      </c>
      <c r="N26" s="198">
        <f t="shared" si="51"/>
        <v>16</v>
      </c>
      <c r="O26" s="198">
        <f t="shared" si="51"/>
        <v>16</v>
      </c>
      <c r="Q26" s="198">
        <f t="shared" si="9"/>
        <v>0</v>
      </c>
    </row>
    <row r="27" ht="15.75" customHeight="1">
      <c r="A27" s="202">
        <f t="shared" si="5"/>
        <v>25</v>
      </c>
      <c r="B27" s="198">
        <f t="shared" ref="B27:C27" si="52">B26+16</f>
        <v>202</v>
      </c>
      <c r="C27" s="198">
        <f t="shared" si="52"/>
        <v>-214</v>
      </c>
      <c r="D27" s="198">
        <f t="shared" ref="D27:E27" si="53">D26-16</f>
        <v>14</v>
      </c>
      <c r="E27" s="198">
        <f t="shared" si="53"/>
        <v>-2</v>
      </c>
      <c r="F27" s="198">
        <f t="shared" si="3"/>
        <v>0</v>
      </c>
      <c r="G27" s="198" t="s">
        <v>310</v>
      </c>
      <c r="H27" s="198" t="s">
        <v>7</v>
      </c>
      <c r="I27" s="198" t="s">
        <v>7</v>
      </c>
      <c r="J27" s="212" t="s">
        <v>8</v>
      </c>
      <c r="L27" s="198">
        <f t="shared" ref="L27:O27" si="54">SUM(B27-B26)</f>
        <v>16</v>
      </c>
      <c r="M27" s="198">
        <f t="shared" si="54"/>
        <v>16</v>
      </c>
      <c r="N27" s="198">
        <f t="shared" si="54"/>
        <v>-16</v>
      </c>
      <c r="O27" s="198">
        <f t="shared" si="54"/>
        <v>-16</v>
      </c>
      <c r="Q27" s="198">
        <f t="shared" si="9"/>
        <v>0</v>
      </c>
    </row>
    <row r="28" ht="15.75" customHeight="1">
      <c r="A28" s="202">
        <f t="shared" si="5"/>
        <v>26</v>
      </c>
      <c r="B28" s="198">
        <f>B27+24</f>
        <v>226</v>
      </c>
      <c r="C28" s="198">
        <f t="shared" ref="C28:E28" si="55">C27-8</f>
        <v>-222</v>
      </c>
      <c r="D28" s="198">
        <f t="shared" si="55"/>
        <v>6</v>
      </c>
      <c r="E28" s="198">
        <f t="shared" si="55"/>
        <v>-10</v>
      </c>
      <c r="F28" s="198">
        <f t="shared" si="3"/>
        <v>0</v>
      </c>
      <c r="G28" s="198" t="s">
        <v>99</v>
      </c>
      <c r="H28" s="198" t="s">
        <v>8</v>
      </c>
      <c r="I28" s="198" t="s">
        <v>7</v>
      </c>
      <c r="L28" s="198">
        <f t="shared" ref="L28:O28" si="56">SUM(B28-B27)</f>
        <v>24</v>
      </c>
      <c r="M28" s="198">
        <f t="shared" si="56"/>
        <v>-8</v>
      </c>
      <c r="N28" s="198">
        <f t="shared" si="56"/>
        <v>-8</v>
      </c>
      <c r="O28" s="198">
        <f t="shared" si="56"/>
        <v>-8</v>
      </c>
      <c r="Q28" s="198">
        <f t="shared" si="9"/>
        <v>0</v>
      </c>
    </row>
    <row r="29" ht="15.75" customHeight="1">
      <c r="Q29" s="198">
        <f t="shared" si="9"/>
        <v>0</v>
      </c>
    </row>
    <row r="30" ht="15.75" customHeight="1"/>
    <row r="31" ht="15.75" customHeight="1">
      <c r="L31" s="202">
        <f t="shared" ref="L31:O31" si="57">SUM(L3:L29)</f>
        <v>226</v>
      </c>
      <c r="M31" s="202">
        <f t="shared" si="57"/>
        <v>-222</v>
      </c>
      <c r="N31" s="202">
        <f t="shared" si="57"/>
        <v>6</v>
      </c>
      <c r="O31" s="202">
        <f t="shared" si="57"/>
        <v>-10</v>
      </c>
    </row>
    <row r="32"/>
    <row r="33"/>
    <row r="34"/>
    <row r="35"/>
    <row r="36"/>
    <row r="37"/>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9.63"/>
    <col customWidth="1" min="3" max="17" width="7.63"/>
  </cols>
  <sheetData>
    <row r="1">
      <c r="A1" s="213" t="str">
        <f>'00_Regnskab_01'!A15</f>
        <v>12b</v>
      </c>
      <c r="B1" s="214">
        <f>'00_Regnskab_01'!C15</f>
        <v>43882</v>
      </c>
      <c r="C1" s="215"/>
      <c r="D1" s="214" t="str">
        <f>'00_Regnskab_01'!L15</f>
        <v>Peter, Løkken</v>
      </c>
      <c r="E1" s="216"/>
      <c r="F1" s="217"/>
      <c r="G1" s="218"/>
      <c r="H1" s="219"/>
      <c r="I1" s="218"/>
      <c r="J1" s="218"/>
      <c r="K1" s="218"/>
      <c r="L1" s="198"/>
      <c r="M1" s="198"/>
      <c r="N1" s="198"/>
      <c r="O1" s="198"/>
      <c r="Q1" s="198"/>
    </row>
    <row r="2">
      <c r="A2" s="206" t="s">
        <v>59</v>
      </c>
      <c r="B2" s="198" t="s">
        <v>10</v>
      </c>
      <c r="C2" s="198" t="s">
        <v>358</v>
      </c>
      <c r="D2" s="198" t="s">
        <v>9</v>
      </c>
      <c r="E2" s="198" t="s">
        <v>7</v>
      </c>
      <c r="H2" s="198" t="s">
        <v>359</v>
      </c>
      <c r="L2" s="198" t="str">
        <f t="shared" ref="L2:O2" si="1">B2</f>
        <v>Christian</v>
      </c>
      <c r="M2" s="198" t="str">
        <f t="shared" si="1"/>
        <v>Peter </v>
      </c>
      <c r="N2" s="198" t="str">
        <f t="shared" si="1"/>
        <v>Janus</v>
      </c>
      <c r="O2" s="198" t="str">
        <f t="shared" si="1"/>
        <v>Thomas</v>
      </c>
      <c r="Q2" s="198" t="s">
        <v>79</v>
      </c>
    </row>
    <row r="3">
      <c r="A3" s="206">
        <v>1.0</v>
      </c>
      <c r="B3" s="198">
        <v>4.0</v>
      </c>
      <c r="C3" s="198">
        <v>4.0</v>
      </c>
      <c r="D3" s="198">
        <v>-4.0</v>
      </c>
      <c r="E3" s="198">
        <v>-4.0</v>
      </c>
      <c r="F3" s="198">
        <f t="shared" ref="F3:F10" si="3">SUM(B3:E3)</f>
        <v>0</v>
      </c>
      <c r="L3" s="198">
        <f t="shared" ref="L3:O3" si="2">B3</f>
        <v>4</v>
      </c>
      <c r="M3" s="198">
        <f t="shared" si="2"/>
        <v>4</v>
      </c>
      <c r="N3" s="198">
        <f t="shared" si="2"/>
        <v>-4</v>
      </c>
      <c r="O3" s="198">
        <f t="shared" si="2"/>
        <v>-4</v>
      </c>
      <c r="Q3" s="198">
        <f t="shared" ref="Q3:Q13" si="5">SUM(L3:O3)</f>
        <v>0</v>
      </c>
    </row>
    <row r="4">
      <c r="A4" s="198">
        <f t="shared" ref="A4:A10" si="6">A3+1</f>
        <v>2</v>
      </c>
      <c r="B4" s="198">
        <v>0.0</v>
      </c>
      <c r="C4" s="198">
        <v>16.0</v>
      </c>
      <c r="D4" s="198">
        <v>-8.0</v>
      </c>
      <c r="E4" s="198">
        <v>-8.0</v>
      </c>
      <c r="F4" s="198">
        <f t="shared" si="3"/>
        <v>0</v>
      </c>
      <c r="L4" s="198">
        <f t="shared" ref="L4:O4" si="4">SUM(B4-B3)</f>
        <v>-4</v>
      </c>
      <c r="M4" s="198">
        <f t="shared" si="4"/>
        <v>12</v>
      </c>
      <c r="N4" s="198">
        <f t="shared" si="4"/>
        <v>-4</v>
      </c>
      <c r="O4" s="198">
        <f t="shared" si="4"/>
        <v>-4</v>
      </c>
      <c r="Q4" s="198">
        <f t="shared" si="5"/>
        <v>0</v>
      </c>
    </row>
    <row r="5">
      <c r="A5" s="198">
        <f t="shared" si="6"/>
        <v>3</v>
      </c>
      <c r="B5" s="198">
        <v>-16.0</v>
      </c>
      <c r="C5" s="198">
        <v>32.0</v>
      </c>
      <c r="D5" s="198">
        <v>8.0</v>
      </c>
      <c r="E5" s="198">
        <v>-24.0</v>
      </c>
      <c r="F5" s="198">
        <f t="shared" si="3"/>
        <v>0</v>
      </c>
      <c r="L5" s="198">
        <f t="shared" ref="L5:O5" si="7">SUM(B5-B4)</f>
        <v>-16</v>
      </c>
      <c r="M5" s="198">
        <f t="shared" si="7"/>
        <v>16</v>
      </c>
      <c r="N5" s="198">
        <f t="shared" si="7"/>
        <v>16</v>
      </c>
      <c r="O5" s="198">
        <f t="shared" si="7"/>
        <v>-16</v>
      </c>
      <c r="Q5" s="198">
        <f t="shared" si="5"/>
        <v>0</v>
      </c>
    </row>
    <row r="6">
      <c r="A6" s="198">
        <f t="shared" si="6"/>
        <v>4</v>
      </c>
      <c r="B6" s="198">
        <v>-32.0</v>
      </c>
      <c r="C6" s="198">
        <v>16.0</v>
      </c>
      <c r="D6" s="198">
        <v>24.0</v>
      </c>
      <c r="E6" s="198">
        <v>-8.0</v>
      </c>
      <c r="F6" s="198">
        <f t="shared" si="3"/>
        <v>0</v>
      </c>
      <c r="L6" s="198">
        <f t="shared" ref="L6:O6" si="8">SUM(B6-B5)</f>
        <v>-16</v>
      </c>
      <c r="M6" s="198">
        <f t="shared" si="8"/>
        <v>-16</v>
      </c>
      <c r="N6" s="198">
        <f t="shared" si="8"/>
        <v>16</v>
      </c>
      <c r="O6" s="198">
        <f t="shared" si="8"/>
        <v>16</v>
      </c>
      <c r="Q6" s="198">
        <f t="shared" si="5"/>
        <v>0</v>
      </c>
    </row>
    <row r="7">
      <c r="A7" s="198">
        <f t="shared" si="6"/>
        <v>5</v>
      </c>
      <c r="B7" s="198">
        <v>-20.0</v>
      </c>
      <c r="C7" s="198">
        <v>12.0</v>
      </c>
      <c r="D7" s="198">
        <v>20.0</v>
      </c>
      <c r="E7" s="198">
        <v>-12.0</v>
      </c>
      <c r="F7" s="198">
        <f t="shared" si="3"/>
        <v>0</v>
      </c>
      <c r="L7" s="198">
        <f t="shared" ref="L7:O7" si="9">SUM(B7-B6)</f>
        <v>12</v>
      </c>
      <c r="M7" s="198">
        <f t="shared" si="9"/>
        <v>-4</v>
      </c>
      <c r="N7" s="198">
        <f t="shared" si="9"/>
        <v>-4</v>
      </c>
      <c r="O7" s="198">
        <f t="shared" si="9"/>
        <v>-4</v>
      </c>
      <c r="Q7" s="198">
        <f t="shared" si="5"/>
        <v>0</v>
      </c>
    </row>
    <row r="8">
      <c r="A8" s="198">
        <f t="shared" si="6"/>
        <v>6</v>
      </c>
      <c r="B8" s="198">
        <v>-28.0</v>
      </c>
      <c r="C8" s="198">
        <v>4.0</v>
      </c>
      <c r="D8" s="198">
        <v>28.0</v>
      </c>
      <c r="E8" s="198">
        <v>-4.0</v>
      </c>
      <c r="F8" s="198">
        <f t="shared" si="3"/>
        <v>0</v>
      </c>
      <c r="L8" s="198">
        <f t="shared" ref="L8:O8" si="10">SUM(B8-B7)</f>
        <v>-8</v>
      </c>
      <c r="M8" s="198">
        <f t="shared" si="10"/>
        <v>-8</v>
      </c>
      <c r="N8" s="198">
        <f t="shared" si="10"/>
        <v>8</v>
      </c>
      <c r="O8" s="198">
        <f t="shared" si="10"/>
        <v>8</v>
      </c>
      <c r="Q8" s="198">
        <f t="shared" si="5"/>
        <v>0</v>
      </c>
    </row>
    <row r="9">
      <c r="A9" s="198">
        <f t="shared" si="6"/>
        <v>7</v>
      </c>
      <c r="B9" s="198">
        <v>-36.0</v>
      </c>
      <c r="C9" s="198">
        <v>-4.0</v>
      </c>
      <c r="D9" s="198">
        <v>36.0</v>
      </c>
      <c r="E9" s="198">
        <v>4.0</v>
      </c>
      <c r="F9" s="198">
        <f t="shared" si="3"/>
        <v>0</v>
      </c>
      <c r="L9" s="198">
        <f t="shared" ref="L9:O9" si="11">SUM(B9-B8)</f>
        <v>-8</v>
      </c>
      <c r="M9" s="198">
        <f t="shared" si="11"/>
        <v>-8</v>
      </c>
      <c r="N9" s="198">
        <f t="shared" si="11"/>
        <v>8</v>
      </c>
      <c r="O9" s="198">
        <f t="shared" si="11"/>
        <v>8</v>
      </c>
      <c r="Q9" s="198">
        <f t="shared" si="5"/>
        <v>0</v>
      </c>
    </row>
    <row r="10">
      <c r="A10" s="198">
        <f t="shared" si="6"/>
        <v>8</v>
      </c>
      <c r="B10" s="198">
        <v>-40.0</v>
      </c>
      <c r="C10" s="198">
        <v>-8.0</v>
      </c>
      <c r="D10" s="198">
        <v>48.0</v>
      </c>
      <c r="E10" s="198">
        <v>0.0</v>
      </c>
      <c r="F10" s="198">
        <f t="shared" si="3"/>
        <v>0</v>
      </c>
      <c r="L10" s="198">
        <f t="shared" ref="L10:O10" si="12">SUM(B10-B9)</f>
        <v>-4</v>
      </c>
      <c r="M10" s="198">
        <f t="shared" si="12"/>
        <v>-4</v>
      </c>
      <c r="N10" s="198">
        <f t="shared" si="12"/>
        <v>12</v>
      </c>
      <c r="O10" s="198">
        <f t="shared" si="12"/>
        <v>-4</v>
      </c>
      <c r="Q10" s="198">
        <f t="shared" si="5"/>
        <v>0</v>
      </c>
    </row>
    <row r="11">
      <c r="Q11" s="198">
        <f t="shared" si="5"/>
        <v>0</v>
      </c>
    </row>
    <row r="12">
      <c r="L12" s="202">
        <f t="shared" ref="L12:O12" si="13">SUM(L3:L10)</f>
        <v>-40</v>
      </c>
      <c r="M12" s="202">
        <f t="shared" si="13"/>
        <v>-8</v>
      </c>
      <c r="N12" s="202">
        <f t="shared" si="13"/>
        <v>48</v>
      </c>
      <c r="O12" s="202">
        <f t="shared" si="13"/>
        <v>0</v>
      </c>
      <c r="Q12" s="198">
        <f t="shared" si="5"/>
        <v>0</v>
      </c>
    </row>
    <row r="13">
      <c r="Q13" s="198">
        <f t="shared" si="5"/>
        <v>0</v>
      </c>
    </row>
    <row r="14">
      <c r="A14" s="198"/>
      <c r="B14" s="198" t="s">
        <v>9</v>
      </c>
      <c r="C14" s="198" t="s">
        <v>10</v>
      </c>
      <c r="D14" s="198" t="s">
        <v>8</v>
      </c>
      <c r="E14" s="198" t="s">
        <v>7</v>
      </c>
      <c r="G14" s="198" t="s">
        <v>360</v>
      </c>
      <c r="H14" s="198" t="s">
        <v>361</v>
      </c>
      <c r="I14" s="198" t="s">
        <v>82</v>
      </c>
      <c r="J14" s="198" t="s">
        <v>362</v>
      </c>
    </row>
    <row r="15">
      <c r="A15" s="206">
        <v>9.0</v>
      </c>
      <c r="B15" s="198">
        <v>32.0</v>
      </c>
      <c r="C15" s="198">
        <v>32.0</v>
      </c>
      <c r="D15" s="198">
        <v>-32.0</v>
      </c>
      <c r="E15" s="198">
        <v>-32.0</v>
      </c>
      <c r="F15" s="198" t="s">
        <v>357</v>
      </c>
      <c r="G15" s="198">
        <f t="shared" ref="G15:G41" si="15">SUM(B15:E15)</f>
        <v>0</v>
      </c>
      <c r="H15" s="198" t="s">
        <v>7</v>
      </c>
      <c r="I15" s="198" t="s">
        <v>286</v>
      </c>
      <c r="L15" s="198">
        <f t="shared" ref="L15:O15" si="14">B15</f>
        <v>32</v>
      </c>
      <c r="M15" s="198">
        <f t="shared" si="14"/>
        <v>32</v>
      </c>
      <c r="N15" s="198">
        <f t="shared" si="14"/>
        <v>-32</v>
      </c>
      <c r="O15" s="198">
        <f t="shared" si="14"/>
        <v>-32</v>
      </c>
      <c r="Q15" s="198">
        <f t="shared" ref="Q15:Q41" si="17">SUM(L15:O15)</f>
        <v>0</v>
      </c>
    </row>
    <row r="16">
      <c r="A16" s="198">
        <f t="shared" ref="A16:A41" si="18">A15+1</f>
        <v>10</v>
      </c>
      <c r="B16" s="198">
        <v>44.0</v>
      </c>
      <c r="C16" s="198">
        <v>28.0</v>
      </c>
      <c r="D16" s="198">
        <v>-36.0</v>
      </c>
      <c r="E16" s="198">
        <v>-36.0</v>
      </c>
      <c r="F16" s="198" t="s">
        <v>99</v>
      </c>
      <c r="G16" s="198">
        <f t="shared" si="15"/>
        <v>0</v>
      </c>
      <c r="H16" s="198" t="s">
        <v>9</v>
      </c>
      <c r="I16" s="198" t="s">
        <v>363</v>
      </c>
      <c r="L16" s="198">
        <f t="shared" ref="L16:O16" si="16">SUM(B16-B15)</f>
        <v>12</v>
      </c>
      <c r="M16" s="198">
        <f t="shared" si="16"/>
        <v>-4</v>
      </c>
      <c r="N16" s="198">
        <f t="shared" si="16"/>
        <v>-4</v>
      </c>
      <c r="O16" s="198">
        <f t="shared" si="16"/>
        <v>-4</v>
      </c>
      <c r="Q16" s="198">
        <f t="shared" si="17"/>
        <v>0</v>
      </c>
    </row>
    <row r="17">
      <c r="A17" s="198">
        <f t="shared" si="18"/>
        <v>11</v>
      </c>
      <c r="B17" s="198">
        <v>36.0</v>
      </c>
      <c r="C17" s="198">
        <v>36.0</v>
      </c>
      <c r="D17" s="198">
        <v>-44.0</v>
      </c>
      <c r="E17" s="198">
        <v>-28.0</v>
      </c>
      <c r="F17" s="198" t="s">
        <v>345</v>
      </c>
      <c r="G17" s="198">
        <f t="shared" si="15"/>
        <v>0</v>
      </c>
      <c r="H17" s="198" t="s">
        <v>10</v>
      </c>
      <c r="I17" s="198" t="s">
        <v>287</v>
      </c>
      <c r="L17" s="198">
        <f t="shared" ref="L17:O17" si="19">SUM(B17-B16)</f>
        <v>-8</v>
      </c>
      <c r="M17" s="198">
        <f t="shared" si="19"/>
        <v>8</v>
      </c>
      <c r="N17" s="198">
        <f t="shared" si="19"/>
        <v>-8</v>
      </c>
      <c r="O17" s="198">
        <f t="shared" si="19"/>
        <v>8</v>
      </c>
      <c r="Q17" s="198">
        <f t="shared" si="17"/>
        <v>0</v>
      </c>
    </row>
    <row r="18">
      <c r="A18" s="198">
        <f t="shared" si="18"/>
        <v>12</v>
      </c>
      <c r="B18" s="198">
        <v>28.0</v>
      </c>
      <c r="C18" s="198">
        <v>44.0</v>
      </c>
      <c r="D18" s="198">
        <v>-36.0</v>
      </c>
      <c r="E18" s="198">
        <v>-36.0</v>
      </c>
      <c r="F18" s="198" t="s">
        <v>143</v>
      </c>
      <c r="G18" s="198">
        <f t="shared" si="15"/>
        <v>0</v>
      </c>
      <c r="H18" s="198" t="s">
        <v>8</v>
      </c>
      <c r="I18" s="198" t="s">
        <v>364</v>
      </c>
      <c r="L18" s="198">
        <f t="shared" ref="L18:O18" si="20">SUM(B18-B17)</f>
        <v>-8</v>
      </c>
      <c r="M18" s="198">
        <f t="shared" si="20"/>
        <v>8</v>
      </c>
      <c r="N18" s="198">
        <f t="shared" si="20"/>
        <v>8</v>
      </c>
      <c r="O18" s="198">
        <f t="shared" si="20"/>
        <v>-8</v>
      </c>
      <c r="Q18" s="198">
        <f t="shared" si="17"/>
        <v>0</v>
      </c>
    </row>
    <row r="19">
      <c r="A19" s="198">
        <f t="shared" si="18"/>
        <v>13</v>
      </c>
      <c r="B19" s="198">
        <v>36.0</v>
      </c>
      <c r="C19" s="198">
        <v>36.0</v>
      </c>
      <c r="D19" s="198">
        <v>-44.0</v>
      </c>
      <c r="E19" s="198">
        <v>-28.0</v>
      </c>
      <c r="F19" s="198" t="s">
        <v>293</v>
      </c>
      <c r="G19" s="198">
        <f t="shared" si="15"/>
        <v>0</v>
      </c>
      <c r="H19" s="198" t="s">
        <v>7</v>
      </c>
      <c r="I19" s="198" t="s">
        <v>286</v>
      </c>
      <c r="L19" s="198">
        <f t="shared" ref="L19:O19" si="21">SUM(B19-B18)</f>
        <v>8</v>
      </c>
      <c r="M19" s="198">
        <f t="shared" si="21"/>
        <v>-8</v>
      </c>
      <c r="N19" s="198">
        <f t="shared" si="21"/>
        <v>-8</v>
      </c>
      <c r="O19" s="198">
        <f t="shared" si="21"/>
        <v>8</v>
      </c>
      <c r="Q19" s="198">
        <f t="shared" si="17"/>
        <v>0</v>
      </c>
    </row>
    <row r="20">
      <c r="A20" s="198">
        <f t="shared" si="18"/>
        <v>14</v>
      </c>
      <c r="B20" s="198">
        <v>28.0</v>
      </c>
      <c r="C20" s="198">
        <v>44.0</v>
      </c>
      <c r="D20" s="198">
        <v>-36.0</v>
      </c>
      <c r="E20" s="198">
        <v>-36.0</v>
      </c>
      <c r="F20" s="198" t="s">
        <v>345</v>
      </c>
      <c r="G20" s="198">
        <f t="shared" si="15"/>
        <v>0</v>
      </c>
      <c r="H20" s="198" t="s">
        <v>10</v>
      </c>
      <c r="I20" s="198" t="s">
        <v>363</v>
      </c>
      <c r="L20" s="198">
        <f t="shared" ref="L20:O20" si="22">SUM(B20-B19)</f>
        <v>-8</v>
      </c>
      <c r="M20" s="198">
        <f t="shared" si="22"/>
        <v>8</v>
      </c>
      <c r="N20" s="198">
        <f t="shared" si="22"/>
        <v>8</v>
      </c>
      <c r="O20" s="198">
        <f t="shared" si="22"/>
        <v>-8</v>
      </c>
      <c r="Q20" s="198">
        <f t="shared" si="17"/>
        <v>0</v>
      </c>
    </row>
    <row r="21">
      <c r="A21" s="198">
        <f t="shared" si="18"/>
        <v>15</v>
      </c>
      <c r="B21" s="198">
        <v>52.0</v>
      </c>
      <c r="C21" s="198">
        <v>20.0</v>
      </c>
      <c r="D21" s="198">
        <v>-60.0</v>
      </c>
      <c r="E21" s="198">
        <v>-12.0</v>
      </c>
      <c r="F21" s="198" t="s">
        <v>302</v>
      </c>
      <c r="G21" s="198">
        <f t="shared" si="15"/>
        <v>0</v>
      </c>
      <c r="H21" s="198" t="s">
        <v>8</v>
      </c>
      <c r="I21" s="198" t="s">
        <v>287</v>
      </c>
      <c r="L21" s="198">
        <f t="shared" ref="L21:O21" si="23">SUM(B21-B20)</f>
        <v>24</v>
      </c>
      <c r="M21" s="198">
        <f t="shared" si="23"/>
        <v>-24</v>
      </c>
      <c r="N21" s="198">
        <f t="shared" si="23"/>
        <v>-24</v>
      </c>
      <c r="O21" s="198">
        <f t="shared" si="23"/>
        <v>24</v>
      </c>
      <c r="Q21" s="198">
        <f t="shared" si="17"/>
        <v>0</v>
      </c>
    </row>
    <row r="22" ht="15.75" customHeight="1">
      <c r="A22" s="198">
        <f t="shared" si="18"/>
        <v>16</v>
      </c>
      <c r="B22" s="198">
        <v>40.0</v>
      </c>
      <c r="C22" s="198">
        <v>32.0</v>
      </c>
      <c r="D22" s="198">
        <v>-72.0</v>
      </c>
      <c r="E22" s="198">
        <v>0.0</v>
      </c>
      <c r="F22" s="198" t="s">
        <v>293</v>
      </c>
      <c r="G22" s="198">
        <f t="shared" si="15"/>
        <v>0</v>
      </c>
      <c r="H22" s="198" t="s">
        <v>9</v>
      </c>
      <c r="I22" s="198" t="s">
        <v>364</v>
      </c>
      <c r="L22" s="198">
        <f t="shared" ref="L22:O22" si="24">SUM(B22-B21)</f>
        <v>-12</v>
      </c>
      <c r="M22" s="198">
        <f t="shared" si="24"/>
        <v>12</v>
      </c>
      <c r="N22" s="198">
        <f t="shared" si="24"/>
        <v>-12</v>
      </c>
      <c r="O22" s="198">
        <f t="shared" si="24"/>
        <v>12</v>
      </c>
      <c r="Q22" s="198">
        <f t="shared" si="17"/>
        <v>0</v>
      </c>
    </row>
    <row r="23" ht="15.75" customHeight="1">
      <c r="A23" s="198">
        <f t="shared" si="18"/>
        <v>17</v>
      </c>
      <c r="B23" s="198">
        <v>52.0</v>
      </c>
      <c r="C23" s="198">
        <v>44.0</v>
      </c>
      <c r="D23" s="198">
        <v>-60.0</v>
      </c>
      <c r="E23" s="198">
        <v>-36.0</v>
      </c>
      <c r="F23" s="198" t="s">
        <v>365</v>
      </c>
      <c r="G23" s="198">
        <f t="shared" si="15"/>
        <v>0</v>
      </c>
      <c r="H23" s="198" t="s">
        <v>7</v>
      </c>
      <c r="I23" s="198" t="s">
        <v>286</v>
      </c>
      <c r="L23" s="198">
        <f t="shared" ref="L23:O23" si="25">SUM(B23-B22)</f>
        <v>12</v>
      </c>
      <c r="M23" s="198">
        <f t="shared" si="25"/>
        <v>12</v>
      </c>
      <c r="N23" s="198">
        <f t="shared" si="25"/>
        <v>12</v>
      </c>
      <c r="O23" s="198">
        <f t="shared" si="25"/>
        <v>-36</v>
      </c>
      <c r="Q23" s="198">
        <f t="shared" si="17"/>
        <v>0</v>
      </c>
    </row>
    <row r="24" ht="15.75" customHeight="1">
      <c r="A24" s="198">
        <f t="shared" si="18"/>
        <v>18</v>
      </c>
      <c r="B24" s="198">
        <v>60.0</v>
      </c>
      <c r="C24" s="198">
        <v>36.0</v>
      </c>
      <c r="D24" s="198">
        <v>-68.0</v>
      </c>
      <c r="E24" s="198">
        <v>-28.0</v>
      </c>
      <c r="F24" s="198" t="s">
        <v>345</v>
      </c>
      <c r="G24" s="198">
        <f t="shared" si="15"/>
        <v>0</v>
      </c>
      <c r="H24" s="198" t="s">
        <v>7</v>
      </c>
      <c r="I24" s="198" t="s">
        <v>363</v>
      </c>
      <c r="L24" s="198">
        <f t="shared" ref="L24:O24" si="26">SUM(B24-B23)</f>
        <v>8</v>
      </c>
      <c r="M24" s="198">
        <f t="shared" si="26"/>
        <v>-8</v>
      </c>
      <c r="N24" s="198">
        <f t="shared" si="26"/>
        <v>-8</v>
      </c>
      <c r="O24" s="198">
        <f t="shared" si="26"/>
        <v>8</v>
      </c>
      <c r="Q24" s="198">
        <f t="shared" si="17"/>
        <v>0</v>
      </c>
    </row>
    <row r="25" ht="15.75" customHeight="1">
      <c r="A25" s="198">
        <f t="shared" si="18"/>
        <v>19</v>
      </c>
      <c r="B25" s="198">
        <v>52.0</v>
      </c>
      <c r="C25" s="198">
        <v>44.0</v>
      </c>
      <c r="D25" s="198">
        <v>-60.0</v>
      </c>
      <c r="E25" s="198">
        <v>-36.0</v>
      </c>
      <c r="F25" s="198" t="s">
        <v>314</v>
      </c>
      <c r="G25" s="198">
        <f t="shared" si="15"/>
        <v>0</v>
      </c>
      <c r="H25" s="198" t="s">
        <v>10</v>
      </c>
      <c r="I25" s="198" t="s">
        <v>287</v>
      </c>
      <c r="L25" s="198">
        <f t="shared" ref="L25:O25" si="27">SUM(B25-B24)</f>
        <v>-8</v>
      </c>
      <c r="M25" s="198">
        <f t="shared" si="27"/>
        <v>8</v>
      </c>
      <c r="N25" s="198">
        <f t="shared" si="27"/>
        <v>8</v>
      </c>
      <c r="O25" s="198">
        <f t="shared" si="27"/>
        <v>-8</v>
      </c>
      <c r="Q25" s="198">
        <f t="shared" si="17"/>
        <v>0</v>
      </c>
    </row>
    <row r="26" ht="15.75" customHeight="1">
      <c r="A26" s="198">
        <f t="shared" si="18"/>
        <v>20</v>
      </c>
      <c r="B26" s="198">
        <f t="shared" ref="B26:D26" si="28">B25-48</f>
        <v>4</v>
      </c>
      <c r="C26" s="198">
        <f t="shared" si="28"/>
        <v>-4</v>
      </c>
      <c r="D26" s="198">
        <f t="shared" si="28"/>
        <v>-108</v>
      </c>
      <c r="E26" s="198">
        <f>E25+3*48</f>
        <v>108</v>
      </c>
      <c r="F26" s="198" t="s">
        <v>357</v>
      </c>
      <c r="G26" s="198">
        <f t="shared" si="15"/>
        <v>0</v>
      </c>
      <c r="H26" s="198" t="s">
        <v>7</v>
      </c>
      <c r="I26" s="198" t="s">
        <v>364</v>
      </c>
      <c r="L26" s="198">
        <f t="shared" ref="L26:O26" si="29">SUM(B26-B25)</f>
        <v>-48</v>
      </c>
      <c r="M26" s="198">
        <f t="shared" si="29"/>
        <v>-48</v>
      </c>
      <c r="N26" s="198">
        <f t="shared" si="29"/>
        <v>-48</v>
      </c>
      <c r="O26" s="198">
        <f t="shared" si="29"/>
        <v>144</v>
      </c>
      <c r="Q26" s="198">
        <f t="shared" si="17"/>
        <v>0</v>
      </c>
    </row>
    <row r="27" ht="15.75" customHeight="1">
      <c r="A27" s="198">
        <f t="shared" si="18"/>
        <v>21</v>
      </c>
      <c r="B27" s="198">
        <v>8.0</v>
      </c>
      <c r="C27" s="198">
        <v>0.0</v>
      </c>
      <c r="D27" s="198">
        <v>-104.0</v>
      </c>
      <c r="E27" s="198">
        <v>96.0</v>
      </c>
      <c r="F27" s="198" t="s">
        <v>139</v>
      </c>
      <c r="G27" s="198">
        <f t="shared" si="15"/>
        <v>0</v>
      </c>
      <c r="H27" s="198" t="s">
        <v>7</v>
      </c>
      <c r="I27" s="198" t="s">
        <v>286</v>
      </c>
      <c r="L27" s="198">
        <f t="shared" ref="L27:O27" si="30">SUM(B27-B26)</f>
        <v>4</v>
      </c>
      <c r="M27" s="198">
        <f t="shared" si="30"/>
        <v>4</v>
      </c>
      <c r="N27" s="198">
        <f t="shared" si="30"/>
        <v>4</v>
      </c>
      <c r="O27" s="198">
        <f t="shared" si="30"/>
        <v>-12</v>
      </c>
      <c r="Q27" s="198">
        <f t="shared" si="17"/>
        <v>0</v>
      </c>
    </row>
    <row r="28" ht="15.75" customHeight="1">
      <c r="A28" s="198">
        <f t="shared" si="18"/>
        <v>22</v>
      </c>
      <c r="B28" s="198">
        <v>-16.0</v>
      </c>
      <c r="C28" s="198">
        <v>24.0</v>
      </c>
      <c r="D28" s="198">
        <v>-80.0</v>
      </c>
      <c r="E28" s="198">
        <v>72.0</v>
      </c>
      <c r="F28" s="198" t="s">
        <v>308</v>
      </c>
      <c r="G28" s="198">
        <f t="shared" si="15"/>
        <v>0</v>
      </c>
      <c r="H28" s="198" t="s">
        <v>10</v>
      </c>
      <c r="I28" s="198" t="s">
        <v>363</v>
      </c>
      <c r="L28" s="198">
        <f t="shared" ref="L28:O28" si="31">SUM(B28-B27)</f>
        <v>-24</v>
      </c>
      <c r="M28" s="198">
        <f t="shared" si="31"/>
        <v>24</v>
      </c>
      <c r="N28" s="198">
        <f t="shared" si="31"/>
        <v>24</v>
      </c>
      <c r="O28" s="198">
        <f t="shared" si="31"/>
        <v>-24</v>
      </c>
      <c r="Q28" s="198">
        <f t="shared" si="17"/>
        <v>0</v>
      </c>
    </row>
    <row r="29" ht="15.75" customHeight="1">
      <c r="A29" s="198">
        <f t="shared" si="18"/>
        <v>23</v>
      </c>
      <c r="B29" s="198">
        <v>-20.0</v>
      </c>
      <c r="C29" s="198">
        <v>36.0</v>
      </c>
      <c r="D29" s="198">
        <v>-84.0</v>
      </c>
      <c r="E29" s="198">
        <v>68.0</v>
      </c>
      <c r="F29" s="198" t="s">
        <v>139</v>
      </c>
      <c r="G29" s="198">
        <f t="shared" si="15"/>
        <v>0</v>
      </c>
      <c r="I29" s="198" t="s">
        <v>287</v>
      </c>
      <c r="L29" s="198">
        <f t="shared" ref="L29:O29" si="32">SUM(B29-B28)</f>
        <v>-4</v>
      </c>
      <c r="M29" s="198">
        <f t="shared" si="32"/>
        <v>12</v>
      </c>
      <c r="N29" s="198">
        <f t="shared" si="32"/>
        <v>-4</v>
      </c>
      <c r="O29" s="198">
        <f t="shared" si="32"/>
        <v>-4</v>
      </c>
      <c r="Q29" s="198">
        <f t="shared" si="17"/>
        <v>0</v>
      </c>
    </row>
    <row r="30" ht="15.75" customHeight="1">
      <c r="A30" s="198">
        <f t="shared" si="18"/>
        <v>24</v>
      </c>
      <c r="B30" s="198">
        <v>-8.0</v>
      </c>
      <c r="C30" s="198">
        <v>24.0</v>
      </c>
      <c r="D30" s="198">
        <v>-96.0</v>
      </c>
      <c r="E30" s="198">
        <v>80.0</v>
      </c>
      <c r="F30" s="198" t="s">
        <v>293</v>
      </c>
      <c r="G30" s="198">
        <f t="shared" si="15"/>
        <v>0</v>
      </c>
      <c r="I30" s="198" t="s">
        <v>364</v>
      </c>
      <c r="L30" s="198">
        <f t="shared" ref="L30:O30" si="33">SUM(B30-B29)</f>
        <v>12</v>
      </c>
      <c r="M30" s="198">
        <f t="shared" si="33"/>
        <v>-12</v>
      </c>
      <c r="N30" s="198">
        <f t="shared" si="33"/>
        <v>-12</v>
      </c>
      <c r="O30" s="198">
        <f t="shared" si="33"/>
        <v>12</v>
      </c>
      <c r="Q30" s="198">
        <f t="shared" si="17"/>
        <v>0</v>
      </c>
    </row>
    <row r="31" ht="15.75" customHeight="1">
      <c r="A31" s="198">
        <f t="shared" si="18"/>
        <v>25</v>
      </c>
      <c r="B31" s="198">
        <v>-12.0</v>
      </c>
      <c r="C31" s="198">
        <v>36.0</v>
      </c>
      <c r="D31" s="198">
        <v>-100.0</v>
      </c>
      <c r="E31" s="198">
        <v>76.0</v>
      </c>
      <c r="F31" s="198" t="s">
        <v>139</v>
      </c>
      <c r="G31" s="198">
        <f t="shared" si="15"/>
        <v>0</v>
      </c>
      <c r="H31" s="198" t="s">
        <v>10</v>
      </c>
      <c r="I31" s="198" t="s">
        <v>286</v>
      </c>
      <c r="L31" s="198">
        <f t="shared" ref="L31:O31" si="34">SUM(B31-B30)</f>
        <v>-4</v>
      </c>
      <c r="M31" s="198">
        <f t="shared" si="34"/>
        <v>12</v>
      </c>
      <c r="N31" s="198">
        <f t="shared" si="34"/>
        <v>-4</v>
      </c>
      <c r="O31" s="198">
        <f t="shared" si="34"/>
        <v>-4</v>
      </c>
      <c r="Q31" s="198">
        <f t="shared" si="17"/>
        <v>0</v>
      </c>
    </row>
    <row r="32" ht="15.75" customHeight="1">
      <c r="A32" s="198">
        <f t="shared" si="18"/>
        <v>26</v>
      </c>
      <c r="B32" s="198">
        <v>-28.0</v>
      </c>
      <c r="C32" s="198">
        <v>52.0</v>
      </c>
      <c r="D32" s="198">
        <v>-84.0</v>
      </c>
      <c r="E32" s="198">
        <v>60.0</v>
      </c>
      <c r="F32" s="198" t="s">
        <v>366</v>
      </c>
      <c r="G32" s="198">
        <f t="shared" si="15"/>
        <v>0</v>
      </c>
      <c r="H32" s="198" t="s">
        <v>7</v>
      </c>
      <c r="I32" s="198" t="s">
        <v>363</v>
      </c>
      <c r="L32" s="198">
        <f t="shared" ref="L32:O32" si="35">SUM(B32-B31)</f>
        <v>-16</v>
      </c>
      <c r="M32" s="198">
        <f t="shared" si="35"/>
        <v>16</v>
      </c>
      <c r="N32" s="198">
        <f t="shared" si="35"/>
        <v>16</v>
      </c>
      <c r="O32" s="198">
        <f t="shared" si="35"/>
        <v>-16</v>
      </c>
      <c r="Q32" s="198">
        <f t="shared" si="17"/>
        <v>0</v>
      </c>
    </row>
    <row r="33" ht="15.75" customHeight="1">
      <c r="A33" s="198">
        <f t="shared" si="18"/>
        <v>27</v>
      </c>
      <c r="B33" s="198">
        <v>-36.0</v>
      </c>
      <c r="C33" s="198">
        <v>44.0</v>
      </c>
      <c r="D33" s="198">
        <v>-60.0</v>
      </c>
      <c r="E33" s="198">
        <v>52.0</v>
      </c>
      <c r="F33" s="198" t="s">
        <v>140</v>
      </c>
      <c r="G33" s="198">
        <f t="shared" si="15"/>
        <v>0</v>
      </c>
      <c r="H33" s="198" t="s">
        <v>8</v>
      </c>
      <c r="I33" s="198" t="s">
        <v>287</v>
      </c>
      <c r="L33" s="198">
        <f t="shared" ref="L33:O33" si="36">SUM(B33-B32)</f>
        <v>-8</v>
      </c>
      <c r="M33" s="198">
        <f t="shared" si="36"/>
        <v>-8</v>
      </c>
      <c r="N33" s="198">
        <f t="shared" si="36"/>
        <v>24</v>
      </c>
      <c r="O33" s="198">
        <f t="shared" si="36"/>
        <v>-8</v>
      </c>
      <c r="Q33" s="198">
        <f t="shared" si="17"/>
        <v>0</v>
      </c>
    </row>
    <row r="34" ht="15.75" customHeight="1">
      <c r="A34" s="198">
        <f t="shared" si="18"/>
        <v>28</v>
      </c>
      <c r="B34" s="198">
        <v>-48.0</v>
      </c>
      <c r="C34" s="198">
        <v>32.0</v>
      </c>
      <c r="D34" s="198">
        <v>-48.0</v>
      </c>
      <c r="E34" s="198">
        <v>64.0</v>
      </c>
      <c r="F34" s="198" t="s">
        <v>299</v>
      </c>
      <c r="G34" s="198">
        <f t="shared" si="15"/>
        <v>0</v>
      </c>
      <c r="H34" s="198" t="s">
        <v>10</v>
      </c>
      <c r="I34" s="198" t="s">
        <v>364</v>
      </c>
      <c r="L34" s="198">
        <f t="shared" ref="L34:O34" si="37">SUM(B34-B33)</f>
        <v>-12</v>
      </c>
      <c r="M34" s="198">
        <f t="shared" si="37"/>
        <v>-12</v>
      </c>
      <c r="N34" s="198">
        <f t="shared" si="37"/>
        <v>12</v>
      </c>
      <c r="O34" s="198">
        <f t="shared" si="37"/>
        <v>12</v>
      </c>
      <c r="Q34" s="198">
        <f t="shared" si="17"/>
        <v>0</v>
      </c>
    </row>
    <row r="35" ht="15.75" customHeight="1">
      <c r="A35" s="198">
        <f t="shared" si="18"/>
        <v>29</v>
      </c>
      <c r="B35" s="198">
        <v>-56.0</v>
      </c>
      <c r="C35" s="198">
        <v>56.0</v>
      </c>
      <c r="D35" s="198">
        <v>-56.0</v>
      </c>
      <c r="E35" s="198">
        <v>56.0</v>
      </c>
      <c r="F35" s="198" t="s">
        <v>367</v>
      </c>
      <c r="G35" s="198">
        <f t="shared" si="15"/>
        <v>0</v>
      </c>
      <c r="H35" s="198" t="s">
        <v>10</v>
      </c>
      <c r="I35" s="198" t="s">
        <v>286</v>
      </c>
      <c r="L35" s="198">
        <f t="shared" ref="L35:O35" si="38">SUM(B35-B34)</f>
        <v>-8</v>
      </c>
      <c r="M35" s="198">
        <f t="shared" si="38"/>
        <v>24</v>
      </c>
      <c r="N35" s="198">
        <f t="shared" si="38"/>
        <v>-8</v>
      </c>
      <c r="O35" s="198">
        <f t="shared" si="38"/>
        <v>-8</v>
      </c>
      <c r="Q35" s="198">
        <f t="shared" si="17"/>
        <v>0</v>
      </c>
    </row>
    <row r="36" ht="15.75" customHeight="1">
      <c r="A36" s="198">
        <f t="shared" si="18"/>
        <v>30</v>
      </c>
      <c r="B36" s="198">
        <v>-64.0</v>
      </c>
      <c r="C36" s="198">
        <v>48.0</v>
      </c>
      <c r="D36" s="198">
        <v>-32.0</v>
      </c>
      <c r="E36" s="198">
        <v>48.0</v>
      </c>
      <c r="F36" s="198" t="s">
        <v>367</v>
      </c>
      <c r="G36" s="198">
        <f t="shared" si="15"/>
        <v>0</v>
      </c>
      <c r="H36" s="198" t="s">
        <v>8</v>
      </c>
      <c r="I36" s="198" t="s">
        <v>363</v>
      </c>
      <c r="L36" s="198">
        <f t="shared" ref="L36:O36" si="39">SUM(B36-B35)</f>
        <v>-8</v>
      </c>
      <c r="M36" s="198">
        <f t="shared" si="39"/>
        <v>-8</v>
      </c>
      <c r="N36" s="198">
        <f t="shared" si="39"/>
        <v>24</v>
      </c>
      <c r="O36" s="198">
        <f t="shared" si="39"/>
        <v>-8</v>
      </c>
      <c r="Q36" s="198">
        <f t="shared" si="17"/>
        <v>0</v>
      </c>
    </row>
    <row r="37" ht="15.75" customHeight="1">
      <c r="A37" s="198">
        <f t="shared" si="18"/>
        <v>31</v>
      </c>
      <c r="B37" s="198">
        <v>-32.0</v>
      </c>
      <c r="C37" s="198">
        <v>16.0</v>
      </c>
      <c r="D37" s="198">
        <v>-64.0</v>
      </c>
      <c r="E37" s="198">
        <v>80.0</v>
      </c>
      <c r="F37" s="198" t="s">
        <v>308</v>
      </c>
      <c r="G37" s="198">
        <f t="shared" si="15"/>
        <v>0</v>
      </c>
      <c r="H37" s="198" t="s">
        <v>9</v>
      </c>
      <c r="I37" s="198" t="s">
        <v>287</v>
      </c>
      <c r="L37" s="198">
        <f t="shared" ref="L37:O37" si="40">SUM(B37-B36)</f>
        <v>32</v>
      </c>
      <c r="M37" s="198">
        <f t="shared" si="40"/>
        <v>-32</v>
      </c>
      <c r="N37" s="198">
        <f t="shared" si="40"/>
        <v>-32</v>
      </c>
      <c r="O37" s="198">
        <f t="shared" si="40"/>
        <v>32</v>
      </c>
      <c r="Q37" s="198">
        <f t="shared" si="17"/>
        <v>0</v>
      </c>
    </row>
    <row r="38" ht="15.75" customHeight="1">
      <c r="A38" s="198">
        <f t="shared" si="18"/>
        <v>32</v>
      </c>
      <c r="B38" s="198">
        <v>-40.0</v>
      </c>
      <c r="C38" s="198">
        <v>8.0</v>
      </c>
      <c r="D38" s="198">
        <v>-40.0</v>
      </c>
      <c r="E38" s="198">
        <v>72.0</v>
      </c>
      <c r="F38" s="198" t="s">
        <v>140</v>
      </c>
      <c r="G38" s="198">
        <f t="shared" si="15"/>
        <v>0</v>
      </c>
      <c r="H38" s="198" t="s">
        <v>364</v>
      </c>
      <c r="I38" s="198" t="s">
        <v>364</v>
      </c>
      <c r="L38" s="198">
        <f t="shared" ref="L38:O38" si="41">SUM(B38-B37)</f>
        <v>-8</v>
      </c>
      <c r="M38" s="198">
        <f t="shared" si="41"/>
        <v>-8</v>
      </c>
      <c r="N38" s="198">
        <f t="shared" si="41"/>
        <v>24</v>
      </c>
      <c r="O38" s="198">
        <f t="shared" si="41"/>
        <v>-8</v>
      </c>
      <c r="Q38" s="198">
        <f t="shared" si="17"/>
        <v>0</v>
      </c>
    </row>
    <row r="39" ht="15.75" customHeight="1">
      <c r="A39" s="198">
        <f t="shared" si="18"/>
        <v>33</v>
      </c>
      <c r="B39" s="198">
        <v>-28.0</v>
      </c>
      <c r="C39" s="198">
        <v>-4.0</v>
      </c>
      <c r="D39" s="198">
        <v>-52.0</v>
      </c>
      <c r="E39" s="198">
        <v>84.0</v>
      </c>
      <c r="F39" s="198" t="s">
        <v>293</v>
      </c>
      <c r="G39" s="198">
        <f t="shared" si="15"/>
        <v>0</v>
      </c>
      <c r="H39" s="198" t="s">
        <v>9</v>
      </c>
      <c r="I39" s="198" t="s">
        <v>286</v>
      </c>
      <c r="L39" s="198">
        <f t="shared" ref="L39:O39" si="42">SUM(B39-B38)</f>
        <v>12</v>
      </c>
      <c r="M39" s="198">
        <f t="shared" si="42"/>
        <v>-12</v>
      </c>
      <c r="N39" s="198">
        <f t="shared" si="42"/>
        <v>-12</v>
      </c>
      <c r="O39" s="198">
        <f t="shared" si="42"/>
        <v>12</v>
      </c>
      <c r="Q39" s="198">
        <f t="shared" si="17"/>
        <v>0</v>
      </c>
    </row>
    <row r="40" ht="15.75" customHeight="1">
      <c r="A40" s="198">
        <f t="shared" si="18"/>
        <v>34</v>
      </c>
      <c r="B40" s="198">
        <v>-20.0</v>
      </c>
      <c r="C40" s="198">
        <v>4.0</v>
      </c>
      <c r="D40" s="198">
        <v>-76.0</v>
      </c>
      <c r="E40" s="198">
        <v>92.0</v>
      </c>
      <c r="F40" s="198" t="s">
        <v>140</v>
      </c>
      <c r="G40" s="198">
        <f t="shared" si="15"/>
        <v>0</v>
      </c>
      <c r="H40" s="198" t="s">
        <v>8</v>
      </c>
      <c r="I40" s="198" t="s">
        <v>363</v>
      </c>
      <c r="L40" s="198">
        <f t="shared" ref="L40:O40" si="43">SUM(B40-B39)</f>
        <v>8</v>
      </c>
      <c r="M40" s="198">
        <f t="shared" si="43"/>
        <v>8</v>
      </c>
      <c r="N40" s="198">
        <f t="shared" si="43"/>
        <v>-24</v>
      </c>
      <c r="O40" s="198">
        <f t="shared" si="43"/>
        <v>8</v>
      </c>
      <c r="Q40" s="198">
        <f t="shared" si="17"/>
        <v>0</v>
      </c>
    </row>
    <row r="41" ht="15.75" customHeight="1">
      <c r="A41" s="198">
        <f t="shared" si="18"/>
        <v>35</v>
      </c>
      <c r="B41" s="198">
        <v>-32.0</v>
      </c>
      <c r="C41" s="198">
        <v>16.0</v>
      </c>
      <c r="D41" s="198">
        <v>-88.0</v>
      </c>
      <c r="E41" s="198">
        <v>104.0</v>
      </c>
      <c r="F41" s="198" t="s">
        <v>368</v>
      </c>
      <c r="G41" s="198">
        <f t="shared" si="15"/>
        <v>0</v>
      </c>
      <c r="H41" s="198" t="s">
        <v>7</v>
      </c>
      <c r="I41" s="198" t="s">
        <v>287</v>
      </c>
      <c r="L41" s="198">
        <f t="shared" ref="L41:O41" si="44">SUM(B41-B40)</f>
        <v>-12</v>
      </c>
      <c r="M41" s="198">
        <f t="shared" si="44"/>
        <v>12</v>
      </c>
      <c r="N41" s="198">
        <f t="shared" si="44"/>
        <v>-12</v>
      </c>
      <c r="O41" s="198">
        <f t="shared" si="44"/>
        <v>12</v>
      </c>
      <c r="Q41" s="198">
        <f t="shared" si="17"/>
        <v>0</v>
      </c>
    </row>
    <row r="42" ht="15.75" customHeight="1">
      <c r="I42" s="198" t="s">
        <v>364</v>
      </c>
    </row>
    <row r="43" ht="15.75" customHeight="1">
      <c r="L43" s="202">
        <f t="shared" ref="L43:O43" si="45">SUM(L15:L41)</f>
        <v>-32</v>
      </c>
      <c r="M43" s="202">
        <f t="shared" si="45"/>
        <v>16</v>
      </c>
      <c r="N43" s="202">
        <f t="shared" si="45"/>
        <v>-88</v>
      </c>
      <c r="O43" s="202">
        <f t="shared" si="45"/>
        <v>104</v>
      </c>
    </row>
    <row r="44" ht="15.75" customHeight="1"/>
    <row r="45"/>
    <row r="46"/>
    <row r="47"/>
    <row r="48"/>
    <row r="49"/>
    <row r="50"/>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9" width="7.63"/>
  </cols>
  <sheetData>
    <row r="1">
      <c r="A1" s="220">
        <f>'00_Regnskab_01'!A16</f>
        <v>13</v>
      </c>
      <c r="B1" s="221">
        <f>'00_Regnskab_01'!C16</f>
        <v>43883</v>
      </c>
      <c r="C1" s="215"/>
      <c r="D1" s="214" t="str">
        <f>'00_Regnskab_01'!L16</f>
        <v>Peter, Løkken</v>
      </c>
      <c r="E1" s="219"/>
      <c r="F1" s="222"/>
      <c r="G1" s="219"/>
      <c r="H1" s="219"/>
      <c r="I1" s="219"/>
      <c r="J1" s="218"/>
      <c r="K1" s="218"/>
      <c r="N1" s="198"/>
      <c r="O1" s="198"/>
      <c r="P1" s="198"/>
      <c r="Q1" s="198"/>
      <c r="S1" s="198"/>
    </row>
    <row r="2">
      <c r="A2" s="206" t="s">
        <v>59</v>
      </c>
      <c r="B2" s="198" t="s">
        <v>9</v>
      </c>
      <c r="C2" s="198" t="s">
        <v>10</v>
      </c>
      <c r="D2" s="198" t="s">
        <v>8</v>
      </c>
      <c r="E2" s="198" t="s">
        <v>7</v>
      </c>
      <c r="F2" s="198" t="s">
        <v>360</v>
      </c>
      <c r="G2" s="198" t="s">
        <v>64</v>
      </c>
      <c r="H2" s="198" t="s">
        <v>361</v>
      </c>
      <c r="I2" s="198" t="s">
        <v>82</v>
      </c>
      <c r="N2" s="198" t="str">
        <f t="shared" ref="N2:Q2" si="1">B2</f>
        <v>Janus</v>
      </c>
      <c r="O2" s="198" t="str">
        <f t="shared" si="1"/>
        <v>Christian</v>
      </c>
      <c r="P2" s="198" t="str">
        <f t="shared" si="1"/>
        <v>Peter</v>
      </c>
      <c r="Q2" s="198" t="str">
        <f t="shared" si="1"/>
        <v>Thomas</v>
      </c>
      <c r="S2" s="198" t="s">
        <v>79</v>
      </c>
    </row>
    <row r="3">
      <c r="A3" s="206">
        <v>1.0</v>
      </c>
      <c r="B3" s="198">
        <v>0.0</v>
      </c>
      <c r="C3" s="198">
        <v>16.0</v>
      </c>
      <c r="D3" s="198">
        <v>-16.0</v>
      </c>
      <c r="E3" s="198">
        <v>0.0</v>
      </c>
      <c r="F3" s="198">
        <f t="shared" ref="F3:F33" si="3">SUM(B3:E3)</f>
        <v>0</v>
      </c>
      <c r="G3" s="198" t="s">
        <v>99</v>
      </c>
      <c r="H3" s="198" t="s">
        <v>369</v>
      </c>
      <c r="I3" s="198" t="s">
        <v>7</v>
      </c>
      <c r="N3" s="198">
        <f t="shared" ref="N3:Q3" si="2">B3</f>
        <v>0</v>
      </c>
      <c r="O3" s="198">
        <f t="shared" si="2"/>
        <v>16</v>
      </c>
      <c r="P3" s="198">
        <f t="shared" si="2"/>
        <v>-16</v>
      </c>
      <c r="Q3" s="198">
        <f t="shared" si="2"/>
        <v>0</v>
      </c>
    </row>
    <row r="4">
      <c r="A4" s="198">
        <f t="shared" ref="A4:A33" si="5">A3+1</f>
        <v>2</v>
      </c>
      <c r="B4" s="198">
        <v>-8.0</v>
      </c>
      <c r="C4" s="198">
        <v>8.0</v>
      </c>
      <c r="D4" s="198">
        <v>-8.0</v>
      </c>
      <c r="E4" s="198">
        <v>8.0</v>
      </c>
      <c r="F4" s="198">
        <f t="shared" si="3"/>
        <v>0</v>
      </c>
      <c r="G4" s="198" t="s">
        <v>306</v>
      </c>
      <c r="H4" s="198" t="s">
        <v>7</v>
      </c>
      <c r="I4" s="198" t="s">
        <v>9</v>
      </c>
      <c r="N4" s="198">
        <f t="shared" ref="N4:Q4" si="4">SUM(B4-B3)</f>
        <v>-8</v>
      </c>
      <c r="O4" s="198">
        <f t="shared" si="4"/>
        <v>-8</v>
      </c>
      <c r="P4" s="198">
        <f t="shared" si="4"/>
        <v>8</v>
      </c>
      <c r="Q4" s="198">
        <f t="shared" si="4"/>
        <v>8</v>
      </c>
      <c r="S4" s="198">
        <f t="shared" ref="S4:S33" si="7">SUM(N4:Q4)</f>
        <v>0</v>
      </c>
    </row>
    <row r="5">
      <c r="A5" s="198">
        <f t="shared" si="5"/>
        <v>3</v>
      </c>
      <c r="B5" s="198">
        <v>4.0</v>
      </c>
      <c r="C5" s="198">
        <v>4.0</v>
      </c>
      <c r="D5" s="198">
        <v>-12.0</v>
      </c>
      <c r="E5" s="198">
        <v>4.0</v>
      </c>
      <c r="F5" s="198">
        <f t="shared" si="3"/>
        <v>0</v>
      </c>
      <c r="G5" s="198" t="s">
        <v>99</v>
      </c>
      <c r="H5" s="198" t="s">
        <v>9</v>
      </c>
      <c r="I5" s="198" t="s">
        <v>8</v>
      </c>
      <c r="N5" s="198">
        <f t="shared" ref="N5:Q5" si="6">SUM(B5-B4)</f>
        <v>12</v>
      </c>
      <c r="O5" s="198">
        <f t="shared" si="6"/>
        <v>-4</v>
      </c>
      <c r="P5" s="198">
        <f t="shared" si="6"/>
        <v>-4</v>
      </c>
      <c r="Q5" s="198">
        <f t="shared" si="6"/>
        <v>-4</v>
      </c>
      <c r="S5" s="198">
        <f t="shared" si="7"/>
        <v>0</v>
      </c>
    </row>
    <row r="6">
      <c r="A6" s="198">
        <f t="shared" si="5"/>
        <v>4</v>
      </c>
      <c r="B6" s="198">
        <v>-4.0</v>
      </c>
      <c r="C6" s="198">
        <v>-4.0</v>
      </c>
      <c r="D6" s="198">
        <v>-4.0</v>
      </c>
      <c r="E6" s="198">
        <v>12.0</v>
      </c>
      <c r="F6" s="198">
        <f t="shared" si="3"/>
        <v>0</v>
      </c>
      <c r="G6" s="198" t="s">
        <v>314</v>
      </c>
      <c r="H6" s="198" t="s">
        <v>10</v>
      </c>
      <c r="I6" s="198" t="s">
        <v>10</v>
      </c>
      <c r="N6" s="198">
        <f t="shared" ref="N6:Q6" si="8">SUM(B6-B5)</f>
        <v>-8</v>
      </c>
      <c r="O6" s="198">
        <f t="shared" si="8"/>
        <v>-8</v>
      </c>
      <c r="P6" s="198">
        <f t="shared" si="8"/>
        <v>8</v>
      </c>
      <c r="Q6" s="198">
        <f t="shared" si="8"/>
        <v>8</v>
      </c>
      <c r="S6" s="198">
        <f t="shared" si="7"/>
        <v>0</v>
      </c>
    </row>
    <row r="7">
      <c r="A7" s="198">
        <f t="shared" si="5"/>
        <v>5</v>
      </c>
      <c r="B7" s="198">
        <v>-16.0</v>
      </c>
      <c r="C7" s="198">
        <v>-16.0</v>
      </c>
      <c r="D7" s="198">
        <v>32.0</v>
      </c>
      <c r="E7" s="198">
        <v>0.0</v>
      </c>
      <c r="F7" s="198">
        <f t="shared" si="3"/>
        <v>0</v>
      </c>
      <c r="G7" s="198" t="s">
        <v>350</v>
      </c>
      <c r="H7" s="198" t="s">
        <v>8</v>
      </c>
      <c r="I7" s="198" t="s">
        <v>7</v>
      </c>
      <c r="N7" s="198">
        <f t="shared" ref="N7:Q7" si="9">SUM(B7-B6)</f>
        <v>-12</v>
      </c>
      <c r="O7" s="198">
        <f t="shared" si="9"/>
        <v>-12</v>
      </c>
      <c r="P7" s="198">
        <f t="shared" si="9"/>
        <v>36</v>
      </c>
      <c r="Q7" s="198">
        <f t="shared" si="9"/>
        <v>-12</v>
      </c>
      <c r="S7" s="198">
        <f t="shared" si="7"/>
        <v>0</v>
      </c>
    </row>
    <row r="8">
      <c r="A8" s="198">
        <f t="shared" si="5"/>
        <v>6</v>
      </c>
      <c r="B8" s="198">
        <v>-36.0</v>
      </c>
      <c r="C8" s="198">
        <v>4.0</v>
      </c>
      <c r="D8" s="198">
        <v>12.0</v>
      </c>
      <c r="E8" s="198">
        <v>20.0</v>
      </c>
      <c r="F8" s="198">
        <f t="shared" si="3"/>
        <v>0</v>
      </c>
      <c r="G8" s="198" t="s">
        <v>354</v>
      </c>
      <c r="H8" s="198" t="s">
        <v>7</v>
      </c>
      <c r="I8" s="198" t="s">
        <v>9</v>
      </c>
      <c r="N8" s="198">
        <f t="shared" ref="N8:Q8" si="10">SUM(B8-B7)</f>
        <v>-20</v>
      </c>
      <c r="O8" s="198">
        <f t="shared" si="10"/>
        <v>20</v>
      </c>
      <c r="P8" s="198">
        <f t="shared" si="10"/>
        <v>-20</v>
      </c>
      <c r="Q8" s="198">
        <f t="shared" si="10"/>
        <v>20</v>
      </c>
      <c r="S8" s="198">
        <f t="shared" si="7"/>
        <v>0</v>
      </c>
    </row>
    <row r="9">
      <c r="A9" s="198">
        <f t="shared" si="5"/>
        <v>7</v>
      </c>
      <c r="B9" s="198">
        <v>-44.0</v>
      </c>
      <c r="C9" s="198">
        <v>12.0</v>
      </c>
      <c r="D9" s="198">
        <v>4.0</v>
      </c>
      <c r="E9" s="198">
        <v>28.0</v>
      </c>
      <c r="F9" s="198">
        <f t="shared" si="3"/>
        <v>0</v>
      </c>
      <c r="G9" s="198" t="s">
        <v>299</v>
      </c>
      <c r="H9" s="198" t="s">
        <v>10</v>
      </c>
      <c r="I9" s="198" t="s">
        <v>8</v>
      </c>
      <c r="N9" s="198">
        <f t="shared" ref="N9:Q9" si="11">SUM(B9-B8)</f>
        <v>-8</v>
      </c>
      <c r="O9" s="198">
        <f t="shared" si="11"/>
        <v>8</v>
      </c>
      <c r="P9" s="198">
        <f t="shared" si="11"/>
        <v>-8</v>
      </c>
      <c r="Q9" s="198">
        <f t="shared" si="11"/>
        <v>8</v>
      </c>
      <c r="S9" s="198">
        <f t="shared" si="7"/>
        <v>0</v>
      </c>
    </row>
    <row r="10">
      <c r="A10" s="198">
        <f t="shared" si="5"/>
        <v>8</v>
      </c>
      <c r="B10" s="198">
        <v>-60.0</v>
      </c>
      <c r="C10" s="198">
        <v>28.0</v>
      </c>
      <c r="D10" s="198">
        <v>-12.0</v>
      </c>
      <c r="E10" s="198">
        <v>44.0</v>
      </c>
      <c r="F10" s="198">
        <f t="shared" si="3"/>
        <v>0</v>
      </c>
      <c r="G10" s="198" t="s">
        <v>293</v>
      </c>
      <c r="H10" s="198" t="s">
        <v>7</v>
      </c>
      <c r="I10" s="198" t="s">
        <v>10</v>
      </c>
      <c r="N10" s="198">
        <f t="shared" ref="N10:Q10" si="12">SUM(B10-B9)</f>
        <v>-16</v>
      </c>
      <c r="O10" s="198">
        <f t="shared" si="12"/>
        <v>16</v>
      </c>
      <c r="P10" s="198">
        <f t="shared" si="12"/>
        <v>-16</v>
      </c>
      <c r="Q10" s="198">
        <f t="shared" si="12"/>
        <v>16</v>
      </c>
      <c r="S10" s="198">
        <f t="shared" si="7"/>
        <v>0</v>
      </c>
    </row>
    <row r="11">
      <c r="A11" s="198">
        <f t="shared" si="5"/>
        <v>9</v>
      </c>
      <c r="B11" s="198">
        <v>4.0</v>
      </c>
      <c r="C11" s="198">
        <f>C10-64</f>
        <v>-36</v>
      </c>
      <c r="D11" s="198">
        <f>D10+64</f>
        <v>52</v>
      </c>
      <c r="E11" s="198">
        <f>E10-64</f>
        <v>-20</v>
      </c>
      <c r="F11" s="198">
        <f t="shared" si="3"/>
        <v>0</v>
      </c>
      <c r="G11" s="198" t="s">
        <v>370</v>
      </c>
      <c r="H11" s="198" t="s">
        <v>7</v>
      </c>
      <c r="I11" s="198" t="s">
        <v>7</v>
      </c>
      <c r="N11" s="198">
        <f t="shared" ref="N11:Q11" si="13">SUM(B11-B10)</f>
        <v>64</v>
      </c>
      <c r="O11" s="198">
        <f t="shared" si="13"/>
        <v>-64</v>
      </c>
      <c r="P11" s="198">
        <f t="shared" si="13"/>
        <v>64</v>
      </c>
      <c r="Q11" s="198">
        <f t="shared" si="13"/>
        <v>-64</v>
      </c>
      <c r="S11" s="198">
        <f t="shared" si="7"/>
        <v>0</v>
      </c>
    </row>
    <row r="12">
      <c r="A12" s="198">
        <f t="shared" si="5"/>
        <v>10</v>
      </c>
      <c r="B12" s="198">
        <v>12.0</v>
      </c>
      <c r="C12" s="198">
        <v>-28.0</v>
      </c>
      <c r="D12" s="198">
        <f>D11-24</f>
        <v>28</v>
      </c>
      <c r="E12" s="198">
        <v>-12.0</v>
      </c>
      <c r="F12" s="198">
        <f t="shared" si="3"/>
        <v>0</v>
      </c>
      <c r="G12" s="198" t="s">
        <v>97</v>
      </c>
      <c r="H12" s="198" t="s">
        <v>8</v>
      </c>
      <c r="I12" s="198" t="s">
        <v>9</v>
      </c>
      <c r="N12" s="198">
        <f t="shared" ref="N12:Q12" si="14">SUM(B12-B11)</f>
        <v>8</v>
      </c>
      <c r="O12" s="198">
        <f t="shared" si="14"/>
        <v>8</v>
      </c>
      <c r="P12" s="198">
        <f t="shared" si="14"/>
        <v>-24</v>
      </c>
      <c r="Q12" s="198">
        <f t="shared" si="14"/>
        <v>8</v>
      </c>
      <c r="S12" s="198">
        <f t="shared" si="7"/>
        <v>0</v>
      </c>
    </row>
    <row r="13">
      <c r="A13" s="198">
        <f t="shared" si="5"/>
        <v>11</v>
      </c>
      <c r="B13" s="198">
        <v>16.0</v>
      </c>
      <c r="C13" s="198">
        <v>-32.0</v>
      </c>
      <c r="D13" s="198">
        <v>32.0</v>
      </c>
      <c r="E13" s="198">
        <v>-16.0</v>
      </c>
      <c r="F13" s="198">
        <f t="shared" si="3"/>
        <v>0</v>
      </c>
      <c r="G13" s="198" t="s">
        <v>342</v>
      </c>
      <c r="H13" s="198" t="s">
        <v>7</v>
      </c>
      <c r="I13" s="198" t="s">
        <v>8</v>
      </c>
      <c r="N13" s="198">
        <f t="shared" ref="N13:Q13" si="15">SUM(B13-B12)</f>
        <v>4</v>
      </c>
      <c r="O13" s="198">
        <f t="shared" si="15"/>
        <v>-4</v>
      </c>
      <c r="P13" s="198">
        <f t="shared" si="15"/>
        <v>4</v>
      </c>
      <c r="Q13" s="198">
        <f t="shared" si="15"/>
        <v>-4</v>
      </c>
      <c r="S13" s="198">
        <f t="shared" si="7"/>
        <v>0</v>
      </c>
    </row>
    <row r="14">
      <c r="A14" s="198">
        <f t="shared" si="5"/>
        <v>12</v>
      </c>
      <c r="B14" s="198">
        <f>24</f>
        <v>24</v>
      </c>
      <c r="C14" s="198">
        <v>-24.0</v>
      </c>
      <c r="D14" s="198">
        <v>8.0</v>
      </c>
      <c r="E14" s="198">
        <v>-8.0</v>
      </c>
      <c r="F14" s="198">
        <f t="shared" si="3"/>
        <v>0</v>
      </c>
      <c r="G14" s="198" t="s">
        <v>140</v>
      </c>
      <c r="H14" s="198" t="s">
        <v>8</v>
      </c>
      <c r="I14" s="198" t="s">
        <v>10</v>
      </c>
      <c r="N14" s="198">
        <f t="shared" ref="N14:Q14" si="16">SUM(B14-B13)</f>
        <v>8</v>
      </c>
      <c r="O14" s="198">
        <f t="shared" si="16"/>
        <v>8</v>
      </c>
      <c r="P14" s="198">
        <f t="shared" si="16"/>
        <v>-24</v>
      </c>
      <c r="Q14" s="198">
        <f t="shared" si="16"/>
        <v>8</v>
      </c>
      <c r="S14" s="198">
        <f t="shared" si="7"/>
        <v>0</v>
      </c>
    </row>
    <row r="15">
      <c r="A15" s="198">
        <f t="shared" si="5"/>
        <v>13</v>
      </c>
      <c r="B15" s="198">
        <v>32.0</v>
      </c>
      <c r="C15" s="198">
        <v>-16.0</v>
      </c>
      <c r="D15" s="198">
        <v>-16.0</v>
      </c>
      <c r="E15" s="198">
        <v>0.0</v>
      </c>
      <c r="F15" s="198">
        <f t="shared" si="3"/>
        <v>0</v>
      </c>
      <c r="G15" s="198" t="s">
        <v>97</v>
      </c>
      <c r="H15" s="198" t="s">
        <v>8</v>
      </c>
      <c r="I15" s="198" t="s">
        <v>7</v>
      </c>
      <c r="N15" s="198">
        <f t="shared" ref="N15:Q15" si="17">SUM(B15-B14)</f>
        <v>8</v>
      </c>
      <c r="O15" s="198">
        <f t="shared" si="17"/>
        <v>8</v>
      </c>
      <c r="P15" s="198">
        <f t="shared" si="17"/>
        <v>-24</v>
      </c>
      <c r="Q15" s="198">
        <f t="shared" si="17"/>
        <v>8</v>
      </c>
      <c r="S15" s="198">
        <f t="shared" si="7"/>
        <v>0</v>
      </c>
    </row>
    <row r="16">
      <c r="A16" s="198">
        <f t="shared" si="5"/>
        <v>14</v>
      </c>
      <c r="B16" s="198">
        <v>48.0</v>
      </c>
      <c r="C16" s="198">
        <v>-32.0</v>
      </c>
      <c r="D16" s="198">
        <v>-32.0</v>
      </c>
      <c r="E16" s="198">
        <v>16.0</v>
      </c>
      <c r="F16" s="198">
        <f t="shared" si="3"/>
        <v>0</v>
      </c>
      <c r="G16" s="198" t="s">
        <v>371</v>
      </c>
      <c r="H16" s="198" t="s">
        <v>7</v>
      </c>
      <c r="I16" s="198" t="s">
        <v>9</v>
      </c>
      <c r="N16" s="198">
        <f t="shared" ref="N16:Q16" si="18">SUM(B16-B15)</f>
        <v>16</v>
      </c>
      <c r="O16" s="198">
        <f t="shared" si="18"/>
        <v>-16</v>
      </c>
      <c r="P16" s="198">
        <f t="shared" si="18"/>
        <v>-16</v>
      </c>
      <c r="Q16" s="198">
        <f t="shared" si="18"/>
        <v>16</v>
      </c>
      <c r="S16" s="198">
        <f t="shared" si="7"/>
        <v>0</v>
      </c>
    </row>
    <row r="17">
      <c r="A17" s="198">
        <f t="shared" si="5"/>
        <v>15</v>
      </c>
      <c r="B17" s="198">
        <f>B16-16</f>
        <v>32</v>
      </c>
      <c r="C17" s="198">
        <f>C16+16</f>
        <v>-16</v>
      </c>
      <c r="D17" s="198">
        <f>D16-16</f>
        <v>-48</v>
      </c>
      <c r="E17" s="198">
        <f>E16+16</f>
        <v>32</v>
      </c>
      <c r="F17" s="198">
        <f t="shared" si="3"/>
        <v>0</v>
      </c>
      <c r="G17" s="198" t="s">
        <v>299</v>
      </c>
      <c r="H17" s="198" t="s">
        <v>7</v>
      </c>
      <c r="I17" s="198" t="s">
        <v>8</v>
      </c>
      <c r="N17" s="198">
        <f t="shared" ref="N17:Q17" si="19">SUM(B17-B16)</f>
        <v>-16</v>
      </c>
      <c r="O17" s="198">
        <f t="shared" si="19"/>
        <v>16</v>
      </c>
      <c r="P17" s="198">
        <f t="shared" si="19"/>
        <v>-16</v>
      </c>
      <c r="Q17" s="198">
        <f t="shared" si="19"/>
        <v>16</v>
      </c>
      <c r="S17" s="198">
        <f t="shared" si="7"/>
        <v>0</v>
      </c>
    </row>
    <row r="18">
      <c r="A18" s="198">
        <f t="shared" si="5"/>
        <v>16</v>
      </c>
      <c r="B18" s="198">
        <v>40.0</v>
      </c>
      <c r="C18" s="198">
        <v>-24.0</v>
      </c>
      <c r="D18" s="198">
        <v>-56.0</v>
      </c>
      <c r="E18" s="198">
        <v>40.0</v>
      </c>
      <c r="F18" s="198">
        <f t="shared" si="3"/>
        <v>0</v>
      </c>
      <c r="G18" s="198" t="s">
        <v>319</v>
      </c>
      <c r="H18" s="198" t="s">
        <v>372</v>
      </c>
      <c r="I18" s="198" t="s">
        <v>10</v>
      </c>
      <c r="N18" s="198">
        <f t="shared" ref="N18:Q18" si="20">SUM(B18-B17)</f>
        <v>8</v>
      </c>
      <c r="O18" s="198">
        <f t="shared" si="20"/>
        <v>-8</v>
      </c>
      <c r="P18" s="198">
        <f t="shared" si="20"/>
        <v>-8</v>
      </c>
      <c r="Q18" s="198">
        <f t="shared" si="20"/>
        <v>8</v>
      </c>
      <c r="S18" s="198">
        <f t="shared" si="7"/>
        <v>0</v>
      </c>
    </row>
    <row r="19">
      <c r="A19" s="198">
        <f t="shared" si="5"/>
        <v>17</v>
      </c>
      <c r="B19" s="198">
        <v>60.0</v>
      </c>
      <c r="C19" s="198">
        <v>-4.0</v>
      </c>
      <c r="D19" s="198">
        <f>D18-60</f>
        <v>-116</v>
      </c>
      <c r="E19" s="198">
        <v>60.0</v>
      </c>
      <c r="F19" s="198">
        <f t="shared" si="3"/>
        <v>0</v>
      </c>
      <c r="G19" s="198" t="s">
        <v>293</v>
      </c>
      <c r="H19" s="198" t="s">
        <v>8</v>
      </c>
      <c r="I19" s="198" t="s">
        <v>7</v>
      </c>
      <c r="N19" s="198">
        <f t="shared" ref="N19:Q19" si="21">SUM(B19-B18)</f>
        <v>20</v>
      </c>
      <c r="O19" s="198">
        <f t="shared" si="21"/>
        <v>20</v>
      </c>
      <c r="P19" s="198">
        <f t="shared" si="21"/>
        <v>-60</v>
      </c>
      <c r="Q19" s="198">
        <f t="shared" si="21"/>
        <v>20</v>
      </c>
      <c r="S19" s="198">
        <f t="shared" si="7"/>
        <v>0</v>
      </c>
    </row>
    <row r="20">
      <c r="A20" s="198">
        <f t="shared" si="5"/>
        <v>18</v>
      </c>
      <c r="B20" s="198">
        <f t="shared" ref="B20:C20" si="22">B19-36</f>
        <v>24</v>
      </c>
      <c r="C20" s="198">
        <f t="shared" si="22"/>
        <v>-40</v>
      </c>
      <c r="D20" s="198">
        <f>D19+36</f>
        <v>-80</v>
      </c>
      <c r="E20" s="198">
        <v>96.0</v>
      </c>
      <c r="F20" s="198">
        <f t="shared" si="3"/>
        <v>0</v>
      </c>
      <c r="G20" s="198" t="s">
        <v>314</v>
      </c>
      <c r="H20" s="198" t="s">
        <v>7</v>
      </c>
      <c r="I20" s="198" t="s">
        <v>9</v>
      </c>
      <c r="J20" s="212" t="s">
        <v>373</v>
      </c>
      <c r="N20" s="198">
        <f t="shared" ref="N20:Q20" si="23">SUM(B20-B19)</f>
        <v>-36</v>
      </c>
      <c r="O20" s="198">
        <f t="shared" si="23"/>
        <v>-36</v>
      </c>
      <c r="P20" s="198">
        <f t="shared" si="23"/>
        <v>36</v>
      </c>
      <c r="Q20" s="198">
        <f t="shared" si="23"/>
        <v>36</v>
      </c>
      <c r="S20" s="198">
        <f t="shared" si="7"/>
        <v>0</v>
      </c>
    </row>
    <row r="21">
      <c r="A21" s="198">
        <f t="shared" si="5"/>
        <v>19</v>
      </c>
      <c r="B21" s="198">
        <v>20.0</v>
      </c>
      <c r="C21" s="198">
        <v>-28.0</v>
      </c>
      <c r="D21" s="198">
        <v>-84.0</v>
      </c>
      <c r="E21" s="198">
        <v>92.0</v>
      </c>
      <c r="F21" s="198">
        <f t="shared" si="3"/>
        <v>0</v>
      </c>
      <c r="G21" s="198" t="s">
        <v>99</v>
      </c>
      <c r="H21" s="198" t="s">
        <v>10</v>
      </c>
      <c r="I21" s="198" t="s">
        <v>8</v>
      </c>
      <c r="N21" s="198">
        <f t="shared" ref="N21:Q21" si="24">SUM(B21-B20)</f>
        <v>-4</v>
      </c>
      <c r="O21" s="198">
        <f t="shared" si="24"/>
        <v>12</v>
      </c>
      <c r="P21" s="198">
        <f t="shared" si="24"/>
        <v>-4</v>
      </c>
      <c r="Q21" s="198">
        <f t="shared" si="24"/>
        <v>-4</v>
      </c>
      <c r="S21" s="198">
        <f t="shared" si="7"/>
        <v>0</v>
      </c>
    </row>
    <row r="22" ht="15.75" customHeight="1">
      <c r="A22" s="198">
        <f t="shared" si="5"/>
        <v>20</v>
      </c>
      <c r="B22" s="198">
        <f>B21+32</f>
        <v>52</v>
      </c>
      <c r="C22" s="198">
        <f>C21-32</f>
        <v>-60</v>
      </c>
      <c r="D22" s="198">
        <f>D21+32</f>
        <v>-52</v>
      </c>
      <c r="E22" s="198">
        <f>E21-32</f>
        <v>60</v>
      </c>
      <c r="F22" s="198">
        <f t="shared" si="3"/>
        <v>0</v>
      </c>
      <c r="G22" s="198" t="s">
        <v>374</v>
      </c>
      <c r="H22" s="198" t="s">
        <v>7</v>
      </c>
      <c r="I22" s="198" t="s">
        <v>10</v>
      </c>
      <c r="N22" s="198">
        <f t="shared" ref="N22:Q22" si="25">SUM(B22-B21)</f>
        <v>32</v>
      </c>
      <c r="O22" s="198">
        <f t="shared" si="25"/>
        <v>-32</v>
      </c>
      <c r="P22" s="198">
        <f t="shared" si="25"/>
        <v>32</v>
      </c>
      <c r="Q22" s="198">
        <f t="shared" si="25"/>
        <v>-32</v>
      </c>
      <c r="S22" s="198">
        <f t="shared" si="7"/>
        <v>0</v>
      </c>
    </row>
    <row r="23" ht="15.75" customHeight="1">
      <c r="A23" s="198">
        <f t="shared" si="5"/>
        <v>21</v>
      </c>
      <c r="B23" s="198">
        <f>B22+12</f>
        <v>64</v>
      </c>
      <c r="C23" s="198">
        <f t="shared" ref="C23:D23" si="26">C22-12</f>
        <v>-72</v>
      </c>
      <c r="D23" s="198">
        <f t="shared" si="26"/>
        <v>-64</v>
      </c>
      <c r="E23" s="198">
        <f>E22+12</f>
        <v>72</v>
      </c>
      <c r="F23" s="198">
        <f t="shared" si="3"/>
        <v>0</v>
      </c>
      <c r="G23" s="198" t="s">
        <v>293</v>
      </c>
      <c r="H23" s="198" t="s">
        <v>10</v>
      </c>
      <c r="I23" s="198" t="s">
        <v>7</v>
      </c>
      <c r="N23" s="198">
        <f t="shared" ref="N23:Q23" si="27">SUM(B23-B22)</f>
        <v>12</v>
      </c>
      <c r="O23" s="198">
        <f t="shared" si="27"/>
        <v>-12</v>
      </c>
      <c r="P23" s="198">
        <f t="shared" si="27"/>
        <v>-12</v>
      </c>
      <c r="Q23" s="198">
        <f t="shared" si="27"/>
        <v>12</v>
      </c>
      <c r="S23" s="198">
        <f t="shared" si="7"/>
        <v>0</v>
      </c>
    </row>
    <row r="24" ht="15.75" customHeight="1">
      <c r="A24" s="198">
        <f t="shared" si="5"/>
        <v>22</v>
      </c>
      <c r="B24" s="198">
        <f t="shared" ref="B24:C24" si="28">B23+48</f>
        <v>112</v>
      </c>
      <c r="C24" s="198">
        <f t="shared" si="28"/>
        <v>-24</v>
      </c>
      <c r="D24" s="198">
        <f>D23-3*48</f>
        <v>-208</v>
      </c>
      <c r="E24" s="198">
        <f>E23+48</f>
        <v>120</v>
      </c>
      <c r="F24" s="198">
        <f t="shared" si="3"/>
        <v>0</v>
      </c>
      <c r="G24" s="198" t="s">
        <v>310</v>
      </c>
      <c r="H24" s="198" t="s">
        <v>8</v>
      </c>
      <c r="I24" s="198" t="s">
        <v>9</v>
      </c>
      <c r="J24" s="212" t="s">
        <v>228</v>
      </c>
      <c r="N24" s="198">
        <f t="shared" ref="N24:Q24" si="29">SUM(B24-B23)</f>
        <v>48</v>
      </c>
      <c r="O24" s="198">
        <f t="shared" si="29"/>
        <v>48</v>
      </c>
      <c r="P24" s="198">
        <f t="shared" si="29"/>
        <v>-144</v>
      </c>
      <c r="Q24" s="198">
        <f t="shared" si="29"/>
        <v>48</v>
      </c>
      <c r="S24" s="198">
        <f t="shared" si="7"/>
        <v>0</v>
      </c>
    </row>
    <row r="25" ht="15.75" customHeight="1">
      <c r="A25" s="198">
        <f t="shared" si="5"/>
        <v>23</v>
      </c>
      <c r="B25" s="198">
        <f t="shared" ref="B25:C25" si="30">B24-64</f>
        <v>48</v>
      </c>
      <c r="C25" s="198">
        <f t="shared" si="30"/>
        <v>-88</v>
      </c>
      <c r="D25" s="198">
        <f t="shared" ref="D25:E25" si="31">D24+64</f>
        <v>-144</v>
      </c>
      <c r="E25" s="198">
        <f t="shared" si="31"/>
        <v>184</v>
      </c>
      <c r="F25" s="198">
        <f t="shared" si="3"/>
        <v>0</v>
      </c>
      <c r="G25" s="198" t="s">
        <v>375</v>
      </c>
      <c r="H25" s="198" t="s">
        <v>7</v>
      </c>
      <c r="I25" s="198" t="s">
        <v>9</v>
      </c>
      <c r="J25" s="212" t="s">
        <v>373</v>
      </c>
      <c r="N25" s="198">
        <f t="shared" ref="N25:Q25" si="32">SUM(B25-B24)</f>
        <v>-64</v>
      </c>
      <c r="O25" s="198">
        <f t="shared" si="32"/>
        <v>-64</v>
      </c>
      <c r="P25" s="198">
        <f t="shared" si="32"/>
        <v>64</v>
      </c>
      <c r="Q25" s="198">
        <f t="shared" si="32"/>
        <v>64</v>
      </c>
      <c r="S25" s="198">
        <f t="shared" si="7"/>
        <v>0</v>
      </c>
    </row>
    <row r="26" ht="15.75" customHeight="1">
      <c r="A26" s="198">
        <f t="shared" si="5"/>
        <v>24</v>
      </c>
      <c r="B26" s="198">
        <f>B25+16</f>
        <v>64</v>
      </c>
      <c r="C26" s="198">
        <f>C25-16</f>
        <v>-104</v>
      </c>
      <c r="D26" s="198">
        <f>D25+16</f>
        <v>-128</v>
      </c>
      <c r="E26" s="198">
        <f>E25-16</f>
        <v>168</v>
      </c>
      <c r="F26" s="198">
        <f t="shared" si="3"/>
        <v>0</v>
      </c>
      <c r="G26" s="198" t="s">
        <v>299</v>
      </c>
      <c r="H26" s="198" t="s">
        <v>9</v>
      </c>
      <c r="I26" s="198" t="s">
        <v>8</v>
      </c>
      <c r="N26" s="198">
        <f t="shared" ref="N26:Q26" si="33">SUM(B26-B25)</f>
        <v>16</v>
      </c>
      <c r="O26" s="198">
        <f t="shared" si="33"/>
        <v>-16</v>
      </c>
      <c r="P26" s="198">
        <f t="shared" si="33"/>
        <v>16</v>
      </c>
      <c r="Q26" s="198">
        <f t="shared" si="33"/>
        <v>-16</v>
      </c>
      <c r="S26" s="198">
        <f t="shared" si="7"/>
        <v>0</v>
      </c>
    </row>
    <row r="27" ht="15.75" customHeight="1">
      <c r="A27" s="198">
        <f t="shared" si="5"/>
        <v>25</v>
      </c>
      <c r="B27" s="198">
        <f t="shared" ref="B27:C27" si="34">B26-24</f>
        <v>40</v>
      </c>
      <c r="C27" s="198">
        <f t="shared" si="34"/>
        <v>-128</v>
      </c>
      <c r="D27" s="198">
        <f t="shared" ref="D27:E27" si="35">D26+24</f>
        <v>-104</v>
      </c>
      <c r="E27" s="198">
        <f t="shared" si="35"/>
        <v>192</v>
      </c>
      <c r="F27" s="198">
        <f t="shared" si="3"/>
        <v>0</v>
      </c>
      <c r="G27" s="198" t="s">
        <v>376</v>
      </c>
      <c r="H27" s="198" t="s">
        <v>7</v>
      </c>
      <c r="I27" s="198" t="s">
        <v>10</v>
      </c>
      <c r="N27" s="198">
        <f t="shared" ref="N27:Q27" si="36">SUM(B27-B26)</f>
        <v>-24</v>
      </c>
      <c r="O27" s="198">
        <f t="shared" si="36"/>
        <v>-24</v>
      </c>
      <c r="P27" s="198">
        <f t="shared" si="36"/>
        <v>24</v>
      </c>
      <c r="Q27" s="198">
        <f t="shared" si="36"/>
        <v>24</v>
      </c>
      <c r="S27" s="198">
        <f t="shared" si="7"/>
        <v>0</v>
      </c>
    </row>
    <row r="28" ht="15.75" customHeight="1">
      <c r="A28" s="198">
        <f t="shared" si="5"/>
        <v>26</v>
      </c>
      <c r="B28" s="198">
        <f t="shared" ref="B28:C28" si="37">B27-6</f>
        <v>34</v>
      </c>
      <c r="C28" s="198">
        <f t="shared" si="37"/>
        <v>-134</v>
      </c>
      <c r="D28" s="198">
        <f t="shared" ref="D28:E28" si="38">D27+6</f>
        <v>-98</v>
      </c>
      <c r="E28" s="198">
        <f t="shared" si="38"/>
        <v>198</v>
      </c>
      <c r="F28" s="198">
        <f t="shared" si="3"/>
        <v>0</v>
      </c>
      <c r="G28" s="198" t="s">
        <v>352</v>
      </c>
      <c r="H28" s="198" t="s">
        <v>8</v>
      </c>
      <c r="I28" s="198" t="s">
        <v>7</v>
      </c>
      <c r="N28" s="198">
        <f t="shared" ref="N28:Q28" si="39">SUM(B28-B27)</f>
        <v>-6</v>
      </c>
      <c r="O28" s="198">
        <f t="shared" si="39"/>
        <v>-6</v>
      </c>
      <c r="P28" s="198">
        <f t="shared" si="39"/>
        <v>6</v>
      </c>
      <c r="Q28" s="198">
        <f t="shared" si="39"/>
        <v>6</v>
      </c>
      <c r="S28" s="198">
        <f t="shared" si="7"/>
        <v>0</v>
      </c>
    </row>
    <row r="29" ht="15.75" customHeight="1">
      <c r="A29" s="198">
        <f t="shared" si="5"/>
        <v>27</v>
      </c>
      <c r="B29" s="198">
        <f>B28+32</f>
        <v>66</v>
      </c>
      <c r="C29" s="198">
        <f>C28-32</f>
        <v>-166</v>
      </c>
      <c r="D29" s="198">
        <f>D28+32</f>
        <v>-66</v>
      </c>
      <c r="E29" s="198">
        <f>E28-32</f>
        <v>166</v>
      </c>
      <c r="F29" s="198">
        <f t="shared" si="3"/>
        <v>0</v>
      </c>
      <c r="G29" s="198" t="s">
        <v>294</v>
      </c>
      <c r="H29" s="198" t="s">
        <v>7</v>
      </c>
      <c r="I29" s="198" t="s">
        <v>9</v>
      </c>
      <c r="N29" s="198">
        <f t="shared" ref="N29:Q29" si="40">SUM(B29-B28)</f>
        <v>32</v>
      </c>
      <c r="O29" s="198">
        <f t="shared" si="40"/>
        <v>-32</v>
      </c>
      <c r="P29" s="198">
        <f t="shared" si="40"/>
        <v>32</v>
      </c>
      <c r="Q29" s="198">
        <f t="shared" si="40"/>
        <v>-32</v>
      </c>
      <c r="S29" s="198">
        <f t="shared" si="7"/>
        <v>0</v>
      </c>
    </row>
    <row r="30" ht="15.75" customHeight="1">
      <c r="A30" s="198">
        <f t="shared" si="5"/>
        <v>28</v>
      </c>
      <c r="B30" s="198">
        <f t="shared" ref="B30:C30" si="41">B29+16</f>
        <v>82</v>
      </c>
      <c r="C30" s="198">
        <f t="shared" si="41"/>
        <v>-150</v>
      </c>
      <c r="D30" s="198">
        <f t="shared" ref="D30:E30" si="42">D29-16</f>
        <v>-82</v>
      </c>
      <c r="E30" s="198">
        <f t="shared" si="42"/>
        <v>150</v>
      </c>
      <c r="F30" s="198">
        <f t="shared" si="3"/>
        <v>0</v>
      </c>
      <c r="G30" s="198" t="s">
        <v>310</v>
      </c>
      <c r="H30" s="198" t="s">
        <v>7</v>
      </c>
      <c r="I30" s="198" t="s">
        <v>8</v>
      </c>
      <c r="N30" s="198">
        <f t="shared" ref="N30:Q30" si="43">SUM(B30-B29)</f>
        <v>16</v>
      </c>
      <c r="O30" s="198">
        <f t="shared" si="43"/>
        <v>16</v>
      </c>
      <c r="P30" s="198">
        <f t="shared" si="43"/>
        <v>-16</v>
      </c>
      <c r="Q30" s="198">
        <f t="shared" si="43"/>
        <v>-16</v>
      </c>
      <c r="S30" s="198">
        <f t="shared" si="7"/>
        <v>0</v>
      </c>
    </row>
    <row r="31" ht="15.75" customHeight="1">
      <c r="A31" s="198">
        <f t="shared" si="5"/>
        <v>29</v>
      </c>
      <c r="B31" s="198">
        <v>78.0</v>
      </c>
      <c r="C31" s="198">
        <v>-154.0</v>
      </c>
      <c r="D31" s="198">
        <v>-70.0</v>
      </c>
      <c r="E31" s="198">
        <v>146.0</v>
      </c>
      <c r="F31" s="198">
        <f t="shared" si="3"/>
        <v>0</v>
      </c>
      <c r="G31" s="198" t="s">
        <v>99</v>
      </c>
      <c r="H31" s="198" t="s">
        <v>8</v>
      </c>
      <c r="I31" s="198" t="s">
        <v>10</v>
      </c>
      <c r="N31" s="198">
        <f t="shared" ref="N31:Q31" si="44">SUM(B31-B30)</f>
        <v>-4</v>
      </c>
      <c r="O31" s="198">
        <f t="shared" si="44"/>
        <v>-4</v>
      </c>
      <c r="P31" s="198">
        <f t="shared" si="44"/>
        <v>12</v>
      </c>
      <c r="Q31" s="198">
        <f t="shared" si="44"/>
        <v>-4</v>
      </c>
      <c r="S31" s="198">
        <f t="shared" si="7"/>
        <v>0</v>
      </c>
    </row>
    <row r="32" ht="15.75" customHeight="1">
      <c r="A32" s="198">
        <f t="shared" si="5"/>
        <v>30</v>
      </c>
      <c r="B32" s="198">
        <f t="shared" ref="B32:C32" si="45">B31+16</f>
        <v>94</v>
      </c>
      <c r="C32" s="198">
        <f t="shared" si="45"/>
        <v>-138</v>
      </c>
      <c r="D32" s="198">
        <f t="shared" ref="D32:E32" si="46">D31-16</f>
        <v>-86</v>
      </c>
      <c r="E32" s="198">
        <f t="shared" si="46"/>
        <v>130</v>
      </c>
      <c r="F32" s="198">
        <f t="shared" si="3"/>
        <v>0</v>
      </c>
      <c r="G32" s="198" t="s">
        <v>310</v>
      </c>
      <c r="H32" s="198" t="s">
        <v>7</v>
      </c>
      <c r="I32" s="198" t="s">
        <v>7</v>
      </c>
      <c r="N32" s="198">
        <f t="shared" ref="N32:Q32" si="47">SUM(B32-B31)</f>
        <v>16</v>
      </c>
      <c r="O32" s="198">
        <f t="shared" si="47"/>
        <v>16</v>
      </c>
      <c r="P32" s="198">
        <f t="shared" si="47"/>
        <v>-16</v>
      </c>
      <c r="Q32" s="198">
        <f t="shared" si="47"/>
        <v>-16</v>
      </c>
      <c r="S32" s="198">
        <f t="shared" si="7"/>
        <v>0</v>
      </c>
    </row>
    <row r="33" ht="15.75" customHeight="1">
      <c r="A33" s="198">
        <f t="shared" si="5"/>
        <v>31</v>
      </c>
      <c r="B33" s="198">
        <f>B32+48</f>
        <v>142</v>
      </c>
      <c r="C33" s="198">
        <f t="shared" ref="C33:D33" si="48">C32-48</f>
        <v>-186</v>
      </c>
      <c r="D33" s="198">
        <f t="shared" si="48"/>
        <v>-134</v>
      </c>
      <c r="E33" s="198">
        <f>E32+48</f>
        <v>178</v>
      </c>
      <c r="F33" s="198">
        <f t="shared" si="3"/>
        <v>0</v>
      </c>
      <c r="G33" s="198" t="s">
        <v>294</v>
      </c>
      <c r="H33" s="198" t="s">
        <v>7</v>
      </c>
      <c r="I33" s="198" t="s">
        <v>9</v>
      </c>
      <c r="N33" s="198">
        <f t="shared" ref="N33:Q33" si="49">SUM(B33-B32)</f>
        <v>48</v>
      </c>
      <c r="O33" s="198">
        <f t="shared" si="49"/>
        <v>-48</v>
      </c>
      <c r="P33" s="198">
        <f t="shared" si="49"/>
        <v>-48</v>
      </c>
      <c r="Q33" s="198">
        <f t="shared" si="49"/>
        <v>48</v>
      </c>
      <c r="S33" s="198">
        <f t="shared" si="7"/>
        <v>0</v>
      </c>
    </row>
    <row r="34" ht="15.75" customHeight="1"/>
    <row r="35" ht="15.75" customHeight="1">
      <c r="N35" s="202">
        <f t="shared" ref="N35:Q35" si="50">SUM(N3:N33)</f>
        <v>142</v>
      </c>
      <c r="O35" s="202">
        <f t="shared" si="50"/>
        <v>-186</v>
      </c>
      <c r="P35" s="202">
        <f t="shared" si="50"/>
        <v>-134</v>
      </c>
      <c r="Q35" s="202">
        <f t="shared" si="50"/>
        <v>178</v>
      </c>
    </row>
    <row r="36" ht="15.75" customHeight="1"/>
    <row r="37"/>
    <row r="38"/>
    <row r="39"/>
    <row r="40"/>
    <row r="41"/>
    <row r="42"/>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6" width="7.63"/>
    <col customWidth="1" min="7" max="7" width="16.5"/>
    <col customWidth="1" min="8" max="8" width="18.88"/>
    <col customWidth="1" min="9" max="17" width="7.63"/>
  </cols>
  <sheetData>
    <row r="1">
      <c r="A1" s="220">
        <f>'00_Regnskab_01'!A17</f>
        <v>14</v>
      </c>
      <c r="B1" s="221">
        <f>'00_Regnskab_01'!C17</f>
        <v>44106</v>
      </c>
      <c r="C1" s="215"/>
      <c r="D1" s="214" t="str">
        <f>'00_Regnskab_01'!L17</f>
        <v>Christian, Østerbro</v>
      </c>
      <c r="E1" s="219"/>
      <c r="F1" s="222"/>
      <c r="G1" s="219"/>
      <c r="H1" s="219"/>
      <c r="I1" s="219"/>
      <c r="J1" s="218"/>
      <c r="K1" s="218"/>
      <c r="L1" s="198"/>
      <c r="M1" s="198"/>
      <c r="N1" s="198"/>
      <c r="O1" s="198"/>
      <c r="Q1" s="198"/>
    </row>
    <row r="2">
      <c r="A2" s="198"/>
      <c r="B2" s="198" t="s">
        <v>7</v>
      </c>
      <c r="C2" s="198" t="s">
        <v>9</v>
      </c>
      <c r="D2" s="198" t="s">
        <v>8</v>
      </c>
      <c r="E2" s="198" t="s">
        <v>10</v>
      </c>
      <c r="F2" s="198" t="s">
        <v>360</v>
      </c>
      <c r="G2" s="198" t="s">
        <v>64</v>
      </c>
      <c r="H2" s="198" t="s">
        <v>361</v>
      </c>
      <c r="I2" s="198" t="s">
        <v>82</v>
      </c>
      <c r="L2" s="198" t="str">
        <f t="shared" ref="L2:O2" si="1">B2</f>
        <v>Thomas</v>
      </c>
      <c r="M2" s="198" t="str">
        <f t="shared" si="1"/>
        <v>Janus</v>
      </c>
      <c r="N2" s="198" t="str">
        <f t="shared" si="1"/>
        <v>Peter</v>
      </c>
      <c r="O2" s="198" t="str">
        <f t="shared" si="1"/>
        <v>Christian</v>
      </c>
      <c r="Q2" s="198" t="s">
        <v>79</v>
      </c>
    </row>
    <row r="3">
      <c r="A3" s="206">
        <v>1.0</v>
      </c>
      <c r="B3" s="198">
        <v>-24.0</v>
      </c>
      <c r="C3" s="198">
        <v>8.0</v>
      </c>
      <c r="D3" s="198">
        <v>8.0</v>
      </c>
      <c r="E3" s="198">
        <v>8.0</v>
      </c>
      <c r="F3" s="198">
        <f t="shared" ref="F3:F29" si="3">SUM(B3:E3)</f>
        <v>0</v>
      </c>
      <c r="G3" s="198" t="s">
        <v>337</v>
      </c>
      <c r="H3" s="198" t="s">
        <v>7</v>
      </c>
      <c r="I3" s="198" t="s">
        <v>9</v>
      </c>
      <c r="L3" s="198">
        <f t="shared" ref="L3:O3" si="2">B3</f>
        <v>-24</v>
      </c>
      <c r="M3" s="198">
        <f t="shared" si="2"/>
        <v>8</v>
      </c>
      <c r="N3" s="198">
        <f t="shared" si="2"/>
        <v>8</v>
      </c>
      <c r="O3" s="198">
        <f t="shared" si="2"/>
        <v>8</v>
      </c>
    </row>
    <row r="4">
      <c r="A4" s="198">
        <f t="shared" ref="A4:A29" si="5">A3+1</f>
        <v>2</v>
      </c>
      <c r="B4" s="198">
        <f>B3-96</f>
        <v>-120</v>
      </c>
      <c r="C4" s="198">
        <v>104.0</v>
      </c>
      <c r="D4" s="198">
        <v>104.0</v>
      </c>
      <c r="E4" s="198">
        <f>E3-96</f>
        <v>-88</v>
      </c>
      <c r="F4" s="198">
        <f t="shared" si="3"/>
        <v>0</v>
      </c>
      <c r="G4" s="198" t="s">
        <v>377</v>
      </c>
      <c r="H4" s="198" t="s">
        <v>7</v>
      </c>
      <c r="I4" s="198" t="s">
        <v>8</v>
      </c>
      <c r="L4" s="198">
        <f t="shared" ref="L4:O4" si="4">SUM(B4-B3)</f>
        <v>-96</v>
      </c>
      <c r="M4" s="198">
        <f t="shared" si="4"/>
        <v>96</v>
      </c>
      <c r="N4" s="198">
        <f t="shared" si="4"/>
        <v>96</v>
      </c>
      <c r="O4" s="198">
        <f t="shared" si="4"/>
        <v>-96</v>
      </c>
      <c r="Q4" s="198">
        <f t="shared" ref="Q4:Q29" si="7">SUM(L4:O4)</f>
        <v>0</v>
      </c>
    </row>
    <row r="5">
      <c r="A5" s="198">
        <f t="shared" si="5"/>
        <v>3</v>
      </c>
      <c r="B5" s="198">
        <f>B4+16</f>
        <v>-104</v>
      </c>
      <c r="C5" s="198">
        <f>C4-16</f>
        <v>88</v>
      </c>
      <c r="D5" s="198">
        <f>D4+16</f>
        <v>120</v>
      </c>
      <c r="E5" s="198">
        <f>E4-16</f>
        <v>-104</v>
      </c>
      <c r="F5" s="198">
        <f t="shared" si="3"/>
        <v>0</v>
      </c>
      <c r="G5" s="198" t="s">
        <v>378</v>
      </c>
      <c r="H5" s="198" t="s">
        <v>7</v>
      </c>
      <c r="I5" s="198" t="s">
        <v>10</v>
      </c>
      <c r="L5" s="198">
        <f t="shared" ref="L5:O5" si="6">SUM(B5-B4)</f>
        <v>16</v>
      </c>
      <c r="M5" s="198">
        <f t="shared" si="6"/>
        <v>-16</v>
      </c>
      <c r="N5" s="198">
        <f t="shared" si="6"/>
        <v>16</v>
      </c>
      <c r="O5" s="198">
        <f t="shared" si="6"/>
        <v>-16</v>
      </c>
      <c r="Q5" s="198">
        <f t="shared" si="7"/>
        <v>0</v>
      </c>
    </row>
    <row r="6">
      <c r="A6" s="198">
        <f t="shared" si="5"/>
        <v>4</v>
      </c>
      <c r="B6" s="198">
        <f>B5-32</f>
        <v>-136</v>
      </c>
      <c r="C6" s="198">
        <f>C5+32</f>
        <v>120</v>
      </c>
      <c r="D6" s="198">
        <f>D5-32</f>
        <v>88</v>
      </c>
      <c r="E6" s="198">
        <f>E5+32</f>
        <v>-72</v>
      </c>
      <c r="F6" s="198">
        <f t="shared" si="3"/>
        <v>0</v>
      </c>
      <c r="G6" s="198" t="s">
        <v>377</v>
      </c>
      <c r="H6" s="198" t="s">
        <v>9</v>
      </c>
      <c r="I6" s="198" t="s">
        <v>7</v>
      </c>
      <c r="L6" s="198">
        <f t="shared" ref="L6:O6" si="8">SUM(B6-B5)</f>
        <v>-32</v>
      </c>
      <c r="M6" s="198">
        <f t="shared" si="8"/>
        <v>32</v>
      </c>
      <c r="N6" s="198">
        <f t="shared" si="8"/>
        <v>-32</v>
      </c>
      <c r="O6" s="198">
        <f t="shared" si="8"/>
        <v>32</v>
      </c>
      <c r="Q6" s="198">
        <f t="shared" si="7"/>
        <v>0</v>
      </c>
    </row>
    <row r="7">
      <c r="A7" s="198">
        <f t="shared" si="5"/>
        <v>5</v>
      </c>
      <c r="B7" s="198">
        <f t="shared" ref="B7:D7" si="9">B6-4</f>
        <v>-140</v>
      </c>
      <c r="C7" s="198">
        <f t="shared" si="9"/>
        <v>116</v>
      </c>
      <c r="D7" s="198">
        <f t="shared" si="9"/>
        <v>84</v>
      </c>
      <c r="E7" s="198">
        <f>E6+12</f>
        <v>-60</v>
      </c>
      <c r="F7" s="198">
        <f t="shared" si="3"/>
        <v>0</v>
      </c>
      <c r="G7" s="198" t="s">
        <v>139</v>
      </c>
      <c r="H7" s="198" t="s">
        <v>10</v>
      </c>
      <c r="I7" s="198" t="s">
        <v>9</v>
      </c>
      <c r="L7" s="198">
        <f t="shared" ref="L7:O7" si="10">SUM(B7-B6)</f>
        <v>-4</v>
      </c>
      <c r="M7" s="198">
        <f t="shared" si="10"/>
        <v>-4</v>
      </c>
      <c r="N7" s="198">
        <f t="shared" si="10"/>
        <v>-4</v>
      </c>
      <c r="O7" s="198">
        <f t="shared" si="10"/>
        <v>12</v>
      </c>
      <c r="Q7" s="198">
        <f t="shared" si="7"/>
        <v>0</v>
      </c>
    </row>
    <row r="8">
      <c r="A8" s="198">
        <f t="shared" si="5"/>
        <v>6</v>
      </c>
      <c r="B8" s="198">
        <f>B7-32</f>
        <v>-172</v>
      </c>
      <c r="C8" s="198">
        <f t="shared" ref="C8:D8" si="11">C7+32</f>
        <v>148</v>
      </c>
      <c r="D8" s="198">
        <f t="shared" si="11"/>
        <v>116</v>
      </c>
      <c r="E8" s="198">
        <f>E7-32</f>
        <v>-92</v>
      </c>
      <c r="F8" s="198">
        <f t="shared" si="3"/>
        <v>0</v>
      </c>
      <c r="G8" s="198" t="s">
        <v>379</v>
      </c>
      <c r="H8" s="198" t="s">
        <v>7</v>
      </c>
      <c r="I8" s="198" t="s">
        <v>8</v>
      </c>
      <c r="L8" s="198">
        <f t="shared" ref="L8:O8" si="12">SUM(B8-B7)</f>
        <v>-32</v>
      </c>
      <c r="M8" s="198">
        <f t="shared" si="12"/>
        <v>32</v>
      </c>
      <c r="N8" s="198">
        <f t="shared" si="12"/>
        <v>32</v>
      </c>
      <c r="O8" s="198">
        <f t="shared" si="12"/>
        <v>-32</v>
      </c>
      <c r="Q8" s="198">
        <f t="shared" si="7"/>
        <v>0</v>
      </c>
    </row>
    <row r="9">
      <c r="A9" s="198">
        <f t="shared" si="5"/>
        <v>7</v>
      </c>
      <c r="B9" s="198">
        <f>B8-4</f>
        <v>-176</v>
      </c>
      <c r="C9" s="198">
        <f>C8+12</f>
        <v>160</v>
      </c>
      <c r="D9" s="198">
        <f t="shared" ref="D9:E9" si="13">D8-4</f>
        <v>112</v>
      </c>
      <c r="E9" s="198">
        <f t="shared" si="13"/>
        <v>-96</v>
      </c>
      <c r="F9" s="198">
        <f t="shared" si="3"/>
        <v>0</v>
      </c>
      <c r="G9" s="198" t="s">
        <v>139</v>
      </c>
      <c r="H9" s="198" t="s">
        <v>9</v>
      </c>
      <c r="I9" s="198" t="s">
        <v>10</v>
      </c>
      <c r="L9" s="198">
        <f t="shared" ref="L9:O9" si="14">SUM(B9-B8)</f>
        <v>-4</v>
      </c>
      <c r="M9" s="198">
        <f t="shared" si="14"/>
        <v>12</v>
      </c>
      <c r="N9" s="198">
        <f t="shared" si="14"/>
        <v>-4</v>
      </c>
      <c r="O9" s="198">
        <f t="shared" si="14"/>
        <v>-4</v>
      </c>
      <c r="Q9" s="198">
        <f t="shared" si="7"/>
        <v>0</v>
      </c>
    </row>
    <row r="10">
      <c r="A10" s="198">
        <f t="shared" si="5"/>
        <v>8</v>
      </c>
      <c r="B10" s="198">
        <f t="shared" ref="B10:C10" si="15">B9+8</f>
        <v>-168</v>
      </c>
      <c r="C10" s="198">
        <f t="shared" si="15"/>
        <v>168</v>
      </c>
      <c r="D10" s="198">
        <f>D9-3*8</f>
        <v>88</v>
      </c>
      <c r="E10" s="198">
        <f>E9+8</f>
        <v>-88</v>
      </c>
      <c r="F10" s="198">
        <f t="shared" si="3"/>
        <v>0</v>
      </c>
      <c r="G10" s="198" t="s">
        <v>140</v>
      </c>
      <c r="H10" s="198" t="s">
        <v>8</v>
      </c>
      <c r="I10" s="198" t="s">
        <v>7</v>
      </c>
      <c r="L10" s="198">
        <f t="shared" ref="L10:O10" si="16">SUM(B10-B9)</f>
        <v>8</v>
      </c>
      <c r="M10" s="198">
        <f t="shared" si="16"/>
        <v>8</v>
      </c>
      <c r="N10" s="198">
        <f t="shared" si="16"/>
        <v>-24</v>
      </c>
      <c r="O10" s="198">
        <f t="shared" si="16"/>
        <v>8</v>
      </c>
      <c r="Q10" s="198">
        <f t="shared" si="7"/>
        <v>0</v>
      </c>
    </row>
    <row r="11">
      <c r="A11" s="198">
        <f t="shared" si="5"/>
        <v>9</v>
      </c>
      <c r="B11" s="198">
        <f>B10+32</f>
        <v>-136</v>
      </c>
      <c r="C11" s="198">
        <f t="shared" ref="C11:D11" si="17">C10-32</f>
        <v>136</v>
      </c>
      <c r="D11" s="198">
        <f t="shared" si="17"/>
        <v>56</v>
      </c>
      <c r="E11" s="198">
        <f>E10+32</f>
        <v>-56</v>
      </c>
      <c r="F11" s="198">
        <f t="shared" si="3"/>
        <v>0</v>
      </c>
      <c r="G11" s="198" t="s">
        <v>357</v>
      </c>
      <c r="H11" s="198" t="s">
        <v>7</v>
      </c>
      <c r="I11" s="198" t="s">
        <v>9</v>
      </c>
      <c r="L11" s="198">
        <f t="shared" ref="L11:O11" si="18">SUM(B11-B10)</f>
        <v>32</v>
      </c>
      <c r="M11" s="198">
        <f t="shared" si="18"/>
        <v>-32</v>
      </c>
      <c r="N11" s="198">
        <f t="shared" si="18"/>
        <v>-32</v>
      </c>
      <c r="O11" s="198">
        <f t="shared" si="18"/>
        <v>32</v>
      </c>
      <c r="Q11" s="198">
        <f t="shared" si="7"/>
        <v>0</v>
      </c>
    </row>
    <row r="12">
      <c r="A12" s="198">
        <f t="shared" si="5"/>
        <v>10</v>
      </c>
      <c r="B12" s="198">
        <f t="shared" ref="B12:C12" si="19">B11+20</f>
        <v>-116</v>
      </c>
      <c r="C12" s="198">
        <f t="shared" si="19"/>
        <v>156</v>
      </c>
      <c r="D12" s="198">
        <f t="shared" ref="D12:E12" si="20">D11-20</f>
        <v>36</v>
      </c>
      <c r="E12" s="198">
        <f t="shared" si="20"/>
        <v>-76</v>
      </c>
      <c r="F12" s="198">
        <f t="shared" si="3"/>
        <v>0</v>
      </c>
      <c r="G12" s="198" t="s">
        <v>293</v>
      </c>
      <c r="H12" s="198" t="s">
        <v>10</v>
      </c>
      <c r="I12" s="198" t="s">
        <v>8</v>
      </c>
      <c r="L12" s="198">
        <f t="shared" ref="L12:O12" si="21">SUM(B12-B11)</f>
        <v>20</v>
      </c>
      <c r="M12" s="198">
        <f t="shared" si="21"/>
        <v>20</v>
      </c>
      <c r="N12" s="198">
        <f t="shared" si="21"/>
        <v>-20</v>
      </c>
      <c r="O12" s="198">
        <f t="shared" si="21"/>
        <v>-20</v>
      </c>
      <c r="Q12" s="198">
        <f t="shared" si="7"/>
        <v>0</v>
      </c>
    </row>
    <row r="13">
      <c r="A13" s="198">
        <f t="shared" si="5"/>
        <v>11</v>
      </c>
      <c r="B13" s="198">
        <f>B12-16</f>
        <v>-132</v>
      </c>
      <c r="C13" s="198">
        <f t="shared" ref="C13:D13" si="22">C12+16</f>
        <v>172</v>
      </c>
      <c r="D13" s="198">
        <f t="shared" si="22"/>
        <v>52</v>
      </c>
      <c r="E13" s="198">
        <f>E12-16</f>
        <v>-92</v>
      </c>
      <c r="F13" s="198">
        <f t="shared" si="3"/>
        <v>0</v>
      </c>
      <c r="G13" s="198" t="s">
        <v>302</v>
      </c>
      <c r="H13" s="198" t="s">
        <v>9</v>
      </c>
      <c r="I13" s="198" t="s">
        <v>10</v>
      </c>
      <c r="L13" s="198">
        <f t="shared" ref="L13:O13" si="23">SUM(B13-B12)</f>
        <v>-16</v>
      </c>
      <c r="M13" s="198">
        <f t="shared" si="23"/>
        <v>16</v>
      </c>
      <c r="N13" s="198">
        <f t="shared" si="23"/>
        <v>16</v>
      </c>
      <c r="O13" s="198">
        <f t="shared" si="23"/>
        <v>-16</v>
      </c>
      <c r="Q13" s="198">
        <f t="shared" si="7"/>
        <v>0</v>
      </c>
    </row>
    <row r="14">
      <c r="A14" s="198">
        <f t="shared" si="5"/>
        <v>12</v>
      </c>
      <c r="B14" s="198">
        <f t="shared" ref="B14:D14" si="24">B13+16</f>
        <v>-116</v>
      </c>
      <c r="C14" s="198">
        <f t="shared" si="24"/>
        <v>188</v>
      </c>
      <c r="D14" s="198">
        <f t="shared" si="24"/>
        <v>68</v>
      </c>
      <c r="E14" s="198">
        <f>E13-3*16</f>
        <v>-140</v>
      </c>
      <c r="F14" s="198">
        <f t="shared" si="3"/>
        <v>0</v>
      </c>
      <c r="G14" s="198" t="s">
        <v>380</v>
      </c>
      <c r="H14" s="198" t="s">
        <v>10</v>
      </c>
      <c r="I14" s="198" t="s">
        <v>7</v>
      </c>
      <c r="L14" s="198">
        <f t="shared" ref="L14:O14" si="25">SUM(B14-B13)</f>
        <v>16</v>
      </c>
      <c r="M14" s="198">
        <f t="shared" si="25"/>
        <v>16</v>
      </c>
      <c r="N14" s="198">
        <f t="shared" si="25"/>
        <v>16</v>
      </c>
      <c r="O14" s="198">
        <f t="shared" si="25"/>
        <v>-48</v>
      </c>
      <c r="Q14" s="198">
        <f t="shared" si="7"/>
        <v>0</v>
      </c>
    </row>
    <row r="15">
      <c r="A15" s="198">
        <f t="shared" si="5"/>
        <v>13</v>
      </c>
      <c r="B15" s="198">
        <f>B14-3*8</f>
        <v>-140</v>
      </c>
      <c r="C15" s="198">
        <f t="shared" ref="C15:E15" si="26">C14+8</f>
        <v>196</v>
      </c>
      <c r="D15" s="198">
        <f t="shared" si="26"/>
        <v>76</v>
      </c>
      <c r="E15" s="198">
        <f t="shared" si="26"/>
        <v>-132</v>
      </c>
      <c r="F15" s="198">
        <f t="shared" si="3"/>
        <v>0</v>
      </c>
      <c r="G15" s="198" t="s">
        <v>140</v>
      </c>
      <c r="H15" s="198" t="s">
        <v>7</v>
      </c>
      <c r="I15" s="198" t="s">
        <v>9</v>
      </c>
      <c r="L15" s="198">
        <f t="shared" ref="L15:O15" si="27">SUM(B15-B14)</f>
        <v>-24</v>
      </c>
      <c r="M15" s="198">
        <f t="shared" si="27"/>
        <v>8</v>
      </c>
      <c r="N15" s="198">
        <f t="shared" si="27"/>
        <v>8</v>
      </c>
      <c r="O15" s="198">
        <f t="shared" si="27"/>
        <v>8</v>
      </c>
      <c r="Q15" s="198">
        <f t="shared" si="7"/>
        <v>0</v>
      </c>
    </row>
    <row r="16">
      <c r="A16" s="198">
        <f t="shared" si="5"/>
        <v>14</v>
      </c>
      <c r="B16" s="198">
        <f t="shared" ref="B16:C16" si="28">B15+8</f>
        <v>-132</v>
      </c>
      <c r="C16" s="198">
        <f t="shared" si="28"/>
        <v>204</v>
      </c>
      <c r="D16" s="198">
        <f t="shared" ref="D16:E16" si="29">D15-8</f>
        <v>68</v>
      </c>
      <c r="E16" s="198">
        <f t="shared" si="29"/>
        <v>-140</v>
      </c>
      <c r="F16" s="198">
        <f t="shared" si="3"/>
        <v>0</v>
      </c>
      <c r="G16" s="198" t="s">
        <v>299</v>
      </c>
      <c r="H16" s="198" t="s">
        <v>7</v>
      </c>
      <c r="I16" s="198" t="s">
        <v>8</v>
      </c>
      <c r="L16" s="198">
        <f t="shared" ref="L16:O16" si="30">SUM(B16-B15)</f>
        <v>8</v>
      </c>
      <c r="M16" s="198">
        <f t="shared" si="30"/>
        <v>8</v>
      </c>
      <c r="N16" s="198">
        <f t="shared" si="30"/>
        <v>-8</v>
      </c>
      <c r="O16" s="198">
        <f t="shared" si="30"/>
        <v>-8</v>
      </c>
      <c r="Q16" s="198">
        <f t="shared" si="7"/>
        <v>0</v>
      </c>
    </row>
    <row r="17">
      <c r="A17" s="198">
        <f t="shared" si="5"/>
        <v>15</v>
      </c>
      <c r="B17" s="198">
        <f>B16+8</f>
        <v>-124</v>
      </c>
      <c r="C17" s="198">
        <f t="shared" ref="C17:D17" si="31">C16-8</f>
        <v>196</v>
      </c>
      <c r="D17" s="198">
        <f t="shared" si="31"/>
        <v>60</v>
      </c>
      <c r="E17" s="198">
        <f t="shared" ref="E17:E19" si="33">E16+8</f>
        <v>-132</v>
      </c>
      <c r="F17" s="198">
        <f t="shared" si="3"/>
        <v>0</v>
      </c>
      <c r="G17" s="198" t="s">
        <v>293</v>
      </c>
      <c r="H17" s="198" t="s">
        <v>7</v>
      </c>
      <c r="I17" s="198" t="s">
        <v>10</v>
      </c>
      <c r="L17" s="198">
        <f t="shared" ref="L17:O17" si="32">SUM(B17-B16)</f>
        <v>8</v>
      </c>
      <c r="M17" s="198">
        <f t="shared" si="32"/>
        <v>-8</v>
      </c>
      <c r="N17" s="198">
        <f t="shared" si="32"/>
        <v>-8</v>
      </c>
      <c r="O17" s="198">
        <f t="shared" si="32"/>
        <v>8</v>
      </c>
      <c r="Q17" s="198">
        <f t="shared" si="7"/>
        <v>0</v>
      </c>
    </row>
    <row r="18">
      <c r="A18" s="198">
        <f t="shared" si="5"/>
        <v>16</v>
      </c>
      <c r="B18" s="198">
        <f>B17-8</f>
        <v>-132</v>
      </c>
      <c r="C18" s="198">
        <f>C17+8</f>
        <v>204</v>
      </c>
      <c r="D18" s="198">
        <f>D17-8</f>
        <v>52</v>
      </c>
      <c r="E18" s="198">
        <f t="shared" si="33"/>
        <v>-124</v>
      </c>
      <c r="F18" s="198">
        <f t="shared" si="3"/>
        <v>0</v>
      </c>
      <c r="G18" s="198" t="s">
        <v>293</v>
      </c>
      <c r="H18" s="198" t="s">
        <v>10</v>
      </c>
      <c r="I18" s="198" t="s">
        <v>7</v>
      </c>
      <c r="L18" s="198">
        <f t="shared" ref="L18:O18" si="34">SUM(B18-B17)</f>
        <v>-8</v>
      </c>
      <c r="M18" s="198">
        <f t="shared" si="34"/>
        <v>8</v>
      </c>
      <c r="N18" s="198">
        <f t="shared" si="34"/>
        <v>-8</v>
      </c>
      <c r="O18" s="198">
        <f t="shared" si="34"/>
        <v>8</v>
      </c>
      <c r="Q18" s="198">
        <f t="shared" si="7"/>
        <v>0</v>
      </c>
    </row>
    <row r="19">
      <c r="A19" s="198">
        <f t="shared" si="5"/>
        <v>17</v>
      </c>
      <c r="B19" s="198">
        <f t="shared" ref="B19:C19" si="35">B18+8</f>
        <v>-124</v>
      </c>
      <c r="C19" s="198">
        <f t="shared" si="35"/>
        <v>212</v>
      </c>
      <c r="D19" s="198">
        <f>D18-24</f>
        <v>28</v>
      </c>
      <c r="E19" s="198">
        <f t="shared" si="33"/>
        <v>-116</v>
      </c>
      <c r="F19" s="198">
        <f t="shared" si="3"/>
        <v>0</v>
      </c>
      <c r="G19" s="198" t="s">
        <v>99</v>
      </c>
      <c r="H19" s="198" t="s">
        <v>8</v>
      </c>
      <c r="I19" s="198" t="s">
        <v>9</v>
      </c>
      <c r="L19" s="198">
        <f t="shared" ref="L19:O19" si="36">SUM(B19-B18)</f>
        <v>8</v>
      </c>
      <c r="M19" s="198">
        <f t="shared" si="36"/>
        <v>8</v>
      </c>
      <c r="N19" s="198">
        <f t="shared" si="36"/>
        <v>-24</v>
      </c>
      <c r="O19" s="198">
        <f t="shared" si="36"/>
        <v>8</v>
      </c>
      <c r="Q19" s="198">
        <f t="shared" si="7"/>
        <v>0</v>
      </c>
    </row>
    <row r="20">
      <c r="A20" s="198">
        <f t="shared" si="5"/>
        <v>18</v>
      </c>
      <c r="B20" s="198">
        <f t="shared" ref="B20:C20" si="37">B19+32</f>
        <v>-92</v>
      </c>
      <c r="C20" s="198">
        <f t="shared" si="37"/>
        <v>244</v>
      </c>
      <c r="D20" s="198">
        <f t="shared" ref="D20:E20" si="38">D19-32</f>
        <v>-4</v>
      </c>
      <c r="E20" s="198">
        <f t="shared" si="38"/>
        <v>-148</v>
      </c>
      <c r="F20" s="198">
        <f t="shared" si="3"/>
        <v>0</v>
      </c>
      <c r="G20" s="198" t="s">
        <v>381</v>
      </c>
      <c r="H20" s="198" t="s">
        <v>7</v>
      </c>
      <c r="I20" s="198" t="s">
        <v>8</v>
      </c>
      <c r="L20" s="198">
        <f t="shared" ref="L20:O20" si="39">SUM(B20-B19)</f>
        <v>32</v>
      </c>
      <c r="M20" s="198">
        <f t="shared" si="39"/>
        <v>32</v>
      </c>
      <c r="N20" s="198">
        <f t="shared" si="39"/>
        <v>-32</v>
      </c>
      <c r="O20" s="198">
        <f t="shared" si="39"/>
        <v>-32</v>
      </c>
      <c r="Q20" s="198">
        <f t="shared" si="7"/>
        <v>0</v>
      </c>
    </row>
    <row r="21">
      <c r="A21" s="198">
        <f t="shared" si="5"/>
        <v>19</v>
      </c>
      <c r="B21" s="198">
        <f>B20+12</f>
        <v>-80</v>
      </c>
      <c r="C21" s="198">
        <f t="shared" ref="C21:D21" si="40">C20-12</f>
        <v>232</v>
      </c>
      <c r="D21" s="198">
        <f t="shared" si="40"/>
        <v>-16</v>
      </c>
      <c r="E21" s="198">
        <f>E20+12</f>
        <v>-136</v>
      </c>
      <c r="F21" s="198">
        <f t="shared" si="3"/>
        <v>0</v>
      </c>
      <c r="G21" s="198" t="s">
        <v>314</v>
      </c>
      <c r="H21" s="198" t="s">
        <v>7</v>
      </c>
      <c r="I21" s="198" t="s">
        <v>10</v>
      </c>
      <c r="L21" s="198">
        <f t="shared" ref="L21:O21" si="41">SUM(B21-B20)</f>
        <v>12</v>
      </c>
      <c r="M21" s="198">
        <f t="shared" si="41"/>
        <v>-12</v>
      </c>
      <c r="N21" s="198">
        <f t="shared" si="41"/>
        <v>-12</v>
      </c>
      <c r="O21" s="198">
        <f t="shared" si="41"/>
        <v>12</v>
      </c>
      <c r="Q21" s="198">
        <f t="shared" si="7"/>
        <v>0</v>
      </c>
    </row>
    <row r="22" ht="15.75" customHeight="1">
      <c r="A22" s="198">
        <f t="shared" si="5"/>
        <v>20</v>
      </c>
      <c r="B22" s="198">
        <f>B21+24</f>
        <v>-56</v>
      </c>
      <c r="C22" s="198">
        <f t="shared" ref="C22:E22" si="42">C21-8</f>
        <v>224</v>
      </c>
      <c r="D22" s="198">
        <f t="shared" si="42"/>
        <v>-24</v>
      </c>
      <c r="E22" s="198">
        <f t="shared" si="42"/>
        <v>-144</v>
      </c>
      <c r="F22" s="198">
        <f t="shared" si="3"/>
        <v>0</v>
      </c>
      <c r="G22" s="198" t="s">
        <v>140</v>
      </c>
      <c r="H22" s="198" t="s">
        <v>7</v>
      </c>
      <c r="I22" s="198" t="s">
        <v>7</v>
      </c>
      <c r="L22" s="198">
        <f t="shared" ref="L22:O22" si="43">SUM(B22-B21)</f>
        <v>24</v>
      </c>
      <c r="M22" s="198">
        <f t="shared" si="43"/>
        <v>-8</v>
      </c>
      <c r="N22" s="198">
        <f t="shared" si="43"/>
        <v>-8</v>
      </c>
      <c r="O22" s="198">
        <f t="shared" si="43"/>
        <v>-8</v>
      </c>
      <c r="Q22" s="198">
        <f t="shared" si="7"/>
        <v>0</v>
      </c>
    </row>
    <row r="23" ht="15.75" customHeight="1">
      <c r="A23" s="198">
        <f t="shared" si="5"/>
        <v>21</v>
      </c>
      <c r="B23" s="198">
        <f t="shared" ref="B23:B24" si="46">B22-4</f>
        <v>-60</v>
      </c>
      <c r="C23" s="198">
        <f>C22+12</f>
        <v>236</v>
      </c>
      <c r="D23" s="198">
        <f t="shared" ref="D23:E23" si="44">D22-4</f>
        <v>-28</v>
      </c>
      <c r="E23" s="198">
        <f t="shared" si="44"/>
        <v>-148</v>
      </c>
      <c r="F23" s="198">
        <f t="shared" si="3"/>
        <v>0</v>
      </c>
      <c r="G23" s="198" t="s">
        <v>99</v>
      </c>
      <c r="H23" s="198" t="s">
        <v>10</v>
      </c>
      <c r="I23" s="198" t="s">
        <v>286</v>
      </c>
      <c r="L23" s="198">
        <f t="shared" ref="L23:O23" si="45">SUM(B23-B22)</f>
        <v>-4</v>
      </c>
      <c r="M23" s="198">
        <f t="shared" si="45"/>
        <v>12</v>
      </c>
      <c r="N23" s="198">
        <f t="shared" si="45"/>
        <v>-4</v>
      </c>
      <c r="O23" s="198">
        <f t="shared" si="45"/>
        <v>-4</v>
      </c>
      <c r="Q23" s="198">
        <f t="shared" si="7"/>
        <v>0</v>
      </c>
    </row>
    <row r="24" ht="15.75" customHeight="1">
      <c r="A24" s="198">
        <f t="shared" si="5"/>
        <v>22</v>
      </c>
      <c r="B24" s="198">
        <f t="shared" si="46"/>
        <v>-64</v>
      </c>
      <c r="C24" s="198">
        <f t="shared" ref="C24:D24" si="47">C23-4</f>
        <v>232</v>
      </c>
      <c r="D24" s="198">
        <f t="shared" si="47"/>
        <v>-32</v>
      </c>
      <c r="E24" s="198">
        <f>E23+12</f>
        <v>-136</v>
      </c>
      <c r="F24" s="198">
        <f t="shared" si="3"/>
        <v>0</v>
      </c>
      <c r="G24" s="198" t="s">
        <v>99</v>
      </c>
      <c r="H24" s="198" t="s">
        <v>10</v>
      </c>
      <c r="I24" s="198" t="s">
        <v>8</v>
      </c>
      <c r="L24" s="198">
        <f t="shared" ref="L24:O24" si="48">SUM(B24-B23)</f>
        <v>-4</v>
      </c>
      <c r="M24" s="198">
        <f t="shared" si="48"/>
        <v>-4</v>
      </c>
      <c r="N24" s="198">
        <f t="shared" si="48"/>
        <v>-4</v>
      </c>
      <c r="O24" s="198">
        <f t="shared" si="48"/>
        <v>12</v>
      </c>
      <c r="Q24" s="198">
        <f t="shared" si="7"/>
        <v>0</v>
      </c>
    </row>
    <row r="25" ht="15.75" customHeight="1">
      <c r="A25" s="198">
        <f t="shared" si="5"/>
        <v>23</v>
      </c>
      <c r="B25" s="198">
        <f>B24-8</f>
        <v>-72</v>
      </c>
      <c r="C25" s="198">
        <f>C24+8</f>
        <v>240</v>
      </c>
      <c r="D25" s="198">
        <f>D24-8</f>
        <v>-40</v>
      </c>
      <c r="E25" s="198">
        <f>E24+8</f>
        <v>-128</v>
      </c>
      <c r="F25" s="198">
        <f t="shared" si="3"/>
        <v>0</v>
      </c>
      <c r="G25" s="198" t="s">
        <v>382</v>
      </c>
      <c r="H25" s="198" t="s">
        <v>10</v>
      </c>
      <c r="I25" s="198" t="s">
        <v>10</v>
      </c>
      <c r="L25" s="198">
        <f t="shared" ref="L25:O25" si="49">SUM(B25-B24)</f>
        <v>-8</v>
      </c>
      <c r="M25" s="198">
        <f t="shared" si="49"/>
        <v>8</v>
      </c>
      <c r="N25" s="198">
        <f t="shared" si="49"/>
        <v>-8</v>
      </c>
      <c r="O25" s="198">
        <f t="shared" si="49"/>
        <v>8</v>
      </c>
      <c r="Q25" s="198">
        <f t="shared" si="7"/>
        <v>0</v>
      </c>
    </row>
    <row r="26" ht="15.75" customHeight="1">
      <c r="A26" s="198">
        <f t="shared" si="5"/>
        <v>24</v>
      </c>
      <c r="B26" s="198">
        <f>B25+12</f>
        <v>-60</v>
      </c>
      <c r="C26" s="198">
        <f t="shared" ref="C26:D26" si="50">C25-12</f>
        <v>228</v>
      </c>
      <c r="D26" s="198">
        <f t="shared" si="50"/>
        <v>-52</v>
      </c>
      <c r="E26" s="198">
        <f>E25+12</f>
        <v>-116</v>
      </c>
      <c r="F26" s="198">
        <f t="shared" si="3"/>
        <v>0</v>
      </c>
      <c r="G26" s="198" t="s">
        <v>347</v>
      </c>
      <c r="H26" s="198" t="s">
        <v>10</v>
      </c>
      <c r="I26" s="198" t="s">
        <v>7</v>
      </c>
      <c r="L26" s="198">
        <f t="shared" ref="L26:O26" si="51">SUM(B26-B25)</f>
        <v>12</v>
      </c>
      <c r="M26" s="198">
        <f t="shared" si="51"/>
        <v>-12</v>
      </c>
      <c r="N26" s="198">
        <f t="shared" si="51"/>
        <v>-12</v>
      </c>
      <c r="O26" s="198">
        <f t="shared" si="51"/>
        <v>12</v>
      </c>
      <c r="Q26" s="198">
        <f t="shared" si="7"/>
        <v>0</v>
      </c>
    </row>
    <row r="27" ht="15.75" customHeight="1">
      <c r="A27" s="198">
        <f t="shared" si="5"/>
        <v>25</v>
      </c>
      <c r="B27" s="198">
        <f t="shared" ref="B27:D27" si="52">B26-8</f>
        <v>-68</v>
      </c>
      <c r="C27" s="198">
        <f t="shared" si="52"/>
        <v>220</v>
      </c>
      <c r="D27" s="198">
        <f t="shared" si="52"/>
        <v>-60</v>
      </c>
      <c r="E27" s="198">
        <f>E26+24</f>
        <v>-92</v>
      </c>
      <c r="F27" s="198">
        <f t="shared" si="3"/>
        <v>0</v>
      </c>
      <c r="G27" s="198" t="s">
        <v>140</v>
      </c>
      <c r="H27" s="198" t="s">
        <v>10</v>
      </c>
      <c r="I27" s="198" t="s">
        <v>286</v>
      </c>
      <c r="L27" s="198">
        <f t="shared" ref="L27:O27" si="53">SUM(B27-B26)</f>
        <v>-8</v>
      </c>
      <c r="M27" s="198">
        <f t="shared" si="53"/>
        <v>-8</v>
      </c>
      <c r="N27" s="198">
        <f t="shared" si="53"/>
        <v>-8</v>
      </c>
      <c r="O27" s="198">
        <f t="shared" si="53"/>
        <v>24</v>
      </c>
      <c r="Q27" s="198">
        <f t="shared" si="7"/>
        <v>0</v>
      </c>
    </row>
    <row r="28" ht="15.75" customHeight="1">
      <c r="A28" s="198">
        <f t="shared" si="5"/>
        <v>26</v>
      </c>
      <c r="B28" s="198">
        <f>B27-12</f>
        <v>-80</v>
      </c>
      <c r="C28" s="198">
        <f t="shared" ref="C28:D28" si="54">C27+12</f>
        <v>232</v>
      </c>
      <c r="D28" s="198">
        <f t="shared" si="54"/>
        <v>-48</v>
      </c>
      <c r="E28" s="198">
        <f>E27-12</f>
        <v>-104</v>
      </c>
      <c r="F28" s="198">
        <f t="shared" si="3"/>
        <v>0</v>
      </c>
      <c r="I28" s="198" t="s">
        <v>8</v>
      </c>
      <c r="L28" s="198">
        <f t="shared" ref="L28:O28" si="55">SUM(B28-B27)</f>
        <v>-12</v>
      </c>
      <c r="M28" s="198">
        <f t="shared" si="55"/>
        <v>12</v>
      </c>
      <c r="N28" s="198">
        <f t="shared" si="55"/>
        <v>12</v>
      </c>
      <c r="O28" s="198">
        <f t="shared" si="55"/>
        <v>-12</v>
      </c>
      <c r="Q28" s="198">
        <f t="shared" si="7"/>
        <v>0</v>
      </c>
    </row>
    <row r="29" ht="15.75" customHeight="1">
      <c r="A29" s="198">
        <f t="shared" si="5"/>
        <v>27</v>
      </c>
      <c r="B29" s="198">
        <f>B28+8</f>
        <v>-72</v>
      </c>
      <c r="C29" s="198">
        <f>C28-8</f>
        <v>224</v>
      </c>
      <c r="D29" s="198">
        <f>D28+8</f>
        <v>-40</v>
      </c>
      <c r="E29" s="198">
        <f>E28-8</f>
        <v>-112</v>
      </c>
      <c r="F29" s="198">
        <f t="shared" si="3"/>
        <v>0</v>
      </c>
      <c r="G29" s="198" t="s">
        <v>337</v>
      </c>
      <c r="H29" s="198" t="s">
        <v>7</v>
      </c>
      <c r="I29" s="198" t="s">
        <v>10</v>
      </c>
      <c r="L29" s="198">
        <f t="shared" ref="L29:O29" si="56">SUM(B29-B28)</f>
        <v>8</v>
      </c>
      <c r="M29" s="198">
        <f t="shared" si="56"/>
        <v>-8</v>
      </c>
      <c r="N29" s="198">
        <f t="shared" si="56"/>
        <v>8</v>
      </c>
      <c r="O29" s="198">
        <f t="shared" si="56"/>
        <v>-8</v>
      </c>
      <c r="Q29" s="198">
        <f t="shared" si="7"/>
        <v>0</v>
      </c>
    </row>
    <row r="30" ht="15.75" customHeight="1"/>
    <row r="31" ht="15.75" customHeight="1">
      <c r="L31" s="202">
        <f t="shared" ref="L31:O31" si="57">SUM(L3:L29)</f>
        <v>-72</v>
      </c>
      <c r="M31" s="202">
        <f t="shared" si="57"/>
        <v>224</v>
      </c>
      <c r="N31" s="202">
        <f t="shared" si="57"/>
        <v>-40</v>
      </c>
      <c r="O31" s="202">
        <f t="shared" si="57"/>
        <v>-112</v>
      </c>
    </row>
    <row r="32" ht="15.75" customHeight="1"/>
    <row r="33"/>
    <row r="34"/>
    <row r="35"/>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6" width="7.63"/>
    <col customWidth="1" min="7" max="7" width="9.88"/>
    <col customWidth="1" min="8" max="17" width="7.63"/>
  </cols>
  <sheetData>
    <row r="1">
      <c r="A1" s="220">
        <f>'00_Regnskab_01'!A18</f>
        <v>15</v>
      </c>
      <c r="B1" s="221">
        <f>'00_Regnskab_01'!C18</f>
        <v>44365</v>
      </c>
      <c r="C1" s="215"/>
      <c r="D1" s="214" t="str">
        <f>'00_Regnskab_01'!L18</f>
        <v>Thomas, Valby</v>
      </c>
      <c r="E1" s="219"/>
      <c r="F1" s="222"/>
      <c r="G1" s="219"/>
      <c r="H1" s="219"/>
      <c r="I1" s="219"/>
      <c r="J1" s="218"/>
      <c r="K1" s="218"/>
      <c r="L1" s="198"/>
      <c r="M1" s="198"/>
      <c r="N1" s="198"/>
      <c r="O1" s="198"/>
      <c r="Q1" s="198"/>
    </row>
    <row r="2">
      <c r="A2" s="198"/>
      <c r="B2" s="198" t="s">
        <v>7</v>
      </c>
      <c r="C2" s="198" t="s">
        <v>383</v>
      </c>
      <c r="D2" s="198" t="s">
        <v>8</v>
      </c>
      <c r="E2" s="198" t="s">
        <v>9</v>
      </c>
      <c r="F2" s="198" t="s">
        <v>360</v>
      </c>
      <c r="G2" s="198" t="s">
        <v>64</v>
      </c>
      <c r="H2" s="198" t="s">
        <v>361</v>
      </c>
      <c r="I2" s="198" t="s">
        <v>82</v>
      </c>
      <c r="L2" s="198" t="str">
        <f t="shared" ref="L2:O2" si="1">B2</f>
        <v>Thomas</v>
      </c>
      <c r="M2" s="198" t="str">
        <f t="shared" si="1"/>
        <v>Christian </v>
      </c>
      <c r="N2" s="198" t="str">
        <f t="shared" si="1"/>
        <v>Peter</v>
      </c>
      <c r="O2" s="198" t="str">
        <f t="shared" si="1"/>
        <v>Janus</v>
      </c>
      <c r="Q2" s="198" t="s">
        <v>79</v>
      </c>
    </row>
    <row r="3">
      <c r="A3" s="206">
        <v>1.0</v>
      </c>
      <c r="B3" s="198">
        <v>-8.0</v>
      </c>
      <c r="C3" s="198">
        <v>-8.0</v>
      </c>
      <c r="D3" s="198">
        <v>24.0</v>
      </c>
      <c r="E3" s="198">
        <v>-8.0</v>
      </c>
      <c r="F3" s="198">
        <f t="shared" ref="F3:F20" si="3">SUM(B3:E3)</f>
        <v>0</v>
      </c>
      <c r="G3" s="198" t="s">
        <v>140</v>
      </c>
      <c r="H3" s="198" t="s">
        <v>8</v>
      </c>
      <c r="I3" s="198" t="s">
        <v>383</v>
      </c>
      <c r="L3" s="198">
        <f t="shared" ref="L3:O3" si="2">B3</f>
        <v>-8</v>
      </c>
      <c r="M3" s="198">
        <f t="shared" si="2"/>
        <v>-8</v>
      </c>
      <c r="N3" s="198">
        <f t="shared" si="2"/>
        <v>24</v>
      </c>
      <c r="O3" s="198">
        <f t="shared" si="2"/>
        <v>-8</v>
      </c>
    </row>
    <row r="4">
      <c r="A4" s="198">
        <f t="shared" ref="A4:A20" si="5">A3+1</f>
        <v>2</v>
      </c>
      <c r="B4" s="198">
        <v>-12.0</v>
      </c>
      <c r="C4" s="198">
        <v>-12.0</v>
      </c>
      <c r="D4" s="198">
        <v>36.0</v>
      </c>
      <c r="E4" s="198">
        <v>-12.0</v>
      </c>
      <c r="F4" s="198">
        <f t="shared" si="3"/>
        <v>0</v>
      </c>
      <c r="G4" s="198" t="s">
        <v>139</v>
      </c>
      <c r="H4" s="198" t="s">
        <v>8</v>
      </c>
      <c r="I4" s="198" t="s">
        <v>8</v>
      </c>
      <c r="L4" s="198">
        <f t="shared" ref="L4:O4" si="4">SUM(B4-B3)</f>
        <v>-4</v>
      </c>
      <c r="M4" s="198">
        <f t="shared" si="4"/>
        <v>-4</v>
      </c>
      <c r="N4" s="198">
        <f t="shared" si="4"/>
        <v>12</v>
      </c>
      <c r="O4" s="198">
        <f t="shared" si="4"/>
        <v>-4</v>
      </c>
      <c r="Q4" s="198">
        <f t="shared" ref="Q4:Q20" si="7">SUM(L4:O4)</f>
        <v>0</v>
      </c>
    </row>
    <row r="5">
      <c r="A5" s="198">
        <f t="shared" si="5"/>
        <v>3</v>
      </c>
      <c r="B5" s="198">
        <f>B4+32</f>
        <v>20</v>
      </c>
      <c r="C5" s="198">
        <f>C4-32</f>
        <v>-44</v>
      </c>
      <c r="D5" s="198">
        <f>D4+32</f>
        <v>68</v>
      </c>
      <c r="E5" s="198">
        <f>E4-32</f>
        <v>-44</v>
      </c>
      <c r="F5" s="198">
        <f t="shared" si="3"/>
        <v>0</v>
      </c>
      <c r="G5" s="198" t="s">
        <v>302</v>
      </c>
      <c r="H5" s="198" t="s">
        <v>7</v>
      </c>
      <c r="I5" s="198" t="s">
        <v>9</v>
      </c>
      <c r="L5" s="198">
        <f t="shared" ref="L5:O5" si="6">SUM(B5-B4)</f>
        <v>32</v>
      </c>
      <c r="M5" s="198">
        <f t="shared" si="6"/>
        <v>-32</v>
      </c>
      <c r="N5" s="198">
        <f t="shared" si="6"/>
        <v>32</v>
      </c>
      <c r="O5" s="198">
        <f t="shared" si="6"/>
        <v>-32</v>
      </c>
      <c r="Q5" s="198">
        <f t="shared" si="7"/>
        <v>0</v>
      </c>
    </row>
    <row r="6">
      <c r="A6" s="198">
        <f t="shared" si="5"/>
        <v>4</v>
      </c>
      <c r="B6" s="198">
        <f>B5+12</f>
        <v>32</v>
      </c>
      <c r="C6" s="198">
        <f t="shared" ref="C6:D6" si="8">C5-12</f>
        <v>-56</v>
      </c>
      <c r="D6" s="198">
        <f t="shared" si="8"/>
        <v>56</v>
      </c>
      <c r="E6" s="198">
        <f>E5+12</f>
        <v>-32</v>
      </c>
      <c r="F6" s="198">
        <f t="shared" si="3"/>
        <v>0</v>
      </c>
      <c r="G6" s="198" t="s">
        <v>293</v>
      </c>
      <c r="H6" s="198" t="s">
        <v>383</v>
      </c>
      <c r="I6" s="198" t="s">
        <v>384</v>
      </c>
      <c r="L6" s="198">
        <f t="shared" ref="L6:O6" si="9">SUM(B6-B5)</f>
        <v>12</v>
      </c>
      <c r="M6" s="198">
        <f t="shared" si="9"/>
        <v>-12</v>
      </c>
      <c r="N6" s="198">
        <f t="shared" si="9"/>
        <v>-12</v>
      </c>
      <c r="O6" s="198">
        <f t="shared" si="9"/>
        <v>12</v>
      </c>
      <c r="Q6" s="198">
        <f t="shared" si="7"/>
        <v>0</v>
      </c>
    </row>
    <row r="7">
      <c r="A7" s="198">
        <f t="shared" si="5"/>
        <v>5</v>
      </c>
      <c r="B7" s="198">
        <f t="shared" ref="B7:C7" si="10">B6-8</f>
        <v>24</v>
      </c>
      <c r="C7" s="198">
        <f t="shared" si="10"/>
        <v>-64</v>
      </c>
      <c r="D7" s="198">
        <f>D6+24</f>
        <v>80</v>
      </c>
      <c r="E7" s="198">
        <f>E6-8</f>
        <v>-40</v>
      </c>
      <c r="F7" s="198">
        <f t="shared" si="3"/>
        <v>0</v>
      </c>
      <c r="G7" s="198" t="s">
        <v>140</v>
      </c>
      <c r="H7" s="198" t="s">
        <v>8</v>
      </c>
      <c r="I7" s="198" t="s">
        <v>383</v>
      </c>
      <c r="L7" s="198">
        <f t="shared" ref="L7:O7" si="11">SUM(B7-B6)</f>
        <v>-8</v>
      </c>
      <c r="M7" s="198">
        <f t="shared" si="11"/>
        <v>-8</v>
      </c>
      <c r="N7" s="198">
        <f t="shared" si="11"/>
        <v>24</v>
      </c>
      <c r="O7" s="198">
        <f t="shared" si="11"/>
        <v>-8</v>
      </c>
      <c r="Q7" s="198">
        <f t="shared" si="7"/>
        <v>0</v>
      </c>
    </row>
    <row r="8">
      <c r="A8" s="198">
        <f t="shared" si="5"/>
        <v>6</v>
      </c>
      <c r="B8" s="198">
        <f t="shared" ref="B8:C8" si="12">B7+12</f>
        <v>36</v>
      </c>
      <c r="C8" s="198">
        <f t="shared" si="12"/>
        <v>-52</v>
      </c>
      <c r="D8" s="198">
        <f t="shared" ref="D8:E8" si="13">D7-12</f>
        <v>68</v>
      </c>
      <c r="E8" s="198">
        <f t="shared" si="13"/>
        <v>-52</v>
      </c>
      <c r="F8" s="198">
        <f t="shared" si="3"/>
        <v>0</v>
      </c>
      <c r="G8" s="198" t="s">
        <v>299</v>
      </c>
      <c r="H8" s="198" t="s">
        <v>383</v>
      </c>
      <c r="I8" s="198" t="s">
        <v>8</v>
      </c>
      <c r="L8" s="198">
        <f t="shared" ref="L8:O8" si="14">SUM(B8-B7)</f>
        <v>12</v>
      </c>
      <c r="M8" s="198">
        <f t="shared" si="14"/>
        <v>12</v>
      </c>
      <c r="N8" s="198">
        <f t="shared" si="14"/>
        <v>-12</v>
      </c>
      <c r="O8" s="198">
        <f t="shared" si="14"/>
        <v>-12</v>
      </c>
      <c r="Q8" s="198">
        <f t="shared" si="7"/>
        <v>0</v>
      </c>
    </row>
    <row r="9">
      <c r="A9" s="198">
        <f t="shared" si="5"/>
        <v>7</v>
      </c>
      <c r="B9" s="198">
        <f>B8+16</f>
        <v>52</v>
      </c>
      <c r="C9" s="198">
        <f>C8-16</f>
        <v>-68</v>
      </c>
      <c r="D9" s="198">
        <f>D8+16</f>
        <v>84</v>
      </c>
      <c r="E9" s="198">
        <f>E8-16</f>
        <v>-68</v>
      </c>
      <c r="F9" s="198">
        <f t="shared" si="3"/>
        <v>0</v>
      </c>
      <c r="G9" s="198" t="s">
        <v>308</v>
      </c>
      <c r="H9" s="198" t="s">
        <v>9</v>
      </c>
      <c r="I9" s="198" t="s">
        <v>9</v>
      </c>
      <c r="L9" s="198">
        <f t="shared" ref="L9:O9" si="15">SUM(B9-B8)</f>
        <v>16</v>
      </c>
      <c r="M9" s="198">
        <f t="shared" si="15"/>
        <v>-16</v>
      </c>
      <c r="N9" s="198">
        <f t="shared" si="15"/>
        <v>16</v>
      </c>
      <c r="O9" s="198">
        <f t="shared" si="15"/>
        <v>-16</v>
      </c>
      <c r="Q9" s="198">
        <f t="shared" si="7"/>
        <v>0</v>
      </c>
    </row>
    <row r="10">
      <c r="A10" s="198">
        <f t="shared" si="5"/>
        <v>8</v>
      </c>
      <c r="B10" s="198">
        <f>B9-12</f>
        <v>40</v>
      </c>
      <c r="C10" s="198">
        <f t="shared" ref="C10:D10" si="16">C9+12</f>
        <v>-56</v>
      </c>
      <c r="D10" s="198">
        <f t="shared" si="16"/>
        <v>96</v>
      </c>
      <c r="E10" s="198">
        <f>E9-12</f>
        <v>-80</v>
      </c>
      <c r="F10" s="198">
        <f t="shared" si="3"/>
        <v>0</v>
      </c>
      <c r="G10" s="198" t="s">
        <v>293</v>
      </c>
      <c r="H10" s="198" t="s">
        <v>383</v>
      </c>
      <c r="I10" s="198" t="s">
        <v>384</v>
      </c>
      <c r="L10" s="198">
        <f t="shared" ref="L10:O10" si="17">SUM(B10-B9)</f>
        <v>-12</v>
      </c>
      <c r="M10" s="198">
        <f t="shared" si="17"/>
        <v>12</v>
      </c>
      <c r="N10" s="198">
        <f t="shared" si="17"/>
        <v>12</v>
      </c>
      <c r="O10" s="198">
        <f t="shared" si="17"/>
        <v>-12</v>
      </c>
      <c r="Q10" s="198">
        <f t="shared" si="7"/>
        <v>0</v>
      </c>
    </row>
    <row r="11">
      <c r="A11" s="198">
        <f t="shared" si="5"/>
        <v>9</v>
      </c>
      <c r="B11" s="198">
        <f>B10-48</f>
        <v>-8</v>
      </c>
      <c r="C11" s="198">
        <f t="shared" ref="C11:D11" si="18">C10+48</f>
        <v>-8</v>
      </c>
      <c r="D11" s="198">
        <f t="shared" si="18"/>
        <v>144</v>
      </c>
      <c r="E11" s="198">
        <f>E10-48</f>
        <v>-128</v>
      </c>
      <c r="F11" s="198">
        <f t="shared" si="3"/>
        <v>0</v>
      </c>
      <c r="G11" s="198" t="s">
        <v>294</v>
      </c>
      <c r="H11" s="198" t="s">
        <v>287</v>
      </c>
      <c r="I11" s="198" t="s">
        <v>383</v>
      </c>
      <c r="L11" s="198">
        <f t="shared" ref="L11:O11" si="19">SUM(B11-B10)</f>
        <v>-48</v>
      </c>
      <c r="M11" s="198">
        <f t="shared" si="19"/>
        <v>48</v>
      </c>
      <c r="N11" s="198">
        <f t="shared" si="19"/>
        <v>48</v>
      </c>
      <c r="O11" s="198">
        <f t="shared" si="19"/>
        <v>-48</v>
      </c>
      <c r="Q11" s="198">
        <f t="shared" si="7"/>
        <v>0</v>
      </c>
    </row>
    <row r="12">
      <c r="A12" s="198">
        <f t="shared" si="5"/>
        <v>10</v>
      </c>
      <c r="B12" s="198">
        <f>B11-8</f>
        <v>-16</v>
      </c>
      <c r="C12" s="198">
        <f>C11+8</f>
        <v>0</v>
      </c>
      <c r="D12" s="198">
        <f>D11-8</f>
        <v>136</v>
      </c>
      <c r="E12" s="198">
        <f>E11+8</f>
        <v>-120</v>
      </c>
      <c r="F12" s="198">
        <f t="shared" si="3"/>
        <v>0</v>
      </c>
      <c r="G12" s="198" t="s">
        <v>293</v>
      </c>
      <c r="H12" s="198" t="s">
        <v>7</v>
      </c>
      <c r="I12" s="198" t="s">
        <v>8</v>
      </c>
      <c r="L12" s="198">
        <f t="shared" ref="L12:O12" si="20">SUM(B12-B11)</f>
        <v>-8</v>
      </c>
      <c r="M12" s="198">
        <f t="shared" si="20"/>
        <v>8</v>
      </c>
      <c r="N12" s="198">
        <f t="shared" si="20"/>
        <v>-8</v>
      </c>
      <c r="O12" s="198">
        <f t="shared" si="20"/>
        <v>8</v>
      </c>
      <c r="Q12" s="198">
        <f t="shared" si="7"/>
        <v>0</v>
      </c>
    </row>
    <row r="13">
      <c r="A13" s="198">
        <f t="shared" si="5"/>
        <v>11</v>
      </c>
      <c r="B13" s="198">
        <f t="shared" ref="B13:B14" si="22">B12+32</f>
        <v>16</v>
      </c>
      <c r="C13" s="198">
        <f>C12-32</f>
        <v>-32</v>
      </c>
      <c r="D13" s="198">
        <f>D12+32</f>
        <v>168</v>
      </c>
      <c r="E13" s="198">
        <f>E12-32</f>
        <v>-152</v>
      </c>
      <c r="F13" s="198">
        <f t="shared" si="3"/>
        <v>0</v>
      </c>
      <c r="G13" s="198" t="s">
        <v>385</v>
      </c>
      <c r="H13" s="198" t="s">
        <v>7</v>
      </c>
      <c r="I13" s="198" t="s">
        <v>9</v>
      </c>
      <c r="L13" s="198">
        <f t="shared" ref="L13:O13" si="21">SUM(B13-B12)</f>
        <v>32</v>
      </c>
      <c r="M13" s="198">
        <f t="shared" si="21"/>
        <v>-32</v>
      </c>
      <c r="N13" s="198">
        <f t="shared" si="21"/>
        <v>32</v>
      </c>
      <c r="O13" s="198">
        <f t="shared" si="21"/>
        <v>-32</v>
      </c>
      <c r="Q13" s="198">
        <f t="shared" si="7"/>
        <v>0</v>
      </c>
    </row>
    <row r="14">
      <c r="A14" s="198">
        <f t="shared" si="5"/>
        <v>12</v>
      </c>
      <c r="B14" s="198">
        <f t="shared" si="22"/>
        <v>48</v>
      </c>
      <c r="C14" s="198">
        <f>C13+32</f>
        <v>0</v>
      </c>
      <c r="D14" s="198">
        <f t="shared" ref="D14:E14" si="23">D13-32</f>
        <v>136</v>
      </c>
      <c r="E14" s="198">
        <f t="shared" si="23"/>
        <v>-184</v>
      </c>
      <c r="F14" s="198">
        <f t="shared" si="3"/>
        <v>0</v>
      </c>
      <c r="G14" s="198" t="s">
        <v>302</v>
      </c>
      <c r="H14" s="198" t="s">
        <v>8</v>
      </c>
      <c r="I14" s="198" t="s">
        <v>384</v>
      </c>
      <c r="L14" s="198">
        <f t="shared" ref="L14:O14" si="24">SUM(B14-B13)</f>
        <v>32</v>
      </c>
      <c r="M14" s="198">
        <f t="shared" si="24"/>
        <v>32</v>
      </c>
      <c r="N14" s="198">
        <f t="shared" si="24"/>
        <v>-32</v>
      </c>
      <c r="O14" s="198">
        <f t="shared" si="24"/>
        <v>-32</v>
      </c>
      <c r="Q14" s="198">
        <f t="shared" si="7"/>
        <v>0</v>
      </c>
    </row>
    <row r="15">
      <c r="A15" s="198">
        <f t="shared" si="5"/>
        <v>13</v>
      </c>
      <c r="B15" s="198">
        <f>B14-24</f>
        <v>24</v>
      </c>
      <c r="C15" s="198">
        <f t="shared" ref="C15:D15" si="25">C14+24</f>
        <v>24</v>
      </c>
      <c r="D15" s="198">
        <f t="shared" si="25"/>
        <v>160</v>
      </c>
      <c r="E15" s="198">
        <f>E14-24</f>
        <v>-208</v>
      </c>
      <c r="F15" s="198">
        <f t="shared" si="3"/>
        <v>0</v>
      </c>
      <c r="G15" s="198" t="s">
        <v>386</v>
      </c>
      <c r="H15" s="198" t="s">
        <v>383</v>
      </c>
      <c r="I15" s="198" t="s">
        <v>383</v>
      </c>
      <c r="L15" s="198">
        <f t="shared" ref="L15:O15" si="26">SUM(B15-B14)</f>
        <v>-24</v>
      </c>
      <c r="M15" s="198">
        <f t="shared" si="26"/>
        <v>24</v>
      </c>
      <c r="N15" s="198">
        <f t="shared" si="26"/>
        <v>24</v>
      </c>
      <c r="O15" s="198">
        <f t="shared" si="26"/>
        <v>-24</v>
      </c>
      <c r="Q15" s="198">
        <f t="shared" si="7"/>
        <v>0</v>
      </c>
    </row>
    <row r="16">
      <c r="A16" s="198">
        <f t="shared" si="5"/>
        <v>14</v>
      </c>
      <c r="B16" s="198">
        <f t="shared" ref="B16:D16" si="27">B15-4</f>
        <v>20</v>
      </c>
      <c r="C16" s="198">
        <f t="shared" si="27"/>
        <v>20</v>
      </c>
      <c r="D16" s="198">
        <f t="shared" si="27"/>
        <v>156</v>
      </c>
      <c r="E16" s="198">
        <f>E15+12</f>
        <v>-196</v>
      </c>
      <c r="F16" s="198">
        <f t="shared" si="3"/>
        <v>0</v>
      </c>
      <c r="G16" s="198" t="s">
        <v>139</v>
      </c>
      <c r="H16" s="198" t="s">
        <v>9</v>
      </c>
      <c r="I16" s="198" t="s">
        <v>8</v>
      </c>
      <c r="L16" s="198">
        <f t="shared" ref="L16:O16" si="28">SUM(B16-B15)</f>
        <v>-4</v>
      </c>
      <c r="M16" s="198">
        <f t="shared" si="28"/>
        <v>-4</v>
      </c>
      <c r="N16" s="198">
        <f t="shared" si="28"/>
        <v>-4</v>
      </c>
      <c r="O16" s="198">
        <f t="shared" si="28"/>
        <v>12</v>
      </c>
      <c r="Q16" s="198">
        <f t="shared" si="7"/>
        <v>0</v>
      </c>
    </row>
    <row r="17">
      <c r="A17" s="198">
        <f t="shared" si="5"/>
        <v>15</v>
      </c>
      <c r="B17" s="198">
        <f>B16-4</f>
        <v>16</v>
      </c>
      <c r="C17" s="198">
        <f>C16+12</f>
        <v>32</v>
      </c>
      <c r="D17" s="198">
        <f t="shared" ref="D17:E17" si="29">D16-4</f>
        <v>152</v>
      </c>
      <c r="E17" s="198">
        <f t="shared" si="29"/>
        <v>-200</v>
      </c>
      <c r="F17" s="198">
        <f t="shared" si="3"/>
        <v>0</v>
      </c>
      <c r="G17" s="198" t="s">
        <v>97</v>
      </c>
      <c r="H17" s="198" t="s">
        <v>383</v>
      </c>
      <c r="I17" s="198" t="s">
        <v>384</v>
      </c>
      <c r="L17" s="198">
        <f t="shared" ref="L17:O17" si="30">SUM(B17-B16)</f>
        <v>-4</v>
      </c>
      <c r="M17" s="198">
        <f t="shared" si="30"/>
        <v>12</v>
      </c>
      <c r="N17" s="198">
        <f t="shared" si="30"/>
        <v>-4</v>
      </c>
      <c r="O17" s="198">
        <f t="shared" si="30"/>
        <v>-4</v>
      </c>
      <c r="Q17" s="198">
        <f t="shared" si="7"/>
        <v>0</v>
      </c>
    </row>
    <row r="18">
      <c r="A18" s="198">
        <f t="shared" si="5"/>
        <v>16</v>
      </c>
      <c r="B18" s="198">
        <f>B17+8</f>
        <v>24</v>
      </c>
      <c r="C18" s="198">
        <f t="shared" ref="C18:D18" si="31">C17-8</f>
        <v>24</v>
      </c>
      <c r="D18" s="198">
        <f t="shared" si="31"/>
        <v>144</v>
      </c>
      <c r="E18" s="198">
        <f>E17+8</f>
        <v>-192</v>
      </c>
      <c r="F18" s="198">
        <f t="shared" si="3"/>
        <v>0</v>
      </c>
      <c r="G18" s="198" t="s">
        <v>347</v>
      </c>
      <c r="H18" s="198" t="s">
        <v>9</v>
      </c>
      <c r="I18" s="198" t="s">
        <v>383</v>
      </c>
      <c r="L18" s="198">
        <f t="shared" ref="L18:O18" si="32">SUM(B18-B17)</f>
        <v>8</v>
      </c>
      <c r="M18" s="198">
        <f t="shared" si="32"/>
        <v>-8</v>
      </c>
      <c r="N18" s="198">
        <f t="shared" si="32"/>
        <v>-8</v>
      </c>
      <c r="O18" s="198">
        <f t="shared" si="32"/>
        <v>8</v>
      </c>
      <c r="Q18" s="198">
        <f t="shared" si="7"/>
        <v>0</v>
      </c>
    </row>
    <row r="19">
      <c r="A19" s="198">
        <f t="shared" si="5"/>
        <v>17</v>
      </c>
      <c r="B19" s="198">
        <f>B18-16</f>
        <v>8</v>
      </c>
      <c r="C19" s="198">
        <f>C18+16</f>
        <v>40</v>
      </c>
      <c r="D19" s="198">
        <f>D18-16</f>
        <v>128</v>
      </c>
      <c r="E19" s="198">
        <f>E18+16</f>
        <v>-176</v>
      </c>
      <c r="F19" s="198">
        <f t="shared" si="3"/>
        <v>0</v>
      </c>
      <c r="G19" s="198" t="s">
        <v>347</v>
      </c>
      <c r="H19" s="198" t="s">
        <v>9</v>
      </c>
      <c r="I19" s="198" t="s">
        <v>8</v>
      </c>
      <c r="L19" s="198">
        <f t="shared" ref="L19:O19" si="33">SUM(B19-B18)</f>
        <v>-16</v>
      </c>
      <c r="M19" s="198">
        <f t="shared" si="33"/>
        <v>16</v>
      </c>
      <c r="N19" s="198">
        <f t="shared" si="33"/>
        <v>-16</v>
      </c>
      <c r="O19" s="198">
        <f t="shared" si="33"/>
        <v>16</v>
      </c>
      <c r="Q19" s="198">
        <f t="shared" si="7"/>
        <v>0</v>
      </c>
    </row>
    <row r="20">
      <c r="A20" s="212">
        <f t="shared" si="5"/>
        <v>18</v>
      </c>
      <c r="B20" s="212">
        <v>8.0</v>
      </c>
      <c r="C20" s="212">
        <v>40.0</v>
      </c>
      <c r="D20" s="212">
        <v>128.0</v>
      </c>
      <c r="E20" s="212">
        <v>-176.0</v>
      </c>
      <c r="F20" s="198">
        <f t="shared" si="3"/>
        <v>0</v>
      </c>
      <c r="G20" s="198" t="s">
        <v>387</v>
      </c>
      <c r="H20" s="198" t="s">
        <v>7</v>
      </c>
      <c r="I20" s="198" t="s">
        <v>9</v>
      </c>
      <c r="L20" s="198">
        <f t="shared" ref="L20:O20" si="34">SUM(B20-B19)</f>
        <v>0</v>
      </c>
      <c r="M20" s="198">
        <f t="shared" si="34"/>
        <v>0</v>
      </c>
      <c r="N20" s="198">
        <f t="shared" si="34"/>
        <v>0</v>
      </c>
      <c r="O20" s="198">
        <f t="shared" si="34"/>
        <v>0</v>
      </c>
      <c r="Q20" s="198">
        <f t="shared" si="7"/>
        <v>0</v>
      </c>
    </row>
    <row r="22" ht="15.75" customHeight="1"/>
    <row r="23" ht="15.75" customHeight="1">
      <c r="L23" s="202">
        <f t="shared" ref="L23:O23" si="35">SUM(L3:L20)</f>
        <v>8</v>
      </c>
      <c r="M23" s="202">
        <f t="shared" si="35"/>
        <v>40</v>
      </c>
      <c r="N23" s="202">
        <f t="shared" si="35"/>
        <v>128</v>
      </c>
      <c r="O23" s="202">
        <f t="shared" si="35"/>
        <v>-176</v>
      </c>
    </row>
    <row r="24" ht="15.75" customHeight="1"/>
    <row r="25"/>
    <row r="26"/>
    <row r="27"/>
    <row r="28"/>
    <row r="29"/>
    <row r="30"/>
  </sheetData>
  <printOptions/>
  <pageMargins bottom="0.75" footer="0.0" header="0.0" left="0.7" right="0.7" top="0.75"/>
  <pageSetup orientation="landscape"/>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6" width="7.63"/>
    <col customWidth="1" min="7" max="7" width="15.63"/>
    <col customWidth="1" min="8" max="17" width="7.63"/>
  </cols>
  <sheetData>
    <row r="1">
      <c r="A1" s="220">
        <f>'00_Regnskab_01'!A19</f>
        <v>16</v>
      </c>
      <c r="B1" s="221">
        <f>'00_Regnskab_01'!C19</f>
        <v>44518</v>
      </c>
      <c r="C1" s="215"/>
      <c r="D1" s="214" t="str">
        <f>'00_Regnskab_01'!L19</f>
        <v>Stempel, Vesterbro</v>
      </c>
      <c r="E1" s="219"/>
      <c r="F1" s="222"/>
      <c r="G1" s="219"/>
      <c r="H1" s="219"/>
      <c r="I1" s="219"/>
      <c r="J1" s="218"/>
      <c r="K1" s="218"/>
      <c r="L1" s="198"/>
      <c r="M1" s="198"/>
      <c r="N1" s="198"/>
      <c r="O1" s="198"/>
      <c r="Q1" s="198"/>
    </row>
    <row r="2">
      <c r="A2" s="198"/>
      <c r="B2" s="198" t="s">
        <v>10</v>
      </c>
      <c r="C2" s="198" t="s">
        <v>7</v>
      </c>
      <c r="D2" s="198" t="s">
        <v>9</v>
      </c>
      <c r="E2" s="198" t="s">
        <v>8</v>
      </c>
      <c r="F2" s="198" t="s">
        <v>360</v>
      </c>
      <c r="G2" s="198" t="s">
        <v>64</v>
      </c>
      <c r="H2" s="198" t="s">
        <v>361</v>
      </c>
      <c r="I2" s="198" t="s">
        <v>82</v>
      </c>
      <c r="L2" s="198" t="str">
        <f t="shared" ref="L2:O2" si="1">B2</f>
        <v>Christian</v>
      </c>
      <c r="M2" s="198" t="str">
        <f t="shared" si="1"/>
        <v>Thomas</v>
      </c>
      <c r="N2" s="198" t="str">
        <f t="shared" si="1"/>
        <v>Janus</v>
      </c>
      <c r="O2" s="198" t="str">
        <f t="shared" si="1"/>
        <v>Peter</v>
      </c>
      <c r="Q2" s="198" t="s">
        <v>79</v>
      </c>
    </row>
    <row r="3">
      <c r="A3" s="206">
        <v>1.0</v>
      </c>
      <c r="B3" s="198">
        <v>-8.0</v>
      </c>
      <c r="C3" s="198">
        <v>-8.0</v>
      </c>
      <c r="D3" s="198">
        <v>8.0</v>
      </c>
      <c r="E3" s="198">
        <v>8.0</v>
      </c>
      <c r="F3" s="198">
        <f t="shared" ref="F3:F29" si="3">SUM(B3:E3)</f>
        <v>0</v>
      </c>
      <c r="G3" s="198" t="s">
        <v>299</v>
      </c>
      <c r="H3" s="198" t="s">
        <v>7</v>
      </c>
      <c r="I3" s="198" t="s">
        <v>383</v>
      </c>
      <c r="L3" s="198">
        <f t="shared" ref="L3:O3" si="2">B3</f>
        <v>-8</v>
      </c>
      <c r="M3" s="198">
        <f t="shared" si="2"/>
        <v>-8</v>
      </c>
      <c r="N3" s="198">
        <f t="shared" si="2"/>
        <v>8</v>
      </c>
      <c r="O3" s="198">
        <f t="shared" si="2"/>
        <v>8</v>
      </c>
    </row>
    <row r="4">
      <c r="A4" s="206">
        <f t="shared" ref="A4:A29" si="5">A3+1</f>
        <v>2</v>
      </c>
      <c r="B4" s="198">
        <v>-12.0</v>
      </c>
      <c r="C4" s="198">
        <v>-12.0</v>
      </c>
      <c r="D4" s="198">
        <v>4.0</v>
      </c>
      <c r="E4" s="198">
        <v>20.0</v>
      </c>
      <c r="F4" s="198">
        <f t="shared" si="3"/>
        <v>0</v>
      </c>
      <c r="G4" s="198" t="s">
        <v>99</v>
      </c>
      <c r="H4" s="198" t="s">
        <v>8</v>
      </c>
      <c r="I4" s="198" t="s">
        <v>7</v>
      </c>
      <c r="L4" s="198">
        <f t="shared" ref="L4:O4" si="4">SUM(B4-B3)</f>
        <v>-4</v>
      </c>
      <c r="M4" s="198">
        <f t="shared" si="4"/>
        <v>-4</v>
      </c>
      <c r="N4" s="198">
        <f t="shared" si="4"/>
        <v>-4</v>
      </c>
      <c r="O4" s="198">
        <f t="shared" si="4"/>
        <v>12</v>
      </c>
      <c r="Q4" s="198">
        <f t="shared" ref="Q4:Q29" si="7">SUM(L4:O4)</f>
        <v>0</v>
      </c>
    </row>
    <row r="5">
      <c r="A5" s="206">
        <f t="shared" si="5"/>
        <v>3</v>
      </c>
      <c r="B5" s="198">
        <v>20.0</v>
      </c>
      <c r="C5" s="198">
        <v>-12.0</v>
      </c>
      <c r="D5" s="198">
        <v>-28.0</v>
      </c>
      <c r="E5" s="198">
        <v>20.0</v>
      </c>
      <c r="F5" s="198">
        <f t="shared" si="3"/>
        <v>0</v>
      </c>
      <c r="G5" s="198" t="s">
        <v>97</v>
      </c>
      <c r="H5" s="198" t="s">
        <v>388</v>
      </c>
      <c r="I5" s="198" t="s">
        <v>9</v>
      </c>
      <c r="L5" s="198">
        <f t="shared" ref="L5:O5" si="6">SUM(B5-B4)</f>
        <v>32</v>
      </c>
      <c r="M5" s="198">
        <f t="shared" si="6"/>
        <v>0</v>
      </c>
      <c r="N5" s="198">
        <f t="shared" si="6"/>
        <v>-32</v>
      </c>
      <c r="O5" s="198">
        <f t="shared" si="6"/>
        <v>0</v>
      </c>
      <c r="Q5" s="198">
        <f t="shared" si="7"/>
        <v>0</v>
      </c>
    </row>
    <row r="6">
      <c r="A6" s="206">
        <f t="shared" si="5"/>
        <v>4</v>
      </c>
      <c r="B6" s="198">
        <f>B5-3*24</f>
        <v>-52</v>
      </c>
      <c r="C6" s="198">
        <f t="shared" ref="C6:E6" si="8">C5+24</f>
        <v>12</v>
      </c>
      <c r="D6" s="198">
        <f t="shared" si="8"/>
        <v>-4</v>
      </c>
      <c r="E6" s="198">
        <f t="shared" si="8"/>
        <v>44</v>
      </c>
      <c r="F6" s="198">
        <f t="shared" si="3"/>
        <v>0</v>
      </c>
      <c r="G6" s="198" t="s">
        <v>98</v>
      </c>
      <c r="H6" s="198" t="s">
        <v>10</v>
      </c>
      <c r="I6" s="198" t="s">
        <v>8</v>
      </c>
      <c r="L6" s="198">
        <f t="shared" ref="L6:O6" si="9">SUM(B6-B5)</f>
        <v>-72</v>
      </c>
      <c r="M6" s="198">
        <f t="shared" si="9"/>
        <v>24</v>
      </c>
      <c r="N6" s="198">
        <f t="shared" si="9"/>
        <v>24</v>
      </c>
      <c r="O6" s="198">
        <f t="shared" si="9"/>
        <v>24</v>
      </c>
      <c r="Q6" s="198">
        <f t="shared" si="7"/>
        <v>0</v>
      </c>
    </row>
    <row r="7">
      <c r="A7" s="206">
        <f t="shared" si="5"/>
        <v>5</v>
      </c>
      <c r="B7" s="198">
        <v>-64.0</v>
      </c>
      <c r="C7" s="198">
        <v>24.0</v>
      </c>
      <c r="D7" s="198">
        <v>8.0</v>
      </c>
      <c r="E7" s="198">
        <v>32.0</v>
      </c>
      <c r="F7" s="198">
        <f t="shared" si="3"/>
        <v>0</v>
      </c>
      <c r="G7" s="198" t="s">
        <v>389</v>
      </c>
      <c r="H7" s="198" t="s">
        <v>7</v>
      </c>
      <c r="I7" s="198" t="s">
        <v>383</v>
      </c>
      <c r="L7" s="198">
        <f t="shared" ref="L7:O7" si="10">SUM(B7-B6)</f>
        <v>-12</v>
      </c>
      <c r="M7" s="198">
        <f t="shared" si="10"/>
        <v>12</v>
      </c>
      <c r="N7" s="198">
        <f t="shared" si="10"/>
        <v>12</v>
      </c>
      <c r="O7" s="198">
        <f t="shared" si="10"/>
        <v>-12</v>
      </c>
      <c r="Q7" s="198">
        <f t="shared" si="7"/>
        <v>0</v>
      </c>
    </row>
    <row r="8">
      <c r="A8" s="206">
        <f t="shared" si="5"/>
        <v>6</v>
      </c>
      <c r="B8" s="198">
        <v>-56.0</v>
      </c>
      <c r="C8" s="198">
        <v>0.0</v>
      </c>
      <c r="D8" s="198">
        <v>16.0</v>
      </c>
      <c r="E8" s="198">
        <v>40.0</v>
      </c>
      <c r="F8" s="198">
        <f t="shared" si="3"/>
        <v>0</v>
      </c>
      <c r="G8" s="198" t="s">
        <v>97</v>
      </c>
      <c r="H8" s="198" t="s">
        <v>7</v>
      </c>
      <c r="I8" s="198" t="s">
        <v>7</v>
      </c>
      <c r="L8" s="198">
        <f t="shared" ref="L8:O8" si="11">SUM(B8-B7)</f>
        <v>8</v>
      </c>
      <c r="M8" s="198">
        <f t="shared" si="11"/>
        <v>-24</v>
      </c>
      <c r="N8" s="198">
        <f t="shared" si="11"/>
        <v>8</v>
      </c>
      <c r="O8" s="198">
        <f t="shared" si="11"/>
        <v>8</v>
      </c>
      <c r="Q8" s="198">
        <f t="shared" si="7"/>
        <v>0</v>
      </c>
    </row>
    <row r="9">
      <c r="A9" s="206">
        <f t="shared" si="5"/>
        <v>7</v>
      </c>
      <c r="B9" s="198">
        <v>-64.0</v>
      </c>
      <c r="C9" s="198">
        <v>24.0</v>
      </c>
      <c r="D9" s="198">
        <v>8.0</v>
      </c>
      <c r="E9" s="198">
        <v>32.0</v>
      </c>
      <c r="F9" s="198">
        <f t="shared" si="3"/>
        <v>0</v>
      </c>
      <c r="G9" s="198" t="s">
        <v>97</v>
      </c>
      <c r="H9" s="198" t="s">
        <v>7</v>
      </c>
      <c r="I9" s="198" t="s">
        <v>9</v>
      </c>
      <c r="L9" s="198">
        <f t="shared" ref="L9:O9" si="12">SUM(B9-B8)</f>
        <v>-8</v>
      </c>
      <c r="M9" s="198">
        <f t="shared" si="12"/>
        <v>24</v>
      </c>
      <c r="N9" s="198">
        <f t="shared" si="12"/>
        <v>-8</v>
      </c>
      <c r="O9" s="198">
        <f t="shared" si="12"/>
        <v>-8</v>
      </c>
      <c r="Q9" s="198">
        <f t="shared" si="7"/>
        <v>0</v>
      </c>
    </row>
    <row r="10">
      <c r="A10" s="206">
        <f t="shared" si="5"/>
        <v>8</v>
      </c>
      <c r="B10" s="198">
        <v>-80.0</v>
      </c>
      <c r="C10" s="198">
        <v>8.0</v>
      </c>
      <c r="D10" s="198">
        <v>-8.0</v>
      </c>
      <c r="E10" s="198">
        <v>80.0</v>
      </c>
      <c r="F10" s="198">
        <f t="shared" si="3"/>
        <v>0</v>
      </c>
      <c r="G10" s="198" t="s">
        <v>101</v>
      </c>
      <c r="H10" s="198" t="s">
        <v>8</v>
      </c>
      <c r="I10" s="198" t="s">
        <v>8</v>
      </c>
      <c r="L10" s="198">
        <f t="shared" ref="L10:O10" si="13">SUM(B10-B9)</f>
        <v>-16</v>
      </c>
      <c r="M10" s="198">
        <f t="shared" si="13"/>
        <v>-16</v>
      </c>
      <c r="N10" s="198">
        <f t="shared" si="13"/>
        <v>-16</v>
      </c>
      <c r="O10" s="198">
        <f t="shared" si="13"/>
        <v>48</v>
      </c>
      <c r="Q10" s="198">
        <f t="shared" si="7"/>
        <v>0</v>
      </c>
    </row>
    <row r="11">
      <c r="A11" s="206">
        <f t="shared" si="5"/>
        <v>9</v>
      </c>
      <c r="B11" s="198">
        <v>-96.0</v>
      </c>
      <c r="C11" s="198">
        <v>24.0</v>
      </c>
      <c r="D11" s="198">
        <v>-24.0</v>
      </c>
      <c r="E11" s="198">
        <v>96.0</v>
      </c>
      <c r="F11" s="198">
        <f t="shared" si="3"/>
        <v>0</v>
      </c>
      <c r="G11" s="198" t="s">
        <v>350</v>
      </c>
      <c r="H11" s="198" t="s">
        <v>7</v>
      </c>
      <c r="I11" s="198" t="s">
        <v>383</v>
      </c>
      <c r="L11" s="198">
        <f t="shared" ref="L11:O11" si="14">SUM(B11-B10)</f>
        <v>-16</v>
      </c>
      <c r="M11" s="198">
        <f t="shared" si="14"/>
        <v>16</v>
      </c>
      <c r="N11" s="198">
        <f t="shared" si="14"/>
        <v>-16</v>
      </c>
      <c r="O11" s="198">
        <f t="shared" si="14"/>
        <v>16</v>
      </c>
      <c r="Q11" s="198">
        <f t="shared" si="7"/>
        <v>0</v>
      </c>
    </row>
    <row r="12">
      <c r="A12" s="206">
        <f t="shared" si="5"/>
        <v>10</v>
      </c>
      <c r="B12" s="198">
        <f t="shared" ref="B12:C12" si="15">B11+48</f>
        <v>-48</v>
      </c>
      <c r="C12" s="198">
        <f t="shared" si="15"/>
        <v>72</v>
      </c>
      <c r="D12" s="198">
        <f>D11-48</f>
        <v>-72</v>
      </c>
      <c r="E12" s="198">
        <f>48</f>
        <v>48</v>
      </c>
      <c r="F12" s="198">
        <f t="shared" si="3"/>
        <v>0</v>
      </c>
      <c r="G12" s="198" t="s">
        <v>302</v>
      </c>
      <c r="H12" s="198" t="s">
        <v>8</v>
      </c>
      <c r="I12" s="198" t="s">
        <v>7</v>
      </c>
      <c r="L12" s="198">
        <f t="shared" ref="L12:O12" si="16">SUM(B12-B11)</f>
        <v>48</v>
      </c>
      <c r="M12" s="198">
        <f t="shared" si="16"/>
        <v>48</v>
      </c>
      <c r="N12" s="198">
        <f t="shared" si="16"/>
        <v>-48</v>
      </c>
      <c r="O12" s="198">
        <f t="shared" si="16"/>
        <v>-48</v>
      </c>
      <c r="Q12" s="198">
        <f t="shared" si="7"/>
        <v>0</v>
      </c>
    </row>
    <row r="13">
      <c r="A13" s="206">
        <f t="shared" si="5"/>
        <v>11</v>
      </c>
      <c r="B13" s="198">
        <f>B12+80</f>
        <v>32</v>
      </c>
      <c r="C13" s="198">
        <f>C12-3*80</f>
        <v>-168</v>
      </c>
      <c r="D13" s="198">
        <f t="shared" ref="D13:E13" si="17">D12+80</f>
        <v>8</v>
      </c>
      <c r="E13" s="198">
        <f t="shared" si="17"/>
        <v>128</v>
      </c>
      <c r="F13" s="198">
        <f t="shared" si="3"/>
        <v>0</v>
      </c>
      <c r="G13" s="198" t="s">
        <v>310</v>
      </c>
      <c r="H13" s="198" t="s">
        <v>7</v>
      </c>
      <c r="I13" s="198" t="s">
        <v>9</v>
      </c>
      <c r="L13" s="198">
        <f t="shared" ref="L13:O13" si="18">SUM(B13-B12)</f>
        <v>80</v>
      </c>
      <c r="M13" s="198">
        <f t="shared" si="18"/>
        <v>-240</v>
      </c>
      <c r="N13" s="198">
        <f t="shared" si="18"/>
        <v>80</v>
      </c>
      <c r="O13" s="198">
        <f t="shared" si="18"/>
        <v>80</v>
      </c>
      <c r="Q13" s="198">
        <f t="shared" si="7"/>
        <v>0</v>
      </c>
    </row>
    <row r="14">
      <c r="A14" s="206">
        <f t="shared" si="5"/>
        <v>12</v>
      </c>
      <c r="B14" s="198">
        <v>24.0</v>
      </c>
      <c r="C14" s="198">
        <v>-176.0</v>
      </c>
      <c r="D14" s="198">
        <v>0.0</v>
      </c>
      <c r="E14" s="198">
        <f>E13+24</f>
        <v>152</v>
      </c>
      <c r="F14" s="198">
        <f t="shared" si="3"/>
        <v>0</v>
      </c>
      <c r="G14" s="198" t="s">
        <v>97</v>
      </c>
      <c r="H14" s="198" t="s">
        <v>8</v>
      </c>
      <c r="I14" s="198" t="s">
        <v>8</v>
      </c>
      <c r="L14" s="198">
        <f t="shared" ref="L14:O14" si="19">SUM(B14-B13)</f>
        <v>-8</v>
      </c>
      <c r="M14" s="198">
        <f t="shared" si="19"/>
        <v>-8</v>
      </c>
      <c r="N14" s="198">
        <f t="shared" si="19"/>
        <v>-8</v>
      </c>
      <c r="O14" s="198">
        <f t="shared" si="19"/>
        <v>24</v>
      </c>
      <c r="Q14" s="198">
        <f t="shared" si="7"/>
        <v>0</v>
      </c>
    </row>
    <row r="15">
      <c r="A15" s="206">
        <f t="shared" si="5"/>
        <v>13</v>
      </c>
      <c r="B15" s="198">
        <f t="shared" ref="B15:C15" si="20">B14-4</f>
        <v>20</v>
      </c>
      <c r="C15" s="198">
        <f t="shared" si="20"/>
        <v>-180</v>
      </c>
      <c r="D15" s="198">
        <f t="shared" ref="D15:E15" si="21">D14+4</f>
        <v>4</v>
      </c>
      <c r="E15" s="198">
        <f t="shared" si="21"/>
        <v>156</v>
      </c>
      <c r="F15" s="198">
        <f t="shared" si="3"/>
        <v>0</v>
      </c>
      <c r="G15" s="198" t="s">
        <v>352</v>
      </c>
      <c r="H15" s="198" t="s">
        <v>9</v>
      </c>
      <c r="I15" s="198" t="s">
        <v>383</v>
      </c>
      <c r="L15" s="198">
        <f t="shared" ref="L15:O15" si="22">SUM(B15-B14)</f>
        <v>-4</v>
      </c>
      <c r="M15" s="198">
        <f t="shared" si="22"/>
        <v>-4</v>
      </c>
      <c r="N15" s="198">
        <f t="shared" si="22"/>
        <v>4</v>
      </c>
      <c r="O15" s="198">
        <f t="shared" si="22"/>
        <v>4</v>
      </c>
      <c r="Q15" s="198">
        <f t="shared" si="7"/>
        <v>0</v>
      </c>
    </row>
    <row r="16">
      <c r="A16" s="206">
        <f t="shared" si="5"/>
        <v>14</v>
      </c>
      <c r="B16" s="198">
        <f t="shared" ref="B16:B18" si="25">B15+32</f>
        <v>52</v>
      </c>
      <c r="C16" s="198">
        <f t="shared" ref="C16:D16" si="23">C15-32</f>
        <v>-212</v>
      </c>
      <c r="D16" s="198">
        <f t="shared" si="23"/>
        <v>-28</v>
      </c>
      <c r="E16" s="198">
        <f>E15+32</f>
        <v>188</v>
      </c>
      <c r="F16" s="198">
        <f t="shared" si="3"/>
        <v>0</v>
      </c>
      <c r="G16" s="212" t="s">
        <v>390</v>
      </c>
      <c r="H16" s="212" t="s">
        <v>8</v>
      </c>
      <c r="I16" s="212" t="s">
        <v>7</v>
      </c>
      <c r="J16" s="212"/>
      <c r="K16" s="212"/>
      <c r="L16" s="212">
        <f t="shared" ref="L16:O16" si="24">SUM(B16-B15)</f>
        <v>32</v>
      </c>
      <c r="M16" s="212">
        <f t="shared" si="24"/>
        <v>-32</v>
      </c>
      <c r="N16" s="212">
        <f t="shared" si="24"/>
        <v>-32</v>
      </c>
      <c r="O16" s="212">
        <f t="shared" si="24"/>
        <v>32</v>
      </c>
      <c r="Q16" s="198">
        <f t="shared" si="7"/>
        <v>0</v>
      </c>
    </row>
    <row r="17">
      <c r="A17" s="206">
        <f t="shared" si="5"/>
        <v>15</v>
      </c>
      <c r="B17" s="198">
        <f t="shared" si="25"/>
        <v>84</v>
      </c>
      <c r="C17" s="198">
        <f t="shared" ref="C17:C18" si="28">C16+32</f>
        <v>-180</v>
      </c>
      <c r="D17" s="198">
        <f t="shared" ref="D17:E17" si="26">D16-32</f>
        <v>-60</v>
      </c>
      <c r="E17" s="198">
        <f t="shared" si="26"/>
        <v>156</v>
      </c>
      <c r="F17" s="198">
        <f t="shared" si="3"/>
        <v>0</v>
      </c>
      <c r="G17" s="198" t="s">
        <v>302</v>
      </c>
      <c r="H17" s="198" t="s">
        <v>10</v>
      </c>
      <c r="I17" s="198" t="s">
        <v>9</v>
      </c>
      <c r="L17" s="198">
        <f t="shared" ref="L17:O17" si="27">SUM(B17-B16)</f>
        <v>32</v>
      </c>
      <c r="M17" s="198">
        <f t="shared" si="27"/>
        <v>32</v>
      </c>
      <c r="N17" s="198">
        <f t="shared" si="27"/>
        <v>-32</v>
      </c>
      <c r="O17" s="198">
        <f t="shared" si="27"/>
        <v>-32</v>
      </c>
      <c r="Q17" s="198">
        <f t="shared" si="7"/>
        <v>0</v>
      </c>
    </row>
    <row r="18">
      <c r="A18" s="206">
        <f t="shared" si="5"/>
        <v>16</v>
      </c>
      <c r="B18" s="198">
        <f t="shared" si="25"/>
        <v>116</v>
      </c>
      <c r="C18" s="198">
        <f t="shared" si="28"/>
        <v>-148</v>
      </c>
      <c r="D18" s="198">
        <f>D17-3*32</f>
        <v>-156</v>
      </c>
      <c r="E18" s="198">
        <f>E17+32</f>
        <v>188</v>
      </c>
      <c r="F18" s="198">
        <f t="shared" si="3"/>
        <v>0</v>
      </c>
      <c r="G18" s="198" t="s">
        <v>391</v>
      </c>
      <c r="H18" s="198" t="s">
        <v>9</v>
      </c>
      <c r="I18" s="198" t="s">
        <v>8</v>
      </c>
      <c r="L18" s="198">
        <f t="shared" ref="L18:O18" si="29">SUM(B18-B17)</f>
        <v>32</v>
      </c>
      <c r="M18" s="198">
        <f t="shared" si="29"/>
        <v>32</v>
      </c>
      <c r="N18" s="198">
        <f t="shared" si="29"/>
        <v>-96</v>
      </c>
      <c r="O18" s="198">
        <f t="shared" si="29"/>
        <v>32</v>
      </c>
      <c r="Q18" s="198">
        <f t="shared" si="7"/>
        <v>0</v>
      </c>
    </row>
    <row r="19">
      <c r="A19" s="206">
        <f t="shared" si="5"/>
        <v>17</v>
      </c>
      <c r="B19" s="198">
        <v>112.0</v>
      </c>
      <c r="C19" s="198">
        <v>-144.0</v>
      </c>
      <c r="D19" s="198">
        <v>-160.0</v>
      </c>
      <c r="E19" s="198">
        <v>192.0</v>
      </c>
      <c r="F19" s="198">
        <f t="shared" si="3"/>
        <v>0</v>
      </c>
      <c r="G19" s="198" t="s">
        <v>345</v>
      </c>
      <c r="H19" s="198" t="s">
        <v>8</v>
      </c>
      <c r="I19" s="198" t="s">
        <v>383</v>
      </c>
      <c r="L19" s="198">
        <f t="shared" ref="L19:O19" si="30">SUM(B19-B18)</f>
        <v>-4</v>
      </c>
      <c r="M19" s="198">
        <f t="shared" si="30"/>
        <v>4</v>
      </c>
      <c r="N19" s="198">
        <f t="shared" si="30"/>
        <v>-4</v>
      </c>
      <c r="O19" s="198">
        <f t="shared" si="30"/>
        <v>4</v>
      </c>
      <c r="Q19" s="198">
        <f t="shared" si="7"/>
        <v>0</v>
      </c>
    </row>
    <row r="20">
      <c r="A20" s="206">
        <f t="shared" si="5"/>
        <v>18</v>
      </c>
      <c r="B20" s="198">
        <f>B19-3*8</f>
        <v>88</v>
      </c>
      <c r="C20" s="198">
        <f t="shared" ref="C20:E20" si="31">C19+8</f>
        <v>-136</v>
      </c>
      <c r="D20" s="198">
        <f t="shared" si="31"/>
        <v>-152</v>
      </c>
      <c r="E20" s="198">
        <f t="shared" si="31"/>
        <v>200</v>
      </c>
      <c r="F20" s="198">
        <f t="shared" si="3"/>
        <v>0</v>
      </c>
      <c r="G20" s="198" t="s">
        <v>97</v>
      </c>
      <c r="H20" s="198" t="s">
        <v>10</v>
      </c>
      <c r="I20" s="198" t="s">
        <v>7</v>
      </c>
      <c r="L20" s="198">
        <f t="shared" ref="L20:O20" si="32">SUM(B20-B19)</f>
        <v>-24</v>
      </c>
      <c r="M20" s="198">
        <f t="shared" si="32"/>
        <v>8</v>
      </c>
      <c r="N20" s="198">
        <f t="shared" si="32"/>
        <v>8</v>
      </c>
      <c r="O20" s="198">
        <f t="shared" si="32"/>
        <v>8</v>
      </c>
      <c r="Q20" s="198">
        <f t="shared" si="7"/>
        <v>0</v>
      </c>
    </row>
    <row r="21">
      <c r="A21" s="206">
        <f t="shared" si="5"/>
        <v>19</v>
      </c>
      <c r="B21" s="198">
        <f t="shared" ref="B21:C21" si="33">B20+8</f>
        <v>96</v>
      </c>
      <c r="C21" s="198">
        <f t="shared" si="33"/>
        <v>-128</v>
      </c>
      <c r="D21" s="198">
        <f>D20-24</f>
        <v>-176</v>
      </c>
      <c r="E21" s="198">
        <f>E20+8</f>
        <v>208</v>
      </c>
      <c r="F21" s="198">
        <f t="shared" si="3"/>
        <v>0</v>
      </c>
      <c r="G21" s="198" t="s">
        <v>97</v>
      </c>
      <c r="H21" s="198" t="s">
        <v>9</v>
      </c>
      <c r="I21" s="198" t="s">
        <v>9</v>
      </c>
      <c r="L21" s="198">
        <f t="shared" ref="L21:O21" si="34">SUM(B21-B20)</f>
        <v>8</v>
      </c>
      <c r="M21" s="198">
        <f t="shared" si="34"/>
        <v>8</v>
      </c>
      <c r="N21" s="198">
        <f t="shared" si="34"/>
        <v>-24</v>
      </c>
      <c r="O21" s="198">
        <f t="shared" si="34"/>
        <v>8</v>
      </c>
      <c r="Q21" s="198">
        <f t="shared" si="7"/>
        <v>0</v>
      </c>
    </row>
    <row r="22" ht="15.75" customHeight="1">
      <c r="A22" s="206">
        <f t="shared" si="5"/>
        <v>20</v>
      </c>
      <c r="B22" s="198">
        <f t="shared" ref="B22:C22" si="35">B21-16</f>
        <v>80</v>
      </c>
      <c r="C22" s="198">
        <f t="shared" si="35"/>
        <v>-144</v>
      </c>
      <c r="D22" s="198">
        <f t="shared" ref="D22:E22" si="36">D21+16</f>
        <v>-160</v>
      </c>
      <c r="E22" s="198">
        <f t="shared" si="36"/>
        <v>224</v>
      </c>
      <c r="F22" s="198">
        <f t="shared" si="3"/>
        <v>0</v>
      </c>
      <c r="G22" s="198" t="s">
        <v>302</v>
      </c>
      <c r="H22" s="198" t="s">
        <v>7</v>
      </c>
      <c r="I22" s="198" t="s">
        <v>8</v>
      </c>
      <c r="L22" s="198">
        <f t="shared" ref="L22:O22" si="37">SUM(B22-B21)</f>
        <v>-16</v>
      </c>
      <c r="M22" s="198">
        <f t="shared" si="37"/>
        <v>-16</v>
      </c>
      <c r="N22" s="198">
        <f t="shared" si="37"/>
        <v>16</v>
      </c>
      <c r="O22" s="198">
        <f t="shared" si="37"/>
        <v>16</v>
      </c>
      <c r="Q22" s="198">
        <f t="shared" si="7"/>
        <v>0</v>
      </c>
    </row>
    <row r="23" ht="15.75" customHeight="1">
      <c r="A23" s="206">
        <f t="shared" si="5"/>
        <v>21</v>
      </c>
      <c r="B23" s="198">
        <v>88.0</v>
      </c>
      <c r="C23" s="198">
        <v>-136.0</v>
      </c>
      <c r="D23" s="198">
        <v>-152.0</v>
      </c>
      <c r="E23" s="198">
        <v>200.0</v>
      </c>
      <c r="F23" s="198">
        <f t="shared" si="3"/>
        <v>0</v>
      </c>
      <c r="G23" s="198" t="s">
        <v>97</v>
      </c>
      <c r="H23" s="198" t="s">
        <v>8</v>
      </c>
      <c r="I23" s="198" t="s">
        <v>383</v>
      </c>
      <c r="L23" s="198">
        <f t="shared" ref="L23:O23" si="38">SUM(B23-B22)</f>
        <v>8</v>
      </c>
      <c r="M23" s="198">
        <f t="shared" si="38"/>
        <v>8</v>
      </c>
      <c r="N23" s="198">
        <f t="shared" si="38"/>
        <v>8</v>
      </c>
      <c r="O23" s="198">
        <f t="shared" si="38"/>
        <v>-24</v>
      </c>
      <c r="Q23" s="198">
        <f t="shared" si="7"/>
        <v>0</v>
      </c>
    </row>
    <row r="24" ht="15.75" customHeight="1">
      <c r="A24" s="206">
        <f t="shared" si="5"/>
        <v>22</v>
      </c>
      <c r="B24" s="198">
        <f>+B23+16</f>
        <v>104</v>
      </c>
      <c r="C24" s="198">
        <f>+C23-16</f>
        <v>-152</v>
      </c>
      <c r="D24" s="198">
        <f>+D23+16</f>
        <v>-136</v>
      </c>
      <c r="E24" s="198">
        <f>+E23-16</f>
        <v>184</v>
      </c>
      <c r="F24" s="198">
        <f t="shared" si="3"/>
        <v>0</v>
      </c>
      <c r="G24" s="198" t="s">
        <v>308</v>
      </c>
      <c r="H24" s="198" t="s">
        <v>7</v>
      </c>
      <c r="I24" s="198" t="s">
        <v>7</v>
      </c>
      <c r="L24" s="198">
        <f t="shared" ref="L24:O24" si="39">SUM(B24-B23)</f>
        <v>16</v>
      </c>
      <c r="M24" s="198">
        <f t="shared" si="39"/>
        <v>-16</v>
      </c>
      <c r="N24" s="198">
        <f t="shared" si="39"/>
        <v>16</v>
      </c>
      <c r="O24" s="198">
        <f t="shared" si="39"/>
        <v>-16</v>
      </c>
      <c r="Q24" s="198">
        <f t="shared" si="7"/>
        <v>0</v>
      </c>
    </row>
    <row r="25" ht="15.75" customHeight="1">
      <c r="A25" s="206">
        <f t="shared" si="5"/>
        <v>23</v>
      </c>
      <c r="B25" s="198">
        <f t="shared" ref="B25:C25" si="40">B24+8</f>
        <v>112</v>
      </c>
      <c r="C25" s="198">
        <f t="shared" si="40"/>
        <v>-144</v>
      </c>
      <c r="D25" s="198">
        <f>D24-24</f>
        <v>-160</v>
      </c>
      <c r="E25" s="198">
        <f>E24+8</f>
        <v>192</v>
      </c>
      <c r="F25" s="198">
        <f t="shared" si="3"/>
        <v>0</v>
      </c>
      <c r="G25" s="198" t="s">
        <v>97</v>
      </c>
      <c r="H25" s="198" t="s">
        <v>9</v>
      </c>
      <c r="I25" s="198" t="s">
        <v>9</v>
      </c>
      <c r="L25" s="198">
        <f t="shared" ref="L25:O25" si="41">SUM(B25-B24)</f>
        <v>8</v>
      </c>
      <c r="M25" s="198">
        <f t="shared" si="41"/>
        <v>8</v>
      </c>
      <c r="N25" s="198">
        <f t="shared" si="41"/>
        <v>-24</v>
      </c>
      <c r="O25" s="198">
        <f t="shared" si="41"/>
        <v>8</v>
      </c>
      <c r="Q25" s="198">
        <f t="shared" si="7"/>
        <v>0</v>
      </c>
    </row>
    <row r="26" ht="15.75" customHeight="1">
      <c r="A26" s="206">
        <f t="shared" si="5"/>
        <v>24</v>
      </c>
      <c r="B26" s="198">
        <f t="shared" ref="B26:C26" si="42">B25+32</f>
        <v>144</v>
      </c>
      <c r="C26" s="198">
        <f t="shared" si="42"/>
        <v>-112</v>
      </c>
      <c r="D26" s="198">
        <f t="shared" ref="D26:E26" si="43">D25-32</f>
        <v>-192</v>
      </c>
      <c r="E26" s="198">
        <f t="shared" si="43"/>
        <v>160</v>
      </c>
      <c r="F26" s="198">
        <f t="shared" si="3"/>
        <v>0</v>
      </c>
      <c r="G26" s="198" t="s">
        <v>357</v>
      </c>
      <c r="H26" s="198" t="s">
        <v>7</v>
      </c>
      <c r="I26" s="198" t="s">
        <v>8</v>
      </c>
      <c r="L26" s="198">
        <f t="shared" ref="L26:O26" si="44">SUM(B26-B25)</f>
        <v>32</v>
      </c>
      <c r="M26" s="198">
        <f t="shared" si="44"/>
        <v>32</v>
      </c>
      <c r="N26" s="198">
        <f t="shared" si="44"/>
        <v>-32</v>
      </c>
      <c r="O26" s="198">
        <f t="shared" si="44"/>
        <v>-32</v>
      </c>
      <c r="Q26" s="198">
        <f t="shared" si="7"/>
        <v>0</v>
      </c>
    </row>
    <row r="27" ht="15.75" customHeight="1">
      <c r="A27" s="206">
        <f t="shared" si="5"/>
        <v>25</v>
      </c>
      <c r="B27" s="198">
        <f>B26-8</f>
        <v>136</v>
      </c>
      <c r="C27" s="198">
        <f>C26+24</f>
        <v>-88</v>
      </c>
      <c r="D27" s="198">
        <f t="shared" ref="D27:E27" si="45">D26-8</f>
        <v>-200</v>
      </c>
      <c r="E27" s="198">
        <f t="shared" si="45"/>
        <v>152</v>
      </c>
      <c r="F27" s="198">
        <f t="shared" si="3"/>
        <v>0</v>
      </c>
      <c r="G27" s="198" t="s">
        <v>392</v>
      </c>
      <c r="H27" s="198" t="s">
        <v>7</v>
      </c>
      <c r="I27" s="198" t="s">
        <v>383</v>
      </c>
      <c r="L27" s="198">
        <f t="shared" ref="L27:O27" si="46">SUM(B27-B26)</f>
        <v>-8</v>
      </c>
      <c r="M27" s="198">
        <f t="shared" si="46"/>
        <v>24</v>
      </c>
      <c r="N27" s="198">
        <f t="shared" si="46"/>
        <v>-8</v>
      </c>
      <c r="O27" s="198">
        <f t="shared" si="46"/>
        <v>-8</v>
      </c>
      <c r="Q27" s="198">
        <f t="shared" si="7"/>
        <v>0</v>
      </c>
    </row>
    <row r="28" ht="15.75" customHeight="1">
      <c r="A28" s="206">
        <f t="shared" si="5"/>
        <v>26</v>
      </c>
      <c r="B28" s="198">
        <f t="shared" ref="B28:C28" si="47">B27-20</f>
        <v>116</v>
      </c>
      <c r="C28" s="198">
        <f t="shared" si="47"/>
        <v>-108</v>
      </c>
      <c r="D28" s="198">
        <f t="shared" ref="D28:E28" si="48">D27+20</f>
        <v>-180</v>
      </c>
      <c r="E28" s="198">
        <f t="shared" si="48"/>
        <v>172</v>
      </c>
      <c r="F28" s="198">
        <f t="shared" si="3"/>
        <v>0</v>
      </c>
      <c r="G28" s="198" t="s">
        <v>293</v>
      </c>
      <c r="H28" s="198" t="s">
        <v>8</v>
      </c>
      <c r="I28" s="198" t="s">
        <v>7</v>
      </c>
      <c r="L28" s="198">
        <f t="shared" ref="L28:O28" si="49">SUM(B28-B27)</f>
        <v>-20</v>
      </c>
      <c r="M28" s="198">
        <f t="shared" si="49"/>
        <v>-20</v>
      </c>
      <c r="N28" s="198">
        <f t="shared" si="49"/>
        <v>20</v>
      </c>
      <c r="O28" s="198">
        <f t="shared" si="49"/>
        <v>20</v>
      </c>
      <c r="Q28" s="198">
        <f t="shared" si="7"/>
        <v>0</v>
      </c>
    </row>
    <row r="29" ht="15.75" customHeight="1">
      <c r="A29" s="206">
        <f t="shared" si="5"/>
        <v>27</v>
      </c>
      <c r="B29" s="198">
        <f>B28+192</f>
        <v>308</v>
      </c>
      <c r="C29" s="198">
        <f>C28-192</f>
        <v>-300</v>
      </c>
      <c r="D29" s="198">
        <f>D28+192</f>
        <v>12</v>
      </c>
      <c r="E29" s="198">
        <f>E28-192</f>
        <v>-20</v>
      </c>
      <c r="F29" s="198">
        <f t="shared" si="3"/>
        <v>0</v>
      </c>
      <c r="G29" s="198" t="s">
        <v>294</v>
      </c>
      <c r="H29" s="198" t="s">
        <v>7</v>
      </c>
      <c r="I29" s="198" t="s">
        <v>9</v>
      </c>
      <c r="L29" s="198">
        <f t="shared" ref="L29:O29" si="50">SUM(B29-B28)</f>
        <v>192</v>
      </c>
      <c r="M29" s="198">
        <f t="shared" si="50"/>
        <v>-192</v>
      </c>
      <c r="N29" s="198">
        <f t="shared" si="50"/>
        <v>192</v>
      </c>
      <c r="O29" s="198">
        <f t="shared" si="50"/>
        <v>-192</v>
      </c>
      <c r="Q29" s="198">
        <f t="shared" si="7"/>
        <v>0</v>
      </c>
    </row>
    <row r="30" ht="15.75" customHeight="1"/>
    <row r="31" ht="15.75" customHeight="1">
      <c r="L31" s="202">
        <f t="shared" ref="L31:O31" si="51">SUM(L3:L29)</f>
        <v>308</v>
      </c>
      <c r="M31" s="202">
        <f t="shared" si="51"/>
        <v>-300</v>
      </c>
      <c r="N31" s="202">
        <f t="shared" si="51"/>
        <v>12</v>
      </c>
      <c r="O31" s="202">
        <f t="shared" si="51"/>
        <v>-20</v>
      </c>
    </row>
    <row r="32" ht="15.75" customHeight="1"/>
    <row r="33"/>
    <row r="34"/>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2" width="21.75"/>
    <col customWidth="1" min="3" max="3" width="30.13"/>
    <col customWidth="1" min="4" max="4" width="21.88"/>
    <col customWidth="1" min="5" max="5" width="21.0"/>
    <col customWidth="1" min="6" max="6" width="17.75"/>
    <col customWidth="1" min="7" max="7" width="23.38"/>
    <col customWidth="1" min="8" max="8" width="16.88"/>
    <col customWidth="1" min="9" max="9" width="18.0"/>
    <col customWidth="1" min="10" max="10" width="11.88"/>
    <col customWidth="1" min="11" max="11" width="14.63"/>
    <col customWidth="1" min="12" max="13" width="11.88"/>
  </cols>
  <sheetData>
    <row r="1">
      <c r="A1" s="220">
        <f>'00_Regnskab_01'!A20</f>
        <v>17</v>
      </c>
      <c r="B1" s="221">
        <f>'00_Regnskab_01'!C20</f>
        <v>44617</v>
      </c>
      <c r="C1" s="215"/>
      <c r="D1" s="214" t="str">
        <f>'00_Regnskab_01'!L20</f>
        <v>Peter, Løkken</v>
      </c>
      <c r="E1" s="219"/>
      <c r="F1" s="222"/>
      <c r="G1" s="219"/>
      <c r="H1" s="219"/>
      <c r="I1" s="219"/>
      <c r="J1" s="218"/>
      <c r="K1" s="218"/>
    </row>
    <row r="2">
      <c r="A2" s="223"/>
      <c r="B2" s="223" t="s">
        <v>393</v>
      </c>
      <c r="C2" s="223" t="s">
        <v>83</v>
      </c>
      <c r="D2" s="223" t="s">
        <v>394</v>
      </c>
      <c r="E2" s="223" t="s">
        <v>7</v>
      </c>
      <c r="F2" s="223" t="s">
        <v>9</v>
      </c>
      <c r="G2" s="223" t="s">
        <v>10</v>
      </c>
      <c r="H2" s="223" t="s">
        <v>8</v>
      </c>
      <c r="I2" s="223" t="s">
        <v>278</v>
      </c>
    </row>
    <row r="3">
      <c r="A3" s="224">
        <v>1.0</v>
      </c>
      <c r="B3" s="223" t="s">
        <v>7</v>
      </c>
      <c r="C3" s="223" t="s">
        <v>299</v>
      </c>
      <c r="D3" s="223" t="s">
        <v>10</v>
      </c>
      <c r="E3" s="223">
        <v>-12.0</v>
      </c>
      <c r="F3" s="223">
        <v>12.0</v>
      </c>
      <c r="G3" s="223">
        <v>-12.0</v>
      </c>
      <c r="H3" s="223">
        <v>12.0</v>
      </c>
      <c r="I3" s="223">
        <f>SUM('17_25-02-2022'!$E3:$H3)</f>
        <v>0</v>
      </c>
      <c r="J3" s="225"/>
      <c r="K3" s="28" t="s">
        <v>395</v>
      </c>
      <c r="L3" s="225">
        <v>0.9319444444444445</v>
      </c>
    </row>
    <row r="4">
      <c r="A4" s="223">
        <f t="shared" ref="A4:A27" si="3">A3+1</f>
        <v>2</v>
      </c>
      <c r="B4" s="223" t="s">
        <v>9</v>
      </c>
      <c r="C4" s="223" t="s">
        <v>370</v>
      </c>
      <c r="D4" s="223" t="s">
        <v>9</v>
      </c>
      <c r="E4" s="223">
        <f t="shared" ref="E4:F4" si="1">E3+128</f>
        <v>116</v>
      </c>
      <c r="F4" s="223">
        <f t="shared" si="1"/>
        <v>140</v>
      </c>
      <c r="G4" s="223">
        <f t="shared" ref="G4:H4" si="2">G3-128</f>
        <v>-140</v>
      </c>
      <c r="H4" s="223">
        <f t="shared" si="2"/>
        <v>-116</v>
      </c>
      <c r="I4" s="223">
        <f>SUM('17_25-02-2022'!$E4:$H4)</f>
        <v>0</v>
      </c>
      <c r="K4" s="28" t="s">
        <v>396</v>
      </c>
      <c r="L4" s="225">
        <v>0.15208333333333332</v>
      </c>
    </row>
    <row r="5">
      <c r="A5" s="223">
        <f t="shared" si="3"/>
        <v>3</v>
      </c>
      <c r="B5" s="223" t="s">
        <v>10</v>
      </c>
      <c r="C5" s="223" t="s">
        <v>293</v>
      </c>
      <c r="D5" s="223" t="s">
        <v>9</v>
      </c>
      <c r="E5" s="223">
        <f>E4-48</f>
        <v>68</v>
      </c>
      <c r="F5" s="223">
        <f t="shared" ref="F5:G5" si="4">F4+48</f>
        <v>188</v>
      </c>
      <c r="G5" s="223">
        <f t="shared" si="4"/>
        <v>-92</v>
      </c>
      <c r="H5" s="223">
        <f>H4-48</f>
        <v>-164</v>
      </c>
      <c r="I5" s="223">
        <f>SUM('17_25-02-2022'!$E5:$H5)</f>
        <v>0</v>
      </c>
    </row>
    <row r="6">
      <c r="A6" s="223">
        <f t="shared" si="3"/>
        <v>4</v>
      </c>
      <c r="B6" s="223" t="s">
        <v>8</v>
      </c>
      <c r="C6" s="223" t="s">
        <v>302</v>
      </c>
      <c r="D6" s="223" t="s">
        <v>7</v>
      </c>
      <c r="E6" s="223">
        <f>E5+24</f>
        <v>92</v>
      </c>
      <c r="F6" s="223">
        <f>F5-24</f>
        <v>164</v>
      </c>
      <c r="G6" s="223">
        <f>G5+24</f>
        <v>-68</v>
      </c>
      <c r="H6" s="223">
        <f>H5-24</f>
        <v>-188</v>
      </c>
      <c r="I6" s="223">
        <f>SUM('17_25-02-2022'!$E6:$H6)</f>
        <v>0</v>
      </c>
    </row>
    <row r="7">
      <c r="A7" s="223">
        <f t="shared" si="3"/>
        <v>5</v>
      </c>
      <c r="B7" s="223" t="s">
        <v>7</v>
      </c>
      <c r="C7" s="223" t="s">
        <v>99</v>
      </c>
      <c r="D7" s="223" t="s">
        <v>9</v>
      </c>
      <c r="E7" s="223">
        <f>E6-4</f>
        <v>88</v>
      </c>
      <c r="F7" s="223">
        <f>F6+12</f>
        <v>176</v>
      </c>
      <c r="G7" s="223">
        <f t="shared" ref="G7:H7" si="5">G6-4</f>
        <v>-72</v>
      </c>
      <c r="H7" s="223">
        <f t="shared" si="5"/>
        <v>-192</v>
      </c>
      <c r="I7" s="223">
        <f>SUM('17_25-02-2022'!$E7:$H7)</f>
        <v>0</v>
      </c>
    </row>
    <row r="8">
      <c r="A8" s="223">
        <f t="shared" si="3"/>
        <v>6</v>
      </c>
      <c r="B8" s="223" t="s">
        <v>9</v>
      </c>
      <c r="C8" s="223" t="s">
        <v>314</v>
      </c>
      <c r="D8" s="223" t="s">
        <v>8</v>
      </c>
      <c r="E8" s="223">
        <f t="shared" ref="E8:F8" si="6">E7+12</f>
        <v>100</v>
      </c>
      <c r="F8" s="223">
        <f t="shared" si="6"/>
        <v>188</v>
      </c>
      <c r="G8" s="223">
        <f t="shared" ref="G8:H8" si="7">G7-12</f>
        <v>-84</v>
      </c>
      <c r="H8" s="223">
        <f t="shared" si="7"/>
        <v>-204</v>
      </c>
      <c r="I8" s="223">
        <f>SUM('17_25-02-2022'!$E8:$H8)</f>
        <v>0</v>
      </c>
    </row>
    <row r="9">
      <c r="A9" s="223">
        <f t="shared" si="3"/>
        <v>7</v>
      </c>
      <c r="B9" s="223" t="s">
        <v>10</v>
      </c>
      <c r="C9" s="223" t="s">
        <v>397</v>
      </c>
      <c r="D9" s="223" t="s">
        <v>7</v>
      </c>
      <c r="E9" s="223">
        <f>E8-60</f>
        <v>40</v>
      </c>
      <c r="F9" s="223">
        <f t="shared" ref="F9:H9" si="8">F8+20</f>
        <v>208</v>
      </c>
      <c r="G9" s="223">
        <f t="shared" si="8"/>
        <v>-64</v>
      </c>
      <c r="H9" s="223">
        <f t="shared" si="8"/>
        <v>-184</v>
      </c>
      <c r="I9" s="223">
        <f>SUM('17_25-02-2022'!$E9:$H9)</f>
        <v>0</v>
      </c>
    </row>
    <row r="10">
      <c r="A10" s="223">
        <f t="shared" si="3"/>
        <v>8</v>
      </c>
      <c r="B10" s="223" t="s">
        <v>8</v>
      </c>
      <c r="C10" s="223" t="s">
        <v>398</v>
      </c>
      <c r="D10" s="223" t="s">
        <v>10</v>
      </c>
      <c r="E10" s="223">
        <f t="shared" ref="E10:F10" si="9">E9+16</f>
        <v>56</v>
      </c>
      <c r="F10" s="223">
        <f t="shared" si="9"/>
        <v>224</v>
      </c>
      <c r="G10" s="223">
        <f>G9-3*16</f>
        <v>-112</v>
      </c>
      <c r="H10" s="223">
        <f>H9+16</f>
        <v>-168</v>
      </c>
      <c r="I10" s="223">
        <f>SUM('17_25-02-2022'!$E10:$H10)</f>
        <v>0</v>
      </c>
    </row>
    <row r="11">
      <c r="A11" s="223">
        <f t="shared" si="3"/>
        <v>9</v>
      </c>
      <c r="B11" s="223" t="s">
        <v>7</v>
      </c>
      <c r="C11" s="223" t="s">
        <v>399</v>
      </c>
      <c r="D11" s="223" t="s">
        <v>8</v>
      </c>
      <c r="E11" s="223">
        <f t="shared" ref="E11:F11" si="10">E10-6</f>
        <v>50</v>
      </c>
      <c r="F11" s="223">
        <f t="shared" si="10"/>
        <v>218</v>
      </c>
      <c r="G11" s="223">
        <f t="shared" ref="G11:H11" si="11">G10+6</f>
        <v>-106</v>
      </c>
      <c r="H11" s="223">
        <f t="shared" si="11"/>
        <v>-162</v>
      </c>
      <c r="I11" s="223">
        <f>SUM('17_25-02-2022'!$E11:$H11)</f>
        <v>0</v>
      </c>
    </row>
    <row r="12">
      <c r="A12" s="223">
        <f t="shared" si="3"/>
        <v>10</v>
      </c>
      <c r="B12" s="223" t="s">
        <v>9</v>
      </c>
      <c r="C12" s="223" t="s">
        <v>400</v>
      </c>
      <c r="D12" s="223" t="s">
        <v>10</v>
      </c>
      <c r="E12" s="223">
        <f t="shared" ref="E12:F12" si="12">E11-4</f>
        <v>46</v>
      </c>
      <c r="F12" s="223">
        <f t="shared" si="12"/>
        <v>214</v>
      </c>
      <c r="G12" s="223">
        <f>G11+12</f>
        <v>-94</v>
      </c>
      <c r="H12" s="223">
        <f>H11-4</f>
        <v>-166</v>
      </c>
      <c r="I12" s="223">
        <f>SUM('17_25-02-2022'!$E12:$H12)</f>
        <v>0</v>
      </c>
    </row>
    <row r="13">
      <c r="A13" s="223">
        <f t="shared" si="3"/>
        <v>11</v>
      </c>
      <c r="B13" s="223" t="s">
        <v>10</v>
      </c>
      <c r="C13" s="223" t="s">
        <v>299</v>
      </c>
      <c r="D13" s="223" t="s">
        <v>10</v>
      </c>
      <c r="E13" s="223">
        <f t="shared" ref="E13:F13" si="13">E12+8</f>
        <v>54</v>
      </c>
      <c r="F13" s="223">
        <f t="shared" si="13"/>
        <v>222</v>
      </c>
      <c r="G13" s="223">
        <f t="shared" ref="G13:H13" si="14">G12-8</f>
        <v>-102</v>
      </c>
      <c r="H13" s="223">
        <f t="shared" si="14"/>
        <v>-174</v>
      </c>
      <c r="I13" s="223">
        <f>SUM('17_25-02-2022'!$E13:$H13)</f>
        <v>0</v>
      </c>
    </row>
    <row r="14">
      <c r="A14" s="223">
        <f t="shared" si="3"/>
        <v>12</v>
      </c>
      <c r="B14" s="223" t="s">
        <v>8</v>
      </c>
      <c r="C14" s="223" t="s">
        <v>293</v>
      </c>
      <c r="D14" s="223" t="s">
        <v>7</v>
      </c>
      <c r="E14" s="223">
        <f>E13-60</f>
        <v>-6</v>
      </c>
      <c r="F14" s="223">
        <f t="shared" ref="F14:H14" si="15">F13+20</f>
        <v>242</v>
      </c>
      <c r="G14" s="223">
        <f t="shared" si="15"/>
        <v>-82</v>
      </c>
      <c r="H14" s="223">
        <f t="shared" si="15"/>
        <v>-154</v>
      </c>
      <c r="I14" s="223">
        <f>SUM('17_25-02-2022'!$E14:$H14)</f>
        <v>0</v>
      </c>
    </row>
    <row r="15">
      <c r="A15" s="223">
        <f t="shared" si="3"/>
        <v>13</v>
      </c>
      <c r="B15" s="223" t="s">
        <v>7</v>
      </c>
      <c r="C15" s="223" t="s">
        <v>301</v>
      </c>
      <c r="D15" s="223" t="s">
        <v>7</v>
      </c>
      <c r="E15" s="223">
        <f t="shared" ref="E15:E16" si="17">E14+24</f>
        <v>18</v>
      </c>
      <c r="F15" s="223">
        <f t="shared" ref="F15:H15" si="16">F14-8</f>
        <v>234</v>
      </c>
      <c r="G15" s="223">
        <f t="shared" si="16"/>
        <v>-90</v>
      </c>
      <c r="H15" s="223">
        <f t="shared" si="16"/>
        <v>-162</v>
      </c>
      <c r="I15" s="223">
        <f>SUM('17_25-02-2022'!$E15:$H15)</f>
        <v>0</v>
      </c>
    </row>
    <row r="16">
      <c r="A16" s="223">
        <f t="shared" si="3"/>
        <v>14</v>
      </c>
      <c r="B16" s="223" t="s">
        <v>9</v>
      </c>
      <c r="C16" s="223" t="s">
        <v>344</v>
      </c>
      <c r="D16" s="223" t="s">
        <v>7</v>
      </c>
      <c r="E16" s="223">
        <f t="shared" si="17"/>
        <v>42</v>
      </c>
      <c r="F16" s="223">
        <f>F15+24</f>
        <v>258</v>
      </c>
      <c r="G16" s="223">
        <f t="shared" ref="G16:H16" si="18">G15-24</f>
        <v>-114</v>
      </c>
      <c r="H16" s="223">
        <f t="shared" si="18"/>
        <v>-186</v>
      </c>
      <c r="I16" s="223">
        <f>SUM('17_25-02-2022'!$E16:$H16)</f>
        <v>0</v>
      </c>
    </row>
    <row r="17">
      <c r="A17" s="223">
        <f t="shared" si="3"/>
        <v>15</v>
      </c>
      <c r="B17" s="223" t="s">
        <v>10</v>
      </c>
      <c r="C17" s="223" t="s">
        <v>400</v>
      </c>
      <c r="D17" s="223" t="s">
        <v>8</v>
      </c>
      <c r="E17" s="223">
        <f t="shared" ref="E17:G17" si="19">E16+4</f>
        <v>46</v>
      </c>
      <c r="F17" s="223">
        <f t="shared" si="19"/>
        <v>262</v>
      </c>
      <c r="G17" s="223">
        <f t="shared" si="19"/>
        <v>-110</v>
      </c>
      <c r="H17" s="223">
        <f>H16-12</f>
        <v>-198</v>
      </c>
      <c r="I17" s="223">
        <f>SUM('17_25-02-2022'!$E17:$H17)</f>
        <v>0</v>
      </c>
    </row>
    <row r="18">
      <c r="A18" s="223">
        <f t="shared" si="3"/>
        <v>16</v>
      </c>
      <c r="B18" s="223" t="s">
        <v>8</v>
      </c>
      <c r="C18" s="223" t="s">
        <v>301</v>
      </c>
      <c r="D18" s="223" t="s">
        <v>9</v>
      </c>
      <c r="E18" s="223">
        <f>E17-8</f>
        <v>38</v>
      </c>
      <c r="F18" s="223">
        <f>F17+24</f>
        <v>286</v>
      </c>
      <c r="G18" s="223">
        <f t="shared" ref="G18:H18" si="20">G17-8</f>
        <v>-118</v>
      </c>
      <c r="H18" s="223">
        <f t="shared" si="20"/>
        <v>-206</v>
      </c>
      <c r="I18" s="223">
        <f>SUM('17_25-02-2022'!$E18:$H18)</f>
        <v>0</v>
      </c>
    </row>
    <row r="19">
      <c r="A19" s="223">
        <f t="shared" si="3"/>
        <v>17</v>
      </c>
      <c r="B19" s="223" t="s">
        <v>7</v>
      </c>
      <c r="C19" s="223" t="s">
        <v>301</v>
      </c>
      <c r="D19" s="223" t="s">
        <v>10</v>
      </c>
      <c r="E19" s="223">
        <f t="shared" ref="E19:F19" si="21">E18+8</f>
        <v>46</v>
      </c>
      <c r="F19" s="223">
        <f t="shared" si="21"/>
        <v>294</v>
      </c>
      <c r="G19" s="223">
        <f>G18-24</f>
        <v>-142</v>
      </c>
      <c r="H19" s="223">
        <f>H18+8</f>
        <v>-198</v>
      </c>
      <c r="I19" s="223">
        <f>SUM('17_25-02-2022'!$E19:$H19)</f>
        <v>0</v>
      </c>
    </row>
    <row r="20">
      <c r="A20" s="223">
        <f t="shared" si="3"/>
        <v>18</v>
      </c>
      <c r="B20" s="223" t="s">
        <v>9</v>
      </c>
      <c r="C20" s="223" t="s">
        <v>299</v>
      </c>
      <c r="D20" s="223" t="s">
        <v>7</v>
      </c>
      <c r="E20" s="223">
        <f t="shared" ref="E20:F20" si="22">E19+8</f>
        <v>54</v>
      </c>
      <c r="F20" s="223">
        <f t="shared" si="22"/>
        <v>302</v>
      </c>
      <c r="G20" s="223">
        <f t="shared" ref="G20:H20" si="23">G19-8</f>
        <v>-150</v>
      </c>
      <c r="H20" s="223">
        <f t="shared" si="23"/>
        <v>-206</v>
      </c>
      <c r="I20" s="223">
        <f>SUM('17_25-02-2022'!$E20:$H20)</f>
        <v>0</v>
      </c>
    </row>
    <row r="21">
      <c r="A21" s="223">
        <f t="shared" si="3"/>
        <v>19</v>
      </c>
      <c r="B21" s="223" t="s">
        <v>10</v>
      </c>
      <c r="C21" s="223" t="s">
        <v>139</v>
      </c>
      <c r="D21" s="223" t="s">
        <v>8</v>
      </c>
      <c r="E21" s="223">
        <f t="shared" ref="E21:G21" si="24">E20-4</f>
        <v>50</v>
      </c>
      <c r="F21" s="223">
        <f t="shared" si="24"/>
        <v>298</v>
      </c>
      <c r="G21" s="223">
        <f t="shared" si="24"/>
        <v>-154</v>
      </c>
      <c r="H21" s="223">
        <f>H20+12</f>
        <v>-194</v>
      </c>
      <c r="I21" s="223">
        <f>SUM('17_25-02-2022'!$E21:$H21)</f>
        <v>0</v>
      </c>
    </row>
    <row r="22">
      <c r="A22" s="223">
        <f t="shared" si="3"/>
        <v>20</v>
      </c>
      <c r="B22" s="223" t="s">
        <v>8</v>
      </c>
      <c r="C22" s="223" t="s">
        <v>401</v>
      </c>
      <c r="D22" s="223" t="s">
        <v>7</v>
      </c>
      <c r="E22" s="223">
        <f t="shared" ref="E22:F22" si="25">E21+24</f>
        <v>74</v>
      </c>
      <c r="F22" s="223">
        <f t="shared" si="25"/>
        <v>322</v>
      </c>
      <c r="G22" s="223">
        <f t="shared" ref="G22:H22" si="26">G21-24</f>
        <v>-178</v>
      </c>
      <c r="H22" s="223">
        <f t="shared" si="26"/>
        <v>-218</v>
      </c>
      <c r="I22" s="223">
        <f>SUM('17_25-02-2022'!$E22:$H22)</f>
        <v>0</v>
      </c>
    </row>
    <row r="23">
      <c r="A23" s="223">
        <f t="shared" si="3"/>
        <v>21</v>
      </c>
      <c r="B23" s="223" t="s">
        <v>7</v>
      </c>
      <c r="C23" s="223" t="s">
        <v>314</v>
      </c>
      <c r="D23" s="223" t="s">
        <v>7</v>
      </c>
      <c r="E23" s="223">
        <f t="shared" ref="E23:F23" si="27">E22+12</f>
        <v>86</v>
      </c>
      <c r="F23" s="223">
        <f t="shared" si="27"/>
        <v>334</v>
      </c>
      <c r="G23" s="223">
        <f t="shared" ref="G23:H23" si="28">G22-12</f>
        <v>-190</v>
      </c>
      <c r="H23" s="223">
        <f t="shared" si="28"/>
        <v>-230</v>
      </c>
      <c r="I23" s="223">
        <f>SUM('17_25-02-2022'!$E23:$H23)</f>
        <v>0</v>
      </c>
    </row>
    <row r="24">
      <c r="A24" s="223">
        <f t="shared" si="3"/>
        <v>22</v>
      </c>
      <c r="B24" s="223" t="s">
        <v>9</v>
      </c>
      <c r="C24" s="223" t="s">
        <v>99</v>
      </c>
      <c r="D24" s="223" t="s">
        <v>10</v>
      </c>
      <c r="E24" s="223">
        <f t="shared" ref="E24:F24" si="29">E23-4</f>
        <v>82</v>
      </c>
      <c r="F24" s="223">
        <f t="shared" si="29"/>
        <v>330</v>
      </c>
      <c r="G24" s="223">
        <f>G23+12</f>
        <v>-178</v>
      </c>
      <c r="H24" s="223">
        <f>H23-4</f>
        <v>-234</v>
      </c>
      <c r="I24" s="223">
        <f>SUM('17_25-02-2022'!$E24:$H24)</f>
        <v>0</v>
      </c>
    </row>
    <row r="25">
      <c r="A25" s="223">
        <f t="shared" si="3"/>
        <v>23</v>
      </c>
      <c r="B25" s="223" t="s">
        <v>10</v>
      </c>
      <c r="C25" s="223" t="s">
        <v>392</v>
      </c>
      <c r="D25" s="223" t="s">
        <v>7</v>
      </c>
      <c r="E25" s="223">
        <f>E24-12</f>
        <v>70</v>
      </c>
      <c r="F25" s="223">
        <f t="shared" ref="F25:G25" si="30">F24+12</f>
        <v>342</v>
      </c>
      <c r="G25" s="223">
        <f t="shared" si="30"/>
        <v>-166</v>
      </c>
      <c r="H25" s="223">
        <f>H24-12</f>
        <v>-246</v>
      </c>
      <c r="I25" s="223">
        <f>SUM('17_25-02-2022'!$E25:$H25)</f>
        <v>0</v>
      </c>
    </row>
    <row r="26">
      <c r="A26" s="223">
        <f t="shared" si="3"/>
        <v>24</v>
      </c>
      <c r="B26" s="223" t="s">
        <v>8</v>
      </c>
      <c r="C26" s="223" t="s">
        <v>101</v>
      </c>
      <c r="D26" s="223" t="s">
        <v>8</v>
      </c>
      <c r="E26" s="223">
        <f t="shared" ref="E26:G26" si="31">E25+16</f>
        <v>86</v>
      </c>
      <c r="F26" s="223">
        <f t="shared" si="31"/>
        <v>358</v>
      </c>
      <c r="G26" s="223">
        <f t="shared" si="31"/>
        <v>-150</v>
      </c>
      <c r="H26" s="223">
        <f>H25-3*16</f>
        <v>-294</v>
      </c>
      <c r="I26" s="223">
        <f>SUM('17_25-02-2022'!$E26:$H26)</f>
        <v>0</v>
      </c>
    </row>
    <row r="27">
      <c r="A27" s="223">
        <f t="shared" si="3"/>
        <v>25</v>
      </c>
      <c r="B27" s="223" t="s">
        <v>7</v>
      </c>
      <c r="C27" s="223" t="s">
        <v>352</v>
      </c>
      <c r="D27" s="223" t="s">
        <v>9</v>
      </c>
      <c r="E27" s="223">
        <f t="shared" ref="E27:F27" si="32">E26+10</f>
        <v>96</v>
      </c>
      <c r="F27" s="223">
        <f t="shared" si="32"/>
        <v>368</v>
      </c>
      <c r="G27" s="223">
        <f t="shared" ref="G27:H27" si="33">G26-10</f>
        <v>-160</v>
      </c>
      <c r="H27" s="223">
        <f t="shared" si="33"/>
        <v>-304</v>
      </c>
      <c r="I27" s="223">
        <f>SUM('17_25-02-2022'!$E27:$H27)</f>
        <v>0</v>
      </c>
    </row>
    <row r="28">
      <c r="A28" s="223"/>
      <c r="B28" s="223" t="s">
        <v>9</v>
      </c>
      <c r="C28" s="223"/>
      <c r="D28" s="223"/>
      <c r="E28" s="223"/>
      <c r="F28" s="223"/>
      <c r="G28" s="223"/>
      <c r="H28" s="223"/>
      <c r="I28" s="223">
        <f>SUM('17_25-02-2022'!$E28:$H28)</f>
        <v>0</v>
      </c>
    </row>
    <row r="29">
      <c r="A29" s="223"/>
      <c r="B29" s="223" t="s">
        <v>10</v>
      </c>
      <c r="C29" s="223"/>
      <c r="D29" s="223"/>
      <c r="E29" s="223"/>
      <c r="F29" s="223"/>
      <c r="G29" s="223"/>
      <c r="H29" s="223"/>
      <c r="I29" s="223">
        <f>SUM('17_25-02-2022'!$E29:$H29)</f>
        <v>0</v>
      </c>
    </row>
    <row r="30">
      <c r="A30" s="223"/>
      <c r="B30" s="223" t="s">
        <v>8</v>
      </c>
      <c r="C30" s="223"/>
      <c r="D30" s="223"/>
      <c r="E30" s="223"/>
      <c r="F30" s="223"/>
      <c r="G30" s="223"/>
      <c r="H30" s="223"/>
      <c r="I30" s="223">
        <f>SUM('17_25-02-2022'!$E30:$H30)</f>
        <v>0</v>
      </c>
    </row>
    <row r="31"/>
    <row r="32"/>
    <row r="33"/>
  </sheetData>
  <printOptions/>
  <pageMargins bottom="0.75" footer="0.0" header="0.0" left="0.7" right="0.7" top="0.75"/>
  <pageSetup orientation="landscape"/>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1.63"/>
    <col customWidth="1" min="2" max="2" width="38.38"/>
    <col customWidth="1" min="3" max="3" width="30.38"/>
    <col customWidth="1" min="4" max="4" width="26.63"/>
    <col customWidth="1" min="5" max="5" width="33.5"/>
    <col customWidth="1" min="6" max="10" width="11.88"/>
    <col customWidth="1" min="11" max="11" width="20.63"/>
    <col customWidth="1" min="12" max="13" width="11.88"/>
  </cols>
  <sheetData>
    <row r="1">
      <c r="A1" s="220">
        <f>'00_Regnskab_01'!A21</f>
        <v>18</v>
      </c>
      <c r="B1" s="221">
        <f>'00_Regnskab_01'!C21</f>
        <v>44618</v>
      </c>
      <c r="C1" s="215"/>
      <c r="D1" s="214" t="str">
        <f>'00_Regnskab_01'!L21</f>
        <v>Peter, Løkken</v>
      </c>
      <c r="E1" s="219"/>
      <c r="F1" s="222"/>
      <c r="G1" s="219"/>
      <c r="H1" s="219"/>
      <c r="I1" s="219"/>
      <c r="J1" s="218"/>
      <c r="K1" s="218"/>
      <c r="L1" s="226"/>
    </row>
    <row r="2">
      <c r="A2" s="227"/>
      <c r="B2" s="228" t="s">
        <v>393</v>
      </c>
      <c r="C2" s="229" t="s">
        <v>83</v>
      </c>
      <c r="D2" s="229" t="s">
        <v>394</v>
      </c>
      <c r="E2" s="229" t="s">
        <v>7</v>
      </c>
      <c r="F2" s="229" t="s">
        <v>9</v>
      </c>
      <c r="G2" s="229" t="s">
        <v>10</v>
      </c>
      <c r="H2" s="229" t="s">
        <v>8</v>
      </c>
      <c r="I2" s="230" t="s">
        <v>278</v>
      </c>
      <c r="J2" s="226"/>
      <c r="K2" s="226"/>
      <c r="L2" s="226"/>
    </row>
    <row r="3">
      <c r="A3" s="231">
        <v>1.0</v>
      </c>
      <c r="B3" s="232" t="s">
        <v>10</v>
      </c>
      <c r="C3" s="233" t="s">
        <v>314</v>
      </c>
      <c r="D3" s="233" t="s">
        <v>10</v>
      </c>
      <c r="E3" s="233">
        <v>8.0</v>
      </c>
      <c r="F3" s="233">
        <v>-8.0</v>
      </c>
      <c r="G3" s="233">
        <v>8.0</v>
      </c>
      <c r="H3" s="233">
        <v>-8.0</v>
      </c>
      <c r="I3" s="234">
        <f t="shared" ref="I3:I42" si="1">SUM(E3:H3)</f>
        <v>0</v>
      </c>
      <c r="J3" s="235"/>
      <c r="K3" s="226" t="s">
        <v>395</v>
      </c>
      <c r="L3" s="235">
        <v>0.65625</v>
      </c>
    </row>
    <row r="4">
      <c r="A4" s="236">
        <f t="shared" ref="A4:A42" si="2">A3+1</f>
        <v>2</v>
      </c>
      <c r="B4" s="232" t="s">
        <v>8</v>
      </c>
      <c r="C4" s="233" t="s">
        <v>140</v>
      </c>
      <c r="D4" s="233" t="s">
        <v>8</v>
      </c>
      <c r="E4" s="233">
        <v>16.0</v>
      </c>
      <c r="F4" s="233">
        <v>0.0</v>
      </c>
      <c r="G4" s="233">
        <v>16.0</v>
      </c>
      <c r="H4" s="233">
        <v>-32.0</v>
      </c>
      <c r="I4" s="234">
        <f t="shared" si="1"/>
        <v>0</v>
      </c>
      <c r="J4" s="226"/>
      <c r="K4" s="226" t="s">
        <v>396</v>
      </c>
      <c r="L4" s="235">
        <v>0.08333333333333333</v>
      </c>
    </row>
    <row r="5">
      <c r="A5" s="236">
        <f t="shared" si="2"/>
        <v>3</v>
      </c>
      <c r="B5" s="232" t="s">
        <v>7</v>
      </c>
      <c r="C5" s="233" t="s">
        <v>99</v>
      </c>
      <c r="D5" s="233" t="s">
        <v>10</v>
      </c>
      <c r="E5" s="233">
        <v>20.0</v>
      </c>
      <c r="F5" s="233">
        <v>4.0</v>
      </c>
      <c r="G5" s="233">
        <v>4.0</v>
      </c>
      <c r="H5" s="233">
        <f>H4+4</f>
        <v>-28</v>
      </c>
      <c r="I5" s="234">
        <f t="shared" si="1"/>
        <v>0</v>
      </c>
      <c r="J5" s="226"/>
      <c r="K5" s="226"/>
      <c r="L5" s="226"/>
    </row>
    <row r="6">
      <c r="A6" s="236">
        <f t="shared" si="2"/>
        <v>4</v>
      </c>
      <c r="B6" s="232" t="s">
        <v>9</v>
      </c>
      <c r="C6" s="233" t="s">
        <v>402</v>
      </c>
      <c r="D6" s="233" t="s">
        <v>7</v>
      </c>
      <c r="E6" s="233">
        <f>E5-18</f>
        <v>2</v>
      </c>
      <c r="F6" s="233">
        <f>10</f>
        <v>10</v>
      </c>
      <c r="G6" s="233">
        <v>10.0</v>
      </c>
      <c r="H6" s="233">
        <v>-22.0</v>
      </c>
      <c r="I6" s="234">
        <f t="shared" si="1"/>
        <v>0</v>
      </c>
      <c r="J6" s="226"/>
      <c r="K6" s="226"/>
      <c r="L6" s="226"/>
    </row>
    <row r="7">
      <c r="A7" s="236">
        <f t="shared" si="2"/>
        <v>5</v>
      </c>
      <c r="B7" s="232" t="s">
        <v>10</v>
      </c>
      <c r="C7" s="233" t="s">
        <v>302</v>
      </c>
      <c r="D7" s="233" t="s">
        <v>7</v>
      </c>
      <c r="E7" s="233">
        <f>E6+16</f>
        <v>18</v>
      </c>
      <c r="F7" s="233">
        <f>F6-16</f>
        <v>-6</v>
      </c>
      <c r="G7" s="233">
        <f>G6+16</f>
        <v>26</v>
      </c>
      <c r="H7" s="233">
        <f>H6-16</f>
        <v>-38</v>
      </c>
      <c r="I7" s="234">
        <f t="shared" si="1"/>
        <v>0</v>
      </c>
      <c r="J7" s="226"/>
      <c r="K7" s="226"/>
      <c r="L7" s="226"/>
    </row>
    <row r="8">
      <c r="A8" s="236">
        <f t="shared" si="2"/>
        <v>6</v>
      </c>
      <c r="B8" s="232" t="s">
        <v>8</v>
      </c>
      <c r="C8" s="233" t="s">
        <v>293</v>
      </c>
      <c r="D8" s="233" t="s">
        <v>8</v>
      </c>
      <c r="E8" s="233">
        <f>E7+12</f>
        <v>30</v>
      </c>
      <c r="F8" s="233">
        <f t="shared" ref="F8:G8" si="3">F7-12</f>
        <v>-18</v>
      </c>
      <c r="G8" s="233">
        <f t="shared" si="3"/>
        <v>14</v>
      </c>
      <c r="H8" s="233">
        <f>H7+12</f>
        <v>-26</v>
      </c>
      <c r="I8" s="234">
        <f t="shared" si="1"/>
        <v>0</v>
      </c>
      <c r="J8" s="226"/>
      <c r="K8" s="226"/>
      <c r="L8" s="226"/>
    </row>
    <row r="9">
      <c r="A9" s="236">
        <f t="shared" si="2"/>
        <v>7</v>
      </c>
      <c r="B9" s="232" t="s">
        <v>7</v>
      </c>
      <c r="C9" s="233" t="s">
        <v>314</v>
      </c>
      <c r="D9" s="233" t="s">
        <v>8</v>
      </c>
      <c r="E9" s="233">
        <f>E8+32</f>
        <v>62</v>
      </c>
      <c r="F9" s="233">
        <f t="shared" ref="F9:G9" si="4">F8-32</f>
        <v>-50</v>
      </c>
      <c r="G9" s="233">
        <f t="shared" si="4"/>
        <v>-18</v>
      </c>
      <c r="H9" s="233">
        <f>H8+32</f>
        <v>6</v>
      </c>
      <c r="I9" s="234">
        <f t="shared" si="1"/>
        <v>0</v>
      </c>
      <c r="J9" s="226"/>
      <c r="K9" s="226"/>
      <c r="L9" s="226"/>
    </row>
    <row r="10">
      <c r="A10" s="236">
        <f t="shared" si="2"/>
        <v>8</v>
      </c>
      <c r="B10" s="232" t="s">
        <v>9</v>
      </c>
      <c r="C10" s="233" t="s">
        <v>403</v>
      </c>
      <c r="D10" s="233" t="s">
        <v>7</v>
      </c>
      <c r="E10" s="233">
        <f>E9+3*48</f>
        <v>206</v>
      </c>
      <c r="F10" s="233">
        <f t="shared" ref="F10:H10" si="5">F9-48</f>
        <v>-98</v>
      </c>
      <c r="G10" s="233">
        <f t="shared" si="5"/>
        <v>-66</v>
      </c>
      <c r="H10" s="233">
        <f t="shared" si="5"/>
        <v>-42</v>
      </c>
      <c r="I10" s="234">
        <f t="shared" si="1"/>
        <v>0</v>
      </c>
      <c r="J10" s="226"/>
      <c r="K10" s="226"/>
      <c r="L10" s="226"/>
    </row>
    <row r="11">
      <c r="A11" s="236">
        <f t="shared" si="2"/>
        <v>9</v>
      </c>
      <c r="B11" s="232" t="s">
        <v>10</v>
      </c>
      <c r="C11" s="233" t="s">
        <v>404</v>
      </c>
      <c r="D11" s="233" t="s">
        <v>10</v>
      </c>
      <c r="E11" s="233">
        <f t="shared" ref="E11:F11" si="6">E10-16</f>
        <v>190</v>
      </c>
      <c r="F11" s="233">
        <f t="shared" si="6"/>
        <v>-114</v>
      </c>
      <c r="G11" s="233">
        <f t="shared" ref="G11:H11" si="7">G10+16</f>
        <v>-50</v>
      </c>
      <c r="H11" s="233">
        <f t="shared" si="7"/>
        <v>-26</v>
      </c>
      <c r="I11" s="234">
        <f t="shared" si="1"/>
        <v>0</v>
      </c>
      <c r="J11" s="226"/>
      <c r="K11" s="226"/>
      <c r="L11" s="226"/>
    </row>
    <row r="12">
      <c r="A12" s="236">
        <f t="shared" si="2"/>
        <v>10</v>
      </c>
      <c r="B12" s="232" t="s">
        <v>8</v>
      </c>
      <c r="C12" s="233" t="s">
        <v>314</v>
      </c>
      <c r="D12" s="233" t="s">
        <v>7</v>
      </c>
      <c r="E12" s="233">
        <f>E11+12</f>
        <v>202</v>
      </c>
      <c r="F12" s="233">
        <f t="shared" ref="F12:G12" si="8">F11-12</f>
        <v>-126</v>
      </c>
      <c r="G12" s="233">
        <f t="shared" si="8"/>
        <v>-62</v>
      </c>
      <c r="H12" s="233">
        <f>H11+12</f>
        <v>-14</v>
      </c>
      <c r="I12" s="234">
        <f t="shared" si="1"/>
        <v>0</v>
      </c>
      <c r="J12" s="226"/>
      <c r="K12" s="226"/>
      <c r="L12" s="226"/>
    </row>
    <row r="13">
      <c r="A13" s="236">
        <f t="shared" si="2"/>
        <v>11</v>
      </c>
      <c r="B13" s="232" t="s">
        <v>7</v>
      </c>
      <c r="C13" s="233" t="s">
        <v>392</v>
      </c>
      <c r="D13" s="233" t="s">
        <v>7</v>
      </c>
      <c r="E13" s="233">
        <f>E12+8</f>
        <v>210</v>
      </c>
      <c r="F13" s="233">
        <f t="shared" ref="F13:G13" si="9">F12-8</f>
        <v>-134</v>
      </c>
      <c r="G13" s="233">
        <f t="shared" si="9"/>
        <v>-70</v>
      </c>
      <c r="H13" s="233">
        <f>H12+8</f>
        <v>-6</v>
      </c>
      <c r="I13" s="234">
        <f t="shared" si="1"/>
        <v>0</v>
      </c>
      <c r="J13" s="226"/>
      <c r="K13" s="226"/>
      <c r="L13" s="226"/>
    </row>
    <row r="14">
      <c r="A14" s="236">
        <f t="shared" si="2"/>
        <v>12</v>
      </c>
      <c r="B14" s="232" t="s">
        <v>9</v>
      </c>
      <c r="C14" s="233" t="s">
        <v>350</v>
      </c>
      <c r="D14" s="233" t="s">
        <v>8</v>
      </c>
      <c r="E14" s="233">
        <f>E13-16</f>
        <v>194</v>
      </c>
      <c r="F14" s="233">
        <f>F13+16</f>
        <v>-118</v>
      </c>
      <c r="G14" s="233">
        <f>G13-16</f>
        <v>-86</v>
      </c>
      <c r="H14" s="233">
        <f>H13+16</f>
        <v>10</v>
      </c>
      <c r="I14" s="234">
        <f t="shared" si="1"/>
        <v>0</v>
      </c>
      <c r="J14" s="226"/>
      <c r="K14" s="226"/>
      <c r="L14" s="226"/>
    </row>
    <row r="15">
      <c r="A15" s="236">
        <f t="shared" si="2"/>
        <v>13</v>
      </c>
      <c r="B15" s="232" t="s">
        <v>10</v>
      </c>
      <c r="C15" s="233" t="s">
        <v>405</v>
      </c>
      <c r="D15" s="233" t="s">
        <v>7</v>
      </c>
      <c r="E15" s="233">
        <f t="shared" ref="E15:F15" si="10">E14+12</f>
        <v>206</v>
      </c>
      <c r="F15" s="233">
        <f t="shared" si="10"/>
        <v>-106</v>
      </c>
      <c r="G15" s="233">
        <f t="shared" ref="G15:H15" si="11">G14-12</f>
        <v>-98</v>
      </c>
      <c r="H15" s="233">
        <f t="shared" si="11"/>
        <v>-2</v>
      </c>
      <c r="I15" s="234">
        <f t="shared" si="1"/>
        <v>0</v>
      </c>
      <c r="J15" s="226"/>
      <c r="K15" s="226"/>
      <c r="L15" s="226"/>
    </row>
    <row r="16">
      <c r="A16" s="236">
        <f t="shared" si="2"/>
        <v>14</v>
      </c>
      <c r="B16" s="232" t="s">
        <v>8</v>
      </c>
      <c r="C16" s="233" t="s">
        <v>293</v>
      </c>
      <c r="D16" s="233" t="s">
        <v>7</v>
      </c>
      <c r="E16" s="233">
        <f>E15-12</f>
        <v>194</v>
      </c>
      <c r="F16" s="233">
        <f>F15+12</f>
        <v>-94</v>
      </c>
      <c r="G16" s="233">
        <f>G15-12</f>
        <v>-110</v>
      </c>
      <c r="H16" s="233">
        <f>H15+12</f>
        <v>10</v>
      </c>
      <c r="I16" s="234">
        <f t="shared" si="1"/>
        <v>0</v>
      </c>
      <c r="J16" s="226"/>
      <c r="K16" s="226"/>
      <c r="L16" s="226"/>
    </row>
    <row r="17">
      <c r="A17" s="236">
        <f t="shared" si="2"/>
        <v>15</v>
      </c>
      <c r="B17" s="232" t="s">
        <v>7</v>
      </c>
      <c r="C17" s="233" t="s">
        <v>401</v>
      </c>
      <c r="D17" s="233" t="s">
        <v>7</v>
      </c>
      <c r="E17" s="233">
        <f>E16+24</f>
        <v>218</v>
      </c>
      <c r="F17" s="233">
        <f t="shared" ref="F17:F18" si="12">F16-24</f>
        <v>-118</v>
      </c>
      <c r="G17" s="233">
        <f>G16+24</f>
        <v>-86</v>
      </c>
      <c r="H17" s="233">
        <f>H16-24</f>
        <v>-14</v>
      </c>
      <c r="I17" s="234">
        <f t="shared" si="1"/>
        <v>0</v>
      </c>
      <c r="J17" s="226"/>
      <c r="K17" s="226"/>
      <c r="L17" s="226"/>
    </row>
    <row r="18">
      <c r="A18" s="236">
        <f t="shared" si="2"/>
        <v>16</v>
      </c>
      <c r="B18" s="232" t="s">
        <v>9</v>
      </c>
      <c r="C18" s="233" t="s">
        <v>301</v>
      </c>
      <c r="D18" s="233" t="s">
        <v>9</v>
      </c>
      <c r="E18" s="233">
        <f>E17+8</f>
        <v>226</v>
      </c>
      <c r="F18" s="233">
        <f t="shared" si="12"/>
        <v>-142</v>
      </c>
      <c r="G18" s="233">
        <f t="shared" ref="G18:H18" si="13">G17+8</f>
        <v>-78</v>
      </c>
      <c r="H18" s="233">
        <f t="shared" si="13"/>
        <v>-6</v>
      </c>
      <c r="I18" s="234">
        <f t="shared" si="1"/>
        <v>0</v>
      </c>
      <c r="J18" s="226"/>
      <c r="K18" s="226"/>
      <c r="L18" s="226"/>
    </row>
    <row r="19">
      <c r="A19" s="236">
        <f t="shared" si="2"/>
        <v>17</v>
      </c>
      <c r="B19" s="232" t="s">
        <v>10</v>
      </c>
      <c r="C19" s="233" t="s">
        <v>99</v>
      </c>
      <c r="D19" s="233" t="s">
        <v>7</v>
      </c>
      <c r="E19" s="233">
        <f>E18+12</f>
        <v>238</v>
      </c>
      <c r="F19" s="233">
        <f t="shared" ref="F19:H19" si="14">F18-4</f>
        <v>-146</v>
      </c>
      <c r="G19" s="233">
        <f t="shared" si="14"/>
        <v>-82</v>
      </c>
      <c r="H19" s="233">
        <f t="shared" si="14"/>
        <v>-10</v>
      </c>
      <c r="I19" s="234">
        <f t="shared" si="1"/>
        <v>0</v>
      </c>
      <c r="J19" s="226"/>
      <c r="K19" s="226"/>
      <c r="L19" s="226"/>
    </row>
    <row r="20">
      <c r="A20" s="236">
        <f t="shared" si="2"/>
        <v>18</v>
      </c>
      <c r="B20" s="232" t="s">
        <v>8</v>
      </c>
      <c r="C20" s="233" t="s">
        <v>299</v>
      </c>
      <c r="D20" s="236" t="s">
        <v>7</v>
      </c>
      <c r="E20" s="237">
        <f>E19+48</f>
        <v>286</v>
      </c>
      <c r="F20" s="237">
        <f t="shared" ref="F20:G20" si="15">F19-48</f>
        <v>-194</v>
      </c>
      <c r="G20" s="237">
        <f t="shared" si="15"/>
        <v>-130</v>
      </c>
      <c r="H20" s="237">
        <f>H19+48</f>
        <v>38</v>
      </c>
      <c r="I20" s="234">
        <f t="shared" si="1"/>
        <v>0</v>
      </c>
    </row>
    <row r="21">
      <c r="A21" s="236">
        <f t="shared" si="2"/>
        <v>19</v>
      </c>
      <c r="B21" s="232" t="s">
        <v>7</v>
      </c>
      <c r="C21" s="237" t="s">
        <v>299</v>
      </c>
      <c r="D21" s="237" t="s">
        <v>8</v>
      </c>
      <c r="E21" s="237">
        <f t="shared" ref="E21:E23" si="17">E20+8</f>
        <v>294</v>
      </c>
      <c r="F21" s="237">
        <f t="shared" ref="F21:G21" si="16">F20-8</f>
        <v>-202</v>
      </c>
      <c r="G21" s="237">
        <f t="shared" si="16"/>
        <v>-138</v>
      </c>
      <c r="H21" s="237">
        <f t="shared" ref="H21:H23" si="18">H20+8</f>
        <v>46</v>
      </c>
      <c r="I21" s="234">
        <f t="shared" si="1"/>
        <v>0</v>
      </c>
      <c r="J21" s="238"/>
    </row>
    <row r="22">
      <c r="A22" s="236">
        <f t="shared" si="2"/>
        <v>20</v>
      </c>
      <c r="B22" s="232" t="s">
        <v>9</v>
      </c>
      <c r="C22" s="236" t="s">
        <v>140</v>
      </c>
      <c r="D22" s="236" t="s">
        <v>10</v>
      </c>
      <c r="E22" s="237">
        <f t="shared" si="17"/>
        <v>302</v>
      </c>
      <c r="F22" s="237">
        <f>F21+8</f>
        <v>-194</v>
      </c>
      <c r="G22" s="237">
        <f>G21-24</f>
        <v>-162</v>
      </c>
      <c r="H22" s="237">
        <f t="shared" si="18"/>
        <v>54</v>
      </c>
      <c r="I22" s="234">
        <f t="shared" si="1"/>
        <v>0</v>
      </c>
    </row>
    <row r="23">
      <c r="A23" s="236">
        <f t="shared" si="2"/>
        <v>21</v>
      </c>
      <c r="B23" s="232" t="s">
        <v>10</v>
      </c>
      <c r="C23" s="233" t="s">
        <v>314</v>
      </c>
      <c r="D23" s="233" t="s">
        <v>9</v>
      </c>
      <c r="E23" s="237">
        <f t="shared" si="17"/>
        <v>310</v>
      </c>
      <c r="F23" s="237">
        <f t="shared" ref="F23:G23" si="19">F22-8</f>
        <v>-202</v>
      </c>
      <c r="G23" s="237">
        <f t="shared" si="19"/>
        <v>-170</v>
      </c>
      <c r="H23" s="237">
        <f t="shared" si="18"/>
        <v>62</v>
      </c>
      <c r="I23" s="234">
        <f t="shared" si="1"/>
        <v>0</v>
      </c>
    </row>
    <row r="24">
      <c r="A24" s="236">
        <f t="shared" si="2"/>
        <v>22</v>
      </c>
      <c r="B24" s="232" t="s">
        <v>8</v>
      </c>
      <c r="C24" s="233" t="s">
        <v>101</v>
      </c>
      <c r="D24" s="236" t="s">
        <v>10</v>
      </c>
      <c r="E24" s="237">
        <f t="shared" ref="E24:F24" si="20">E23+16</f>
        <v>326</v>
      </c>
      <c r="F24" s="237">
        <f t="shared" si="20"/>
        <v>-186</v>
      </c>
      <c r="G24" s="237">
        <f>G23-3*16</f>
        <v>-218</v>
      </c>
      <c r="H24" s="237">
        <f>H23+16</f>
        <v>78</v>
      </c>
      <c r="I24" s="234">
        <f t="shared" si="1"/>
        <v>0</v>
      </c>
    </row>
    <row r="25">
      <c r="A25" s="236">
        <f t="shared" si="2"/>
        <v>23</v>
      </c>
      <c r="B25" s="232" t="s">
        <v>7</v>
      </c>
      <c r="C25" s="237" t="s">
        <v>370</v>
      </c>
      <c r="D25" s="237" t="s">
        <v>7</v>
      </c>
      <c r="E25" s="237">
        <f>E24-3*32</f>
        <v>230</v>
      </c>
      <c r="F25" s="237">
        <f t="shared" ref="F25:G25" si="21">F24+3*32</f>
        <v>-90</v>
      </c>
      <c r="G25" s="237">
        <f t="shared" si="21"/>
        <v>-122</v>
      </c>
      <c r="H25" s="237">
        <f>H24-3*32</f>
        <v>-18</v>
      </c>
      <c r="I25" s="234">
        <f t="shared" si="1"/>
        <v>0</v>
      </c>
    </row>
    <row r="26">
      <c r="A26" s="236">
        <f t="shared" si="2"/>
        <v>24</v>
      </c>
      <c r="B26" s="232" t="s">
        <v>8</v>
      </c>
      <c r="C26" s="237" t="s">
        <v>97</v>
      </c>
      <c r="D26" s="237" t="s">
        <v>8</v>
      </c>
      <c r="E26" s="237">
        <f t="shared" ref="E26:G26" si="22">E25-8</f>
        <v>222</v>
      </c>
      <c r="F26" s="237">
        <f t="shared" si="22"/>
        <v>-98</v>
      </c>
      <c r="G26" s="237">
        <f t="shared" si="22"/>
        <v>-130</v>
      </c>
      <c r="H26" s="237">
        <f>H25+24</f>
        <v>6</v>
      </c>
      <c r="I26" s="234">
        <f t="shared" si="1"/>
        <v>0</v>
      </c>
    </row>
    <row r="27">
      <c r="A27" s="236">
        <f t="shared" si="2"/>
        <v>25</v>
      </c>
      <c r="B27" s="232" t="s">
        <v>10</v>
      </c>
      <c r="C27" s="237" t="s">
        <v>293</v>
      </c>
      <c r="D27" s="237" t="s">
        <v>8</v>
      </c>
      <c r="E27" s="237">
        <f>E26+12</f>
        <v>234</v>
      </c>
      <c r="F27" s="237">
        <f>F26-12</f>
        <v>-110</v>
      </c>
      <c r="G27" s="237">
        <f>G26+12</f>
        <v>-118</v>
      </c>
      <c r="H27" s="237">
        <f>H26-12</f>
        <v>-6</v>
      </c>
      <c r="I27" s="234">
        <f t="shared" si="1"/>
        <v>0</v>
      </c>
    </row>
    <row r="28">
      <c r="A28" s="236">
        <f t="shared" si="2"/>
        <v>26</v>
      </c>
      <c r="B28" s="232" t="s">
        <v>9</v>
      </c>
      <c r="C28" s="237" t="s">
        <v>406</v>
      </c>
      <c r="D28" s="237" t="s">
        <v>7</v>
      </c>
      <c r="E28" s="237">
        <f>E27+16</f>
        <v>250</v>
      </c>
      <c r="F28" s="237">
        <f t="shared" ref="F28:G28" si="23">F27-16</f>
        <v>-126</v>
      </c>
      <c r="G28" s="237">
        <f t="shared" si="23"/>
        <v>-134</v>
      </c>
      <c r="H28" s="237">
        <f>H27+16</f>
        <v>10</v>
      </c>
      <c r="I28" s="234">
        <f t="shared" si="1"/>
        <v>0</v>
      </c>
    </row>
    <row r="29">
      <c r="A29" s="236">
        <f t="shared" si="2"/>
        <v>27</v>
      </c>
      <c r="B29" s="232" t="s">
        <v>7</v>
      </c>
      <c r="C29" s="237" t="s">
        <v>301</v>
      </c>
      <c r="D29" s="237" t="s">
        <v>8</v>
      </c>
      <c r="E29" s="237">
        <f t="shared" ref="E29:G29" si="24">E28-8</f>
        <v>242</v>
      </c>
      <c r="F29" s="237">
        <f t="shared" si="24"/>
        <v>-134</v>
      </c>
      <c r="G29" s="237">
        <f t="shared" si="24"/>
        <v>-142</v>
      </c>
      <c r="H29" s="237">
        <f>H28+24</f>
        <v>34</v>
      </c>
      <c r="I29" s="234">
        <f t="shared" si="1"/>
        <v>0</v>
      </c>
    </row>
    <row r="30">
      <c r="A30" s="236">
        <f t="shared" si="2"/>
        <v>28</v>
      </c>
      <c r="B30" s="232" t="s">
        <v>8</v>
      </c>
      <c r="C30" s="237" t="s">
        <v>314</v>
      </c>
      <c r="D30" s="237" t="s">
        <v>8</v>
      </c>
      <c r="E30" s="237">
        <f t="shared" ref="E30:G30" si="25">E29+16</f>
        <v>258</v>
      </c>
      <c r="F30" s="237">
        <f t="shared" si="25"/>
        <v>-118</v>
      </c>
      <c r="G30" s="237">
        <f t="shared" si="25"/>
        <v>-126</v>
      </c>
      <c r="H30" s="237">
        <f>H29-3*16</f>
        <v>-14</v>
      </c>
      <c r="I30" s="234">
        <f t="shared" si="1"/>
        <v>0</v>
      </c>
    </row>
    <row r="31">
      <c r="A31" s="236">
        <f t="shared" si="2"/>
        <v>29</v>
      </c>
      <c r="B31" s="232" t="s">
        <v>10</v>
      </c>
      <c r="C31" s="237" t="s">
        <v>407</v>
      </c>
      <c r="D31" s="237" t="s">
        <v>10</v>
      </c>
      <c r="E31" s="237">
        <f t="shared" ref="E31:F31" si="26">E30+8</f>
        <v>266</v>
      </c>
      <c r="F31" s="237">
        <f t="shared" si="26"/>
        <v>-110</v>
      </c>
      <c r="G31" s="237">
        <f>G30-24</f>
        <v>-150</v>
      </c>
      <c r="H31" s="237">
        <f>H30+8</f>
        <v>-6</v>
      </c>
      <c r="I31" s="234">
        <f t="shared" si="1"/>
        <v>0</v>
      </c>
    </row>
    <row r="32">
      <c r="A32" s="236">
        <f t="shared" si="2"/>
        <v>30</v>
      </c>
      <c r="B32" s="232" t="s">
        <v>9</v>
      </c>
      <c r="C32" s="237" t="s">
        <v>357</v>
      </c>
      <c r="D32" s="237" t="s">
        <v>8</v>
      </c>
      <c r="E32" s="237">
        <f>E31-32</f>
        <v>234</v>
      </c>
      <c r="F32" s="237">
        <f t="shared" ref="F32:G32" si="27">F31+32</f>
        <v>-78</v>
      </c>
      <c r="G32" s="237">
        <f t="shared" si="27"/>
        <v>-118</v>
      </c>
      <c r="H32" s="237">
        <f>H31-32</f>
        <v>-38</v>
      </c>
      <c r="I32" s="234">
        <f t="shared" si="1"/>
        <v>0</v>
      </c>
    </row>
    <row r="33">
      <c r="A33" s="236">
        <f t="shared" si="2"/>
        <v>31</v>
      </c>
      <c r="B33" s="232" t="s">
        <v>7</v>
      </c>
      <c r="C33" s="237" t="s">
        <v>357</v>
      </c>
      <c r="D33" s="237" t="s">
        <v>7</v>
      </c>
      <c r="E33" s="237">
        <f>E32-48</f>
        <v>186</v>
      </c>
      <c r="F33" s="237">
        <f t="shared" ref="F33:G33" si="28">F32+48</f>
        <v>-30</v>
      </c>
      <c r="G33" s="237">
        <f t="shared" si="28"/>
        <v>-70</v>
      </c>
      <c r="H33" s="237">
        <f>H32-48</f>
        <v>-86</v>
      </c>
      <c r="I33" s="234">
        <f t="shared" si="1"/>
        <v>0</v>
      </c>
    </row>
    <row r="34">
      <c r="A34" s="236">
        <f t="shared" si="2"/>
        <v>32</v>
      </c>
      <c r="B34" s="232" t="s">
        <v>8</v>
      </c>
      <c r="C34" s="237" t="s">
        <v>345</v>
      </c>
      <c r="D34" s="237" t="s">
        <v>7</v>
      </c>
      <c r="E34" s="237">
        <f>E33+8</f>
        <v>194</v>
      </c>
      <c r="F34" s="237">
        <f>F33-8</f>
        <v>-38</v>
      </c>
      <c r="G34" s="237">
        <f>G33+8</f>
        <v>-62</v>
      </c>
      <c r="H34" s="237">
        <f>H33-8</f>
        <v>-94</v>
      </c>
      <c r="I34" s="234">
        <f t="shared" si="1"/>
        <v>0</v>
      </c>
    </row>
    <row r="35">
      <c r="A35" s="236">
        <f t="shared" si="2"/>
        <v>33</v>
      </c>
      <c r="B35" s="232" t="s">
        <v>10</v>
      </c>
      <c r="C35" s="237" t="s">
        <v>299</v>
      </c>
      <c r="D35" s="237" t="s">
        <v>7</v>
      </c>
      <c r="E35" s="237">
        <f t="shared" ref="E35:F35" si="29">E34+20</f>
        <v>214</v>
      </c>
      <c r="F35" s="237">
        <f t="shared" si="29"/>
        <v>-18</v>
      </c>
      <c r="G35" s="237">
        <f t="shared" ref="G35:H35" si="30">G34-20</f>
        <v>-82</v>
      </c>
      <c r="H35" s="237">
        <f t="shared" si="30"/>
        <v>-114</v>
      </c>
      <c r="I35" s="234">
        <f t="shared" si="1"/>
        <v>0</v>
      </c>
    </row>
    <row r="36">
      <c r="A36" s="236">
        <f t="shared" si="2"/>
        <v>34</v>
      </c>
      <c r="B36" s="232" t="s">
        <v>9</v>
      </c>
      <c r="C36" s="237" t="s">
        <v>401</v>
      </c>
      <c r="D36" s="237" t="s">
        <v>8</v>
      </c>
      <c r="E36" s="237">
        <f t="shared" ref="E36:F36" si="31">E35+24</f>
        <v>238</v>
      </c>
      <c r="F36" s="237">
        <f t="shared" si="31"/>
        <v>6</v>
      </c>
      <c r="G36" s="237">
        <f t="shared" ref="G36:H36" si="32">G35-24</f>
        <v>-106</v>
      </c>
      <c r="H36" s="237">
        <f t="shared" si="32"/>
        <v>-138</v>
      </c>
      <c r="I36" s="234">
        <f t="shared" si="1"/>
        <v>0</v>
      </c>
    </row>
    <row r="37">
      <c r="A37" s="236">
        <f t="shared" si="2"/>
        <v>35</v>
      </c>
      <c r="B37" s="232" t="s">
        <v>7</v>
      </c>
      <c r="C37" s="237" t="s">
        <v>408</v>
      </c>
      <c r="D37" s="237" t="s">
        <v>10</v>
      </c>
      <c r="E37" s="237">
        <f t="shared" ref="E37:F37" si="33">E36-8</f>
        <v>230</v>
      </c>
      <c r="F37" s="237">
        <f t="shared" si="33"/>
        <v>-2</v>
      </c>
      <c r="G37" s="237">
        <f>G36+24</f>
        <v>-82</v>
      </c>
      <c r="H37" s="237">
        <f>H36-8</f>
        <v>-146</v>
      </c>
      <c r="I37" s="234">
        <f t="shared" si="1"/>
        <v>0</v>
      </c>
    </row>
    <row r="38">
      <c r="A38" s="236">
        <f t="shared" si="2"/>
        <v>36</v>
      </c>
      <c r="B38" s="232" t="s">
        <v>8</v>
      </c>
      <c r="C38" s="237" t="s">
        <v>401</v>
      </c>
      <c r="D38" s="237" t="s">
        <v>7</v>
      </c>
      <c r="E38" s="239">
        <f t="shared" ref="E38:F38" si="34">E37+16</f>
        <v>246</v>
      </c>
      <c r="F38" s="239">
        <f t="shared" si="34"/>
        <v>14</v>
      </c>
      <c r="G38" s="239">
        <f t="shared" ref="G38:H38" si="35">G37-16</f>
        <v>-98</v>
      </c>
      <c r="H38" s="239">
        <f t="shared" si="35"/>
        <v>-162</v>
      </c>
      <c r="I38" s="234">
        <f t="shared" si="1"/>
        <v>0</v>
      </c>
    </row>
    <row r="39">
      <c r="A39" s="236">
        <f t="shared" si="2"/>
        <v>37</v>
      </c>
      <c r="B39" s="232" t="s">
        <v>10</v>
      </c>
      <c r="C39" s="237" t="s">
        <v>345</v>
      </c>
      <c r="D39" s="237" t="s">
        <v>10</v>
      </c>
      <c r="E39" s="237">
        <f t="shared" ref="E39:F39" si="36">E38-8</f>
        <v>238</v>
      </c>
      <c r="F39" s="237">
        <f t="shared" si="36"/>
        <v>6</v>
      </c>
      <c r="G39" s="237">
        <f>G38+24</f>
        <v>-74</v>
      </c>
      <c r="H39" s="237">
        <f>H38-8</f>
        <v>-170</v>
      </c>
      <c r="I39" s="234">
        <f t="shared" si="1"/>
        <v>0</v>
      </c>
    </row>
    <row r="40">
      <c r="A40" s="236">
        <f t="shared" si="2"/>
        <v>38</v>
      </c>
      <c r="B40" s="232" t="s">
        <v>9</v>
      </c>
      <c r="C40" s="237" t="s">
        <v>293</v>
      </c>
      <c r="D40" s="237" t="s">
        <v>10</v>
      </c>
      <c r="E40" s="237">
        <f>E39+12</f>
        <v>250</v>
      </c>
      <c r="F40" s="237">
        <f t="shared" ref="F40:G40" si="37">F39-12</f>
        <v>-6</v>
      </c>
      <c r="G40" s="237">
        <f t="shared" si="37"/>
        <v>-86</v>
      </c>
      <c r="H40" s="237">
        <f>H39+12</f>
        <v>-158</v>
      </c>
      <c r="I40" s="234">
        <f t="shared" si="1"/>
        <v>0</v>
      </c>
    </row>
    <row r="41">
      <c r="A41" s="236">
        <f t="shared" si="2"/>
        <v>39</v>
      </c>
      <c r="B41" s="232" t="s">
        <v>7</v>
      </c>
      <c r="C41" s="237" t="s">
        <v>409</v>
      </c>
      <c r="D41" s="237" t="s">
        <v>8</v>
      </c>
      <c r="E41" s="237">
        <f t="shared" ref="E41:G41" si="38">E40+40</f>
        <v>290</v>
      </c>
      <c r="F41" s="237">
        <f t="shared" si="38"/>
        <v>34</v>
      </c>
      <c r="G41" s="237">
        <f t="shared" si="38"/>
        <v>-46</v>
      </c>
      <c r="H41" s="237">
        <f>H40-120</f>
        <v>-278</v>
      </c>
      <c r="I41" s="234">
        <f t="shared" si="1"/>
        <v>0</v>
      </c>
    </row>
    <row r="42">
      <c r="A42" s="236">
        <f t="shared" si="2"/>
        <v>40</v>
      </c>
      <c r="B42" s="232" t="s">
        <v>8</v>
      </c>
      <c r="C42" s="237" t="s">
        <v>99</v>
      </c>
      <c r="D42" s="237" t="s">
        <v>10</v>
      </c>
      <c r="E42" s="237">
        <f t="shared" ref="E42:F42" si="39">E41-4</f>
        <v>286</v>
      </c>
      <c r="F42" s="237">
        <f t="shared" si="39"/>
        <v>30</v>
      </c>
      <c r="G42" s="237">
        <f>G41+12</f>
        <v>-34</v>
      </c>
      <c r="H42" s="237">
        <f>H41-4</f>
        <v>-282</v>
      </c>
      <c r="I42" s="234">
        <f t="shared" si="1"/>
        <v>0</v>
      </c>
    </row>
    <row r="43">
      <c r="A43" s="236"/>
      <c r="B43" s="232" t="s">
        <v>10</v>
      </c>
    </row>
    <row r="44">
      <c r="A44" s="236"/>
      <c r="B44" s="232" t="s">
        <v>9</v>
      </c>
    </row>
    <row r="45"/>
    <row r="46"/>
    <row r="47"/>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6" width="7.75"/>
    <col customWidth="1" min="7" max="7" width="25.63"/>
    <col customWidth="1" min="8" max="13" width="7.75"/>
  </cols>
  <sheetData>
    <row r="1">
      <c r="A1" s="220">
        <f>'00_Regnskab_01'!A22</f>
        <v>19</v>
      </c>
      <c r="B1" s="221">
        <f>'00_Regnskab_01'!C22</f>
        <v>44939</v>
      </c>
      <c r="C1" s="216"/>
      <c r="D1" s="215" t="str">
        <f>'00_Regnskab_01'!L22</f>
        <v>Janus, Berlin</v>
      </c>
      <c r="E1" s="214"/>
      <c r="F1" s="219"/>
      <c r="G1" s="222"/>
      <c r="H1" s="219"/>
      <c r="I1" s="219"/>
      <c r="J1" s="219"/>
      <c r="K1" s="218"/>
      <c r="L1" s="218"/>
    </row>
    <row r="2">
      <c r="B2" s="28" t="s">
        <v>10</v>
      </c>
      <c r="C2" s="28" t="s">
        <v>8</v>
      </c>
      <c r="D2" s="28" t="s">
        <v>9</v>
      </c>
      <c r="E2" s="28" t="s">
        <v>384</v>
      </c>
      <c r="F2" s="28" t="s">
        <v>288</v>
      </c>
      <c r="G2" s="28" t="s">
        <v>64</v>
      </c>
      <c r="H2" s="28" t="s">
        <v>361</v>
      </c>
      <c r="I2" s="28" t="s">
        <v>81</v>
      </c>
      <c r="J2" s="28" t="s">
        <v>393</v>
      </c>
    </row>
    <row r="3">
      <c r="A3" s="25">
        <v>1.0</v>
      </c>
      <c r="B3" s="28">
        <v>-160.0</v>
      </c>
      <c r="C3" s="28">
        <v>160.0</v>
      </c>
      <c r="D3" s="28">
        <v>160.0</v>
      </c>
      <c r="E3" s="28">
        <v>-160.0</v>
      </c>
      <c r="F3" s="28">
        <f t="shared" ref="F3:F4" si="1">SUM(B3:E3)</f>
        <v>0</v>
      </c>
      <c r="G3" s="28" t="s">
        <v>410</v>
      </c>
      <c r="H3" s="28" t="s">
        <v>7</v>
      </c>
      <c r="I3" s="28" t="s">
        <v>10</v>
      </c>
      <c r="J3" s="28" t="s">
        <v>10</v>
      </c>
    </row>
    <row r="4">
      <c r="A4" s="28">
        <f t="shared" ref="A4:A23" si="2">A3+1</f>
        <v>2</v>
      </c>
      <c r="B4" s="28">
        <v>-164.0</v>
      </c>
      <c r="C4" s="28">
        <v>156.0</v>
      </c>
      <c r="D4" s="28">
        <v>172.0</v>
      </c>
      <c r="E4" s="28">
        <v>-164.0</v>
      </c>
      <c r="F4" s="28">
        <f t="shared" si="1"/>
        <v>0</v>
      </c>
      <c r="G4" s="28" t="s">
        <v>139</v>
      </c>
      <c r="H4" s="28" t="s">
        <v>9</v>
      </c>
      <c r="I4" s="28" t="s">
        <v>9</v>
      </c>
      <c r="J4" s="28" t="s">
        <v>8</v>
      </c>
    </row>
    <row r="5">
      <c r="A5" s="28">
        <f t="shared" si="2"/>
        <v>3</v>
      </c>
      <c r="B5" s="28">
        <v>-168.0</v>
      </c>
      <c r="C5" s="28">
        <v>152.0</v>
      </c>
      <c r="D5" s="28">
        <v>184.0</v>
      </c>
      <c r="E5" s="28">
        <v>-168.0</v>
      </c>
      <c r="F5" s="28">
        <f t="shared" ref="F5:F6" si="4">SUM(B4:E4)</f>
        <v>0</v>
      </c>
      <c r="G5" s="28" t="s">
        <v>139</v>
      </c>
      <c r="H5" s="28" t="s">
        <v>9</v>
      </c>
      <c r="I5" s="28" t="s">
        <v>9</v>
      </c>
      <c r="J5" s="28" t="s">
        <v>9</v>
      </c>
    </row>
    <row r="6">
      <c r="A6" s="28">
        <f t="shared" si="2"/>
        <v>4</v>
      </c>
      <c r="B6" s="28">
        <f>B5+8</f>
        <v>-160</v>
      </c>
      <c r="C6" s="28">
        <f>C5-24</f>
        <v>128</v>
      </c>
      <c r="D6" s="28">
        <f t="shared" ref="D6:E6" si="3">D5+8</f>
        <v>192</v>
      </c>
      <c r="E6" s="28">
        <f t="shared" si="3"/>
        <v>-160</v>
      </c>
      <c r="F6" s="28">
        <f t="shared" si="4"/>
        <v>0</v>
      </c>
      <c r="G6" s="28" t="s">
        <v>301</v>
      </c>
      <c r="H6" s="28" t="s">
        <v>8</v>
      </c>
      <c r="I6" s="28" t="s">
        <v>8</v>
      </c>
      <c r="J6" s="28" t="s">
        <v>7</v>
      </c>
    </row>
    <row r="7">
      <c r="A7" s="28">
        <f t="shared" si="2"/>
        <v>5</v>
      </c>
      <c r="B7" s="28">
        <f>B6-8</f>
        <v>-168</v>
      </c>
      <c r="C7" s="28">
        <f t="shared" ref="C7:D7" si="5">C6+8</f>
        <v>136</v>
      </c>
      <c r="D7" s="28">
        <f t="shared" si="5"/>
        <v>200</v>
      </c>
      <c r="E7" s="28">
        <f>E6-8</f>
        <v>-168</v>
      </c>
      <c r="F7" s="28">
        <f t="shared" ref="F7:F22" si="6">SUM(B7:E7)</f>
        <v>0</v>
      </c>
      <c r="G7" s="28" t="s">
        <v>345</v>
      </c>
      <c r="H7" s="28" t="s">
        <v>9</v>
      </c>
      <c r="I7" s="28" t="s">
        <v>8</v>
      </c>
      <c r="J7" s="28" t="s">
        <v>10</v>
      </c>
    </row>
    <row r="8">
      <c r="A8" s="28">
        <f t="shared" si="2"/>
        <v>6</v>
      </c>
      <c r="B8" s="28">
        <f>B7+12</f>
        <v>-156</v>
      </c>
      <c r="C8" s="28">
        <f>C7-12</f>
        <v>124</v>
      </c>
      <c r="D8" s="28">
        <f>D7+12</f>
        <v>212</v>
      </c>
      <c r="E8" s="28">
        <f>E7-12</f>
        <v>-180</v>
      </c>
      <c r="F8" s="28">
        <f t="shared" si="6"/>
        <v>0</v>
      </c>
      <c r="G8" s="28" t="s">
        <v>299</v>
      </c>
      <c r="H8" s="28" t="s">
        <v>10</v>
      </c>
      <c r="I8" s="28" t="s">
        <v>9</v>
      </c>
      <c r="J8" s="28" t="s">
        <v>8</v>
      </c>
    </row>
    <row r="9">
      <c r="A9" s="28">
        <f t="shared" si="2"/>
        <v>7</v>
      </c>
      <c r="B9" s="28">
        <f>B8+16</f>
        <v>-140</v>
      </c>
      <c r="C9" s="28">
        <f>C8-3*16</f>
        <v>76</v>
      </c>
      <c r="D9" s="28">
        <f t="shared" ref="D9:E9" si="7">D8+16</f>
        <v>228</v>
      </c>
      <c r="E9" s="28">
        <f t="shared" si="7"/>
        <v>-164</v>
      </c>
      <c r="F9" s="28">
        <f t="shared" si="6"/>
        <v>0</v>
      </c>
      <c r="G9" s="28" t="s">
        <v>411</v>
      </c>
      <c r="H9" s="28" t="s">
        <v>8</v>
      </c>
      <c r="I9" s="28" t="s">
        <v>8</v>
      </c>
      <c r="J9" s="28" t="s">
        <v>9</v>
      </c>
    </row>
    <row r="10">
      <c r="A10" s="28">
        <f t="shared" si="2"/>
        <v>8</v>
      </c>
      <c r="B10" s="28">
        <f>B9-24</f>
        <v>-164</v>
      </c>
      <c r="C10" s="28">
        <f t="shared" ref="C10:E10" si="8">C9+8</f>
        <v>84</v>
      </c>
      <c r="D10" s="28">
        <f t="shared" si="8"/>
        <v>236</v>
      </c>
      <c r="E10" s="28">
        <f t="shared" si="8"/>
        <v>-156</v>
      </c>
      <c r="F10" s="28">
        <f t="shared" si="6"/>
        <v>0</v>
      </c>
      <c r="G10" s="28" t="s">
        <v>140</v>
      </c>
      <c r="H10" s="28" t="s">
        <v>10</v>
      </c>
      <c r="J10" s="28" t="s">
        <v>7</v>
      </c>
    </row>
    <row r="11">
      <c r="A11" s="28">
        <f t="shared" si="2"/>
        <v>9</v>
      </c>
      <c r="B11" s="28">
        <f t="shared" ref="B11:C11" si="9">B10-4</f>
        <v>-168</v>
      </c>
      <c r="C11" s="28">
        <f t="shared" si="9"/>
        <v>80</v>
      </c>
      <c r="D11" s="28">
        <f>D10+12</f>
        <v>248</v>
      </c>
      <c r="E11" s="28">
        <f>E10-4</f>
        <v>-160</v>
      </c>
      <c r="F11" s="28">
        <f t="shared" si="6"/>
        <v>0</v>
      </c>
      <c r="G11" s="28" t="s">
        <v>139</v>
      </c>
      <c r="H11" s="28" t="s">
        <v>9</v>
      </c>
      <c r="I11" s="28" t="s">
        <v>286</v>
      </c>
      <c r="J11" s="28" t="s">
        <v>10</v>
      </c>
    </row>
    <row r="12">
      <c r="A12" s="28">
        <f t="shared" si="2"/>
        <v>10</v>
      </c>
      <c r="B12" s="28">
        <f t="shared" ref="B12:B14" si="10">B11-8</f>
        <v>-176</v>
      </c>
      <c r="C12" s="28">
        <f t="shared" ref="C12:C14" si="11">C11+8</f>
        <v>88</v>
      </c>
      <c r="D12" s="28">
        <f t="shared" ref="D12:D13" si="12">D11-8</f>
        <v>240</v>
      </c>
      <c r="E12" s="28">
        <f t="shared" ref="E12:E13" si="13">E11+8</f>
        <v>-152</v>
      </c>
      <c r="F12" s="28">
        <f t="shared" si="6"/>
        <v>0</v>
      </c>
      <c r="G12" s="28" t="s">
        <v>412</v>
      </c>
      <c r="H12" s="28" t="s">
        <v>7</v>
      </c>
      <c r="I12" s="28" t="s">
        <v>8</v>
      </c>
      <c r="J12" s="28" t="s">
        <v>8</v>
      </c>
    </row>
    <row r="13">
      <c r="A13" s="28">
        <f t="shared" si="2"/>
        <v>11</v>
      </c>
      <c r="B13" s="28">
        <f t="shared" si="10"/>
        <v>-184</v>
      </c>
      <c r="C13" s="28">
        <f t="shared" si="11"/>
        <v>96</v>
      </c>
      <c r="D13" s="28">
        <f t="shared" si="12"/>
        <v>232</v>
      </c>
      <c r="E13" s="28">
        <f t="shared" si="13"/>
        <v>-144</v>
      </c>
      <c r="F13" s="28">
        <f t="shared" si="6"/>
        <v>0</v>
      </c>
      <c r="G13" s="28" t="s">
        <v>413</v>
      </c>
      <c r="H13" s="28" t="s">
        <v>7</v>
      </c>
      <c r="I13" s="28" t="s">
        <v>8</v>
      </c>
      <c r="J13" s="28" t="s">
        <v>9</v>
      </c>
    </row>
    <row r="14">
      <c r="A14" s="28">
        <f t="shared" si="2"/>
        <v>12</v>
      </c>
      <c r="B14" s="28">
        <f t="shared" si="10"/>
        <v>-192</v>
      </c>
      <c r="C14" s="28">
        <f t="shared" si="11"/>
        <v>104</v>
      </c>
      <c r="D14" s="28">
        <f t="shared" ref="D14:D15" si="14">D13+8</f>
        <v>240</v>
      </c>
      <c r="E14" s="28">
        <f>E13-8</f>
        <v>-152</v>
      </c>
      <c r="F14" s="28">
        <f t="shared" si="6"/>
        <v>0</v>
      </c>
      <c r="G14" s="28" t="s">
        <v>293</v>
      </c>
      <c r="H14" s="28" t="s">
        <v>10</v>
      </c>
      <c r="I14" s="28" t="s">
        <v>7</v>
      </c>
      <c r="J14" s="28" t="s">
        <v>7</v>
      </c>
    </row>
    <row r="15">
      <c r="A15" s="28">
        <f t="shared" si="2"/>
        <v>13</v>
      </c>
      <c r="B15" s="28">
        <f>B14+8</f>
        <v>-184</v>
      </c>
      <c r="C15" s="28">
        <f>C14-24</f>
        <v>80</v>
      </c>
      <c r="D15" s="28">
        <f t="shared" si="14"/>
        <v>248</v>
      </c>
      <c r="E15" s="28">
        <f>E14+8</f>
        <v>-144</v>
      </c>
      <c r="F15" s="28">
        <f t="shared" si="6"/>
        <v>0</v>
      </c>
      <c r="G15" s="28" t="s">
        <v>301</v>
      </c>
      <c r="H15" s="28" t="s">
        <v>8</v>
      </c>
      <c r="I15" s="28" t="s">
        <v>8</v>
      </c>
      <c r="J15" s="28" t="s">
        <v>10</v>
      </c>
    </row>
    <row r="16">
      <c r="A16" s="28">
        <f t="shared" si="2"/>
        <v>14</v>
      </c>
      <c r="B16" s="28">
        <f t="shared" ref="B16:C16" si="15">B15+24</f>
        <v>-160</v>
      </c>
      <c r="C16" s="28">
        <f t="shared" si="15"/>
        <v>104</v>
      </c>
      <c r="D16" s="28">
        <f t="shared" ref="D16:E16" si="16">D15-24</f>
        <v>224</v>
      </c>
      <c r="E16" s="28">
        <f t="shared" si="16"/>
        <v>-168</v>
      </c>
      <c r="F16" s="28">
        <f t="shared" si="6"/>
        <v>0</v>
      </c>
      <c r="G16" s="28" t="s">
        <v>308</v>
      </c>
      <c r="H16" s="28" t="s">
        <v>10</v>
      </c>
      <c r="I16" s="28" t="s">
        <v>8</v>
      </c>
      <c r="J16" s="28" t="s">
        <v>8</v>
      </c>
    </row>
    <row r="17">
      <c r="A17" s="28">
        <f t="shared" si="2"/>
        <v>15</v>
      </c>
      <c r="B17" s="28">
        <f>B16-24</f>
        <v>-184</v>
      </c>
      <c r="C17" s="28">
        <f t="shared" ref="C17:E17" si="17">C16+8</f>
        <v>112</v>
      </c>
      <c r="D17" s="28">
        <f t="shared" si="17"/>
        <v>232</v>
      </c>
      <c r="E17" s="28">
        <f t="shared" si="17"/>
        <v>-160</v>
      </c>
      <c r="F17" s="28">
        <f t="shared" si="6"/>
        <v>0</v>
      </c>
      <c r="G17" s="28" t="s">
        <v>301</v>
      </c>
      <c r="H17" s="28" t="s">
        <v>10</v>
      </c>
      <c r="J17" s="28" t="s">
        <v>9</v>
      </c>
    </row>
    <row r="18">
      <c r="A18" s="28">
        <f t="shared" si="2"/>
        <v>16</v>
      </c>
      <c r="B18" s="28">
        <f>B17-4</f>
        <v>-188</v>
      </c>
      <c r="C18" s="28">
        <f>108</f>
        <v>108</v>
      </c>
      <c r="D18" s="28">
        <v>236.0</v>
      </c>
      <c r="E18" s="28">
        <v>-156.0</v>
      </c>
      <c r="F18" s="28">
        <f t="shared" si="6"/>
        <v>0</v>
      </c>
      <c r="G18" s="28" t="s">
        <v>345</v>
      </c>
      <c r="H18" s="28" t="s">
        <v>8</v>
      </c>
      <c r="I18" s="28" t="s">
        <v>10</v>
      </c>
      <c r="J18" s="28" t="s">
        <v>7</v>
      </c>
    </row>
    <row r="19">
      <c r="A19" s="28">
        <f t="shared" si="2"/>
        <v>17</v>
      </c>
      <c r="B19" s="28">
        <f t="shared" ref="B19:C19" si="18">B18-20</f>
        <v>-208</v>
      </c>
      <c r="C19" s="28">
        <f t="shared" si="18"/>
        <v>88</v>
      </c>
      <c r="D19" s="28">
        <f t="shared" ref="D19:E19" si="19">D18+20</f>
        <v>256</v>
      </c>
      <c r="E19" s="28">
        <f t="shared" si="19"/>
        <v>-136</v>
      </c>
      <c r="F19" s="28">
        <f t="shared" si="6"/>
        <v>0</v>
      </c>
      <c r="G19" s="28" t="s">
        <v>345</v>
      </c>
      <c r="H19" s="28" t="s">
        <v>7</v>
      </c>
      <c r="I19" s="28" t="s">
        <v>9</v>
      </c>
      <c r="J19" s="28" t="s">
        <v>10</v>
      </c>
    </row>
    <row r="20">
      <c r="A20" s="28">
        <f t="shared" si="2"/>
        <v>18</v>
      </c>
      <c r="B20" s="28">
        <f>B19+12</f>
        <v>-196</v>
      </c>
      <c r="C20" s="28">
        <f>C19-12</f>
        <v>76</v>
      </c>
      <c r="D20" s="28">
        <f>D19+12</f>
        <v>268</v>
      </c>
      <c r="E20" s="28">
        <f>E19-12</f>
        <v>-148</v>
      </c>
      <c r="F20" s="28">
        <f t="shared" si="6"/>
        <v>0</v>
      </c>
      <c r="G20" s="28" t="s">
        <v>299</v>
      </c>
      <c r="H20" s="28" t="s">
        <v>10</v>
      </c>
      <c r="I20" s="28" t="s">
        <v>9</v>
      </c>
      <c r="J20" s="28" t="s">
        <v>8</v>
      </c>
    </row>
    <row r="21">
      <c r="A21" s="28">
        <f t="shared" si="2"/>
        <v>19</v>
      </c>
      <c r="B21" s="28">
        <f>B20-10</f>
        <v>-206</v>
      </c>
      <c r="C21" s="28">
        <f t="shared" ref="C21:D21" si="20">C20+10</f>
        <v>86</v>
      </c>
      <c r="D21" s="28">
        <f t="shared" si="20"/>
        <v>278</v>
      </c>
      <c r="E21" s="28">
        <f>E20-10</f>
        <v>-158</v>
      </c>
      <c r="F21" s="28">
        <f t="shared" si="6"/>
        <v>0</v>
      </c>
      <c r="G21" s="28" t="s">
        <v>345</v>
      </c>
      <c r="H21" s="28" t="s">
        <v>8</v>
      </c>
      <c r="I21" s="28" t="s">
        <v>9</v>
      </c>
      <c r="J21" s="28" t="s">
        <v>9</v>
      </c>
    </row>
    <row r="22">
      <c r="A22" s="28">
        <f t="shared" si="2"/>
        <v>20</v>
      </c>
      <c r="B22" s="28">
        <f>B21+80</f>
        <v>-126</v>
      </c>
      <c r="C22" s="28">
        <f t="shared" ref="C22:D22" si="21">C21-80</f>
        <v>6</v>
      </c>
      <c r="D22" s="28">
        <f t="shared" si="21"/>
        <v>198</v>
      </c>
      <c r="E22" s="28">
        <f>E21+80</f>
        <v>-78</v>
      </c>
      <c r="F22" s="28">
        <f t="shared" si="6"/>
        <v>0</v>
      </c>
      <c r="G22" s="28" t="s">
        <v>308</v>
      </c>
      <c r="H22" s="28" t="s">
        <v>10</v>
      </c>
      <c r="I22" s="28" t="s">
        <v>7</v>
      </c>
      <c r="J22" s="28" t="s">
        <v>7</v>
      </c>
    </row>
    <row r="23">
      <c r="A23" s="28">
        <f t="shared" si="2"/>
        <v>21</v>
      </c>
      <c r="B23" s="28">
        <f>B22-16</f>
        <v>-142</v>
      </c>
      <c r="C23" s="28">
        <f>C22+16</f>
        <v>22</v>
      </c>
      <c r="D23" s="28">
        <f>D22-16</f>
        <v>182</v>
      </c>
      <c r="E23" s="28">
        <f>E22+16</f>
        <v>-62</v>
      </c>
      <c r="F23" s="28">
        <f>SUM('19c_13-01-2023_Brewdog fredag'!B3:E3)</f>
        <v>0</v>
      </c>
      <c r="G23" s="28" t="s">
        <v>414</v>
      </c>
      <c r="H23" s="28" t="s">
        <v>7</v>
      </c>
      <c r="I23" s="28" t="s">
        <v>8</v>
      </c>
      <c r="J23" s="28" t="s">
        <v>10</v>
      </c>
    </row>
    <row r="24">
      <c r="B24" s="28" t="s">
        <v>415</v>
      </c>
      <c r="C24" s="28" t="s">
        <v>415</v>
      </c>
      <c r="D24" s="28" t="s">
        <v>415</v>
      </c>
      <c r="E24" s="28" t="s">
        <v>415</v>
      </c>
      <c r="F24" s="28" t="s">
        <v>415</v>
      </c>
      <c r="G24" s="28" t="s">
        <v>415</v>
      </c>
      <c r="H24" s="28" t="s">
        <v>415</v>
      </c>
      <c r="I24" s="28" t="s">
        <v>415</v>
      </c>
      <c r="J24" s="28" t="s">
        <v>415</v>
      </c>
    </row>
    <row r="25">
      <c r="A25" s="25">
        <v>30.0</v>
      </c>
      <c r="B25" s="28">
        <f>'19b_13-01-2023_Færge mod Tyskla'!E10+8</f>
        <v>-206</v>
      </c>
      <c r="C25" s="28">
        <f>'19b_13-01-2023_Færge mod Tyskla'!B10-8</f>
        <v>94</v>
      </c>
      <c r="D25" s="28">
        <f>'19b_13-01-2023_Færge mod Tyskla'!D10-8</f>
        <v>78</v>
      </c>
      <c r="E25" s="28">
        <f>'19b_13-01-2023_Færge mod Tyskla'!C10+8</f>
        <v>34</v>
      </c>
      <c r="F25" s="28">
        <f t="shared" ref="F25:F43" si="23">SUM(B25:E25)</f>
        <v>0</v>
      </c>
      <c r="G25" s="28" t="s">
        <v>293</v>
      </c>
      <c r="H25" s="28" t="s">
        <v>9</v>
      </c>
      <c r="I25" s="28" t="s">
        <v>8</v>
      </c>
      <c r="J25" s="28" t="s">
        <v>7</v>
      </c>
    </row>
    <row r="26">
      <c r="A26" s="28">
        <f t="shared" ref="A26:A43" si="24">A25+1</f>
        <v>31</v>
      </c>
      <c r="B26" s="28">
        <f>B25-4</f>
        <v>-210</v>
      </c>
      <c r="C26" s="28">
        <f>C25+12</f>
        <v>106</v>
      </c>
      <c r="D26" s="28">
        <f t="shared" ref="D26:E26" si="22">D25-4</f>
        <v>74</v>
      </c>
      <c r="E26" s="28">
        <f t="shared" si="22"/>
        <v>30</v>
      </c>
      <c r="F26" s="28">
        <f t="shared" si="23"/>
        <v>0</v>
      </c>
      <c r="G26" s="28" t="s">
        <v>99</v>
      </c>
      <c r="H26" s="28" t="s">
        <v>8</v>
      </c>
      <c r="I26" s="28" t="s">
        <v>8</v>
      </c>
      <c r="J26" s="28" t="s">
        <v>10</v>
      </c>
    </row>
    <row r="27">
      <c r="A27" s="28">
        <f t="shared" si="24"/>
        <v>32</v>
      </c>
      <c r="B27" s="28">
        <f t="shared" ref="B27:D27" si="25">B26+8</f>
        <v>-202</v>
      </c>
      <c r="C27" s="28">
        <f t="shared" si="25"/>
        <v>114</v>
      </c>
      <c r="D27" s="28">
        <f t="shared" si="25"/>
        <v>82</v>
      </c>
      <c r="E27" s="28">
        <f>E26-24</f>
        <v>6</v>
      </c>
      <c r="F27" s="28">
        <f t="shared" si="23"/>
        <v>0</v>
      </c>
      <c r="G27" s="28" t="s">
        <v>416</v>
      </c>
      <c r="H27" s="28" t="s">
        <v>7</v>
      </c>
      <c r="I27" s="28" t="s">
        <v>7</v>
      </c>
      <c r="J27" s="28" t="s">
        <v>8</v>
      </c>
    </row>
    <row r="28">
      <c r="A28" s="28">
        <f t="shared" si="24"/>
        <v>33</v>
      </c>
      <c r="B28" s="28">
        <f>B27+96</f>
        <v>-106</v>
      </c>
      <c r="C28" s="28">
        <f t="shared" ref="C28:D28" si="26">C27-96</f>
        <v>18</v>
      </c>
      <c r="D28" s="28">
        <f t="shared" si="26"/>
        <v>-14</v>
      </c>
      <c r="E28" s="28">
        <f>E27+96</f>
        <v>102</v>
      </c>
      <c r="F28" s="28">
        <f t="shared" si="23"/>
        <v>0</v>
      </c>
      <c r="G28" s="28" t="s">
        <v>410</v>
      </c>
      <c r="H28" s="28" t="s">
        <v>7</v>
      </c>
      <c r="I28" s="28" t="s">
        <v>10</v>
      </c>
      <c r="J28" s="28" t="s">
        <v>9</v>
      </c>
    </row>
    <row r="29">
      <c r="A29" s="28">
        <f t="shared" si="24"/>
        <v>34</v>
      </c>
      <c r="B29" s="28">
        <f>B28+16</f>
        <v>-90</v>
      </c>
      <c r="C29" s="28">
        <f>'19a_13-01-2023_Fredag'!C28-16</f>
        <v>2</v>
      </c>
      <c r="D29" s="28">
        <f>'19a_13-01-2023_Fredag'!D28-16</f>
        <v>-30</v>
      </c>
      <c r="E29" s="28">
        <f>E28+16</f>
        <v>118</v>
      </c>
      <c r="F29" s="28">
        <f t="shared" si="23"/>
        <v>0</v>
      </c>
      <c r="G29" s="28" t="s">
        <v>314</v>
      </c>
      <c r="H29" s="28" t="s">
        <v>8</v>
      </c>
      <c r="I29" s="28" t="s">
        <v>9</v>
      </c>
      <c r="J29" s="28" t="s">
        <v>7</v>
      </c>
    </row>
    <row r="30">
      <c r="A30" s="28">
        <f t="shared" si="24"/>
        <v>35</v>
      </c>
      <c r="B30" s="28">
        <f>B29-4</f>
        <v>-94</v>
      </c>
      <c r="C30" s="28">
        <f>C29+12</f>
        <v>14</v>
      </c>
      <c r="D30" s="28">
        <f t="shared" ref="D30:E30" si="27">D29-4</f>
        <v>-34</v>
      </c>
      <c r="E30" s="28">
        <f t="shared" si="27"/>
        <v>114</v>
      </c>
      <c r="F30" s="28">
        <f t="shared" si="23"/>
        <v>0</v>
      </c>
      <c r="G30" s="28" t="s">
        <v>99</v>
      </c>
      <c r="H30" s="28" t="s">
        <v>8</v>
      </c>
      <c r="J30" s="28" t="s">
        <v>10</v>
      </c>
    </row>
    <row r="31">
      <c r="A31" s="28">
        <f t="shared" si="24"/>
        <v>36</v>
      </c>
      <c r="B31" s="28">
        <f t="shared" ref="B31:C31" si="28">B30+8</f>
        <v>-86</v>
      </c>
      <c r="C31" s="28">
        <f t="shared" si="28"/>
        <v>22</v>
      </c>
      <c r="D31" s="28">
        <f>D30-24</f>
        <v>-58</v>
      </c>
      <c r="E31" s="28">
        <f>E30+8</f>
        <v>122</v>
      </c>
      <c r="F31" s="28">
        <f t="shared" si="23"/>
        <v>0</v>
      </c>
      <c r="G31" s="28" t="s">
        <v>417</v>
      </c>
      <c r="H31" s="28" t="s">
        <v>9</v>
      </c>
      <c r="J31" s="28" t="s">
        <v>8</v>
      </c>
    </row>
    <row r="32">
      <c r="A32" s="28">
        <f t="shared" si="24"/>
        <v>37</v>
      </c>
      <c r="B32" s="28">
        <f t="shared" ref="B32:C32" si="29">B31-8</f>
        <v>-94</v>
      </c>
      <c r="C32" s="28">
        <f t="shared" si="29"/>
        <v>14</v>
      </c>
      <c r="D32" s="28">
        <f t="shared" ref="D32:E32" si="30">D31+8</f>
        <v>-50</v>
      </c>
      <c r="E32" s="28">
        <f t="shared" si="30"/>
        <v>130</v>
      </c>
      <c r="F32" s="28">
        <f t="shared" si="23"/>
        <v>0</v>
      </c>
      <c r="G32" s="28" t="s">
        <v>352</v>
      </c>
      <c r="H32" s="28" t="s">
        <v>7</v>
      </c>
      <c r="I32" s="28" t="s">
        <v>9</v>
      </c>
      <c r="J32" s="28" t="s">
        <v>9</v>
      </c>
    </row>
    <row r="33">
      <c r="A33" s="28">
        <f t="shared" si="24"/>
        <v>38</v>
      </c>
      <c r="B33" s="28">
        <f t="shared" ref="B33:C33" si="31">B32+10</f>
        <v>-84</v>
      </c>
      <c r="C33" s="28">
        <f t="shared" si="31"/>
        <v>24</v>
      </c>
      <c r="D33" s="28">
        <f t="shared" ref="D33:E33" si="32">D32-10</f>
        <v>-60</v>
      </c>
      <c r="E33" s="28">
        <f t="shared" si="32"/>
        <v>120</v>
      </c>
      <c r="F33" s="28">
        <f t="shared" si="23"/>
        <v>0</v>
      </c>
      <c r="G33" s="28" t="s">
        <v>352</v>
      </c>
      <c r="H33" s="28" t="s">
        <v>10</v>
      </c>
      <c r="I33" s="28" t="s">
        <v>8</v>
      </c>
      <c r="J33" s="28" t="s">
        <v>7</v>
      </c>
    </row>
    <row r="34">
      <c r="A34" s="28">
        <f t="shared" si="24"/>
        <v>39</v>
      </c>
      <c r="B34" s="28">
        <f>B33+8</f>
        <v>-76</v>
      </c>
      <c r="C34" s="28">
        <f>C33-24</f>
        <v>0</v>
      </c>
      <c r="D34" s="28">
        <f t="shared" ref="D34:E34" si="33">D33+8</f>
        <v>-52</v>
      </c>
      <c r="E34" s="28">
        <f t="shared" si="33"/>
        <v>128</v>
      </c>
      <c r="F34" s="28">
        <f t="shared" si="23"/>
        <v>0</v>
      </c>
      <c r="G34" s="28" t="s">
        <v>140</v>
      </c>
      <c r="H34" s="28" t="s">
        <v>8</v>
      </c>
      <c r="J34" s="28" t="s">
        <v>10</v>
      </c>
    </row>
    <row r="35">
      <c r="A35" s="28">
        <f t="shared" si="24"/>
        <v>40</v>
      </c>
      <c r="B35" s="28">
        <f>B34-10</f>
        <v>-86</v>
      </c>
      <c r="C35" s="28">
        <f>C34+10</f>
        <v>10</v>
      </c>
      <c r="D35" s="28">
        <f>D34-10</f>
        <v>-62</v>
      </c>
      <c r="E35" s="28">
        <f>E34+10</f>
        <v>138</v>
      </c>
      <c r="F35" s="28">
        <f t="shared" si="23"/>
        <v>0</v>
      </c>
      <c r="G35" s="28" t="s">
        <v>352</v>
      </c>
      <c r="H35" s="28" t="s">
        <v>7</v>
      </c>
      <c r="I35" s="28" t="s">
        <v>8</v>
      </c>
      <c r="J35" s="28" t="s">
        <v>8</v>
      </c>
    </row>
    <row r="36">
      <c r="A36" s="28">
        <f t="shared" si="24"/>
        <v>41</v>
      </c>
      <c r="B36" s="28">
        <f>B35+6*32</f>
        <v>106</v>
      </c>
      <c r="C36" s="28">
        <f>C35-6*32</f>
        <v>-182</v>
      </c>
      <c r="D36" s="28">
        <f>D35+6*32</f>
        <v>130</v>
      </c>
      <c r="E36" s="28">
        <f>E35-6*32</f>
        <v>-54</v>
      </c>
      <c r="F36" s="28">
        <f t="shared" si="23"/>
        <v>0</v>
      </c>
      <c r="G36" s="28" t="s">
        <v>418</v>
      </c>
      <c r="H36" s="28" t="s">
        <v>9</v>
      </c>
      <c r="I36" s="28" t="s">
        <v>10</v>
      </c>
      <c r="J36" s="28" t="s">
        <v>9</v>
      </c>
    </row>
    <row r="37">
      <c r="A37" s="28">
        <f t="shared" si="24"/>
        <v>42</v>
      </c>
      <c r="B37" s="28">
        <f t="shared" ref="B37:D37" si="34">B36-32</f>
        <v>74</v>
      </c>
      <c r="C37" s="28">
        <f t="shared" si="34"/>
        <v>-214</v>
      </c>
      <c r="D37" s="28">
        <f t="shared" si="34"/>
        <v>98</v>
      </c>
      <c r="E37" s="28">
        <f>E36+96</f>
        <v>42</v>
      </c>
      <c r="F37" s="28">
        <f t="shared" si="23"/>
        <v>0</v>
      </c>
      <c r="G37" s="28" t="s">
        <v>419</v>
      </c>
      <c r="H37" s="28" t="s">
        <v>7</v>
      </c>
      <c r="J37" s="28" t="s">
        <v>7</v>
      </c>
    </row>
    <row r="38">
      <c r="A38" s="28">
        <f t="shared" si="24"/>
        <v>43</v>
      </c>
      <c r="B38" s="28">
        <f t="shared" ref="B38:C38" si="35">B37+4</f>
        <v>78</v>
      </c>
      <c r="C38" s="28">
        <f t="shared" si="35"/>
        <v>-210</v>
      </c>
      <c r="D38" s="28">
        <f t="shared" ref="D38:E38" si="36">D37-4</f>
        <v>94</v>
      </c>
      <c r="E38" s="28">
        <f t="shared" si="36"/>
        <v>38</v>
      </c>
      <c r="F38" s="28">
        <f t="shared" si="23"/>
        <v>0</v>
      </c>
      <c r="G38" s="28" t="s">
        <v>345</v>
      </c>
      <c r="H38" s="28" t="s">
        <v>8</v>
      </c>
      <c r="I38" s="28" t="s">
        <v>10</v>
      </c>
      <c r="J38" s="28" t="s">
        <v>10</v>
      </c>
    </row>
    <row r="39">
      <c r="A39" s="28">
        <f t="shared" si="24"/>
        <v>44</v>
      </c>
      <c r="B39" s="28">
        <f t="shared" ref="B39:C39" si="37">B38+16</f>
        <v>94</v>
      </c>
      <c r="C39" s="28">
        <f t="shared" si="37"/>
        <v>-194</v>
      </c>
      <c r="D39" s="28">
        <f t="shared" ref="D39:E39" si="38">D38-16</f>
        <v>78</v>
      </c>
      <c r="E39" s="28">
        <f t="shared" si="38"/>
        <v>22</v>
      </c>
      <c r="F39" s="28">
        <f t="shared" si="23"/>
        <v>0</v>
      </c>
      <c r="G39" s="28" t="s">
        <v>414</v>
      </c>
      <c r="H39" s="28" t="s">
        <v>7</v>
      </c>
      <c r="I39" s="28" t="s">
        <v>9</v>
      </c>
      <c r="J39" s="28" t="s">
        <v>8</v>
      </c>
    </row>
    <row r="40">
      <c r="A40" s="28">
        <f t="shared" si="24"/>
        <v>45</v>
      </c>
      <c r="B40" s="28">
        <f t="shared" ref="B40:C40" si="39">B39-4</f>
        <v>90</v>
      </c>
      <c r="C40" s="28">
        <f t="shared" si="39"/>
        <v>-198</v>
      </c>
      <c r="D40" s="28">
        <f>D39+12</f>
        <v>90</v>
      </c>
      <c r="E40" s="28">
        <f>E39-4</f>
        <v>18</v>
      </c>
      <c r="F40" s="28">
        <f t="shared" si="23"/>
        <v>0</v>
      </c>
      <c r="G40" s="28" t="s">
        <v>139</v>
      </c>
      <c r="J40" s="28" t="s">
        <v>9</v>
      </c>
    </row>
    <row r="41">
      <c r="A41" s="28">
        <f t="shared" si="24"/>
        <v>46</v>
      </c>
      <c r="B41" s="28">
        <f>B40+12</f>
        <v>102</v>
      </c>
      <c r="C41" s="28">
        <f t="shared" ref="C41:D41" si="40">C40-12</f>
        <v>-210</v>
      </c>
      <c r="D41" s="28">
        <f t="shared" si="40"/>
        <v>78</v>
      </c>
      <c r="E41" s="28">
        <f>E40+12</f>
        <v>30</v>
      </c>
      <c r="F41" s="28">
        <f t="shared" si="23"/>
        <v>0</v>
      </c>
      <c r="G41" s="28" t="s">
        <v>314</v>
      </c>
      <c r="J41" s="28" t="s">
        <v>7</v>
      </c>
    </row>
    <row r="42">
      <c r="A42" s="28">
        <f t="shared" si="24"/>
        <v>47</v>
      </c>
      <c r="B42" s="28">
        <f t="shared" ref="B42:C42" si="41">B41-8</f>
        <v>94</v>
      </c>
      <c r="C42" s="28">
        <f t="shared" si="41"/>
        <v>-218</v>
      </c>
      <c r="D42" s="28">
        <f t="shared" ref="D42:E42" si="42">D41+8</f>
        <v>86</v>
      </c>
      <c r="E42" s="28">
        <f t="shared" si="42"/>
        <v>38</v>
      </c>
      <c r="F42" s="28">
        <f t="shared" si="23"/>
        <v>0</v>
      </c>
      <c r="G42" s="28" t="s">
        <v>420</v>
      </c>
      <c r="J42" s="28" t="s">
        <v>10</v>
      </c>
    </row>
    <row r="43">
      <c r="A43" s="28">
        <f t="shared" si="24"/>
        <v>48</v>
      </c>
      <c r="B43" s="28">
        <f>B42+8</f>
        <v>102</v>
      </c>
      <c r="C43" s="28">
        <f>C42-8</f>
        <v>-226</v>
      </c>
      <c r="D43" s="28">
        <f>D42+8</f>
        <v>94</v>
      </c>
      <c r="E43" s="28">
        <f>E42-8</f>
        <v>30</v>
      </c>
      <c r="F43" s="28">
        <f t="shared" si="23"/>
        <v>0</v>
      </c>
      <c r="G43" s="28" t="s">
        <v>98</v>
      </c>
      <c r="H43" s="28" t="s">
        <v>8</v>
      </c>
      <c r="I43" s="28" t="s">
        <v>7</v>
      </c>
      <c r="J43" s="28" t="s">
        <v>8</v>
      </c>
    </row>
    <row r="44"/>
    <row r="45"/>
    <row r="46"/>
    <row r="47"/>
    <row r="48"/>
    <row r="49"/>
    <row r="50"/>
    <row r="51"/>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6" width="9.38"/>
    <col customWidth="1" min="7" max="7" width="19.75"/>
    <col customWidth="1" min="8" max="12" width="9.38"/>
  </cols>
  <sheetData>
    <row r="1">
      <c r="A1" s="220">
        <f>'00_Regnskab_01'!A22</f>
        <v>19</v>
      </c>
      <c r="B1" s="221">
        <f>'00_Regnskab_01'!C22</f>
        <v>44939</v>
      </c>
      <c r="C1" s="216"/>
      <c r="D1" s="215" t="str">
        <f>'00_Regnskab_01'!L22</f>
        <v>Janus, Berlin</v>
      </c>
      <c r="E1" s="214"/>
      <c r="F1" s="219"/>
      <c r="G1" s="222"/>
      <c r="H1" s="219"/>
      <c r="I1" s="219"/>
      <c r="J1" s="219"/>
      <c r="K1" s="218"/>
      <c r="L1" s="218"/>
    </row>
    <row r="2">
      <c r="B2" s="28" t="s">
        <v>8</v>
      </c>
      <c r="C2" s="28" t="s">
        <v>7</v>
      </c>
      <c r="D2" s="28" t="s">
        <v>9</v>
      </c>
      <c r="E2" s="28" t="s">
        <v>10</v>
      </c>
      <c r="F2" s="28" t="s">
        <v>288</v>
      </c>
      <c r="G2" s="28" t="s">
        <v>64</v>
      </c>
      <c r="H2" s="28" t="s">
        <v>361</v>
      </c>
      <c r="I2" s="28" t="s">
        <v>81</v>
      </c>
      <c r="J2" s="28" t="s">
        <v>393</v>
      </c>
    </row>
    <row r="3">
      <c r="A3" s="25">
        <v>22.0</v>
      </c>
      <c r="B3" s="28">
        <f>'19a_13-01-2023_Fredag'!C23+12</f>
        <v>34</v>
      </c>
      <c r="C3" s="28">
        <f>'19a_13-01-2023_Fredag'!E23+12</f>
        <v>-50</v>
      </c>
      <c r="D3" s="28">
        <f>'19a_13-01-2023_Fredag'!D23-12</f>
        <v>170</v>
      </c>
      <c r="E3" s="28">
        <f>'19a_13-01-2023_Fredag'!B23-12</f>
        <v>-154</v>
      </c>
      <c r="F3" s="28">
        <f t="shared" ref="F3:F4" si="3">SUM(B3:E3)</f>
        <v>0</v>
      </c>
      <c r="G3" s="28" t="s">
        <v>299</v>
      </c>
      <c r="H3" s="28" t="s">
        <v>7</v>
      </c>
      <c r="I3" s="28" t="s">
        <v>8</v>
      </c>
      <c r="J3" s="28" t="s">
        <v>8</v>
      </c>
    </row>
    <row r="4">
      <c r="A4" s="28">
        <f t="shared" ref="A4:A10" si="4">A3+1</f>
        <v>23</v>
      </c>
      <c r="B4" s="28">
        <f t="shared" ref="B4:C4" si="1">B3+8</f>
        <v>42</v>
      </c>
      <c r="C4" s="28">
        <f t="shared" si="1"/>
        <v>-42</v>
      </c>
      <c r="D4" s="28">
        <f t="shared" ref="D4:E4" si="2">D3-8</f>
        <v>162</v>
      </c>
      <c r="E4" s="28">
        <f t="shared" si="2"/>
        <v>-162</v>
      </c>
      <c r="F4" s="28">
        <f t="shared" si="3"/>
        <v>0</v>
      </c>
      <c r="G4" s="28" t="s">
        <v>293</v>
      </c>
      <c r="H4" s="28" t="s">
        <v>8</v>
      </c>
      <c r="I4" s="28" t="s">
        <v>7</v>
      </c>
      <c r="J4" s="28" t="s">
        <v>7</v>
      </c>
    </row>
    <row r="5">
      <c r="A5" s="28">
        <f t="shared" si="4"/>
        <v>24</v>
      </c>
      <c r="B5" s="28">
        <f t="shared" ref="B5:D5" si="5">B4-8</f>
        <v>34</v>
      </c>
      <c r="C5" s="28">
        <f t="shared" si="5"/>
        <v>-50</v>
      </c>
      <c r="D5" s="28">
        <f t="shared" si="5"/>
        <v>154</v>
      </c>
      <c r="E5" s="28">
        <f>E4+24</f>
        <v>-138</v>
      </c>
      <c r="F5" s="28">
        <f t="shared" ref="F5:F10" si="7">SUM(B4:E4)</f>
        <v>0</v>
      </c>
      <c r="G5" s="28" t="s">
        <v>140</v>
      </c>
      <c r="H5" s="28" t="s">
        <v>10</v>
      </c>
      <c r="I5" s="28" t="s">
        <v>10</v>
      </c>
      <c r="J5" s="28" t="s">
        <v>9</v>
      </c>
    </row>
    <row r="6">
      <c r="A6" s="28">
        <f t="shared" si="4"/>
        <v>25</v>
      </c>
      <c r="B6" s="28">
        <f>B5-24</f>
        <v>10</v>
      </c>
      <c r="C6" s="28">
        <f t="shared" ref="C6:E6" si="6">C5+8</f>
        <v>-42</v>
      </c>
      <c r="D6" s="28">
        <f t="shared" si="6"/>
        <v>162</v>
      </c>
      <c r="E6" s="28">
        <f t="shared" si="6"/>
        <v>-130</v>
      </c>
      <c r="F6" s="28">
        <f t="shared" si="7"/>
        <v>0</v>
      </c>
      <c r="G6" s="28" t="s">
        <v>140</v>
      </c>
      <c r="H6" s="28" t="s">
        <v>8</v>
      </c>
      <c r="J6" s="28" t="s">
        <v>10</v>
      </c>
    </row>
    <row r="7">
      <c r="A7" s="28">
        <f t="shared" si="4"/>
        <v>26</v>
      </c>
      <c r="B7" s="28">
        <f t="shared" ref="B7:C7" si="8">B6+20</f>
        <v>30</v>
      </c>
      <c r="C7" s="28">
        <f t="shared" si="8"/>
        <v>-22</v>
      </c>
      <c r="D7" s="28">
        <f t="shared" ref="D7:E7" si="9">D6-20</f>
        <v>142</v>
      </c>
      <c r="E7" s="28">
        <f t="shared" si="9"/>
        <v>-150</v>
      </c>
      <c r="F7" s="28">
        <f t="shared" si="7"/>
        <v>0</v>
      </c>
      <c r="G7" s="28" t="s">
        <v>421</v>
      </c>
      <c r="H7" s="28" t="s">
        <v>7</v>
      </c>
      <c r="I7" s="28" t="s">
        <v>8</v>
      </c>
      <c r="J7" s="28" t="s">
        <v>8</v>
      </c>
    </row>
    <row r="8">
      <c r="A8" s="28">
        <f t="shared" si="4"/>
        <v>27</v>
      </c>
      <c r="B8" s="28">
        <f>B7+12</f>
        <v>42</v>
      </c>
      <c r="C8" s="28">
        <f>C7-12</f>
        <v>-34</v>
      </c>
      <c r="D8" s="28">
        <f>D7+12</f>
        <v>154</v>
      </c>
      <c r="E8" s="28">
        <f>E7-12</f>
        <v>-162</v>
      </c>
      <c r="F8" s="28">
        <f t="shared" si="7"/>
        <v>0</v>
      </c>
      <c r="G8" s="28" t="s">
        <v>314</v>
      </c>
      <c r="H8" s="28" t="s">
        <v>8</v>
      </c>
      <c r="I8" s="28" t="s">
        <v>9</v>
      </c>
      <c r="J8" s="28" t="s">
        <v>7</v>
      </c>
    </row>
    <row r="9">
      <c r="A9" s="28">
        <f t="shared" si="4"/>
        <v>28</v>
      </c>
      <c r="B9" s="28">
        <f t="shared" ref="B9:C9" si="10">B8+64</f>
        <v>106</v>
      </c>
      <c r="C9" s="28">
        <f t="shared" si="10"/>
        <v>30</v>
      </c>
      <c r="D9" s="28">
        <f t="shared" ref="D9:E9" si="11">D8-64</f>
        <v>90</v>
      </c>
      <c r="E9" s="28">
        <f t="shared" si="11"/>
        <v>-226</v>
      </c>
      <c r="F9" s="28">
        <f t="shared" si="7"/>
        <v>0</v>
      </c>
      <c r="G9" s="28" t="s">
        <v>422</v>
      </c>
      <c r="H9" s="28" t="s">
        <v>7</v>
      </c>
      <c r="I9" s="28" t="s">
        <v>8</v>
      </c>
      <c r="J9" s="28" t="s">
        <v>9</v>
      </c>
    </row>
    <row r="10">
      <c r="A10" s="28">
        <f t="shared" si="4"/>
        <v>29</v>
      </c>
      <c r="B10" s="28">
        <f t="shared" ref="B10:D10" si="12">B9-4</f>
        <v>102</v>
      </c>
      <c r="C10" s="28">
        <f t="shared" si="12"/>
        <v>26</v>
      </c>
      <c r="D10" s="28">
        <f t="shared" si="12"/>
        <v>86</v>
      </c>
      <c r="E10" s="28">
        <f>E9+3*4</f>
        <v>-214</v>
      </c>
      <c r="F10" s="28">
        <f t="shared" si="7"/>
        <v>0</v>
      </c>
      <c r="G10" s="28" t="s">
        <v>400</v>
      </c>
      <c r="H10" s="28" t="s">
        <v>10</v>
      </c>
      <c r="J10" s="28" t="s">
        <v>10</v>
      </c>
    </row>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6" width="9.38"/>
    <col customWidth="1" min="7" max="7" width="16.75"/>
    <col customWidth="1" min="8" max="12" width="9.38"/>
  </cols>
  <sheetData>
    <row r="1">
      <c r="A1" s="220">
        <f>'00_Regnskab_01'!A22</f>
        <v>19</v>
      </c>
      <c r="B1" s="221">
        <f>'00_Regnskab_01'!C22</f>
        <v>44939</v>
      </c>
      <c r="C1" s="216"/>
      <c r="D1" s="215" t="str">
        <f>'00_Regnskab_01'!L22</f>
        <v>Janus, Berlin</v>
      </c>
      <c r="E1" s="214"/>
      <c r="F1" s="219"/>
      <c r="G1" s="222"/>
      <c r="H1" s="219"/>
      <c r="I1" s="219"/>
      <c r="J1" s="219"/>
      <c r="K1" s="218"/>
      <c r="L1" s="218"/>
    </row>
    <row r="2">
      <c r="B2" s="28" t="s">
        <v>10</v>
      </c>
      <c r="C2" s="28" t="s">
        <v>423</v>
      </c>
      <c r="D2" s="28" t="s">
        <v>8</v>
      </c>
      <c r="E2" s="28" t="s">
        <v>7</v>
      </c>
      <c r="F2" s="28" t="s">
        <v>288</v>
      </c>
      <c r="G2" s="28" t="s">
        <v>64</v>
      </c>
      <c r="H2" s="28" t="s">
        <v>361</v>
      </c>
      <c r="I2" s="28" t="s">
        <v>81</v>
      </c>
      <c r="J2" s="28" t="s">
        <v>393</v>
      </c>
    </row>
    <row r="3">
      <c r="A3" s="25">
        <v>49.0</v>
      </c>
      <c r="B3" s="28">
        <f>'19a_13-01-2023_Fredag'!B43</f>
        <v>102</v>
      </c>
      <c r="C3" s="28">
        <f>'19a_13-01-2023_Fredag'!D43</f>
        <v>94</v>
      </c>
      <c r="D3" s="28">
        <f>'19a_13-01-2023_Fredag'!C43</f>
        <v>-226</v>
      </c>
      <c r="E3" s="28">
        <f>'19a_13-01-2023_Fredag'!E43</f>
        <v>30</v>
      </c>
      <c r="F3" s="28">
        <f t="shared" ref="F3:F12" si="1">SUM(B3:E3)</f>
        <v>0</v>
      </c>
      <c r="G3" s="28" t="s">
        <v>299</v>
      </c>
      <c r="H3" s="28" t="s">
        <v>7</v>
      </c>
      <c r="I3" s="28" t="s">
        <v>7</v>
      </c>
      <c r="J3" s="28" t="s">
        <v>7</v>
      </c>
    </row>
    <row r="4">
      <c r="A4" s="28">
        <f>A3+1</f>
        <v>50</v>
      </c>
      <c r="B4" s="28">
        <f>B3+8</f>
        <v>110</v>
      </c>
      <c r="C4" s="28">
        <f>C3-8</f>
        <v>86</v>
      </c>
      <c r="D4" s="28">
        <f>D3+8</f>
        <v>-218</v>
      </c>
      <c r="E4" s="28">
        <f>E3-8</f>
        <v>22</v>
      </c>
      <c r="F4" s="28">
        <f t="shared" si="1"/>
        <v>0</v>
      </c>
      <c r="G4" s="28" t="s">
        <v>299</v>
      </c>
      <c r="H4" s="28" t="s">
        <v>8</v>
      </c>
      <c r="I4" s="28" t="s">
        <v>10</v>
      </c>
      <c r="J4" s="28" t="s">
        <v>10</v>
      </c>
    </row>
    <row r="5">
      <c r="A5" s="25">
        <v>50.0</v>
      </c>
      <c r="B5" s="28">
        <f t="shared" ref="B5:C5" si="2">B4-16</f>
        <v>94</v>
      </c>
      <c r="C5" s="28">
        <f t="shared" si="2"/>
        <v>70</v>
      </c>
      <c r="D5" s="28">
        <f t="shared" ref="D5:E5" si="3">D4+16</f>
        <v>-202</v>
      </c>
      <c r="E5" s="28">
        <f t="shared" si="3"/>
        <v>38</v>
      </c>
      <c r="F5" s="28">
        <f t="shared" si="1"/>
        <v>0</v>
      </c>
      <c r="G5" s="28" t="s">
        <v>293</v>
      </c>
      <c r="H5" s="28" t="s">
        <v>7</v>
      </c>
      <c r="I5" s="28" t="s">
        <v>8</v>
      </c>
      <c r="J5" s="28" t="s">
        <v>9</v>
      </c>
    </row>
    <row r="6">
      <c r="A6" s="28">
        <f>A5+1</f>
        <v>51</v>
      </c>
      <c r="B6" s="28">
        <f>B5+8</f>
        <v>102</v>
      </c>
      <c r="C6" s="28">
        <f t="shared" ref="C6:D6" si="4">C5-8</f>
        <v>62</v>
      </c>
      <c r="D6" s="28">
        <f t="shared" si="4"/>
        <v>-210</v>
      </c>
      <c r="E6" s="28">
        <f t="shared" ref="E6:E7" si="5">E5+8</f>
        <v>46</v>
      </c>
      <c r="F6" s="28">
        <f t="shared" si="1"/>
        <v>0</v>
      </c>
      <c r="G6" s="28" t="s">
        <v>293</v>
      </c>
      <c r="H6" s="28" t="s">
        <v>10</v>
      </c>
      <c r="I6" s="28" t="s">
        <v>7</v>
      </c>
      <c r="J6" s="28" t="s">
        <v>8</v>
      </c>
    </row>
    <row r="7">
      <c r="A7" s="25">
        <v>51.0</v>
      </c>
      <c r="B7" s="28">
        <f>B6-8</f>
        <v>94</v>
      </c>
      <c r="C7" s="28">
        <f>C6+8</f>
        <v>70</v>
      </c>
      <c r="D7" s="28">
        <f t="shared" ref="D7:D8" si="7">D6-8</f>
        <v>-218</v>
      </c>
      <c r="E7" s="28">
        <f t="shared" si="5"/>
        <v>54</v>
      </c>
      <c r="F7" s="28">
        <f t="shared" si="1"/>
        <v>0</v>
      </c>
      <c r="G7" s="28" t="s">
        <v>299</v>
      </c>
      <c r="H7" s="28" t="s">
        <v>8</v>
      </c>
      <c r="I7" s="28" t="s">
        <v>10</v>
      </c>
      <c r="J7" s="28" t="s">
        <v>7</v>
      </c>
    </row>
    <row r="8">
      <c r="A8" s="28">
        <f>A7+1</f>
        <v>52</v>
      </c>
      <c r="B8" s="28">
        <f t="shared" ref="B8:C8" si="6">B7+8</f>
        <v>102</v>
      </c>
      <c r="C8" s="28">
        <f t="shared" si="6"/>
        <v>78</v>
      </c>
      <c r="D8" s="28">
        <f t="shared" si="7"/>
        <v>-226</v>
      </c>
      <c r="E8" s="28">
        <f>E7-8</f>
        <v>46</v>
      </c>
      <c r="F8" s="28">
        <f t="shared" si="1"/>
        <v>0</v>
      </c>
      <c r="G8" s="28" t="s">
        <v>293</v>
      </c>
      <c r="H8" s="28" t="s">
        <v>10</v>
      </c>
      <c r="I8" s="28" t="s">
        <v>9</v>
      </c>
      <c r="J8" s="28" t="s">
        <v>10</v>
      </c>
    </row>
    <row r="9">
      <c r="A9" s="25">
        <v>52.0</v>
      </c>
      <c r="B9" s="28">
        <f t="shared" ref="B9:D9" si="8">B8-16</f>
        <v>86</v>
      </c>
      <c r="C9" s="28">
        <f t="shared" si="8"/>
        <v>62</v>
      </c>
      <c r="D9" s="28">
        <f t="shared" si="8"/>
        <v>-242</v>
      </c>
      <c r="E9" s="28">
        <f>E8+3*16</f>
        <v>94</v>
      </c>
      <c r="F9" s="28">
        <f t="shared" si="1"/>
        <v>0</v>
      </c>
      <c r="G9" s="28" t="s">
        <v>141</v>
      </c>
      <c r="H9" s="28" t="s">
        <v>7</v>
      </c>
      <c r="J9" s="28" t="s">
        <v>9</v>
      </c>
    </row>
    <row r="10">
      <c r="A10" s="28">
        <f>A9+1</f>
        <v>53</v>
      </c>
      <c r="B10" s="28">
        <f t="shared" ref="B10:C10" si="9">B9+6</f>
        <v>92</v>
      </c>
      <c r="C10" s="28">
        <f t="shared" si="9"/>
        <v>68</v>
      </c>
      <c r="D10" s="28">
        <f t="shared" ref="D10:E10" si="10">D9-6</f>
        <v>-248</v>
      </c>
      <c r="E10" s="28">
        <f t="shared" si="10"/>
        <v>88</v>
      </c>
      <c r="F10" s="28">
        <f t="shared" si="1"/>
        <v>0</v>
      </c>
      <c r="G10" s="28" t="s">
        <v>424</v>
      </c>
      <c r="H10" s="28" t="s">
        <v>7</v>
      </c>
      <c r="I10" s="28" t="s">
        <v>8</v>
      </c>
      <c r="J10" s="28" t="s">
        <v>8</v>
      </c>
    </row>
    <row r="11">
      <c r="A11" s="25">
        <v>53.0</v>
      </c>
      <c r="B11" s="28">
        <f>B10-24</f>
        <v>68</v>
      </c>
      <c r="C11" s="28">
        <f t="shared" ref="C11:E11" si="11">C10+8</f>
        <v>76</v>
      </c>
      <c r="D11" s="28">
        <f t="shared" si="11"/>
        <v>-240</v>
      </c>
      <c r="E11" s="28">
        <f t="shared" si="11"/>
        <v>96</v>
      </c>
      <c r="F11" s="28">
        <f t="shared" si="1"/>
        <v>0</v>
      </c>
      <c r="G11" s="28" t="s">
        <v>97</v>
      </c>
      <c r="H11" s="28" t="s">
        <v>10</v>
      </c>
      <c r="J11" s="28" t="s">
        <v>7</v>
      </c>
    </row>
    <row r="12">
      <c r="A12" s="28">
        <f>A11+1</f>
        <v>54</v>
      </c>
      <c r="B12" s="28">
        <f>B11+8</f>
        <v>76</v>
      </c>
      <c r="C12" s="28">
        <f t="shared" ref="C12:D12" si="12">C11-8</f>
        <v>68</v>
      </c>
      <c r="D12" s="28">
        <f t="shared" si="12"/>
        <v>-248</v>
      </c>
      <c r="E12" s="28">
        <f>E11+8</f>
        <v>104</v>
      </c>
      <c r="F12" s="28">
        <f t="shared" si="1"/>
        <v>0</v>
      </c>
      <c r="G12" s="28" t="s">
        <v>314</v>
      </c>
      <c r="H12" s="28" t="s">
        <v>7</v>
      </c>
      <c r="I12" s="28" t="s">
        <v>8</v>
      </c>
      <c r="J12" s="28" t="s">
        <v>10</v>
      </c>
    </row>
  </sheetData>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9" width="9.38"/>
  </cols>
  <sheetData>
    <row r="1">
      <c r="A1" s="220">
        <f>'00_Regnskab_01'!A23</f>
        <v>20</v>
      </c>
      <c r="B1" s="221">
        <f>'00_Regnskab_01'!C23</f>
        <v>44940</v>
      </c>
      <c r="C1" s="216"/>
      <c r="D1" s="216" t="str">
        <f>'00_Regnskab_01'!L23</f>
        <v>Janus, Berlin</v>
      </c>
      <c r="E1" s="214"/>
      <c r="F1" s="219"/>
      <c r="G1" s="222"/>
      <c r="H1" s="219"/>
      <c r="I1" s="219"/>
      <c r="J1" s="219"/>
      <c r="K1" s="218"/>
      <c r="L1" s="218"/>
    </row>
    <row r="2">
      <c r="B2" s="28" t="s">
        <v>10</v>
      </c>
      <c r="C2" s="28" t="s">
        <v>9</v>
      </c>
      <c r="D2" s="28" t="s">
        <v>8</v>
      </c>
      <c r="E2" s="28" t="s">
        <v>7</v>
      </c>
      <c r="F2" s="28" t="s">
        <v>288</v>
      </c>
      <c r="G2" s="28" t="s">
        <v>64</v>
      </c>
      <c r="H2" s="28" t="s">
        <v>361</v>
      </c>
      <c r="I2" s="28" t="s">
        <v>81</v>
      </c>
      <c r="J2" s="28" t="s">
        <v>393</v>
      </c>
      <c r="K2" s="28" t="s">
        <v>425</v>
      </c>
      <c r="N2" s="28" t="str">
        <f t="shared" ref="N2:Q2" si="1">B2</f>
        <v>Christian</v>
      </c>
      <c r="O2" s="28" t="str">
        <f t="shared" si="1"/>
        <v>Janus</v>
      </c>
      <c r="P2" s="28" t="str">
        <f t="shared" si="1"/>
        <v>Peter</v>
      </c>
      <c r="Q2" s="28" t="str">
        <f t="shared" si="1"/>
        <v>Thomas</v>
      </c>
    </row>
    <row r="3">
      <c r="A3" s="25">
        <v>1.0</v>
      </c>
      <c r="B3" s="28">
        <v>-12.0</v>
      </c>
      <c r="C3" s="28">
        <v>12.0</v>
      </c>
      <c r="D3" s="28">
        <v>12.0</v>
      </c>
      <c r="E3" s="28">
        <v>-12.0</v>
      </c>
      <c r="F3" s="28">
        <f t="shared" ref="F3:F32" si="5">SUM(B3:E3)</f>
        <v>0</v>
      </c>
      <c r="G3" s="28" t="s">
        <v>293</v>
      </c>
      <c r="H3" s="28" t="s">
        <v>10</v>
      </c>
      <c r="I3" s="28" t="s">
        <v>7</v>
      </c>
      <c r="J3" s="28" t="s">
        <v>10</v>
      </c>
      <c r="N3" s="28">
        <f t="shared" ref="N3:Q3" si="2">B3</f>
        <v>-12</v>
      </c>
      <c r="O3" s="28">
        <f t="shared" si="2"/>
        <v>12</v>
      </c>
      <c r="P3" s="28">
        <f t="shared" si="2"/>
        <v>12</v>
      </c>
      <c r="Q3" s="28">
        <f t="shared" si="2"/>
        <v>-12</v>
      </c>
    </row>
    <row r="4">
      <c r="A4" s="28">
        <f t="shared" ref="A4:A32" si="7">A3+1</f>
        <v>2</v>
      </c>
      <c r="B4" s="28">
        <f t="shared" ref="B4:C4" si="3">B3-8</f>
        <v>-20</v>
      </c>
      <c r="C4" s="28">
        <f t="shared" si="3"/>
        <v>4</v>
      </c>
      <c r="D4" s="28">
        <f t="shared" ref="D4:E4" si="4">D3+8</f>
        <v>20</v>
      </c>
      <c r="E4" s="28">
        <f t="shared" si="4"/>
        <v>-4</v>
      </c>
      <c r="F4" s="28">
        <f t="shared" si="5"/>
        <v>0</v>
      </c>
      <c r="G4" s="28" t="s">
        <v>299</v>
      </c>
      <c r="H4" s="28" t="s">
        <v>7</v>
      </c>
      <c r="I4" s="28" t="s">
        <v>8</v>
      </c>
      <c r="J4" s="28" t="s">
        <v>9</v>
      </c>
      <c r="N4" s="28">
        <f t="shared" ref="N4:Q4" si="6">B3-B4</f>
        <v>8</v>
      </c>
      <c r="O4" s="28">
        <f t="shared" si="6"/>
        <v>8</v>
      </c>
      <c r="P4" s="28">
        <f t="shared" si="6"/>
        <v>-8</v>
      </c>
      <c r="Q4" s="28">
        <f t="shared" si="6"/>
        <v>-8</v>
      </c>
    </row>
    <row r="5">
      <c r="A5" s="28">
        <f t="shared" si="7"/>
        <v>3</v>
      </c>
      <c r="B5" s="28">
        <f t="shared" ref="B5:C5" si="8">B4+8</f>
        <v>-12</v>
      </c>
      <c r="C5" s="28">
        <f t="shared" si="8"/>
        <v>12</v>
      </c>
      <c r="D5" s="28">
        <f t="shared" ref="D5:E5" si="9">D4-8</f>
        <v>12</v>
      </c>
      <c r="E5" s="28">
        <f t="shared" si="9"/>
        <v>-12</v>
      </c>
      <c r="F5" s="28">
        <f t="shared" si="5"/>
        <v>0</v>
      </c>
      <c r="G5" s="28" t="s">
        <v>308</v>
      </c>
      <c r="H5" s="28" t="s">
        <v>7</v>
      </c>
      <c r="I5" s="28" t="s">
        <v>8</v>
      </c>
      <c r="J5" s="28" t="s">
        <v>8</v>
      </c>
      <c r="N5" s="28">
        <f t="shared" ref="N5:Q5" si="10">B4-B5</f>
        <v>-8</v>
      </c>
      <c r="O5" s="28">
        <f t="shared" si="10"/>
        <v>-8</v>
      </c>
      <c r="P5" s="28">
        <f t="shared" si="10"/>
        <v>8</v>
      </c>
      <c r="Q5" s="28">
        <f t="shared" si="10"/>
        <v>8</v>
      </c>
    </row>
    <row r="6">
      <c r="A6" s="28">
        <f t="shared" si="7"/>
        <v>4</v>
      </c>
      <c r="B6" s="28">
        <f>B5+16</f>
        <v>4</v>
      </c>
      <c r="C6" s="28">
        <f t="shared" ref="C6:D6" si="11">C5-16</f>
        <v>-4</v>
      </c>
      <c r="D6" s="28">
        <f t="shared" si="11"/>
        <v>-4</v>
      </c>
      <c r="E6" s="28">
        <f>E5+16</f>
        <v>4</v>
      </c>
      <c r="F6" s="28">
        <f t="shared" si="5"/>
        <v>0</v>
      </c>
      <c r="G6" s="28" t="s">
        <v>426</v>
      </c>
      <c r="H6" s="28" t="s">
        <v>7</v>
      </c>
      <c r="I6" s="28" t="s">
        <v>10</v>
      </c>
      <c r="J6" s="28" t="s">
        <v>7</v>
      </c>
      <c r="N6" s="28">
        <f t="shared" ref="N6:Q6" si="12">B5-B6</f>
        <v>-16</v>
      </c>
      <c r="O6" s="28">
        <f t="shared" si="12"/>
        <v>16</v>
      </c>
      <c r="P6" s="28">
        <f t="shared" si="12"/>
        <v>16</v>
      </c>
      <c r="Q6" s="28">
        <f t="shared" si="12"/>
        <v>-16</v>
      </c>
    </row>
    <row r="7">
      <c r="A7" s="28">
        <f t="shared" si="7"/>
        <v>5</v>
      </c>
      <c r="B7" s="28">
        <f>B6-24</f>
        <v>-20</v>
      </c>
      <c r="C7" s="28">
        <f>C6+24</f>
        <v>20</v>
      </c>
      <c r="D7" s="28">
        <f>D6-24</f>
        <v>-28</v>
      </c>
      <c r="E7" s="28">
        <f>E6+24</f>
        <v>28</v>
      </c>
      <c r="F7" s="28">
        <f t="shared" si="5"/>
        <v>0</v>
      </c>
      <c r="G7" s="28" t="s">
        <v>427</v>
      </c>
      <c r="H7" s="28" t="s">
        <v>7</v>
      </c>
      <c r="I7" s="28" t="s">
        <v>9</v>
      </c>
      <c r="J7" s="28" t="s">
        <v>10</v>
      </c>
      <c r="N7" s="28">
        <f t="shared" ref="N7:Q7" si="13">B6-B7</f>
        <v>24</v>
      </c>
      <c r="O7" s="28">
        <f t="shared" si="13"/>
        <v>-24</v>
      </c>
      <c r="P7" s="28">
        <f t="shared" si="13"/>
        <v>24</v>
      </c>
      <c r="Q7" s="28">
        <f t="shared" si="13"/>
        <v>-24</v>
      </c>
    </row>
    <row r="8">
      <c r="A8" s="28">
        <f t="shared" si="7"/>
        <v>6</v>
      </c>
      <c r="B8" s="28">
        <f>B7-6</f>
        <v>-26</v>
      </c>
      <c r="C8" s="28">
        <f t="shared" ref="C8:D8" si="14">C7+6</f>
        <v>26</v>
      </c>
      <c r="D8" s="28">
        <f t="shared" si="14"/>
        <v>-22</v>
      </c>
      <c r="E8" s="28">
        <f>E7-6</f>
        <v>22</v>
      </c>
      <c r="F8" s="28">
        <f t="shared" si="5"/>
        <v>0</v>
      </c>
      <c r="G8" s="28" t="s">
        <v>352</v>
      </c>
      <c r="H8" s="28" t="s">
        <v>7</v>
      </c>
      <c r="I8" s="28" t="s">
        <v>10</v>
      </c>
      <c r="J8" s="28" t="s">
        <v>9</v>
      </c>
      <c r="N8" s="28">
        <f t="shared" ref="N8:Q8" si="15">B7-B8</f>
        <v>6</v>
      </c>
      <c r="O8" s="28">
        <f t="shared" si="15"/>
        <v>-6</v>
      </c>
      <c r="P8" s="28">
        <f t="shared" si="15"/>
        <v>-6</v>
      </c>
      <c r="Q8" s="28">
        <f t="shared" si="15"/>
        <v>6</v>
      </c>
    </row>
    <row r="9">
      <c r="A9" s="28">
        <f t="shared" si="7"/>
        <v>7</v>
      </c>
      <c r="B9" s="28">
        <f>B8-32</f>
        <v>-58</v>
      </c>
      <c r="C9" s="28">
        <f>C8+32</f>
        <v>58</v>
      </c>
      <c r="D9" s="28">
        <f>D8-32</f>
        <v>-54</v>
      </c>
      <c r="E9" s="28">
        <f>E8+32</f>
        <v>54</v>
      </c>
      <c r="F9" s="28">
        <f t="shared" si="5"/>
        <v>0</v>
      </c>
      <c r="G9" s="28" t="s">
        <v>428</v>
      </c>
      <c r="H9" s="28" t="s">
        <v>7</v>
      </c>
      <c r="I9" s="28" t="s">
        <v>9</v>
      </c>
      <c r="J9" s="28" t="s">
        <v>8</v>
      </c>
      <c r="N9" s="28">
        <f t="shared" ref="N9:Q9" si="16">B8-B9</f>
        <v>32</v>
      </c>
      <c r="O9" s="28">
        <f t="shared" si="16"/>
        <v>-32</v>
      </c>
      <c r="P9" s="28">
        <f t="shared" si="16"/>
        <v>32</v>
      </c>
      <c r="Q9" s="28">
        <f t="shared" si="16"/>
        <v>-32</v>
      </c>
    </row>
    <row r="10">
      <c r="A10" s="28">
        <f t="shared" si="7"/>
        <v>8</v>
      </c>
      <c r="B10" s="28">
        <f>B9+12</f>
        <v>-46</v>
      </c>
      <c r="C10" s="28">
        <f>C9-12</f>
        <v>46</v>
      </c>
      <c r="D10" s="28">
        <f>D9+12</f>
        <v>-42</v>
      </c>
      <c r="E10" s="28">
        <f>E9-12</f>
        <v>42</v>
      </c>
      <c r="F10" s="28">
        <f t="shared" si="5"/>
        <v>0</v>
      </c>
      <c r="G10" s="28" t="s">
        <v>293</v>
      </c>
      <c r="H10" s="28" t="s">
        <v>9</v>
      </c>
      <c r="I10" s="28" t="s">
        <v>7</v>
      </c>
      <c r="J10" s="28" t="s">
        <v>7</v>
      </c>
      <c r="N10" s="28">
        <f t="shared" ref="N10:Q10" si="17">B9-B10</f>
        <v>-12</v>
      </c>
      <c r="O10" s="28">
        <f t="shared" si="17"/>
        <v>12</v>
      </c>
      <c r="P10" s="28">
        <f t="shared" si="17"/>
        <v>-12</v>
      </c>
      <c r="Q10" s="28">
        <f t="shared" si="17"/>
        <v>12</v>
      </c>
    </row>
    <row r="11">
      <c r="A11" s="28">
        <f t="shared" si="7"/>
        <v>9</v>
      </c>
      <c r="B11" s="28">
        <f>B10+24</f>
        <v>-22</v>
      </c>
      <c r="C11" s="28">
        <f>C10-3*24</f>
        <v>-26</v>
      </c>
      <c r="D11" s="28">
        <f t="shared" ref="D11:E11" si="18">D10+24</f>
        <v>-18</v>
      </c>
      <c r="E11" s="28">
        <f t="shared" si="18"/>
        <v>66</v>
      </c>
      <c r="F11" s="28">
        <f t="shared" si="5"/>
        <v>0</v>
      </c>
      <c r="G11" s="28" t="s">
        <v>429</v>
      </c>
      <c r="H11" s="28" t="s">
        <v>9</v>
      </c>
      <c r="I11" s="28" t="s">
        <v>8</v>
      </c>
      <c r="J11" s="28" t="s">
        <v>10</v>
      </c>
      <c r="K11" s="28" t="s">
        <v>430</v>
      </c>
      <c r="N11" s="28">
        <f t="shared" ref="N11:Q11" si="19">B10-B11</f>
        <v>-24</v>
      </c>
      <c r="O11" s="28">
        <f t="shared" si="19"/>
        <v>72</v>
      </c>
      <c r="P11" s="28">
        <f t="shared" si="19"/>
        <v>-24</v>
      </c>
      <c r="Q11" s="28">
        <f t="shared" si="19"/>
        <v>-24</v>
      </c>
    </row>
    <row r="12">
      <c r="A12" s="28">
        <f t="shared" si="7"/>
        <v>10</v>
      </c>
      <c r="B12" s="28">
        <f>B11-12</f>
        <v>-34</v>
      </c>
      <c r="C12" s="28">
        <f t="shared" ref="C12:D12" si="20">C11+12</f>
        <v>-14</v>
      </c>
      <c r="D12" s="28">
        <f t="shared" si="20"/>
        <v>-6</v>
      </c>
      <c r="E12" s="28">
        <f>E11-12</f>
        <v>54</v>
      </c>
      <c r="F12" s="28">
        <f t="shared" si="5"/>
        <v>0</v>
      </c>
      <c r="G12" s="28" t="s">
        <v>299</v>
      </c>
      <c r="H12" s="28" t="s">
        <v>8</v>
      </c>
      <c r="I12" s="28" t="s">
        <v>9</v>
      </c>
      <c r="J12" s="28" t="s">
        <v>7</v>
      </c>
      <c r="N12" s="28">
        <f t="shared" ref="N12:Q12" si="21">B11-B12</f>
        <v>12</v>
      </c>
      <c r="O12" s="28">
        <f t="shared" si="21"/>
        <v>-12</v>
      </c>
      <c r="P12" s="28">
        <f t="shared" si="21"/>
        <v>-12</v>
      </c>
      <c r="Q12" s="28">
        <f t="shared" si="21"/>
        <v>12</v>
      </c>
    </row>
    <row r="13">
      <c r="A13" s="28">
        <f t="shared" si="7"/>
        <v>11</v>
      </c>
      <c r="B13" s="28">
        <f>B12-40</f>
        <v>-74</v>
      </c>
      <c r="C13" s="28">
        <f>C12+40</f>
        <v>26</v>
      </c>
      <c r="D13" s="28">
        <f>D12-40</f>
        <v>-46</v>
      </c>
      <c r="E13" s="28">
        <f>E12+40</f>
        <v>94</v>
      </c>
      <c r="F13" s="28">
        <f t="shared" si="5"/>
        <v>0</v>
      </c>
      <c r="G13" s="28" t="s">
        <v>314</v>
      </c>
      <c r="H13" s="28" t="s">
        <v>7</v>
      </c>
      <c r="I13" s="28" t="s">
        <v>9</v>
      </c>
      <c r="J13" s="28" t="s">
        <v>8</v>
      </c>
      <c r="K13" s="28" t="s">
        <v>90</v>
      </c>
      <c r="N13" s="28">
        <f t="shared" ref="N13:Q13" si="22">B12-B13</f>
        <v>40</v>
      </c>
      <c r="O13" s="28">
        <f t="shared" si="22"/>
        <v>-40</v>
      </c>
      <c r="P13" s="28">
        <f t="shared" si="22"/>
        <v>40</v>
      </c>
      <c r="Q13" s="28">
        <f t="shared" si="22"/>
        <v>-40</v>
      </c>
    </row>
    <row r="14">
      <c r="A14" s="28">
        <f t="shared" si="7"/>
        <v>12</v>
      </c>
      <c r="B14" s="28">
        <f t="shared" ref="B14:D14" si="23">B13-4</f>
        <v>-78</v>
      </c>
      <c r="C14" s="28">
        <f t="shared" si="23"/>
        <v>22</v>
      </c>
      <c r="D14" s="28">
        <f t="shared" si="23"/>
        <v>-50</v>
      </c>
      <c r="E14" s="28">
        <f>E13+12</f>
        <v>106</v>
      </c>
      <c r="F14" s="28">
        <f t="shared" si="5"/>
        <v>0</v>
      </c>
      <c r="G14" s="28" t="s">
        <v>99</v>
      </c>
      <c r="H14" s="28" t="s">
        <v>7</v>
      </c>
      <c r="J14" s="28" t="s">
        <v>431</v>
      </c>
      <c r="N14" s="28">
        <f t="shared" ref="N14:Q14" si="24">B13-B14</f>
        <v>4</v>
      </c>
      <c r="O14" s="28">
        <f t="shared" si="24"/>
        <v>4</v>
      </c>
      <c r="P14" s="28">
        <f t="shared" si="24"/>
        <v>4</v>
      </c>
      <c r="Q14" s="28">
        <f t="shared" si="24"/>
        <v>-12</v>
      </c>
    </row>
    <row r="15">
      <c r="A15" s="28">
        <f t="shared" si="7"/>
        <v>13</v>
      </c>
      <c r="B15" s="28">
        <f t="shared" ref="B15:C15" si="25">B14-2</f>
        <v>-80</v>
      </c>
      <c r="C15" s="28">
        <f t="shared" si="25"/>
        <v>20</v>
      </c>
      <c r="D15" s="28">
        <f t="shared" ref="D15:E15" si="26">D14+2</f>
        <v>-48</v>
      </c>
      <c r="E15" s="28">
        <f t="shared" si="26"/>
        <v>108</v>
      </c>
      <c r="F15" s="28">
        <f t="shared" si="5"/>
        <v>0</v>
      </c>
      <c r="G15" s="28" t="s">
        <v>432</v>
      </c>
      <c r="H15" s="28" t="s">
        <v>7</v>
      </c>
      <c r="I15" s="28" t="s">
        <v>8</v>
      </c>
      <c r="J15" s="28" t="s">
        <v>10</v>
      </c>
      <c r="N15" s="28">
        <f t="shared" ref="N15:Q15" si="27">B14-B15</f>
        <v>2</v>
      </c>
      <c r="O15" s="28">
        <f t="shared" si="27"/>
        <v>2</v>
      </c>
      <c r="P15" s="28">
        <f t="shared" si="27"/>
        <v>-2</v>
      </c>
      <c r="Q15" s="28">
        <f t="shared" si="27"/>
        <v>-2</v>
      </c>
    </row>
    <row r="16">
      <c r="A16" s="28">
        <f t="shared" si="7"/>
        <v>14</v>
      </c>
      <c r="B16" s="28">
        <f t="shared" ref="B16:C16" si="28">B15+16</f>
        <v>-64</v>
      </c>
      <c r="C16" s="28">
        <f t="shared" si="28"/>
        <v>36</v>
      </c>
      <c r="D16" s="28">
        <f t="shared" ref="D16:E16" si="29">D15-16</f>
        <v>-64</v>
      </c>
      <c r="E16" s="28">
        <f t="shared" si="29"/>
        <v>92</v>
      </c>
      <c r="F16" s="28">
        <f t="shared" si="5"/>
        <v>0</v>
      </c>
      <c r="G16" s="28" t="s">
        <v>293</v>
      </c>
      <c r="H16" s="28" t="s">
        <v>10</v>
      </c>
      <c r="I16" s="28" t="s">
        <v>433</v>
      </c>
      <c r="J16" s="28" t="s">
        <v>7</v>
      </c>
      <c r="N16" s="28">
        <f t="shared" ref="N16:Q16" si="30">B15-B16</f>
        <v>-16</v>
      </c>
      <c r="O16" s="28">
        <f t="shared" si="30"/>
        <v>-16</v>
      </c>
      <c r="P16" s="28">
        <f t="shared" si="30"/>
        <v>16</v>
      </c>
      <c r="Q16" s="28">
        <f t="shared" si="30"/>
        <v>16</v>
      </c>
    </row>
    <row r="17">
      <c r="A17" s="28">
        <f t="shared" si="7"/>
        <v>15</v>
      </c>
      <c r="B17" s="28">
        <f t="shared" ref="B17:C17" si="31">B16+8</f>
        <v>-56</v>
      </c>
      <c r="C17" s="28">
        <f t="shared" si="31"/>
        <v>44</v>
      </c>
      <c r="D17" s="28">
        <f t="shared" ref="D17:E17" si="32">D16-8</f>
        <v>-72</v>
      </c>
      <c r="E17" s="28">
        <f t="shared" si="32"/>
        <v>84</v>
      </c>
      <c r="F17" s="28">
        <f t="shared" si="5"/>
        <v>0</v>
      </c>
      <c r="G17" s="28" t="s">
        <v>299</v>
      </c>
      <c r="H17" s="28" t="s">
        <v>10</v>
      </c>
      <c r="I17" s="28" t="s">
        <v>433</v>
      </c>
      <c r="J17" s="28" t="s">
        <v>8</v>
      </c>
      <c r="N17" s="28">
        <f t="shared" ref="N17:Q17" si="33">B16-B17</f>
        <v>-8</v>
      </c>
      <c r="O17" s="28">
        <f t="shared" si="33"/>
        <v>-8</v>
      </c>
      <c r="P17" s="28">
        <f t="shared" si="33"/>
        <v>8</v>
      </c>
      <c r="Q17" s="28">
        <f t="shared" si="33"/>
        <v>8</v>
      </c>
    </row>
    <row r="18">
      <c r="A18" s="28">
        <f t="shared" si="7"/>
        <v>16</v>
      </c>
      <c r="B18" s="28">
        <f t="shared" ref="B18:C18" si="34">B17-40</f>
        <v>-96</v>
      </c>
      <c r="C18" s="28">
        <f t="shared" si="34"/>
        <v>4</v>
      </c>
      <c r="D18" s="28">
        <f t="shared" ref="D18:E18" si="35">D17+40</f>
        <v>-32</v>
      </c>
      <c r="E18" s="28">
        <f t="shared" si="35"/>
        <v>124</v>
      </c>
      <c r="F18" s="28">
        <f t="shared" si="5"/>
        <v>0</v>
      </c>
      <c r="G18" s="28" t="s">
        <v>434</v>
      </c>
      <c r="H18" s="28" t="s">
        <v>435</v>
      </c>
      <c r="I18" s="28" t="s">
        <v>8</v>
      </c>
      <c r="J18" s="28" t="s">
        <v>433</v>
      </c>
      <c r="N18" s="28">
        <f t="shared" ref="N18:Q18" si="36">B17-B18</f>
        <v>40</v>
      </c>
      <c r="O18" s="28">
        <f t="shared" si="36"/>
        <v>40</v>
      </c>
      <c r="P18" s="28">
        <f t="shared" si="36"/>
        <v>-40</v>
      </c>
      <c r="Q18" s="28">
        <f t="shared" si="36"/>
        <v>-40</v>
      </c>
    </row>
    <row r="19">
      <c r="A19" s="28">
        <f t="shared" si="7"/>
        <v>17</v>
      </c>
      <c r="B19" s="28">
        <f t="shared" ref="B19:B20" si="38">B18+8</f>
        <v>-88</v>
      </c>
      <c r="C19" s="28">
        <f>C18-8</f>
        <v>-4</v>
      </c>
      <c r="D19" s="28">
        <f>D18+8</f>
        <v>-24</v>
      </c>
      <c r="E19" s="28">
        <f>E18-8</f>
        <v>116</v>
      </c>
      <c r="F19" s="28">
        <f t="shared" si="5"/>
        <v>0</v>
      </c>
      <c r="G19" s="28" t="s">
        <v>293</v>
      </c>
      <c r="H19" s="28" t="s">
        <v>10</v>
      </c>
      <c r="I19" s="28" t="s">
        <v>8</v>
      </c>
      <c r="J19" s="28" t="s">
        <v>10</v>
      </c>
      <c r="N19" s="28">
        <f t="shared" ref="N19:Q19" si="37">B18-B19</f>
        <v>-8</v>
      </c>
      <c r="O19" s="28">
        <f t="shared" si="37"/>
        <v>8</v>
      </c>
      <c r="P19" s="28">
        <f t="shared" si="37"/>
        <v>-8</v>
      </c>
      <c r="Q19" s="28">
        <f t="shared" si="37"/>
        <v>8</v>
      </c>
    </row>
    <row r="20">
      <c r="A20" s="28">
        <f t="shared" si="7"/>
        <v>18</v>
      </c>
      <c r="B20" s="28">
        <f t="shared" si="38"/>
        <v>-80</v>
      </c>
      <c r="C20" s="28">
        <f>C19+8</f>
        <v>4</v>
      </c>
      <c r="D20" s="28">
        <f>D19-24</f>
        <v>-48</v>
      </c>
      <c r="E20" s="28">
        <f>E19+8</f>
        <v>124</v>
      </c>
      <c r="F20" s="28">
        <f t="shared" si="5"/>
        <v>0</v>
      </c>
      <c r="G20" s="28" t="s">
        <v>97</v>
      </c>
      <c r="H20" s="28" t="s">
        <v>8</v>
      </c>
      <c r="J20" s="28" t="s">
        <v>10</v>
      </c>
      <c r="N20" s="28">
        <f t="shared" ref="N20:Q20" si="39">B19-B20</f>
        <v>-8</v>
      </c>
      <c r="O20" s="28">
        <f t="shared" si="39"/>
        <v>-8</v>
      </c>
      <c r="P20" s="28">
        <f t="shared" si="39"/>
        <v>24</v>
      </c>
      <c r="Q20" s="28">
        <f t="shared" si="39"/>
        <v>-8</v>
      </c>
    </row>
    <row r="21">
      <c r="A21" s="28">
        <f t="shared" si="7"/>
        <v>19</v>
      </c>
      <c r="B21" s="28">
        <f>B20+32</f>
        <v>-48</v>
      </c>
      <c r="C21" s="28">
        <f t="shared" ref="C21:D21" si="40">C20-32</f>
        <v>-28</v>
      </c>
      <c r="D21" s="28">
        <f t="shared" si="40"/>
        <v>-80</v>
      </c>
      <c r="E21" s="28">
        <f>E20+32</f>
        <v>156</v>
      </c>
      <c r="F21" s="28">
        <f t="shared" si="5"/>
        <v>0</v>
      </c>
      <c r="G21" s="28" t="s">
        <v>308</v>
      </c>
      <c r="H21" s="28" t="s">
        <v>8</v>
      </c>
      <c r="I21" s="28" t="s">
        <v>9</v>
      </c>
      <c r="J21" s="28" t="s">
        <v>8</v>
      </c>
      <c r="N21" s="28">
        <f t="shared" ref="N21:Q21" si="41">B20-B21</f>
        <v>-32</v>
      </c>
      <c r="O21" s="28">
        <f t="shared" si="41"/>
        <v>32</v>
      </c>
      <c r="P21" s="28">
        <f t="shared" si="41"/>
        <v>32</v>
      </c>
      <c r="Q21" s="28">
        <f t="shared" si="41"/>
        <v>-32</v>
      </c>
    </row>
    <row r="22">
      <c r="A22" s="28">
        <f t="shared" si="7"/>
        <v>20</v>
      </c>
      <c r="B22" s="28">
        <f t="shared" ref="B22:D22" si="42">B21-12</f>
        <v>-60</v>
      </c>
      <c r="C22" s="28">
        <f t="shared" si="42"/>
        <v>-40</v>
      </c>
      <c r="D22" s="28">
        <f t="shared" si="42"/>
        <v>-92</v>
      </c>
      <c r="E22" s="28">
        <f>E21+36</f>
        <v>192</v>
      </c>
      <c r="F22" s="28">
        <f t="shared" si="5"/>
        <v>0</v>
      </c>
      <c r="G22" s="28" t="s">
        <v>314</v>
      </c>
      <c r="H22" s="28" t="s">
        <v>7</v>
      </c>
      <c r="I22" s="28" t="s">
        <v>228</v>
      </c>
      <c r="J22" s="28" t="s">
        <v>436</v>
      </c>
      <c r="N22" s="28">
        <f t="shared" ref="N22:Q22" si="43">B21-B22</f>
        <v>12</v>
      </c>
      <c r="O22" s="28">
        <f t="shared" si="43"/>
        <v>12</v>
      </c>
      <c r="P22" s="28">
        <f t="shared" si="43"/>
        <v>12</v>
      </c>
      <c r="Q22" s="28">
        <f t="shared" si="43"/>
        <v>-36</v>
      </c>
    </row>
    <row r="23">
      <c r="A23" s="28">
        <f t="shared" si="7"/>
        <v>21</v>
      </c>
      <c r="B23" s="28">
        <f t="shared" ref="B23:B24" si="45">B22-8</f>
        <v>-68</v>
      </c>
      <c r="C23" s="28">
        <f>C22+8</f>
        <v>-32</v>
      </c>
      <c r="D23" s="28">
        <f>D22-8</f>
        <v>-100</v>
      </c>
      <c r="E23" s="28">
        <f>E22+8</f>
        <v>200</v>
      </c>
      <c r="F23" s="28">
        <f t="shared" si="5"/>
        <v>0</v>
      </c>
      <c r="G23" s="28" t="s">
        <v>437</v>
      </c>
      <c r="H23" s="28" t="s">
        <v>8</v>
      </c>
      <c r="I23" s="28" t="s">
        <v>10</v>
      </c>
      <c r="J23" s="28" t="s">
        <v>7</v>
      </c>
      <c r="N23" s="28">
        <f t="shared" ref="N23:Q23" si="44">B22-B23</f>
        <v>8</v>
      </c>
      <c r="O23" s="28">
        <f t="shared" si="44"/>
        <v>-8</v>
      </c>
      <c r="P23" s="28">
        <f t="shared" si="44"/>
        <v>8</v>
      </c>
      <c r="Q23" s="28">
        <f t="shared" si="44"/>
        <v>-8</v>
      </c>
    </row>
    <row r="24">
      <c r="A24" s="28">
        <f t="shared" si="7"/>
        <v>22</v>
      </c>
      <c r="B24" s="28">
        <f t="shared" si="45"/>
        <v>-76</v>
      </c>
      <c r="C24" s="28">
        <f>C23-8</f>
        <v>-40</v>
      </c>
      <c r="D24" s="28">
        <f>D23+24</f>
        <v>-76</v>
      </c>
      <c r="E24" s="28">
        <f>E23-8</f>
        <v>192</v>
      </c>
      <c r="F24" s="28">
        <f t="shared" si="5"/>
        <v>0</v>
      </c>
      <c r="G24" s="28" t="s">
        <v>97</v>
      </c>
      <c r="H24" s="28" t="s">
        <v>8</v>
      </c>
      <c r="J24" s="28" t="s">
        <v>10</v>
      </c>
      <c r="N24" s="28">
        <f t="shared" ref="N24:Q24" si="46">B23-B24</f>
        <v>8</v>
      </c>
      <c r="O24" s="28">
        <f t="shared" si="46"/>
        <v>8</v>
      </c>
      <c r="P24" s="28">
        <f t="shared" si="46"/>
        <v>-24</v>
      </c>
      <c r="Q24" s="28">
        <f t="shared" si="46"/>
        <v>8</v>
      </c>
    </row>
    <row r="25">
      <c r="A25" s="28">
        <f t="shared" si="7"/>
        <v>23</v>
      </c>
      <c r="B25" s="28">
        <f>B24-32</f>
        <v>-108</v>
      </c>
      <c r="C25" s="28">
        <f>C24+32</f>
        <v>-8</v>
      </c>
      <c r="D25" s="28">
        <f>D24-32</f>
        <v>-108</v>
      </c>
      <c r="E25" s="28">
        <f>E24+32</f>
        <v>224</v>
      </c>
      <c r="F25" s="28">
        <f t="shared" si="5"/>
        <v>0</v>
      </c>
      <c r="G25" s="28" t="s">
        <v>438</v>
      </c>
      <c r="H25" s="28" t="s">
        <v>7</v>
      </c>
      <c r="I25" s="28" t="s">
        <v>9</v>
      </c>
      <c r="J25" s="28" t="s">
        <v>8</v>
      </c>
      <c r="N25" s="28">
        <f t="shared" ref="N25:Q25" si="47">B24-B25</f>
        <v>32</v>
      </c>
      <c r="O25" s="28">
        <f t="shared" si="47"/>
        <v>-32</v>
      </c>
      <c r="P25" s="28">
        <f t="shared" si="47"/>
        <v>32</v>
      </c>
      <c r="Q25" s="28">
        <f t="shared" si="47"/>
        <v>-32</v>
      </c>
    </row>
    <row r="26">
      <c r="A26" s="28">
        <f t="shared" si="7"/>
        <v>24</v>
      </c>
      <c r="B26" s="28">
        <f>B25+40</f>
        <v>-68</v>
      </c>
      <c r="C26" s="28">
        <f t="shared" ref="C26:D26" si="48">C25-40</f>
        <v>-48</v>
      </c>
      <c r="D26" s="28">
        <f t="shared" si="48"/>
        <v>-148</v>
      </c>
      <c r="E26" s="28">
        <f>E25+40</f>
        <v>264</v>
      </c>
      <c r="F26" s="28">
        <f t="shared" si="5"/>
        <v>0</v>
      </c>
      <c r="G26" s="28" t="s">
        <v>314</v>
      </c>
      <c r="H26" s="28" t="s">
        <v>7</v>
      </c>
      <c r="I26" s="28" t="s">
        <v>10</v>
      </c>
      <c r="J26" s="28" t="s">
        <v>436</v>
      </c>
      <c r="N26" s="28">
        <f t="shared" ref="N26:Q26" si="49">B25-B26</f>
        <v>-40</v>
      </c>
      <c r="O26" s="28">
        <f t="shared" si="49"/>
        <v>40</v>
      </c>
      <c r="P26" s="28">
        <f t="shared" si="49"/>
        <v>40</v>
      </c>
      <c r="Q26" s="28">
        <f t="shared" si="49"/>
        <v>-40</v>
      </c>
    </row>
    <row r="27">
      <c r="A27" s="28">
        <f t="shared" si="7"/>
        <v>25</v>
      </c>
      <c r="B27" s="28">
        <f>B26+8</f>
        <v>-60</v>
      </c>
      <c r="C27" s="28">
        <f t="shared" ref="C27:D27" si="50">C26-8</f>
        <v>-56</v>
      </c>
      <c r="D27" s="28">
        <f t="shared" si="50"/>
        <v>-156</v>
      </c>
      <c r="E27" s="28">
        <f>E26+8</f>
        <v>272</v>
      </c>
      <c r="F27" s="28">
        <f t="shared" si="5"/>
        <v>0</v>
      </c>
      <c r="G27" s="28" t="s">
        <v>293</v>
      </c>
      <c r="H27" s="28" t="s">
        <v>8</v>
      </c>
      <c r="I27" s="28" t="s">
        <v>9</v>
      </c>
      <c r="J27" s="28" t="s">
        <v>7</v>
      </c>
      <c r="N27" s="28">
        <f t="shared" ref="N27:Q27" si="51">B26-B27</f>
        <v>-8</v>
      </c>
      <c r="O27" s="28">
        <f t="shared" si="51"/>
        <v>8</v>
      </c>
      <c r="P27" s="28">
        <f t="shared" si="51"/>
        <v>8</v>
      </c>
      <c r="Q27" s="28">
        <f t="shared" si="51"/>
        <v>-8</v>
      </c>
    </row>
    <row r="28">
      <c r="A28" s="28">
        <f t="shared" si="7"/>
        <v>26</v>
      </c>
      <c r="B28" s="28">
        <f>B27+20</f>
        <v>-40</v>
      </c>
      <c r="C28" s="28">
        <f>C27-20</f>
        <v>-76</v>
      </c>
      <c r="D28" s="28">
        <f>D27+20</f>
        <v>-136</v>
      </c>
      <c r="E28" s="28">
        <f>E27-20</f>
        <v>252</v>
      </c>
      <c r="F28" s="28">
        <f t="shared" si="5"/>
        <v>0</v>
      </c>
      <c r="G28" s="28" t="s">
        <v>299</v>
      </c>
      <c r="H28" s="28" t="s">
        <v>10</v>
      </c>
      <c r="I28" s="28" t="s">
        <v>8</v>
      </c>
      <c r="J28" s="28" t="s">
        <v>10</v>
      </c>
      <c r="N28" s="28">
        <f t="shared" ref="N28:Q28" si="52">B27-B28</f>
        <v>-20</v>
      </c>
      <c r="O28" s="28">
        <f t="shared" si="52"/>
        <v>20</v>
      </c>
      <c r="P28" s="28">
        <f t="shared" si="52"/>
        <v>-20</v>
      </c>
      <c r="Q28" s="28">
        <f t="shared" si="52"/>
        <v>20</v>
      </c>
    </row>
    <row r="29">
      <c r="A29" s="28">
        <f t="shared" si="7"/>
        <v>27</v>
      </c>
      <c r="B29" s="28">
        <f>B28-16</f>
        <v>-56</v>
      </c>
      <c r="C29" s="28">
        <f>C28+16</f>
        <v>-60</v>
      </c>
      <c r="D29" s="28">
        <f>D28-16</f>
        <v>-152</v>
      </c>
      <c r="E29" s="28">
        <f>E28+16</f>
        <v>268</v>
      </c>
      <c r="F29" s="28">
        <f t="shared" si="5"/>
        <v>0</v>
      </c>
      <c r="G29" s="28" t="s">
        <v>413</v>
      </c>
      <c r="H29" s="28" t="s">
        <v>7</v>
      </c>
      <c r="I29" s="28" t="s">
        <v>9</v>
      </c>
      <c r="J29" s="28" t="s">
        <v>8</v>
      </c>
      <c r="N29" s="28">
        <f t="shared" ref="N29:Q29" si="53">B28-B29</f>
        <v>16</v>
      </c>
      <c r="O29" s="28">
        <f t="shared" si="53"/>
        <v>-16</v>
      </c>
      <c r="P29" s="28">
        <f t="shared" si="53"/>
        <v>16</v>
      </c>
      <c r="Q29" s="28">
        <f t="shared" si="53"/>
        <v>-16</v>
      </c>
    </row>
    <row r="30">
      <c r="A30" s="28">
        <f t="shared" si="7"/>
        <v>28</v>
      </c>
      <c r="B30" s="28">
        <f>B29+16</f>
        <v>-40</v>
      </c>
      <c r="C30" s="28">
        <f>C29-16</f>
        <v>-76</v>
      </c>
      <c r="D30" s="28">
        <f>D29+16</f>
        <v>-136</v>
      </c>
      <c r="E30" s="28">
        <f>E29-16</f>
        <v>252</v>
      </c>
      <c r="F30" s="28">
        <f t="shared" si="5"/>
        <v>0</v>
      </c>
      <c r="G30" s="28" t="s">
        <v>293</v>
      </c>
      <c r="H30" s="28" t="s">
        <v>10</v>
      </c>
      <c r="I30" s="28" t="s">
        <v>8</v>
      </c>
      <c r="J30" s="28" t="s">
        <v>439</v>
      </c>
      <c r="N30" s="28">
        <f t="shared" ref="N30:Q30" si="54">B29-B30</f>
        <v>-16</v>
      </c>
      <c r="O30" s="28">
        <f t="shared" si="54"/>
        <v>16</v>
      </c>
      <c r="P30" s="28">
        <f t="shared" si="54"/>
        <v>-16</v>
      </c>
      <c r="Q30" s="28">
        <f t="shared" si="54"/>
        <v>16</v>
      </c>
    </row>
    <row r="31">
      <c r="A31" s="28">
        <f t="shared" si="7"/>
        <v>29</v>
      </c>
      <c r="B31" s="28">
        <f t="shared" ref="B31:C31" si="55">B30-48</f>
        <v>-88</v>
      </c>
      <c r="C31" s="28">
        <f t="shared" si="55"/>
        <v>-124</v>
      </c>
      <c r="D31" s="28">
        <f t="shared" ref="D31:E31" si="56">D30+48</f>
        <v>-88</v>
      </c>
      <c r="E31" s="240">
        <f t="shared" si="56"/>
        <v>300</v>
      </c>
      <c r="F31" s="28">
        <f t="shared" si="5"/>
        <v>0</v>
      </c>
      <c r="G31" s="28" t="s">
        <v>428</v>
      </c>
      <c r="H31" s="28" t="s">
        <v>7</v>
      </c>
      <c r="I31" s="28" t="s">
        <v>8</v>
      </c>
      <c r="J31" s="28" t="s">
        <v>7</v>
      </c>
      <c r="N31" s="28">
        <f t="shared" ref="N31:Q31" si="57">B30-B31</f>
        <v>48</v>
      </c>
      <c r="O31" s="28">
        <f t="shared" si="57"/>
        <v>48</v>
      </c>
      <c r="P31" s="28">
        <f t="shared" si="57"/>
        <v>-48</v>
      </c>
      <c r="Q31" s="28">
        <f t="shared" si="57"/>
        <v>-48</v>
      </c>
    </row>
    <row r="32">
      <c r="A32" s="28">
        <f t="shared" si="7"/>
        <v>30</v>
      </c>
      <c r="B32" s="28">
        <f>B31+12</f>
        <v>-76</v>
      </c>
      <c r="C32" s="28">
        <f t="shared" ref="C32:D32" si="58">C31-12</f>
        <v>-136</v>
      </c>
      <c r="D32" s="28">
        <f t="shared" si="58"/>
        <v>-100</v>
      </c>
      <c r="E32" s="28">
        <f>E31+12</f>
        <v>312</v>
      </c>
      <c r="F32" s="28">
        <f t="shared" si="5"/>
        <v>0</v>
      </c>
      <c r="G32" s="28" t="s">
        <v>440</v>
      </c>
      <c r="H32" s="28" t="s">
        <v>7</v>
      </c>
      <c r="I32" s="28" t="s">
        <v>10</v>
      </c>
      <c r="J32" s="28" t="s">
        <v>10</v>
      </c>
      <c r="N32" s="28">
        <f t="shared" ref="N32:Q32" si="59">B31-B32</f>
        <v>-12</v>
      </c>
      <c r="O32" s="28">
        <f t="shared" si="59"/>
        <v>12</v>
      </c>
      <c r="P32" s="28">
        <f t="shared" si="59"/>
        <v>12</v>
      </c>
      <c r="Q32" s="28">
        <f t="shared" si="59"/>
        <v>-12</v>
      </c>
    </row>
    <row r="33"/>
    <row r="34"/>
    <row r="35"/>
  </sheetData>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9.13"/>
    <col customWidth="1" min="3" max="3" width="9.0"/>
    <col customWidth="1" min="4" max="4" width="6.13"/>
    <col customWidth="1" min="5" max="6" width="7.75"/>
    <col customWidth="1" min="7" max="7" width="25.63"/>
    <col customWidth="1" min="8" max="13" width="7.75"/>
  </cols>
  <sheetData>
    <row r="1">
      <c r="A1" s="40">
        <f>'00_Regnskab_01'!A24</f>
        <v>21</v>
      </c>
      <c r="B1" s="193">
        <f>'00_Regnskab_01'!C24</f>
        <v>45085</v>
      </c>
      <c r="C1" s="42"/>
      <c r="D1" s="42" t="str">
        <f>'00_Regnskab_01'!L24</f>
        <v>Kayak Bar</v>
      </c>
      <c r="E1" s="42"/>
      <c r="F1" s="42"/>
      <c r="G1" s="42"/>
      <c r="H1" s="42"/>
      <c r="I1" s="42"/>
      <c r="J1" s="42"/>
      <c r="K1" s="42"/>
      <c r="L1" s="42"/>
      <c r="M1" s="42"/>
    </row>
    <row r="2">
      <c r="A2" s="46" t="s">
        <v>78</v>
      </c>
      <c r="B2" s="28" t="s">
        <v>10</v>
      </c>
      <c r="C2" s="28" t="s">
        <v>7</v>
      </c>
      <c r="D2" s="28" t="s">
        <v>9</v>
      </c>
      <c r="E2" s="28" t="s">
        <v>8</v>
      </c>
      <c r="F2" s="28" t="s">
        <v>288</v>
      </c>
      <c r="G2" s="28" t="s">
        <v>64</v>
      </c>
      <c r="H2" s="28" t="s">
        <v>361</v>
      </c>
      <c r="I2" s="28" t="s">
        <v>81</v>
      </c>
      <c r="J2" s="28" t="s">
        <v>393</v>
      </c>
    </row>
    <row r="3">
      <c r="A3" s="46">
        <v>1.0</v>
      </c>
      <c r="B3" s="28">
        <f>4*16</f>
        <v>64</v>
      </c>
      <c r="C3" s="28">
        <v>-64.0</v>
      </c>
      <c r="D3" s="28">
        <v>-64.0</v>
      </c>
      <c r="E3" s="28">
        <v>64.0</v>
      </c>
      <c r="F3" s="28">
        <f t="shared" ref="F3:F4" si="3">SUM(B3:E3)</f>
        <v>0</v>
      </c>
      <c r="G3" s="28" t="s">
        <v>441</v>
      </c>
      <c r="H3" s="28" t="s">
        <v>7</v>
      </c>
      <c r="I3" s="28" t="s">
        <v>9</v>
      </c>
      <c r="J3" s="28" t="s">
        <v>10</v>
      </c>
    </row>
    <row r="4">
      <c r="A4" s="56">
        <f t="shared" ref="A4:A24" si="4">A3+1</f>
        <v>2</v>
      </c>
      <c r="B4" s="28">
        <f t="shared" ref="B4:C4" si="1">B3+12</f>
        <v>76</v>
      </c>
      <c r="C4" s="28">
        <f t="shared" si="1"/>
        <v>-52</v>
      </c>
      <c r="D4" s="28">
        <f t="shared" ref="D4:E4" si="2">D3-12</f>
        <v>-76</v>
      </c>
      <c r="E4" s="28">
        <f t="shared" si="2"/>
        <v>52</v>
      </c>
      <c r="F4" s="28">
        <f t="shared" si="3"/>
        <v>0</v>
      </c>
      <c r="G4" s="28" t="s">
        <v>293</v>
      </c>
      <c r="H4" s="28" t="s">
        <v>8</v>
      </c>
      <c r="I4" s="28" t="s">
        <v>9</v>
      </c>
      <c r="J4" s="28" t="s">
        <v>7</v>
      </c>
    </row>
    <row r="5">
      <c r="A5" s="56">
        <f t="shared" si="4"/>
        <v>3</v>
      </c>
      <c r="B5" s="28">
        <f t="shared" ref="B5:C5" si="5">B4-16</f>
        <v>60</v>
      </c>
      <c r="C5" s="28">
        <f t="shared" si="5"/>
        <v>-68</v>
      </c>
      <c r="D5" s="28">
        <f t="shared" ref="D5:E5" si="6">D4+16</f>
        <v>-60</v>
      </c>
      <c r="E5" s="28">
        <f t="shared" si="6"/>
        <v>68</v>
      </c>
      <c r="F5" s="28">
        <f t="shared" ref="F5:F6" si="8">SUM(B4:E4)</f>
        <v>0</v>
      </c>
      <c r="G5" s="28" t="s">
        <v>293</v>
      </c>
      <c r="H5" s="28" t="s">
        <v>10</v>
      </c>
      <c r="I5" s="28" t="s">
        <v>7</v>
      </c>
      <c r="J5" s="28" t="s">
        <v>9</v>
      </c>
    </row>
    <row r="6">
      <c r="A6" s="56">
        <f t="shared" si="4"/>
        <v>4</v>
      </c>
      <c r="B6" s="28">
        <f>B5-32</f>
        <v>28</v>
      </c>
      <c r="C6" s="28">
        <f t="shared" ref="C6:D6" si="7">C5+32</f>
        <v>-36</v>
      </c>
      <c r="D6" s="28">
        <f t="shared" si="7"/>
        <v>-28</v>
      </c>
      <c r="E6" s="28">
        <f>E5-32</f>
        <v>36</v>
      </c>
      <c r="F6" s="28">
        <f t="shared" si="8"/>
        <v>0</v>
      </c>
      <c r="G6" s="28" t="s">
        <v>308</v>
      </c>
      <c r="H6" s="28" t="s">
        <v>8</v>
      </c>
      <c r="I6" s="28" t="s">
        <v>10</v>
      </c>
      <c r="J6" s="28" t="s">
        <v>8</v>
      </c>
    </row>
    <row r="7">
      <c r="A7" s="56">
        <f t="shared" si="4"/>
        <v>5</v>
      </c>
      <c r="B7" s="28">
        <f>B6-8</f>
        <v>20</v>
      </c>
      <c r="C7" s="28">
        <f t="shared" ref="C7:D7" si="9">C6+8</f>
        <v>-28</v>
      </c>
      <c r="D7" s="28">
        <f t="shared" si="9"/>
        <v>-20</v>
      </c>
      <c r="E7" s="28">
        <f>E6-8</f>
        <v>28</v>
      </c>
      <c r="F7" s="28">
        <f t="shared" ref="F7:F24" si="11">SUM(B7:E7)</f>
        <v>0</v>
      </c>
      <c r="G7" s="28" t="s">
        <v>342</v>
      </c>
      <c r="H7" s="28" t="s">
        <v>7</v>
      </c>
      <c r="I7" s="28" t="s">
        <v>9</v>
      </c>
      <c r="J7" s="28" t="s">
        <v>10</v>
      </c>
    </row>
    <row r="8">
      <c r="A8" s="56">
        <f t="shared" si="4"/>
        <v>6</v>
      </c>
      <c r="B8" s="28">
        <f>B7-24</f>
        <v>-4</v>
      </c>
      <c r="C8" s="28">
        <f t="shared" ref="C8:E8" si="10">C7+8</f>
        <v>-20</v>
      </c>
      <c r="D8" s="28">
        <f t="shared" si="10"/>
        <v>-12</v>
      </c>
      <c r="E8" s="28">
        <f t="shared" si="10"/>
        <v>36</v>
      </c>
      <c r="F8" s="28">
        <f t="shared" si="11"/>
        <v>0</v>
      </c>
      <c r="G8" s="28" t="s">
        <v>97</v>
      </c>
      <c r="H8" s="28" t="s">
        <v>10</v>
      </c>
      <c r="J8" s="28" t="s">
        <v>7</v>
      </c>
    </row>
    <row r="9">
      <c r="A9" s="56">
        <f t="shared" si="4"/>
        <v>7</v>
      </c>
      <c r="B9" s="28">
        <f>B8+8</f>
        <v>4</v>
      </c>
      <c r="C9" s="28">
        <f t="shared" ref="C9:D9" si="12">C8-8</f>
        <v>-28</v>
      </c>
      <c r="D9" s="28">
        <f t="shared" si="12"/>
        <v>-20</v>
      </c>
      <c r="E9" s="28">
        <f>E8+8</f>
        <v>44</v>
      </c>
      <c r="F9" s="28">
        <f t="shared" si="11"/>
        <v>0</v>
      </c>
      <c r="G9" s="28" t="s">
        <v>299</v>
      </c>
      <c r="H9" s="28" t="s">
        <v>10</v>
      </c>
      <c r="I9" s="28" t="s">
        <v>8</v>
      </c>
      <c r="J9" s="28" t="s">
        <v>9</v>
      </c>
    </row>
    <row r="10">
      <c r="A10" s="56">
        <f t="shared" si="4"/>
        <v>8</v>
      </c>
      <c r="B10" s="28">
        <f>B9+20</f>
        <v>24</v>
      </c>
      <c r="C10" s="28">
        <f>C9-60</f>
        <v>-88</v>
      </c>
      <c r="D10" s="28">
        <f t="shared" ref="D10:E10" si="13">D9+20</f>
        <v>0</v>
      </c>
      <c r="E10" s="28">
        <f t="shared" si="13"/>
        <v>64</v>
      </c>
      <c r="F10" s="28">
        <f t="shared" si="11"/>
        <v>0</v>
      </c>
      <c r="G10" s="28" t="s">
        <v>442</v>
      </c>
      <c r="H10" s="28" t="s">
        <v>7</v>
      </c>
      <c r="J10" s="28" t="s">
        <v>8</v>
      </c>
    </row>
    <row r="11">
      <c r="A11" s="56">
        <f t="shared" si="4"/>
        <v>9</v>
      </c>
      <c r="B11" s="28">
        <f>B10+24</f>
        <v>48</v>
      </c>
      <c r="C11" s="28">
        <f>C10-24</f>
        <v>-112</v>
      </c>
      <c r="D11" s="28">
        <f>D10+24</f>
        <v>24</v>
      </c>
      <c r="E11" s="28">
        <f>E10-24</f>
        <v>40</v>
      </c>
      <c r="F11" s="28">
        <f t="shared" si="11"/>
        <v>0</v>
      </c>
      <c r="G11" s="28" t="s">
        <v>443</v>
      </c>
      <c r="H11" s="28" t="s">
        <v>7</v>
      </c>
      <c r="I11" s="28" t="s">
        <v>10</v>
      </c>
      <c r="J11" s="28" t="s">
        <v>10</v>
      </c>
    </row>
    <row r="12">
      <c r="A12" s="56">
        <f t="shared" si="4"/>
        <v>10</v>
      </c>
      <c r="B12" s="28">
        <f>B11-24</f>
        <v>24</v>
      </c>
      <c r="C12" s="28">
        <f t="shared" ref="C12:E12" si="14">C11+8</f>
        <v>-104</v>
      </c>
      <c r="D12" s="28">
        <f t="shared" si="14"/>
        <v>32</v>
      </c>
      <c r="E12" s="28">
        <f t="shared" si="14"/>
        <v>48</v>
      </c>
      <c r="F12" s="28">
        <f t="shared" si="11"/>
        <v>0</v>
      </c>
      <c r="G12" s="28" t="s">
        <v>140</v>
      </c>
      <c r="H12" s="28" t="s">
        <v>10</v>
      </c>
      <c r="J12" s="28" t="s">
        <v>7</v>
      </c>
    </row>
    <row r="13">
      <c r="A13" s="56">
        <f t="shared" si="4"/>
        <v>11</v>
      </c>
      <c r="B13" s="28">
        <f>B12-8</f>
        <v>16</v>
      </c>
      <c r="C13" s="28">
        <f t="shared" ref="C13:D13" si="15">C12+8</f>
        <v>-96</v>
      </c>
      <c r="D13" s="28">
        <f t="shared" si="15"/>
        <v>40</v>
      </c>
      <c r="E13" s="28">
        <f>E12-8</f>
        <v>40</v>
      </c>
      <c r="F13" s="28">
        <f t="shared" si="11"/>
        <v>0</v>
      </c>
      <c r="G13" s="28" t="s">
        <v>306</v>
      </c>
      <c r="H13" s="28" t="s">
        <v>7</v>
      </c>
      <c r="I13" s="28" t="s">
        <v>9</v>
      </c>
      <c r="J13" s="28" t="s">
        <v>9</v>
      </c>
    </row>
    <row r="14">
      <c r="A14" s="56">
        <f t="shared" si="4"/>
        <v>12</v>
      </c>
      <c r="B14" s="28">
        <f t="shared" ref="B14:C14" si="16">B13+48</f>
        <v>64</v>
      </c>
      <c r="C14" s="28">
        <f t="shared" si="16"/>
        <v>-48</v>
      </c>
      <c r="D14" s="28">
        <f t="shared" ref="D14:E14" si="17">D13-48</f>
        <v>-8</v>
      </c>
      <c r="E14" s="28">
        <f t="shared" si="17"/>
        <v>-8</v>
      </c>
      <c r="F14" s="28">
        <f t="shared" si="11"/>
        <v>0</v>
      </c>
      <c r="G14" s="28" t="s">
        <v>444</v>
      </c>
      <c r="H14" s="28" t="s">
        <v>7</v>
      </c>
      <c r="I14" s="28" t="s">
        <v>10</v>
      </c>
      <c r="J14" s="28" t="s">
        <v>8</v>
      </c>
    </row>
    <row r="15">
      <c r="A15" s="56">
        <f t="shared" si="4"/>
        <v>13</v>
      </c>
      <c r="B15" s="28">
        <f t="shared" ref="B15:C15" si="18">B14+4</f>
        <v>68</v>
      </c>
      <c r="C15" s="28">
        <f t="shared" si="18"/>
        <v>-44</v>
      </c>
      <c r="D15" s="28">
        <f t="shared" ref="D15:E15" si="19">D14-4</f>
        <v>-12</v>
      </c>
      <c r="E15" s="28">
        <f t="shared" si="19"/>
        <v>-12</v>
      </c>
      <c r="F15" s="28">
        <f t="shared" si="11"/>
        <v>0</v>
      </c>
      <c r="G15" s="28" t="s">
        <v>342</v>
      </c>
      <c r="H15" s="28" t="s">
        <v>7</v>
      </c>
      <c r="I15" s="28" t="s">
        <v>10</v>
      </c>
      <c r="J15" s="28" t="s">
        <v>10</v>
      </c>
    </row>
    <row r="16">
      <c r="A16" s="56">
        <f t="shared" si="4"/>
        <v>14</v>
      </c>
      <c r="B16" s="28">
        <f t="shared" ref="B16:C16" si="20">B15-8</f>
        <v>60</v>
      </c>
      <c r="C16" s="28">
        <f t="shared" si="20"/>
        <v>-52</v>
      </c>
      <c r="D16" s="28">
        <f>D15+24</f>
        <v>12</v>
      </c>
      <c r="E16" s="28">
        <f>E15-8</f>
        <v>-20</v>
      </c>
      <c r="F16" s="28">
        <f t="shared" si="11"/>
        <v>0</v>
      </c>
      <c r="G16" s="28" t="s">
        <v>140</v>
      </c>
      <c r="H16" s="28" t="s">
        <v>8</v>
      </c>
      <c r="J16" s="28" t="s">
        <v>7</v>
      </c>
    </row>
    <row r="17">
      <c r="A17" s="56">
        <f t="shared" si="4"/>
        <v>15</v>
      </c>
      <c r="B17" s="28">
        <f t="shared" ref="B17:D17" si="21">B16+4</f>
        <v>64</v>
      </c>
      <c r="C17" s="28">
        <f t="shared" si="21"/>
        <v>-48</v>
      </c>
      <c r="D17" s="28">
        <f t="shared" si="21"/>
        <v>16</v>
      </c>
      <c r="E17" s="28">
        <f>E16-12</f>
        <v>-32</v>
      </c>
      <c r="F17" s="28">
        <f t="shared" si="11"/>
        <v>0</v>
      </c>
      <c r="G17" s="28" t="s">
        <v>139</v>
      </c>
      <c r="J17" s="28" t="s">
        <v>9</v>
      </c>
    </row>
    <row r="18">
      <c r="A18" s="105">
        <f t="shared" si="4"/>
        <v>16</v>
      </c>
      <c r="B18" s="103">
        <f>B17+48</f>
        <v>112</v>
      </c>
      <c r="C18" s="241">
        <f>C17-48</f>
        <v>-96</v>
      </c>
      <c r="D18" s="103">
        <f>D17+48</f>
        <v>64</v>
      </c>
      <c r="E18" s="241">
        <f>E17-48</f>
        <v>-80</v>
      </c>
      <c r="F18" s="103">
        <f t="shared" si="11"/>
        <v>0</v>
      </c>
      <c r="G18" s="103" t="s">
        <v>445</v>
      </c>
      <c r="H18" s="103" t="s">
        <v>7</v>
      </c>
      <c r="I18" s="103" t="s">
        <v>8</v>
      </c>
      <c r="J18" s="103" t="s">
        <v>7</v>
      </c>
      <c r="K18" s="106" t="s">
        <v>446</v>
      </c>
      <c r="L18" s="103"/>
      <c r="M18" s="103"/>
    </row>
    <row r="19">
      <c r="A19" s="56">
        <f t="shared" si="4"/>
        <v>17</v>
      </c>
      <c r="B19" s="28">
        <f>B18+8</f>
        <v>120</v>
      </c>
      <c r="C19" s="242">
        <f>C18-8</f>
        <v>-104</v>
      </c>
      <c r="D19" s="28">
        <f>D18+8</f>
        <v>72</v>
      </c>
      <c r="E19" s="242">
        <f>E18-8</f>
        <v>-88</v>
      </c>
      <c r="F19" s="28">
        <f t="shared" si="11"/>
        <v>0</v>
      </c>
      <c r="G19" s="28" t="s">
        <v>293</v>
      </c>
      <c r="H19" s="28" t="s">
        <v>7</v>
      </c>
      <c r="I19" s="28" t="s">
        <v>8</v>
      </c>
      <c r="J19" s="28" t="s">
        <v>8</v>
      </c>
    </row>
    <row r="20">
      <c r="A20" s="56">
        <f t="shared" si="4"/>
        <v>18</v>
      </c>
      <c r="B20" s="28">
        <f t="shared" ref="B20:D20" si="22">B19+8</f>
        <v>128</v>
      </c>
      <c r="C20" s="242">
        <f t="shared" si="22"/>
        <v>-96</v>
      </c>
      <c r="D20" s="28">
        <f t="shared" si="22"/>
        <v>80</v>
      </c>
      <c r="E20" s="242">
        <f>E19-24</f>
        <v>-112</v>
      </c>
      <c r="F20" s="28">
        <f t="shared" si="11"/>
        <v>0</v>
      </c>
      <c r="G20" s="28" t="s">
        <v>447</v>
      </c>
      <c r="H20" s="28" t="s">
        <v>8</v>
      </c>
      <c r="J20" s="28" t="s">
        <v>10</v>
      </c>
    </row>
    <row r="21">
      <c r="A21" s="56">
        <f t="shared" si="4"/>
        <v>19</v>
      </c>
      <c r="B21" s="28">
        <f t="shared" ref="B21:B22" si="23">B20+12</f>
        <v>140</v>
      </c>
      <c r="C21" s="242">
        <f>C20+12</f>
        <v>-84</v>
      </c>
      <c r="D21" s="28">
        <f>D20-12</f>
        <v>68</v>
      </c>
      <c r="E21" s="242">
        <f>E20-12</f>
        <v>-124</v>
      </c>
      <c r="F21" s="28">
        <f t="shared" si="11"/>
        <v>0</v>
      </c>
      <c r="G21" s="28" t="s">
        <v>299</v>
      </c>
      <c r="H21" s="28" t="s">
        <v>7</v>
      </c>
      <c r="I21" s="28" t="s">
        <v>10</v>
      </c>
      <c r="J21" s="28" t="s">
        <v>9</v>
      </c>
    </row>
    <row r="22">
      <c r="A22" s="56">
        <f t="shared" si="4"/>
        <v>20</v>
      </c>
      <c r="B22" s="28">
        <f t="shared" si="23"/>
        <v>152</v>
      </c>
      <c r="C22" s="242">
        <f>C21-4</f>
        <v>-88</v>
      </c>
      <c r="D22" s="28">
        <f>D21-4</f>
        <v>64</v>
      </c>
      <c r="E22" s="242">
        <f>E21-4</f>
        <v>-128</v>
      </c>
      <c r="F22" s="28">
        <f t="shared" si="11"/>
        <v>0</v>
      </c>
      <c r="G22" s="28" t="s">
        <v>139</v>
      </c>
      <c r="H22" s="28" t="s">
        <v>10</v>
      </c>
      <c r="J22" s="28" t="s">
        <v>7</v>
      </c>
    </row>
    <row r="23">
      <c r="A23" s="56">
        <f t="shared" si="4"/>
        <v>21</v>
      </c>
      <c r="B23" s="28">
        <f>B22-16</f>
        <v>136</v>
      </c>
      <c r="C23" s="242">
        <f>C22-16</f>
        <v>-104</v>
      </c>
      <c r="D23" s="28">
        <f>D22+48</f>
        <v>112</v>
      </c>
      <c r="E23" s="242">
        <f>E22-16</f>
        <v>-144</v>
      </c>
      <c r="F23" s="28">
        <f t="shared" si="11"/>
        <v>0</v>
      </c>
      <c r="G23" s="28" t="s">
        <v>141</v>
      </c>
      <c r="H23" s="28" t="s">
        <v>9</v>
      </c>
      <c r="J23" s="28" t="s">
        <v>8</v>
      </c>
    </row>
    <row r="24">
      <c r="A24" s="56">
        <f t="shared" si="4"/>
        <v>22</v>
      </c>
      <c r="B24" s="28">
        <f>B23+24</f>
        <v>160</v>
      </c>
      <c r="C24" s="242">
        <f>C23+24</f>
        <v>-80</v>
      </c>
      <c r="D24" s="28">
        <f>D23-24</f>
        <v>88</v>
      </c>
      <c r="E24" s="242">
        <f>E23-24</f>
        <v>-168</v>
      </c>
      <c r="F24" s="28">
        <f t="shared" si="11"/>
        <v>0</v>
      </c>
      <c r="G24" s="28" t="s">
        <v>409</v>
      </c>
      <c r="H24" s="28" t="s">
        <v>10</v>
      </c>
      <c r="I24" s="28" t="s">
        <v>7</v>
      </c>
      <c r="J24" s="28" t="s">
        <v>10</v>
      </c>
    </row>
    <row r="25"/>
    <row r="26"/>
  </sheetData>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5"/>
    <col customWidth="1" min="2" max="11" width="8.38"/>
    <col customWidth="1" min="12" max="12" width="2.13"/>
    <col customWidth="1" min="13" max="18" width="8.38"/>
    <col customWidth="1" min="19" max="19" width="25.13"/>
    <col customWidth="1" min="20" max="21" width="10.13"/>
    <col customWidth="1" min="23" max="23" width="8.0"/>
    <col customWidth="1" min="24" max="24" width="2.13"/>
    <col customWidth="1" min="25" max="25" width="5.75"/>
    <col customWidth="1" min="26" max="26" width="12.5"/>
    <col customWidth="1" min="27" max="30" width="7.13"/>
    <col customWidth="1" min="33" max="36" width="8.5"/>
    <col customWidth="1" min="37" max="37" width="7.25"/>
    <col customWidth="1" min="39" max="54" width="7.63"/>
  </cols>
  <sheetData>
    <row r="1">
      <c r="A1" s="220">
        <f>'00_Regnskab_01'!A25</f>
        <v>22</v>
      </c>
      <c r="B1" s="221">
        <f>'00_Regnskab_01'!C25</f>
        <v>45199</v>
      </c>
      <c r="C1" s="216"/>
      <c r="D1" s="215" t="str">
        <f>'00_Regnskab_01'!L25</f>
        <v>Peter, Lyngby</v>
      </c>
      <c r="E1" s="214"/>
      <c r="F1" s="216"/>
      <c r="G1" s="243"/>
      <c r="H1" s="243"/>
      <c r="I1" s="243"/>
      <c r="J1" s="243"/>
      <c r="K1" s="216"/>
      <c r="L1" s="216"/>
      <c r="R1" s="219"/>
      <c r="S1" s="222"/>
      <c r="T1" s="219"/>
      <c r="U1" s="219"/>
      <c r="V1" s="219"/>
      <c r="W1" s="218"/>
      <c r="X1" s="218"/>
      <c r="AF1" s="25" t="s">
        <v>448</v>
      </c>
      <c r="AG1" s="28" t="str">
        <f t="shared" ref="AG1:AJ1" si="1">AA2</f>
        <v>Thomas</v>
      </c>
      <c r="AH1" s="28" t="str">
        <f t="shared" si="1"/>
        <v>Peter</v>
      </c>
      <c r="AI1" s="28" t="str">
        <f t="shared" si="1"/>
        <v>Janus</v>
      </c>
      <c r="AJ1" s="28" t="str">
        <f t="shared" si="1"/>
        <v>Christian</v>
      </c>
      <c r="AL1" s="25" t="s">
        <v>449</v>
      </c>
      <c r="AM1" s="28" t="str">
        <f t="shared" ref="AM1:AP1" si="2">AA2</f>
        <v>Thomas</v>
      </c>
      <c r="AN1" s="28" t="str">
        <f t="shared" si="2"/>
        <v>Peter</v>
      </c>
      <c r="AO1" s="28" t="str">
        <f t="shared" si="2"/>
        <v>Janus</v>
      </c>
      <c r="AP1" s="28" t="str">
        <f t="shared" si="2"/>
        <v>Christian</v>
      </c>
      <c r="AR1" s="25" t="s">
        <v>450</v>
      </c>
      <c r="AS1" s="25" t="str">
        <f t="shared" ref="AS1:AV1" si="3">AA2</f>
        <v>Thomas</v>
      </c>
      <c r="AT1" s="25" t="str">
        <f t="shared" si="3"/>
        <v>Peter</v>
      </c>
      <c r="AU1" s="25" t="str">
        <f t="shared" si="3"/>
        <v>Janus</v>
      </c>
      <c r="AV1" s="25" t="str">
        <f t="shared" si="3"/>
        <v>Christian</v>
      </c>
      <c r="AX1" s="25" t="s">
        <v>451</v>
      </c>
      <c r="AY1" s="28" t="str">
        <f>AA2</f>
        <v>Thomas</v>
      </c>
    </row>
    <row r="2">
      <c r="A2" s="244" t="s">
        <v>452</v>
      </c>
      <c r="B2" s="245" t="str">
        <f t="shared" ref="B2:K2" si="4">N2</f>
        <v>Thomas</v>
      </c>
      <c r="C2" s="245" t="str">
        <f t="shared" si="4"/>
        <v>Peter</v>
      </c>
      <c r="D2" s="245" t="str">
        <f t="shared" si="4"/>
        <v>Janus</v>
      </c>
      <c r="E2" s="245" t="str">
        <f t="shared" si="4"/>
        <v>Christian</v>
      </c>
      <c r="F2" s="245" t="str">
        <f t="shared" si="4"/>
        <v>Kontrol</v>
      </c>
      <c r="G2" s="246" t="str">
        <f t="shared" si="4"/>
        <v>Melding</v>
      </c>
      <c r="H2" s="246" t="str">
        <f t="shared" si="4"/>
        <v>Hvem</v>
      </c>
      <c r="I2" s="246" t="str">
        <f t="shared" si="4"/>
        <v>Makker</v>
      </c>
      <c r="J2" s="246" t="str">
        <f t="shared" si="4"/>
        <v>Giver</v>
      </c>
      <c r="K2" s="245" t="str">
        <f t="shared" si="4"/>
        <v/>
      </c>
      <c r="L2" s="218"/>
      <c r="M2" s="247"/>
      <c r="N2" s="247" t="s">
        <v>7</v>
      </c>
      <c r="O2" s="247" t="s">
        <v>8</v>
      </c>
      <c r="P2" s="247" t="s">
        <v>9</v>
      </c>
      <c r="Q2" s="247" t="s">
        <v>10</v>
      </c>
      <c r="R2" s="247" t="s">
        <v>288</v>
      </c>
      <c r="S2" s="247" t="s">
        <v>64</v>
      </c>
      <c r="T2" s="247" t="s">
        <v>361</v>
      </c>
      <c r="U2" s="247" t="s">
        <v>81</v>
      </c>
      <c r="V2" s="247" t="s">
        <v>393</v>
      </c>
      <c r="X2" s="56"/>
      <c r="AA2" s="28" t="str">
        <f t="shared" ref="AA2:AD2" si="5">N2</f>
        <v>Thomas</v>
      </c>
      <c r="AB2" s="28" t="str">
        <f t="shared" si="5"/>
        <v>Peter</v>
      </c>
      <c r="AC2" s="28" t="str">
        <f t="shared" si="5"/>
        <v>Janus</v>
      </c>
      <c r="AD2" s="28" t="str">
        <f t="shared" si="5"/>
        <v>Christian</v>
      </c>
      <c r="AS2" s="25">
        <v>0.0</v>
      </c>
      <c r="AT2" s="25">
        <v>0.0</v>
      </c>
      <c r="AU2" s="25">
        <v>0.0</v>
      </c>
      <c r="AV2" s="25">
        <v>0.0</v>
      </c>
      <c r="AY2" s="25">
        <v>0.0</v>
      </c>
      <c r="AZ2" s="25">
        <v>0.0</v>
      </c>
      <c r="BA2" s="25">
        <v>0.0</v>
      </c>
      <c r="BB2" s="25">
        <v>0.0</v>
      </c>
    </row>
    <row r="3">
      <c r="A3" s="248">
        <v>1.0</v>
      </c>
      <c r="B3" s="248">
        <f t="shared" ref="B3:K3" si="6">N3</f>
        <v>-4</v>
      </c>
      <c r="C3" s="248">
        <f t="shared" si="6"/>
        <v>-4</v>
      </c>
      <c r="D3" s="248">
        <f t="shared" si="6"/>
        <v>-4</v>
      </c>
      <c r="E3" s="248">
        <f t="shared" si="6"/>
        <v>12</v>
      </c>
      <c r="F3" s="248">
        <f t="shared" si="6"/>
        <v>0</v>
      </c>
      <c r="G3" s="249" t="str">
        <f t="shared" si="6"/>
        <v>Ren sol</v>
      </c>
      <c r="H3" s="249" t="str">
        <f t="shared" si="6"/>
        <v>Christian</v>
      </c>
      <c r="I3" s="249" t="str">
        <f t="shared" si="6"/>
        <v/>
      </c>
      <c r="J3" s="249" t="str">
        <f t="shared" si="6"/>
        <v>Thomas</v>
      </c>
      <c r="K3" s="248" t="str">
        <f t="shared" si="6"/>
        <v>DEL 1</v>
      </c>
      <c r="L3" s="56"/>
      <c r="M3" s="248">
        <v>1.0</v>
      </c>
      <c r="N3" s="250">
        <v>-4.0</v>
      </c>
      <c r="O3" s="250">
        <v>-4.0</v>
      </c>
      <c r="P3" s="250">
        <v>-4.0</v>
      </c>
      <c r="Q3" s="250">
        <v>12.0</v>
      </c>
      <c r="R3" s="250">
        <f t="shared" ref="R3:R10" si="13">SUM(N3:Q3)</f>
        <v>0</v>
      </c>
      <c r="S3" s="247" t="s">
        <v>97</v>
      </c>
      <c r="T3" s="247" t="s">
        <v>10</v>
      </c>
      <c r="U3" s="247"/>
      <c r="V3" s="247" t="s">
        <v>7</v>
      </c>
      <c r="W3" s="25" t="s">
        <v>453</v>
      </c>
      <c r="X3" s="56"/>
      <c r="AA3" s="80">
        <f t="shared" ref="AA3:AD3" si="7">N3</f>
        <v>-4</v>
      </c>
      <c r="AB3" s="80">
        <f t="shared" si="7"/>
        <v>-4</v>
      </c>
      <c r="AC3" s="80">
        <f t="shared" si="7"/>
        <v>-4</v>
      </c>
      <c r="AD3" s="80">
        <f t="shared" si="7"/>
        <v>12</v>
      </c>
      <c r="AG3" s="28">
        <f t="shared" ref="AG3:AJ3" si="8">if(AA3&gt;0,1+AG2,0)</f>
        <v>0</v>
      </c>
      <c r="AH3" s="28">
        <f t="shared" si="8"/>
        <v>0</v>
      </c>
      <c r="AI3" s="28">
        <f t="shared" si="8"/>
        <v>0</v>
      </c>
      <c r="AJ3" s="28">
        <f t="shared" si="8"/>
        <v>1</v>
      </c>
      <c r="AM3" s="28">
        <f t="shared" ref="AM3:AP3" si="9">if(AA3&lt;0,1+AM2,0)</f>
        <v>1</v>
      </c>
      <c r="AN3" s="28">
        <f t="shared" si="9"/>
        <v>1</v>
      </c>
      <c r="AO3" s="28">
        <f t="shared" si="9"/>
        <v>1</v>
      </c>
      <c r="AP3" s="28">
        <f t="shared" si="9"/>
        <v>0</v>
      </c>
      <c r="AS3" s="78">
        <f t="shared" ref="AS3:AV3" si="10">if(AA3&gt;0,AA3+AS2,0)</f>
        <v>0</v>
      </c>
      <c r="AT3" s="78">
        <f t="shared" si="10"/>
        <v>0</v>
      </c>
      <c r="AU3" s="78">
        <f t="shared" si="10"/>
        <v>0</v>
      </c>
      <c r="AV3" s="251">
        <f t="shared" si="10"/>
        <v>12</v>
      </c>
      <c r="AY3" s="80">
        <f t="shared" ref="AY3:BB3" si="11">if(AA3&lt;0,AA3+AY2,0)</f>
        <v>-4</v>
      </c>
      <c r="AZ3" s="80">
        <f t="shared" si="11"/>
        <v>-4</v>
      </c>
      <c r="BA3" s="80">
        <f t="shared" si="11"/>
        <v>-4</v>
      </c>
      <c r="BB3" s="28">
        <f t="shared" si="11"/>
        <v>0</v>
      </c>
    </row>
    <row r="4">
      <c r="A4" s="250">
        <f t="shared" ref="A4:A57" si="19">A3+1</f>
        <v>2</v>
      </c>
      <c r="B4" s="248">
        <f t="shared" ref="B4:K4" si="12">N4</f>
        <v>8</v>
      </c>
      <c r="C4" s="248">
        <f t="shared" si="12"/>
        <v>-16</v>
      </c>
      <c r="D4" s="248">
        <f t="shared" si="12"/>
        <v>-16</v>
      </c>
      <c r="E4" s="248">
        <f t="shared" si="12"/>
        <v>24</v>
      </c>
      <c r="F4" s="248">
        <f t="shared" si="12"/>
        <v>0</v>
      </c>
      <c r="G4" s="249" t="str">
        <f t="shared" si="12"/>
        <v>10 alm</v>
      </c>
      <c r="H4" s="249" t="str">
        <f t="shared" si="12"/>
        <v>Christian</v>
      </c>
      <c r="I4" s="249" t="str">
        <f t="shared" si="12"/>
        <v>Thomas</v>
      </c>
      <c r="J4" s="249" t="str">
        <f t="shared" si="12"/>
        <v>Peter</v>
      </c>
      <c r="K4" s="248" t="str">
        <f t="shared" si="12"/>
        <v>DEL 1</v>
      </c>
      <c r="L4" s="56"/>
      <c r="M4" s="250">
        <f t="shared" ref="M4:M57" si="21">M3+1</f>
        <v>2</v>
      </c>
      <c r="N4" s="250">
        <v>8.0</v>
      </c>
      <c r="O4" s="250">
        <v>-16.0</v>
      </c>
      <c r="P4" s="250">
        <v>-16.0</v>
      </c>
      <c r="Q4" s="250">
        <v>24.0</v>
      </c>
      <c r="R4" s="250">
        <f t="shared" si="13"/>
        <v>0</v>
      </c>
      <c r="S4" s="247" t="s">
        <v>314</v>
      </c>
      <c r="T4" s="247" t="s">
        <v>10</v>
      </c>
      <c r="U4" s="247" t="s">
        <v>7</v>
      </c>
      <c r="V4" s="247" t="s">
        <v>8</v>
      </c>
      <c r="W4" s="25" t="s">
        <v>453</v>
      </c>
      <c r="X4" s="56"/>
      <c r="AA4" s="80">
        <f t="shared" ref="AA4:AD4" si="14">N4-N3</f>
        <v>12</v>
      </c>
      <c r="AB4" s="80">
        <f t="shared" si="14"/>
        <v>-12</v>
      </c>
      <c r="AC4" s="80">
        <f t="shared" si="14"/>
        <v>-12</v>
      </c>
      <c r="AD4" s="80">
        <f t="shared" si="14"/>
        <v>12</v>
      </c>
      <c r="AG4" s="28">
        <f t="shared" ref="AG4:AJ4" si="15">if(AA4&gt;0,1+AG3,0)</f>
        <v>1</v>
      </c>
      <c r="AH4" s="28">
        <f t="shared" si="15"/>
        <v>0</v>
      </c>
      <c r="AI4" s="28">
        <f t="shared" si="15"/>
        <v>0</v>
      </c>
      <c r="AJ4" s="28">
        <f t="shared" si="15"/>
        <v>2</v>
      </c>
      <c r="AM4" s="28">
        <f t="shared" ref="AM4:AP4" si="16">if(AA4&lt;0,1+AM3,0)</f>
        <v>0</v>
      </c>
      <c r="AN4" s="28">
        <f t="shared" si="16"/>
        <v>2</v>
      </c>
      <c r="AO4" s="28">
        <f t="shared" si="16"/>
        <v>2</v>
      </c>
      <c r="AP4" s="28">
        <f t="shared" si="16"/>
        <v>0</v>
      </c>
      <c r="AS4" s="251">
        <f t="shared" ref="AS4:AV4" si="17">if(AA4&gt;0,AA4+AS3,0)</f>
        <v>12</v>
      </c>
      <c r="AT4" s="78">
        <f t="shared" si="17"/>
        <v>0</v>
      </c>
      <c r="AU4" s="78">
        <f t="shared" si="17"/>
        <v>0</v>
      </c>
      <c r="AV4" s="251">
        <f t="shared" si="17"/>
        <v>24</v>
      </c>
      <c r="AY4" s="28">
        <f t="shared" ref="AY4:BB4" si="18">if(AA4&lt;0,AA4+AY3,0)</f>
        <v>0</v>
      </c>
      <c r="AZ4" s="80">
        <f t="shared" si="18"/>
        <v>-16</v>
      </c>
      <c r="BA4" s="80">
        <f t="shared" si="18"/>
        <v>-16</v>
      </c>
      <c r="BB4" s="28">
        <f t="shared" si="18"/>
        <v>0</v>
      </c>
    </row>
    <row r="5">
      <c r="A5" s="250">
        <f t="shared" si="19"/>
        <v>3</v>
      </c>
      <c r="B5" s="248">
        <f t="shared" ref="B5:K5" si="20">N5</f>
        <v>20</v>
      </c>
      <c r="C5" s="248">
        <f t="shared" si="20"/>
        <v>-28</v>
      </c>
      <c r="D5" s="248">
        <f t="shared" si="20"/>
        <v>-28</v>
      </c>
      <c r="E5" s="248">
        <f t="shared" si="20"/>
        <v>36</v>
      </c>
      <c r="F5" s="248">
        <f t="shared" si="20"/>
        <v>0</v>
      </c>
      <c r="G5" s="249" t="str">
        <f t="shared" si="20"/>
        <v>9 gode</v>
      </c>
      <c r="H5" s="249" t="str">
        <f t="shared" si="20"/>
        <v>Christian</v>
      </c>
      <c r="I5" s="249" t="str">
        <f t="shared" si="20"/>
        <v>Thomas</v>
      </c>
      <c r="J5" s="249" t="str">
        <f t="shared" si="20"/>
        <v>Janus</v>
      </c>
      <c r="K5" s="248" t="str">
        <f t="shared" si="20"/>
        <v>DEL 1</v>
      </c>
      <c r="L5" s="56"/>
      <c r="M5" s="250">
        <f t="shared" si="21"/>
        <v>3</v>
      </c>
      <c r="N5" s="250">
        <v>20.0</v>
      </c>
      <c r="O5" s="250">
        <v>-28.0</v>
      </c>
      <c r="P5" s="250">
        <v>-28.0</v>
      </c>
      <c r="Q5" s="250">
        <v>36.0</v>
      </c>
      <c r="R5" s="250">
        <f t="shared" si="13"/>
        <v>0</v>
      </c>
      <c r="S5" s="247" t="s">
        <v>299</v>
      </c>
      <c r="T5" s="247" t="s">
        <v>10</v>
      </c>
      <c r="U5" s="247" t="s">
        <v>7</v>
      </c>
      <c r="V5" s="247" t="s">
        <v>9</v>
      </c>
      <c r="W5" s="25" t="s">
        <v>453</v>
      </c>
      <c r="X5" s="56"/>
      <c r="AA5" s="80">
        <f t="shared" ref="AA5:AD5" si="22">N5-N4</f>
        <v>12</v>
      </c>
      <c r="AB5" s="80">
        <f t="shared" si="22"/>
        <v>-12</v>
      </c>
      <c r="AC5" s="80">
        <f t="shared" si="22"/>
        <v>-12</v>
      </c>
      <c r="AD5" s="80">
        <f t="shared" si="22"/>
        <v>12</v>
      </c>
      <c r="AG5" s="28">
        <f t="shared" ref="AG5:AJ5" si="23">if(AA5&gt;0,1+AG4,0)</f>
        <v>2</v>
      </c>
      <c r="AH5" s="28">
        <f t="shared" si="23"/>
        <v>0</v>
      </c>
      <c r="AI5" s="28">
        <f t="shared" si="23"/>
        <v>0</v>
      </c>
      <c r="AJ5" s="28">
        <f t="shared" si="23"/>
        <v>3</v>
      </c>
      <c r="AM5" s="28">
        <f t="shared" ref="AM5:AP5" si="24">if(AA5&lt;0,1+AM4,0)</f>
        <v>0</v>
      </c>
      <c r="AN5" s="28">
        <f t="shared" si="24"/>
        <v>3</v>
      </c>
      <c r="AO5" s="28">
        <f t="shared" si="24"/>
        <v>3</v>
      </c>
      <c r="AP5" s="28">
        <f t="shared" si="24"/>
        <v>0</v>
      </c>
      <c r="AS5" s="251">
        <f t="shared" ref="AS5:AV5" si="25">if(AA5&gt;0,AA5+AS4,0)</f>
        <v>24</v>
      </c>
      <c r="AT5" s="78">
        <f t="shared" si="25"/>
        <v>0</v>
      </c>
      <c r="AU5" s="78">
        <f t="shared" si="25"/>
        <v>0</v>
      </c>
      <c r="AV5" s="251">
        <f t="shared" si="25"/>
        <v>36</v>
      </c>
      <c r="AY5" s="28">
        <f t="shared" ref="AY5:BB5" si="26">if(AA5&lt;0,AA5+AY4,0)</f>
        <v>0</v>
      </c>
      <c r="AZ5" s="80">
        <f t="shared" si="26"/>
        <v>-28</v>
      </c>
      <c r="BA5" s="80">
        <f t="shared" si="26"/>
        <v>-28</v>
      </c>
      <c r="BB5" s="28">
        <f t="shared" si="26"/>
        <v>0</v>
      </c>
    </row>
    <row r="6">
      <c r="A6" s="250">
        <f t="shared" si="19"/>
        <v>4</v>
      </c>
      <c r="B6" s="248">
        <f t="shared" ref="B6:K6" si="27">N6</f>
        <v>8</v>
      </c>
      <c r="C6" s="248">
        <f t="shared" si="27"/>
        <v>-24</v>
      </c>
      <c r="D6" s="248">
        <f t="shared" si="27"/>
        <v>-24</v>
      </c>
      <c r="E6" s="248">
        <f t="shared" si="27"/>
        <v>40</v>
      </c>
      <c r="F6" s="248">
        <f t="shared" si="27"/>
        <v>0</v>
      </c>
      <c r="G6" s="249" t="str">
        <f t="shared" si="27"/>
        <v>vip</v>
      </c>
      <c r="H6" s="249" t="str">
        <f t="shared" si="27"/>
        <v>Thomas</v>
      </c>
      <c r="I6" s="249" t="str">
        <f t="shared" si="27"/>
        <v/>
      </c>
      <c r="J6" s="249" t="str">
        <f t="shared" si="27"/>
        <v>Christian</v>
      </c>
      <c r="K6" s="248" t="str">
        <f t="shared" si="27"/>
        <v>DEL 1</v>
      </c>
      <c r="L6" s="56"/>
      <c r="M6" s="250">
        <f t="shared" si="21"/>
        <v>4</v>
      </c>
      <c r="N6" s="250">
        <f>N5-12</f>
        <v>8</v>
      </c>
      <c r="O6" s="250">
        <f t="shared" ref="O6:P6" si="28">O5+4</f>
        <v>-24</v>
      </c>
      <c r="P6" s="250">
        <f t="shared" si="28"/>
        <v>-24</v>
      </c>
      <c r="Q6" s="250">
        <v>40.0</v>
      </c>
      <c r="R6" s="250">
        <f t="shared" si="13"/>
        <v>0</v>
      </c>
      <c r="S6" s="247" t="s">
        <v>145</v>
      </c>
      <c r="T6" s="247" t="s">
        <v>7</v>
      </c>
      <c r="U6" s="247"/>
      <c r="V6" s="247" t="s">
        <v>10</v>
      </c>
      <c r="W6" s="25" t="s">
        <v>453</v>
      </c>
      <c r="X6" s="56"/>
      <c r="AA6" s="80">
        <f t="shared" ref="AA6:AD6" si="29">N6-N5</f>
        <v>-12</v>
      </c>
      <c r="AB6" s="80">
        <f t="shared" si="29"/>
        <v>4</v>
      </c>
      <c r="AC6" s="80">
        <f t="shared" si="29"/>
        <v>4</v>
      </c>
      <c r="AD6" s="80">
        <f t="shared" si="29"/>
        <v>4</v>
      </c>
      <c r="AG6" s="28">
        <f t="shared" ref="AG6:AJ6" si="30">if(AA6&gt;0,1+AG5,0)</f>
        <v>0</v>
      </c>
      <c r="AH6" s="28">
        <f t="shared" si="30"/>
        <v>1</v>
      </c>
      <c r="AI6" s="28">
        <f t="shared" si="30"/>
        <v>1</v>
      </c>
      <c r="AJ6" s="28">
        <f t="shared" si="30"/>
        <v>4</v>
      </c>
      <c r="AM6" s="28">
        <f t="shared" ref="AM6:AP6" si="31">if(AA6&lt;0,1+AM5,0)</f>
        <v>1</v>
      </c>
      <c r="AN6" s="28">
        <f t="shared" si="31"/>
        <v>0</v>
      </c>
      <c r="AO6" s="28">
        <f t="shared" si="31"/>
        <v>0</v>
      </c>
      <c r="AP6" s="28">
        <f t="shared" si="31"/>
        <v>0</v>
      </c>
      <c r="AS6" s="78">
        <f t="shared" ref="AS6:AV6" si="32">if(AA6&gt;0,AA6+AS5,0)</f>
        <v>0</v>
      </c>
      <c r="AT6" s="251">
        <f t="shared" si="32"/>
        <v>4</v>
      </c>
      <c r="AU6" s="251">
        <f t="shared" si="32"/>
        <v>4</v>
      </c>
      <c r="AV6" s="251">
        <f t="shared" si="32"/>
        <v>40</v>
      </c>
      <c r="AY6" s="80">
        <f t="shared" ref="AY6:BB6" si="33">if(AA6&lt;0,AA6+AY5,0)</f>
        <v>-12</v>
      </c>
      <c r="AZ6" s="28">
        <f t="shared" si="33"/>
        <v>0</v>
      </c>
      <c r="BA6" s="28">
        <f t="shared" si="33"/>
        <v>0</v>
      </c>
      <c r="BB6" s="28">
        <f t="shared" si="33"/>
        <v>0</v>
      </c>
    </row>
    <row r="7">
      <c r="A7" s="250">
        <f t="shared" si="19"/>
        <v>5</v>
      </c>
      <c r="B7" s="248">
        <f t="shared" ref="B7:K7" si="34">N7</f>
        <v>32</v>
      </c>
      <c r="C7" s="248">
        <f t="shared" si="34"/>
        <v>-32</v>
      </c>
      <c r="D7" s="248">
        <f t="shared" si="34"/>
        <v>-32</v>
      </c>
      <c r="E7" s="248">
        <f t="shared" si="34"/>
        <v>32</v>
      </c>
      <c r="F7" s="248">
        <f t="shared" si="34"/>
        <v>0</v>
      </c>
      <c r="G7" s="249" t="str">
        <f t="shared" si="34"/>
        <v>Ren sol</v>
      </c>
      <c r="H7" s="249" t="str">
        <f t="shared" si="34"/>
        <v>Thomas</v>
      </c>
      <c r="I7" s="249" t="str">
        <f t="shared" si="34"/>
        <v/>
      </c>
      <c r="J7" s="249" t="str">
        <f t="shared" si="34"/>
        <v>Thomas</v>
      </c>
      <c r="K7" s="248" t="str">
        <f t="shared" si="34"/>
        <v>DEL 1</v>
      </c>
      <c r="L7" s="56"/>
      <c r="M7" s="250">
        <f t="shared" si="21"/>
        <v>5</v>
      </c>
      <c r="N7" s="250">
        <f>N6+24</f>
        <v>32</v>
      </c>
      <c r="O7" s="250">
        <f t="shared" ref="O7:Q7" si="35">O6-8</f>
        <v>-32</v>
      </c>
      <c r="P7" s="250">
        <f t="shared" si="35"/>
        <v>-32</v>
      </c>
      <c r="Q7" s="250">
        <f t="shared" si="35"/>
        <v>32</v>
      </c>
      <c r="R7" s="250">
        <f t="shared" si="13"/>
        <v>0</v>
      </c>
      <c r="S7" s="247" t="s">
        <v>97</v>
      </c>
      <c r="T7" s="247" t="s">
        <v>7</v>
      </c>
      <c r="U7" s="247"/>
      <c r="V7" s="247" t="s">
        <v>7</v>
      </c>
      <c r="W7" s="25" t="s">
        <v>453</v>
      </c>
      <c r="X7" s="56"/>
      <c r="AA7" s="80">
        <f t="shared" ref="AA7:AD7" si="36">N7-N6</f>
        <v>24</v>
      </c>
      <c r="AB7" s="80">
        <f t="shared" si="36"/>
        <v>-8</v>
      </c>
      <c r="AC7" s="80">
        <f t="shared" si="36"/>
        <v>-8</v>
      </c>
      <c r="AD7" s="80">
        <f t="shared" si="36"/>
        <v>-8</v>
      </c>
      <c r="AG7" s="28">
        <f t="shared" ref="AG7:AJ7" si="37">if(AA7&gt;0,1+AG6,0)</f>
        <v>1</v>
      </c>
      <c r="AH7" s="28">
        <f t="shared" si="37"/>
        <v>0</v>
      </c>
      <c r="AI7" s="28">
        <f t="shared" si="37"/>
        <v>0</v>
      </c>
      <c r="AJ7" s="28">
        <f t="shared" si="37"/>
        <v>0</v>
      </c>
      <c r="AM7" s="28">
        <f t="shared" ref="AM7:AP7" si="38">if(AA7&lt;0,1+AM6,0)</f>
        <v>0</v>
      </c>
      <c r="AN7" s="28">
        <f t="shared" si="38"/>
        <v>1</v>
      </c>
      <c r="AO7" s="28">
        <f t="shared" si="38"/>
        <v>1</v>
      </c>
      <c r="AP7" s="28">
        <f t="shared" si="38"/>
        <v>1</v>
      </c>
      <c r="AS7" s="251">
        <f t="shared" ref="AS7:AV7" si="39">if(AA7&gt;0,AA7+AS6,0)</f>
        <v>24</v>
      </c>
      <c r="AT7" s="78">
        <f t="shared" si="39"/>
        <v>0</v>
      </c>
      <c r="AU7" s="78">
        <f t="shared" si="39"/>
        <v>0</v>
      </c>
      <c r="AV7" s="78">
        <f t="shared" si="39"/>
        <v>0</v>
      </c>
      <c r="AY7" s="28">
        <f t="shared" ref="AY7:BB7" si="40">if(AA7&lt;0,AA7+AY6,0)</f>
        <v>0</v>
      </c>
      <c r="AZ7" s="80">
        <f t="shared" si="40"/>
        <v>-8</v>
      </c>
      <c r="BA7" s="80">
        <f t="shared" si="40"/>
        <v>-8</v>
      </c>
      <c r="BB7" s="80">
        <f t="shared" si="40"/>
        <v>-8</v>
      </c>
    </row>
    <row r="8">
      <c r="A8" s="250">
        <f t="shared" si="19"/>
        <v>6</v>
      </c>
      <c r="B8" s="248">
        <f t="shared" ref="B8:K8" si="41">N8</f>
        <v>-192</v>
      </c>
      <c r="C8" s="248">
        <f t="shared" si="41"/>
        <v>-256</v>
      </c>
      <c r="D8" s="248">
        <f t="shared" si="41"/>
        <v>192</v>
      </c>
      <c r="E8" s="248">
        <f t="shared" si="41"/>
        <v>256</v>
      </c>
      <c r="F8" s="248">
        <f t="shared" si="41"/>
        <v>0</v>
      </c>
      <c r="G8" s="249" t="str">
        <f t="shared" si="41"/>
        <v>10 Vip i 3. </v>
      </c>
      <c r="H8" s="249" t="str">
        <f t="shared" si="41"/>
        <v>Thomas</v>
      </c>
      <c r="I8" s="249" t="str">
        <f t="shared" si="41"/>
        <v>Peter</v>
      </c>
      <c r="J8" s="249" t="str">
        <f t="shared" si="41"/>
        <v>Peter</v>
      </c>
      <c r="K8" s="248" t="str">
        <f t="shared" si="41"/>
        <v>DEL 1</v>
      </c>
      <c r="L8" s="56"/>
      <c r="M8" s="250">
        <f t="shared" si="21"/>
        <v>6</v>
      </c>
      <c r="N8" s="250">
        <f t="shared" ref="N8:O8" si="42">N7-7*32</f>
        <v>-192</v>
      </c>
      <c r="O8" s="250">
        <f t="shared" si="42"/>
        <v>-256</v>
      </c>
      <c r="P8" s="250">
        <f t="shared" ref="P8:Q8" si="43">P7+7*32</f>
        <v>192</v>
      </c>
      <c r="Q8" s="250">
        <f t="shared" si="43"/>
        <v>256</v>
      </c>
      <c r="R8" s="250">
        <f t="shared" si="13"/>
        <v>0</v>
      </c>
      <c r="S8" s="247" t="s">
        <v>454</v>
      </c>
      <c r="T8" s="247" t="s">
        <v>7</v>
      </c>
      <c r="U8" s="247" t="s">
        <v>8</v>
      </c>
      <c r="V8" s="247" t="s">
        <v>8</v>
      </c>
      <c r="W8" s="25" t="s">
        <v>453</v>
      </c>
      <c r="X8" s="56"/>
      <c r="AA8" s="80">
        <f t="shared" ref="AA8:AD8" si="44">N8-N7</f>
        <v>-224</v>
      </c>
      <c r="AB8" s="80">
        <f t="shared" si="44"/>
        <v>-224</v>
      </c>
      <c r="AC8" s="80">
        <f t="shared" si="44"/>
        <v>224</v>
      </c>
      <c r="AD8" s="80">
        <f t="shared" si="44"/>
        <v>224</v>
      </c>
      <c r="AG8" s="28">
        <f t="shared" ref="AG8:AJ8" si="45">if(AA8&gt;0,1+AG7,0)</f>
        <v>0</v>
      </c>
      <c r="AH8" s="28">
        <f t="shared" si="45"/>
        <v>0</v>
      </c>
      <c r="AI8" s="28">
        <f t="shared" si="45"/>
        <v>1</v>
      </c>
      <c r="AJ8" s="28">
        <f t="shared" si="45"/>
        <v>1</v>
      </c>
      <c r="AM8" s="28">
        <f t="shared" ref="AM8:AP8" si="46">if(AA8&lt;0,1+AM7,0)</f>
        <v>1</v>
      </c>
      <c r="AN8" s="28">
        <f t="shared" si="46"/>
        <v>2</v>
      </c>
      <c r="AO8" s="28">
        <f t="shared" si="46"/>
        <v>0</v>
      </c>
      <c r="AP8" s="28">
        <f t="shared" si="46"/>
        <v>0</v>
      </c>
      <c r="AS8" s="78">
        <f t="shared" ref="AS8:AV8" si="47">if(AA8&gt;0,AA8+AS7,0)</f>
        <v>0</v>
      </c>
      <c r="AT8" s="78">
        <f t="shared" si="47"/>
        <v>0</v>
      </c>
      <c r="AU8" s="251">
        <f t="shared" si="47"/>
        <v>224</v>
      </c>
      <c r="AV8" s="251">
        <f t="shared" si="47"/>
        <v>224</v>
      </c>
      <c r="AY8" s="80">
        <f t="shared" ref="AY8:BB8" si="48">if(AA8&lt;0,AA8+AY7,0)</f>
        <v>-224</v>
      </c>
      <c r="AZ8" s="80">
        <f t="shared" si="48"/>
        <v>-232</v>
      </c>
      <c r="BA8" s="28">
        <f t="shared" si="48"/>
        <v>0</v>
      </c>
      <c r="BB8" s="28">
        <f t="shared" si="48"/>
        <v>0</v>
      </c>
    </row>
    <row r="9">
      <c r="A9" s="250">
        <f t="shared" si="19"/>
        <v>7</v>
      </c>
      <c r="B9" s="248">
        <f t="shared" ref="B9:K9" si="49">N9</f>
        <v>-208</v>
      </c>
      <c r="C9" s="248">
        <f t="shared" si="49"/>
        <v>-272</v>
      </c>
      <c r="D9" s="248">
        <f t="shared" si="49"/>
        <v>208</v>
      </c>
      <c r="E9" s="248">
        <f t="shared" si="49"/>
        <v>272</v>
      </c>
      <c r="F9" s="248">
        <f t="shared" si="49"/>
        <v>0</v>
      </c>
      <c r="G9" s="249" t="str">
        <f t="shared" si="49"/>
        <v>10 gode</v>
      </c>
      <c r="H9" s="249" t="str">
        <f t="shared" si="49"/>
        <v>Thomas</v>
      </c>
      <c r="I9" s="249" t="str">
        <f t="shared" si="49"/>
        <v>Peter</v>
      </c>
      <c r="J9" s="249" t="str">
        <f t="shared" si="49"/>
        <v>Janus</v>
      </c>
      <c r="K9" s="248" t="str">
        <f t="shared" si="49"/>
        <v>DEL 1</v>
      </c>
      <c r="L9" s="56"/>
      <c r="M9" s="250">
        <f t="shared" si="21"/>
        <v>7</v>
      </c>
      <c r="N9" s="250">
        <f t="shared" ref="N9:O9" si="50">N8-16</f>
        <v>-208</v>
      </c>
      <c r="O9" s="250">
        <f t="shared" si="50"/>
        <v>-272</v>
      </c>
      <c r="P9" s="250">
        <f t="shared" ref="P9:Q9" si="51">P8+16</f>
        <v>208</v>
      </c>
      <c r="Q9" s="250">
        <f t="shared" si="51"/>
        <v>272</v>
      </c>
      <c r="R9" s="250">
        <f t="shared" si="13"/>
        <v>0</v>
      </c>
      <c r="S9" s="247" t="s">
        <v>308</v>
      </c>
      <c r="T9" s="247" t="s">
        <v>7</v>
      </c>
      <c r="U9" s="247" t="s">
        <v>8</v>
      </c>
      <c r="V9" s="247" t="s">
        <v>9</v>
      </c>
      <c r="W9" s="25" t="s">
        <v>453</v>
      </c>
      <c r="X9" s="56"/>
      <c r="AA9" s="80">
        <f t="shared" ref="AA9:AD9" si="52">N9-N8</f>
        <v>-16</v>
      </c>
      <c r="AB9" s="80">
        <f t="shared" si="52"/>
        <v>-16</v>
      </c>
      <c r="AC9" s="80">
        <f t="shared" si="52"/>
        <v>16</v>
      </c>
      <c r="AD9" s="80">
        <f t="shared" si="52"/>
        <v>16</v>
      </c>
      <c r="AG9" s="28">
        <f t="shared" ref="AG9:AJ9" si="53">if(AA9&gt;0,1+AG8,0)</f>
        <v>0</v>
      </c>
      <c r="AH9" s="28">
        <f t="shared" si="53"/>
        <v>0</v>
      </c>
      <c r="AI9" s="28">
        <f t="shared" si="53"/>
        <v>2</v>
      </c>
      <c r="AJ9" s="28">
        <f t="shared" si="53"/>
        <v>2</v>
      </c>
      <c r="AM9" s="28">
        <f t="shared" ref="AM9:AP9" si="54">if(AA9&lt;0,1+AM8,0)</f>
        <v>2</v>
      </c>
      <c r="AN9" s="28">
        <f t="shared" si="54"/>
        <v>3</v>
      </c>
      <c r="AO9" s="28">
        <f t="shared" si="54"/>
        <v>0</v>
      </c>
      <c r="AP9" s="28">
        <f t="shared" si="54"/>
        <v>0</v>
      </c>
      <c r="AS9" s="78">
        <f t="shared" ref="AS9:AV9" si="55">if(AA9&gt;0,AA9+AS8,0)</f>
        <v>0</v>
      </c>
      <c r="AT9" s="78">
        <f t="shared" si="55"/>
        <v>0</v>
      </c>
      <c r="AU9" s="251">
        <f t="shared" si="55"/>
        <v>240</v>
      </c>
      <c r="AV9" s="251">
        <f t="shared" si="55"/>
        <v>240</v>
      </c>
      <c r="AY9" s="80">
        <f t="shared" ref="AY9:BB9" si="56">if(AA9&lt;0,AA9+AY8,0)</f>
        <v>-240</v>
      </c>
      <c r="AZ9" s="80">
        <f t="shared" si="56"/>
        <v>-248</v>
      </c>
      <c r="BA9" s="28">
        <f t="shared" si="56"/>
        <v>0</v>
      </c>
      <c r="BB9" s="28">
        <f t="shared" si="56"/>
        <v>0</v>
      </c>
    </row>
    <row r="10">
      <c r="A10" s="250">
        <f t="shared" si="19"/>
        <v>8</v>
      </c>
      <c r="B10" s="248">
        <f t="shared" ref="B10:K10" si="57">N10</f>
        <v>-192</v>
      </c>
      <c r="C10" s="248">
        <f t="shared" si="57"/>
        <v>-256</v>
      </c>
      <c r="D10" s="248">
        <f t="shared" si="57"/>
        <v>192</v>
      </c>
      <c r="E10" s="248">
        <f t="shared" si="57"/>
        <v>256</v>
      </c>
      <c r="F10" s="248">
        <f t="shared" si="57"/>
        <v>0</v>
      </c>
      <c r="G10" s="249" t="str">
        <f t="shared" si="57"/>
        <v>9 halve</v>
      </c>
      <c r="H10" s="249" t="str">
        <f t="shared" si="57"/>
        <v>Christian</v>
      </c>
      <c r="I10" s="249" t="str">
        <f t="shared" si="57"/>
        <v>Janus</v>
      </c>
      <c r="J10" s="249" t="str">
        <f t="shared" si="57"/>
        <v>Christian</v>
      </c>
      <c r="K10" s="248" t="str">
        <f t="shared" si="57"/>
        <v>DEL 1</v>
      </c>
      <c r="L10" s="56"/>
      <c r="M10" s="250">
        <f t="shared" si="21"/>
        <v>8</v>
      </c>
      <c r="N10" s="250">
        <f t="shared" ref="N10:O10" si="58">N9+16</f>
        <v>-192</v>
      </c>
      <c r="O10" s="250">
        <f t="shared" si="58"/>
        <v>-256</v>
      </c>
      <c r="P10" s="250">
        <f t="shared" ref="P10:Q10" si="59">P9-16</f>
        <v>192</v>
      </c>
      <c r="Q10" s="250">
        <f t="shared" si="59"/>
        <v>256</v>
      </c>
      <c r="R10" s="250">
        <f t="shared" si="13"/>
        <v>0</v>
      </c>
      <c r="S10" s="247" t="s">
        <v>293</v>
      </c>
      <c r="T10" s="247" t="s">
        <v>10</v>
      </c>
      <c r="U10" s="247" t="s">
        <v>9</v>
      </c>
      <c r="V10" s="247" t="s">
        <v>10</v>
      </c>
      <c r="W10" s="25" t="s">
        <v>453</v>
      </c>
      <c r="X10" s="56"/>
      <c r="AA10" s="80">
        <f t="shared" ref="AA10:AD10" si="60">N10-N9</f>
        <v>16</v>
      </c>
      <c r="AB10" s="80">
        <f t="shared" si="60"/>
        <v>16</v>
      </c>
      <c r="AC10" s="80">
        <f t="shared" si="60"/>
        <v>-16</v>
      </c>
      <c r="AD10" s="80">
        <f t="shared" si="60"/>
        <v>-16</v>
      </c>
      <c r="AG10" s="28">
        <f t="shared" ref="AG10:AJ10" si="61">if(AA10&gt;0,1+AG9,0)</f>
        <v>1</v>
      </c>
      <c r="AH10" s="28">
        <f t="shared" si="61"/>
        <v>1</v>
      </c>
      <c r="AI10" s="28">
        <f t="shared" si="61"/>
        <v>0</v>
      </c>
      <c r="AJ10" s="28">
        <f t="shared" si="61"/>
        <v>0</v>
      </c>
      <c r="AM10" s="28">
        <f t="shared" ref="AM10:AP10" si="62">if(AA10&lt;0,1+AM9,0)</f>
        <v>0</v>
      </c>
      <c r="AN10" s="28">
        <f t="shared" si="62"/>
        <v>0</v>
      </c>
      <c r="AO10" s="28">
        <f t="shared" si="62"/>
        <v>1</v>
      </c>
      <c r="AP10" s="28">
        <f t="shared" si="62"/>
        <v>1</v>
      </c>
      <c r="AS10" s="251">
        <f t="shared" ref="AS10:AV10" si="63">if(AA10&gt;0,AA10+AS9,0)</f>
        <v>16</v>
      </c>
      <c r="AT10" s="251">
        <f t="shared" si="63"/>
        <v>16</v>
      </c>
      <c r="AU10" s="78">
        <f t="shared" si="63"/>
        <v>0</v>
      </c>
      <c r="AV10" s="78">
        <f t="shared" si="63"/>
        <v>0</v>
      </c>
      <c r="AY10" s="28">
        <f t="shared" ref="AY10:BB10" si="64">if(AA10&lt;0,AA10+AY9,0)</f>
        <v>0</v>
      </c>
      <c r="AZ10" s="28">
        <f t="shared" si="64"/>
        <v>0</v>
      </c>
      <c r="BA10" s="80">
        <f t="shared" si="64"/>
        <v>-16</v>
      </c>
      <c r="BB10" s="80">
        <f t="shared" si="64"/>
        <v>-16</v>
      </c>
    </row>
    <row r="11">
      <c r="A11" s="252">
        <f t="shared" si="19"/>
        <v>9</v>
      </c>
      <c r="B11" s="253">
        <f t="shared" ref="B11:E11" si="65">B10</f>
        <v>-192</v>
      </c>
      <c r="C11" s="253">
        <f t="shared" si="65"/>
        <v>-256</v>
      </c>
      <c r="D11" s="253">
        <f t="shared" si="65"/>
        <v>192</v>
      </c>
      <c r="E11" s="253">
        <f t="shared" si="65"/>
        <v>256</v>
      </c>
      <c r="F11" s="253" t="str">
        <f t="shared" ref="F11:K11" si="66">R11</f>
        <v/>
      </c>
      <c r="G11" s="254" t="str">
        <f t="shared" si="66"/>
        <v>9 gode</v>
      </c>
      <c r="H11" s="254" t="str">
        <f t="shared" si="66"/>
        <v>Christian</v>
      </c>
      <c r="I11" s="254" t="str">
        <f t="shared" si="66"/>
        <v>Selvmakker</v>
      </c>
      <c r="J11" s="254" t="str">
        <f t="shared" si="66"/>
        <v>Peter</v>
      </c>
      <c r="K11" s="253" t="str">
        <f t="shared" si="66"/>
        <v>DEL 1</v>
      </c>
      <c r="L11" s="255"/>
      <c r="M11" s="256">
        <f t="shared" si="21"/>
        <v>9</v>
      </c>
      <c r="N11" s="257"/>
      <c r="O11" s="257"/>
      <c r="P11" s="257"/>
      <c r="Q11" s="257"/>
      <c r="R11" s="258"/>
      <c r="S11" s="258" t="s">
        <v>299</v>
      </c>
      <c r="T11" s="258" t="s">
        <v>10</v>
      </c>
      <c r="U11" s="258" t="s">
        <v>228</v>
      </c>
      <c r="V11" s="258" t="s">
        <v>8</v>
      </c>
      <c r="W11" s="259" t="s">
        <v>453</v>
      </c>
      <c r="X11" s="255"/>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0"/>
      <c r="AZ11" s="100"/>
      <c r="BA11" s="100"/>
      <c r="BB11" s="100"/>
    </row>
    <row r="12">
      <c r="A12" s="250">
        <f t="shared" si="19"/>
        <v>10</v>
      </c>
      <c r="B12" s="260">
        <f>B10+96</f>
        <v>-96</v>
      </c>
      <c r="C12" s="260">
        <f t="shared" ref="C12:D12" si="67">C10-96</f>
        <v>-352</v>
      </c>
      <c r="D12" s="260">
        <f t="shared" si="67"/>
        <v>96</v>
      </c>
      <c r="E12" s="260">
        <f>E10+96</f>
        <v>352</v>
      </c>
      <c r="F12" s="248">
        <f t="shared" ref="F12:K12" si="68">R12</f>
        <v>0</v>
      </c>
      <c r="G12" s="249" t="str">
        <f t="shared" si="68"/>
        <v>9 vip i 3 - gode</v>
      </c>
      <c r="H12" s="249" t="str">
        <f t="shared" si="68"/>
        <v>Thomas</v>
      </c>
      <c r="I12" s="249" t="str">
        <f t="shared" si="68"/>
        <v>Christian</v>
      </c>
      <c r="J12" s="249" t="str">
        <f t="shared" si="68"/>
        <v>Janus</v>
      </c>
      <c r="K12" s="248" t="str">
        <f t="shared" si="68"/>
        <v>DEL 2</v>
      </c>
      <c r="L12" s="105"/>
      <c r="M12" s="250">
        <f t="shared" si="21"/>
        <v>10</v>
      </c>
      <c r="N12" s="260">
        <f>N10+96</f>
        <v>-96</v>
      </c>
      <c r="O12" s="260">
        <f t="shared" ref="O12:P12" si="69">O10-96</f>
        <v>-352</v>
      </c>
      <c r="P12" s="260">
        <f t="shared" si="69"/>
        <v>96</v>
      </c>
      <c r="Q12" s="260">
        <f>Q10+96</f>
        <v>352</v>
      </c>
      <c r="R12" s="260">
        <f t="shared" ref="R12:R57" si="78">SUM(N12:Q12)</f>
        <v>0</v>
      </c>
      <c r="S12" s="261" t="s">
        <v>410</v>
      </c>
      <c r="T12" s="261" t="s">
        <v>7</v>
      </c>
      <c r="U12" s="261" t="s">
        <v>10</v>
      </c>
      <c r="V12" s="261" t="s">
        <v>9</v>
      </c>
      <c r="W12" s="106" t="s">
        <v>455</v>
      </c>
      <c r="X12" s="105"/>
      <c r="Y12" s="103"/>
      <c r="Z12" s="103"/>
      <c r="AA12" s="80">
        <f t="shared" ref="AA12:AD12" si="70">N12-N10</f>
        <v>96</v>
      </c>
      <c r="AB12" s="80">
        <f t="shared" si="70"/>
        <v>-96</v>
      </c>
      <c r="AC12" s="80">
        <f t="shared" si="70"/>
        <v>-96</v>
      </c>
      <c r="AD12" s="80">
        <f t="shared" si="70"/>
        <v>96</v>
      </c>
      <c r="AE12" s="103"/>
      <c r="AF12" s="103"/>
      <c r="AG12" s="28">
        <f t="shared" ref="AG12:AJ12" si="71">if(AA12&gt;0,1+AG10,0)</f>
        <v>2</v>
      </c>
      <c r="AH12" s="28">
        <f t="shared" si="71"/>
        <v>0</v>
      </c>
      <c r="AI12" s="28">
        <f t="shared" si="71"/>
        <v>0</v>
      </c>
      <c r="AJ12" s="28">
        <f t="shared" si="71"/>
        <v>1</v>
      </c>
      <c r="AK12" s="103"/>
      <c r="AL12" s="103"/>
      <c r="AM12" s="28">
        <f t="shared" ref="AM12:AP12" si="72">if(AA12&lt;0,1+AM10,0)</f>
        <v>0</v>
      </c>
      <c r="AN12" s="28">
        <f t="shared" si="72"/>
        <v>1</v>
      </c>
      <c r="AO12" s="28">
        <f t="shared" si="72"/>
        <v>2</v>
      </c>
      <c r="AP12" s="28">
        <f t="shared" si="72"/>
        <v>0</v>
      </c>
      <c r="AS12" s="251">
        <f t="shared" ref="AS12:AV12" si="73">if(AA12&gt;0,AA12+AS10,0)</f>
        <v>112</v>
      </c>
      <c r="AT12" s="78">
        <f t="shared" si="73"/>
        <v>0</v>
      </c>
      <c r="AU12" s="78">
        <f t="shared" si="73"/>
        <v>0</v>
      </c>
      <c r="AV12" s="251">
        <f t="shared" si="73"/>
        <v>96</v>
      </c>
      <c r="AY12" s="28">
        <f t="shared" ref="AY12:BB12" si="74">if(AA12&lt;0,AA12+AY10,0)</f>
        <v>0</v>
      </c>
      <c r="AZ12" s="80">
        <f t="shared" si="74"/>
        <v>-96</v>
      </c>
      <c r="BA12" s="80">
        <f t="shared" si="74"/>
        <v>-112</v>
      </c>
      <c r="BB12" s="28">
        <f t="shared" si="74"/>
        <v>0</v>
      </c>
    </row>
    <row r="13">
      <c r="A13" s="250">
        <f t="shared" si="19"/>
        <v>11</v>
      </c>
      <c r="B13" s="250">
        <f>B12+16</f>
        <v>-80</v>
      </c>
      <c r="C13" s="250">
        <f t="shared" ref="C13:D13" si="75">C12-16</f>
        <v>-368</v>
      </c>
      <c r="D13" s="250">
        <f t="shared" si="75"/>
        <v>80</v>
      </c>
      <c r="E13" s="250">
        <f>E12+16</f>
        <v>368</v>
      </c>
      <c r="F13" s="248">
        <f t="shared" ref="F13:K13" si="76">R13</f>
        <v>0</v>
      </c>
      <c r="G13" s="249" t="str">
        <f t="shared" si="76"/>
        <v>10 alm</v>
      </c>
      <c r="H13" s="249" t="str">
        <f t="shared" si="76"/>
        <v>Peter</v>
      </c>
      <c r="I13" s="249" t="str">
        <f t="shared" si="76"/>
        <v>Janus</v>
      </c>
      <c r="J13" s="249" t="str">
        <f t="shared" si="76"/>
        <v>Thomas</v>
      </c>
      <c r="K13" s="248" t="str">
        <f t="shared" si="76"/>
        <v>DEL 2</v>
      </c>
      <c r="L13" s="56"/>
      <c r="M13" s="250">
        <f t="shared" si="21"/>
        <v>11</v>
      </c>
      <c r="N13" s="250">
        <f>N12+16</f>
        <v>-80</v>
      </c>
      <c r="O13" s="250">
        <f t="shared" ref="O13:P13" si="77">O12-16</f>
        <v>-368</v>
      </c>
      <c r="P13" s="250">
        <f t="shared" si="77"/>
        <v>80</v>
      </c>
      <c r="Q13" s="250">
        <f>Q12+16</f>
        <v>368</v>
      </c>
      <c r="R13" s="250">
        <f t="shared" si="78"/>
        <v>0</v>
      </c>
      <c r="S13" s="247" t="s">
        <v>314</v>
      </c>
      <c r="T13" s="247" t="s">
        <v>8</v>
      </c>
      <c r="U13" s="247" t="s">
        <v>9</v>
      </c>
      <c r="V13" s="247" t="s">
        <v>7</v>
      </c>
      <c r="W13" s="25" t="s">
        <v>455</v>
      </c>
      <c r="X13" s="56"/>
      <c r="AA13" s="80">
        <f t="shared" ref="AA13:AD13" si="79">N13-N12</f>
        <v>16</v>
      </c>
      <c r="AB13" s="80">
        <f t="shared" si="79"/>
        <v>-16</v>
      </c>
      <c r="AC13" s="80">
        <f t="shared" si="79"/>
        <v>-16</v>
      </c>
      <c r="AD13" s="80">
        <f t="shared" si="79"/>
        <v>16</v>
      </c>
      <c r="AG13" s="28">
        <f t="shared" ref="AG13:AJ13" si="80">if(AA13&gt;0,1+AG12,0)</f>
        <v>3</v>
      </c>
      <c r="AH13" s="28">
        <f t="shared" si="80"/>
        <v>0</v>
      </c>
      <c r="AI13" s="28">
        <f t="shared" si="80"/>
        <v>0</v>
      </c>
      <c r="AJ13" s="28">
        <f t="shared" si="80"/>
        <v>2</v>
      </c>
      <c r="AM13" s="28">
        <f t="shared" ref="AM13:AP13" si="81">if(AA13&lt;0,1+AM12,0)</f>
        <v>0</v>
      </c>
      <c r="AN13" s="28">
        <f t="shared" si="81"/>
        <v>2</v>
      </c>
      <c r="AO13" s="28">
        <f t="shared" si="81"/>
        <v>3</v>
      </c>
      <c r="AP13" s="28">
        <f t="shared" si="81"/>
        <v>0</v>
      </c>
      <c r="AS13" s="251">
        <f t="shared" ref="AS13:AV13" si="82">if(AA13&gt;0,AA13+AS11,0)</f>
        <v>16</v>
      </c>
      <c r="AT13" s="78">
        <f t="shared" si="82"/>
        <v>0</v>
      </c>
      <c r="AU13" s="78">
        <f t="shared" si="82"/>
        <v>0</v>
      </c>
      <c r="AV13" s="251">
        <f t="shared" si="82"/>
        <v>16</v>
      </c>
      <c r="AY13" s="28">
        <f t="shared" ref="AY13:BB13" si="83">if(AA13&lt;0,AA13+AY11,0)</f>
        <v>0</v>
      </c>
      <c r="AZ13" s="80">
        <f t="shared" si="83"/>
        <v>-16</v>
      </c>
      <c r="BA13" s="80">
        <f t="shared" si="83"/>
        <v>-16</v>
      </c>
      <c r="BB13" s="28">
        <f t="shared" si="83"/>
        <v>0</v>
      </c>
    </row>
    <row r="14">
      <c r="A14" s="250">
        <f t="shared" si="19"/>
        <v>12</v>
      </c>
      <c r="B14" s="250">
        <f>B13-4</f>
        <v>-84</v>
      </c>
      <c r="C14" s="250">
        <f>C13+12</f>
        <v>-356</v>
      </c>
      <c r="D14" s="250">
        <f t="shared" ref="D14:E14" si="84">D13-4</f>
        <v>76</v>
      </c>
      <c r="E14" s="250">
        <f t="shared" si="84"/>
        <v>364</v>
      </c>
      <c r="F14" s="248">
        <f t="shared" ref="F14:K14" si="85">R14</f>
        <v>0</v>
      </c>
      <c r="G14" s="249" t="str">
        <f t="shared" si="85"/>
        <v>Sol</v>
      </c>
      <c r="H14" s="249" t="str">
        <f t="shared" si="85"/>
        <v>Peter</v>
      </c>
      <c r="I14" s="249" t="str">
        <f t="shared" si="85"/>
        <v/>
      </c>
      <c r="J14" s="249" t="str">
        <f t="shared" si="85"/>
        <v>Christian</v>
      </c>
      <c r="K14" s="248" t="str">
        <f t="shared" si="85"/>
        <v>DEL 2</v>
      </c>
      <c r="L14" s="56"/>
      <c r="M14" s="250">
        <f t="shared" si="21"/>
        <v>12</v>
      </c>
      <c r="N14" s="250">
        <f>N13-4</f>
        <v>-84</v>
      </c>
      <c r="O14" s="250">
        <f>O13+12</f>
        <v>-356</v>
      </c>
      <c r="P14" s="250">
        <f t="shared" ref="P14:Q14" si="86">P13-4</f>
        <v>76</v>
      </c>
      <c r="Q14" s="250">
        <f t="shared" si="86"/>
        <v>364</v>
      </c>
      <c r="R14" s="250">
        <f t="shared" si="78"/>
        <v>0</v>
      </c>
      <c r="S14" s="247" t="s">
        <v>99</v>
      </c>
      <c r="T14" s="247" t="s">
        <v>8</v>
      </c>
      <c r="U14" s="247"/>
      <c r="V14" s="247" t="s">
        <v>10</v>
      </c>
      <c r="W14" s="25" t="s">
        <v>455</v>
      </c>
      <c r="X14" s="56"/>
      <c r="AA14" s="80">
        <f t="shared" ref="AA14:AD14" si="87">N14-N13</f>
        <v>-4</v>
      </c>
      <c r="AB14" s="80">
        <f t="shared" si="87"/>
        <v>12</v>
      </c>
      <c r="AC14" s="80">
        <f t="shared" si="87"/>
        <v>-4</v>
      </c>
      <c r="AD14" s="80">
        <f t="shared" si="87"/>
        <v>-4</v>
      </c>
      <c r="AG14" s="28">
        <f t="shared" ref="AG14:AJ14" si="88">if(AA14&gt;0,1+AG13,0)</f>
        <v>0</v>
      </c>
      <c r="AH14" s="28">
        <f t="shared" si="88"/>
        <v>1</v>
      </c>
      <c r="AI14" s="28">
        <f t="shared" si="88"/>
        <v>0</v>
      </c>
      <c r="AJ14" s="28">
        <f t="shared" si="88"/>
        <v>0</v>
      </c>
      <c r="AM14" s="28">
        <f t="shared" ref="AM14:AP14" si="89">if(AA14&lt;0,1+AM13,0)</f>
        <v>1</v>
      </c>
      <c r="AN14" s="28">
        <f t="shared" si="89"/>
        <v>0</v>
      </c>
      <c r="AO14" s="28">
        <f t="shared" si="89"/>
        <v>4</v>
      </c>
      <c r="AP14" s="28">
        <f t="shared" si="89"/>
        <v>1</v>
      </c>
      <c r="AS14" s="78">
        <f t="shared" ref="AS14:AV14" si="90">if(AA14&gt;0,AA14+AS12,0)</f>
        <v>0</v>
      </c>
      <c r="AT14" s="251">
        <f t="shared" si="90"/>
        <v>12</v>
      </c>
      <c r="AU14" s="78">
        <f t="shared" si="90"/>
        <v>0</v>
      </c>
      <c r="AV14" s="78">
        <f t="shared" si="90"/>
        <v>0</v>
      </c>
      <c r="AY14" s="80">
        <f t="shared" ref="AY14:BB14" si="91">if(AA14&lt;0,AA14+AY12,0)</f>
        <v>-4</v>
      </c>
      <c r="AZ14" s="28">
        <f t="shared" si="91"/>
        <v>0</v>
      </c>
      <c r="BA14" s="80">
        <f t="shared" si="91"/>
        <v>-116</v>
      </c>
      <c r="BB14" s="80">
        <f t="shared" si="91"/>
        <v>-4</v>
      </c>
    </row>
    <row r="15">
      <c r="A15" s="250">
        <f t="shared" si="19"/>
        <v>13</v>
      </c>
      <c r="B15" s="250">
        <f t="shared" ref="B15:C15" si="92">B14+8</f>
        <v>-76</v>
      </c>
      <c r="C15" s="250">
        <f t="shared" si="92"/>
        <v>-348</v>
      </c>
      <c r="D15" s="250">
        <f>D14-24</f>
        <v>52</v>
      </c>
      <c r="E15" s="250">
        <f>E14+8</f>
        <v>372</v>
      </c>
      <c r="F15" s="248">
        <f t="shared" ref="F15:K15" si="93">R15</f>
        <v>0</v>
      </c>
      <c r="G15" s="249" t="str">
        <f t="shared" si="93"/>
        <v>Rent Sol</v>
      </c>
      <c r="H15" s="249" t="str">
        <f t="shared" si="93"/>
        <v>Janus</v>
      </c>
      <c r="I15" s="249" t="str">
        <f t="shared" si="93"/>
        <v/>
      </c>
      <c r="J15" s="249" t="str">
        <f t="shared" si="93"/>
        <v>Peter</v>
      </c>
      <c r="K15" s="248" t="str">
        <f t="shared" si="93"/>
        <v>DEL 2</v>
      </c>
      <c r="L15" s="56"/>
      <c r="M15" s="250">
        <f t="shared" si="21"/>
        <v>13</v>
      </c>
      <c r="N15" s="250">
        <f t="shared" ref="N15:O15" si="94">N14+8</f>
        <v>-76</v>
      </c>
      <c r="O15" s="250">
        <f t="shared" si="94"/>
        <v>-348</v>
      </c>
      <c r="P15" s="250">
        <f>P14-24</f>
        <v>52</v>
      </c>
      <c r="Q15" s="250">
        <f>Q14+8</f>
        <v>372</v>
      </c>
      <c r="R15" s="250">
        <f t="shared" si="78"/>
        <v>0</v>
      </c>
      <c r="S15" s="247" t="s">
        <v>417</v>
      </c>
      <c r="T15" s="247" t="s">
        <v>9</v>
      </c>
      <c r="U15" s="247"/>
      <c r="V15" s="247" t="s">
        <v>8</v>
      </c>
      <c r="W15" s="25" t="s">
        <v>455</v>
      </c>
      <c r="X15" s="56"/>
      <c r="AA15" s="80">
        <f t="shared" ref="AA15:AD15" si="95">N15-N14</f>
        <v>8</v>
      </c>
      <c r="AB15" s="80">
        <f t="shared" si="95"/>
        <v>8</v>
      </c>
      <c r="AC15" s="80">
        <f t="shared" si="95"/>
        <v>-24</v>
      </c>
      <c r="AD15" s="80">
        <f t="shared" si="95"/>
        <v>8</v>
      </c>
      <c r="AG15" s="28">
        <f t="shared" ref="AG15:AJ15" si="96">if(AA15&gt;0,1+AG14,0)</f>
        <v>1</v>
      </c>
      <c r="AH15" s="28">
        <f t="shared" si="96"/>
        <v>2</v>
      </c>
      <c r="AI15" s="28">
        <f t="shared" si="96"/>
        <v>0</v>
      </c>
      <c r="AJ15" s="28">
        <f t="shared" si="96"/>
        <v>1</v>
      </c>
      <c r="AM15" s="28">
        <f t="shared" ref="AM15:AP15" si="97">if(AA15&lt;0,1+AM14,0)</f>
        <v>0</v>
      </c>
      <c r="AN15" s="28">
        <f t="shared" si="97"/>
        <v>0</v>
      </c>
      <c r="AO15" s="28">
        <f t="shared" si="97"/>
        <v>5</v>
      </c>
      <c r="AP15" s="28">
        <f t="shared" si="97"/>
        <v>0</v>
      </c>
      <c r="AS15" s="251">
        <f t="shared" ref="AS15:AV15" si="98">if(AA15&gt;0,AA15+AS13,0)</f>
        <v>24</v>
      </c>
      <c r="AT15" s="251">
        <f t="shared" si="98"/>
        <v>8</v>
      </c>
      <c r="AU15" s="78">
        <f t="shared" si="98"/>
        <v>0</v>
      </c>
      <c r="AV15" s="251">
        <f t="shared" si="98"/>
        <v>24</v>
      </c>
      <c r="AY15" s="28">
        <f t="shared" ref="AY15:BB15" si="99">if(AA15&lt;0,AA15+AY13,0)</f>
        <v>0</v>
      </c>
      <c r="AZ15" s="28">
        <f t="shared" si="99"/>
        <v>0</v>
      </c>
      <c r="BA15" s="80">
        <f t="shared" si="99"/>
        <v>-40</v>
      </c>
      <c r="BB15" s="28">
        <f t="shared" si="99"/>
        <v>0</v>
      </c>
    </row>
    <row r="16">
      <c r="A16" s="250">
        <f t="shared" si="19"/>
        <v>14</v>
      </c>
      <c r="B16" s="250">
        <f t="shared" ref="B16:C16" si="100">B15-8</f>
        <v>-84</v>
      </c>
      <c r="C16" s="250">
        <f t="shared" si="100"/>
        <v>-356</v>
      </c>
      <c r="D16" s="250">
        <f t="shared" ref="D16:E16" si="101">D15+8</f>
        <v>60</v>
      </c>
      <c r="E16" s="250">
        <f t="shared" si="101"/>
        <v>380</v>
      </c>
      <c r="F16" s="248">
        <f t="shared" ref="F16:K16" si="102">R16</f>
        <v>0</v>
      </c>
      <c r="G16" s="249" t="str">
        <f t="shared" si="102"/>
        <v>8 halve</v>
      </c>
      <c r="H16" s="249" t="str">
        <f t="shared" si="102"/>
        <v>Thomas</v>
      </c>
      <c r="I16" s="249" t="str">
        <f t="shared" si="102"/>
        <v>Janus</v>
      </c>
      <c r="J16" s="249" t="str">
        <f t="shared" si="102"/>
        <v>Janus</v>
      </c>
      <c r="K16" s="248" t="str">
        <f t="shared" si="102"/>
        <v>DEL 2</v>
      </c>
      <c r="L16" s="56"/>
      <c r="M16" s="250">
        <f t="shared" si="21"/>
        <v>14</v>
      </c>
      <c r="N16" s="250">
        <f t="shared" ref="N16:O16" si="103">N15-8</f>
        <v>-84</v>
      </c>
      <c r="O16" s="250">
        <f t="shared" si="103"/>
        <v>-356</v>
      </c>
      <c r="P16" s="250">
        <f t="shared" ref="P16:Q16" si="104">P15+8</f>
        <v>60</v>
      </c>
      <c r="Q16" s="250">
        <f t="shared" si="104"/>
        <v>380</v>
      </c>
      <c r="R16" s="250">
        <f t="shared" si="78"/>
        <v>0</v>
      </c>
      <c r="S16" s="247" t="s">
        <v>352</v>
      </c>
      <c r="T16" s="247" t="s">
        <v>7</v>
      </c>
      <c r="U16" s="247" t="s">
        <v>9</v>
      </c>
      <c r="V16" s="247" t="s">
        <v>9</v>
      </c>
      <c r="W16" s="25" t="s">
        <v>455</v>
      </c>
      <c r="X16" s="56"/>
      <c r="AA16" s="80">
        <f t="shared" ref="AA16:AD16" si="105">N16-N15</f>
        <v>-8</v>
      </c>
      <c r="AB16" s="80">
        <f t="shared" si="105"/>
        <v>-8</v>
      </c>
      <c r="AC16" s="80">
        <f t="shared" si="105"/>
        <v>8</v>
      </c>
      <c r="AD16" s="80">
        <f t="shared" si="105"/>
        <v>8</v>
      </c>
      <c r="AG16" s="28">
        <f t="shared" ref="AG16:AJ16" si="106">if(AA16&gt;0,1+AG15,0)</f>
        <v>0</v>
      </c>
      <c r="AH16" s="28">
        <f t="shared" si="106"/>
        <v>0</v>
      </c>
      <c r="AI16" s="28">
        <f t="shared" si="106"/>
        <v>1</v>
      </c>
      <c r="AJ16" s="28">
        <f t="shared" si="106"/>
        <v>2</v>
      </c>
      <c r="AM16" s="28">
        <f t="shared" ref="AM16:AP16" si="107">if(AA16&lt;0,1+AM15,0)</f>
        <v>1</v>
      </c>
      <c r="AN16" s="28">
        <f t="shared" si="107"/>
        <v>1</v>
      </c>
      <c r="AO16" s="28">
        <f t="shared" si="107"/>
        <v>0</v>
      </c>
      <c r="AP16" s="28">
        <f t="shared" si="107"/>
        <v>0</v>
      </c>
      <c r="AS16" s="78">
        <f t="shared" ref="AS16:AV16" si="108">if(AA16&gt;0,AA16+AS14,0)</f>
        <v>0</v>
      </c>
      <c r="AT16" s="78">
        <f t="shared" si="108"/>
        <v>0</v>
      </c>
      <c r="AU16" s="251">
        <f t="shared" si="108"/>
        <v>8</v>
      </c>
      <c r="AV16" s="251">
        <f t="shared" si="108"/>
        <v>8</v>
      </c>
      <c r="AY16" s="80">
        <f t="shared" ref="AY16:BB16" si="109">if(AA16&lt;0,AA16+AY14,0)</f>
        <v>-12</v>
      </c>
      <c r="AZ16" s="80">
        <f t="shared" si="109"/>
        <v>-8</v>
      </c>
      <c r="BA16" s="28">
        <f t="shared" si="109"/>
        <v>0</v>
      </c>
      <c r="BB16" s="28">
        <f t="shared" si="109"/>
        <v>0</v>
      </c>
    </row>
    <row r="17">
      <c r="A17" s="250">
        <f t="shared" si="19"/>
        <v>15</v>
      </c>
      <c r="B17" s="250">
        <f t="shared" ref="B17:C17" si="110">B16+10</f>
        <v>-74</v>
      </c>
      <c r="C17" s="250">
        <f t="shared" si="110"/>
        <v>-346</v>
      </c>
      <c r="D17" s="250">
        <f t="shared" ref="D17:E17" si="111">D16-10</f>
        <v>50</v>
      </c>
      <c r="E17" s="250">
        <f t="shared" si="111"/>
        <v>370</v>
      </c>
      <c r="F17" s="248">
        <f t="shared" ref="F17:K17" si="112">R17</f>
        <v>0</v>
      </c>
      <c r="G17" s="249" t="str">
        <f t="shared" si="112"/>
        <v>8 halve</v>
      </c>
      <c r="H17" s="249" t="str">
        <f t="shared" si="112"/>
        <v>Christian</v>
      </c>
      <c r="I17" s="249" t="str">
        <f t="shared" si="112"/>
        <v>Peter</v>
      </c>
      <c r="J17" s="249" t="str">
        <f t="shared" si="112"/>
        <v>Thomas</v>
      </c>
      <c r="K17" s="248" t="str">
        <f t="shared" si="112"/>
        <v>DEL 2</v>
      </c>
      <c r="L17" s="56"/>
      <c r="M17" s="250">
        <f t="shared" si="21"/>
        <v>15</v>
      </c>
      <c r="N17" s="250">
        <f t="shared" ref="N17:O17" si="113">N16+10</f>
        <v>-74</v>
      </c>
      <c r="O17" s="250">
        <f t="shared" si="113"/>
        <v>-346</v>
      </c>
      <c r="P17" s="250">
        <f t="shared" ref="P17:Q17" si="114">P16-10</f>
        <v>50</v>
      </c>
      <c r="Q17" s="250">
        <f t="shared" si="114"/>
        <v>370</v>
      </c>
      <c r="R17" s="250">
        <f t="shared" si="78"/>
        <v>0</v>
      </c>
      <c r="S17" s="247" t="s">
        <v>352</v>
      </c>
      <c r="T17" s="247" t="s">
        <v>10</v>
      </c>
      <c r="U17" s="247" t="s">
        <v>8</v>
      </c>
      <c r="V17" s="247" t="s">
        <v>7</v>
      </c>
      <c r="W17" s="25" t="s">
        <v>455</v>
      </c>
      <c r="X17" s="56"/>
      <c r="AA17" s="80">
        <f t="shared" ref="AA17:AD17" si="115">N17-N16</f>
        <v>10</v>
      </c>
      <c r="AB17" s="80">
        <f t="shared" si="115"/>
        <v>10</v>
      </c>
      <c r="AC17" s="80">
        <f t="shared" si="115"/>
        <v>-10</v>
      </c>
      <c r="AD17" s="80">
        <f t="shared" si="115"/>
        <v>-10</v>
      </c>
      <c r="AG17" s="28">
        <f t="shared" ref="AG17:AJ17" si="116">if(AA17&gt;0,1+AG16,0)</f>
        <v>1</v>
      </c>
      <c r="AH17" s="28">
        <f t="shared" si="116"/>
        <v>1</v>
      </c>
      <c r="AI17" s="28">
        <f t="shared" si="116"/>
        <v>0</v>
      </c>
      <c r="AJ17" s="28">
        <f t="shared" si="116"/>
        <v>0</v>
      </c>
      <c r="AM17" s="28">
        <f t="shared" ref="AM17:AP17" si="117">if(AA17&lt;0,1+AM16,0)</f>
        <v>0</v>
      </c>
      <c r="AN17" s="28">
        <f t="shared" si="117"/>
        <v>0</v>
      </c>
      <c r="AO17" s="28">
        <f t="shared" si="117"/>
        <v>1</v>
      </c>
      <c r="AP17" s="28">
        <f t="shared" si="117"/>
        <v>1</v>
      </c>
      <c r="AS17" s="251">
        <f t="shared" ref="AS17:AV17" si="118">if(AA17&gt;0,AA17+AS15,0)</f>
        <v>34</v>
      </c>
      <c r="AT17" s="251">
        <f t="shared" si="118"/>
        <v>18</v>
      </c>
      <c r="AU17" s="78">
        <f t="shared" si="118"/>
        <v>0</v>
      </c>
      <c r="AV17" s="78">
        <f t="shared" si="118"/>
        <v>0</v>
      </c>
      <c r="AY17" s="28">
        <f t="shared" ref="AY17:BB17" si="119">if(AA17&lt;0,AA17+AY15,0)</f>
        <v>0</v>
      </c>
      <c r="AZ17" s="28">
        <f t="shared" si="119"/>
        <v>0</v>
      </c>
      <c r="BA17" s="80">
        <f t="shared" si="119"/>
        <v>-50</v>
      </c>
      <c r="BB17" s="80">
        <f t="shared" si="119"/>
        <v>-10</v>
      </c>
    </row>
    <row r="18">
      <c r="A18" s="250">
        <f t="shared" si="19"/>
        <v>16</v>
      </c>
      <c r="B18" s="250">
        <f>B17+8</f>
        <v>-66</v>
      </c>
      <c r="C18" s="250">
        <f>C17-24</f>
        <v>-370</v>
      </c>
      <c r="D18" s="250">
        <f t="shared" ref="D18:E18" si="120">D17+8</f>
        <v>58</v>
      </c>
      <c r="E18" s="250">
        <f t="shared" si="120"/>
        <v>378</v>
      </c>
      <c r="F18" s="248">
        <f t="shared" ref="F18:K18" si="121">R18</f>
        <v>0</v>
      </c>
      <c r="G18" s="249" t="str">
        <f t="shared" si="121"/>
        <v>ren sol</v>
      </c>
      <c r="H18" s="249" t="str">
        <f t="shared" si="121"/>
        <v>Peter</v>
      </c>
      <c r="I18" s="249" t="str">
        <f t="shared" si="121"/>
        <v/>
      </c>
      <c r="J18" s="249" t="str">
        <f t="shared" si="121"/>
        <v>Christian</v>
      </c>
      <c r="K18" s="248" t="str">
        <f t="shared" si="121"/>
        <v>DEL 2</v>
      </c>
      <c r="L18" s="56"/>
      <c r="M18" s="250">
        <f t="shared" si="21"/>
        <v>16</v>
      </c>
      <c r="N18" s="250">
        <f>N17+8</f>
        <v>-66</v>
      </c>
      <c r="O18" s="250">
        <f>O17-24</f>
        <v>-370</v>
      </c>
      <c r="P18" s="250">
        <f t="shared" ref="P18:Q18" si="122">P17+8</f>
        <v>58</v>
      </c>
      <c r="Q18" s="250">
        <f t="shared" si="122"/>
        <v>378</v>
      </c>
      <c r="R18" s="250">
        <f t="shared" si="78"/>
        <v>0</v>
      </c>
      <c r="S18" s="247" t="s">
        <v>140</v>
      </c>
      <c r="T18" s="247" t="s">
        <v>8</v>
      </c>
      <c r="U18" s="247"/>
      <c r="V18" s="247" t="s">
        <v>10</v>
      </c>
      <c r="W18" s="25" t="s">
        <v>455</v>
      </c>
      <c r="X18" s="56"/>
      <c r="AA18" s="80">
        <f t="shared" ref="AA18:AD18" si="123">N18-N17</f>
        <v>8</v>
      </c>
      <c r="AB18" s="80">
        <f t="shared" si="123"/>
        <v>-24</v>
      </c>
      <c r="AC18" s="80">
        <f t="shared" si="123"/>
        <v>8</v>
      </c>
      <c r="AD18" s="80">
        <f t="shared" si="123"/>
        <v>8</v>
      </c>
      <c r="AG18" s="28">
        <f t="shared" ref="AG18:AJ18" si="124">if(AA18&gt;0,1+AG17,0)</f>
        <v>2</v>
      </c>
      <c r="AH18" s="28">
        <f t="shared" si="124"/>
        <v>0</v>
      </c>
      <c r="AI18" s="28">
        <f t="shared" si="124"/>
        <v>1</v>
      </c>
      <c r="AJ18" s="28">
        <f t="shared" si="124"/>
        <v>1</v>
      </c>
      <c r="AM18" s="28">
        <f t="shared" ref="AM18:AP18" si="125">if(AA18&lt;0,1+AM17,0)</f>
        <v>0</v>
      </c>
      <c r="AN18" s="28">
        <f t="shared" si="125"/>
        <v>1</v>
      </c>
      <c r="AO18" s="28">
        <f t="shared" si="125"/>
        <v>0</v>
      </c>
      <c r="AP18" s="28">
        <f t="shared" si="125"/>
        <v>0</v>
      </c>
      <c r="AS18" s="251">
        <f t="shared" ref="AS18:AV18" si="126">if(AA18&gt;0,AA18+AS16,0)</f>
        <v>8</v>
      </c>
      <c r="AT18" s="78">
        <f t="shared" si="126"/>
        <v>0</v>
      </c>
      <c r="AU18" s="251">
        <f t="shared" si="126"/>
        <v>16</v>
      </c>
      <c r="AV18" s="251">
        <f t="shared" si="126"/>
        <v>16</v>
      </c>
      <c r="AY18" s="28">
        <f t="shared" ref="AY18:BB18" si="127">if(AA18&lt;0,AA18+AY16,0)</f>
        <v>0</v>
      </c>
      <c r="AZ18" s="80">
        <f t="shared" si="127"/>
        <v>-32</v>
      </c>
      <c r="BA18" s="28">
        <f t="shared" si="127"/>
        <v>0</v>
      </c>
      <c r="BB18" s="28">
        <f t="shared" si="127"/>
        <v>0</v>
      </c>
    </row>
    <row r="19">
      <c r="A19" s="250">
        <f t="shared" si="19"/>
        <v>17</v>
      </c>
      <c r="B19" s="250">
        <f>B18-10</f>
        <v>-76</v>
      </c>
      <c r="C19" s="250">
        <f>C18+10</f>
        <v>-360</v>
      </c>
      <c r="D19" s="250">
        <f>D18-10</f>
        <v>48</v>
      </c>
      <c r="E19" s="250">
        <f>E18+10</f>
        <v>388</v>
      </c>
      <c r="F19" s="248">
        <f t="shared" ref="F19:K19" si="128">R19</f>
        <v>0</v>
      </c>
      <c r="G19" s="249" t="str">
        <f t="shared" si="128"/>
        <v>8 halve</v>
      </c>
      <c r="H19" s="249" t="str">
        <f t="shared" si="128"/>
        <v>Thomas</v>
      </c>
      <c r="I19" s="249" t="str">
        <f t="shared" si="128"/>
        <v>Peter</v>
      </c>
      <c r="J19" s="249" t="str">
        <f t="shared" si="128"/>
        <v>Peter</v>
      </c>
      <c r="K19" s="248" t="str">
        <f t="shared" si="128"/>
        <v>DEL 2</v>
      </c>
      <c r="L19" s="56"/>
      <c r="M19" s="250">
        <f t="shared" si="21"/>
        <v>17</v>
      </c>
      <c r="N19" s="250">
        <f>N18-10</f>
        <v>-76</v>
      </c>
      <c r="O19" s="250">
        <f>O18+10</f>
        <v>-360</v>
      </c>
      <c r="P19" s="250">
        <f>P18-10</f>
        <v>48</v>
      </c>
      <c r="Q19" s="250">
        <f>Q18+10</f>
        <v>388</v>
      </c>
      <c r="R19" s="250">
        <f t="shared" si="78"/>
        <v>0</v>
      </c>
      <c r="S19" s="247" t="s">
        <v>352</v>
      </c>
      <c r="T19" s="247" t="s">
        <v>7</v>
      </c>
      <c r="U19" s="247" t="s">
        <v>8</v>
      </c>
      <c r="V19" s="247" t="s">
        <v>8</v>
      </c>
      <c r="W19" s="25" t="s">
        <v>455</v>
      </c>
      <c r="X19" s="56"/>
      <c r="AA19" s="80">
        <f t="shared" ref="AA19:AD19" si="129">N19-N18</f>
        <v>-10</v>
      </c>
      <c r="AB19" s="80">
        <f t="shared" si="129"/>
        <v>10</v>
      </c>
      <c r="AC19" s="80">
        <f t="shared" si="129"/>
        <v>-10</v>
      </c>
      <c r="AD19" s="80">
        <f t="shared" si="129"/>
        <v>10</v>
      </c>
      <c r="AG19" s="28">
        <f t="shared" ref="AG19:AJ19" si="130">if(AA19&gt;0,1+AG18,0)</f>
        <v>0</v>
      </c>
      <c r="AH19" s="28">
        <f t="shared" si="130"/>
        <v>1</v>
      </c>
      <c r="AI19" s="28">
        <f t="shared" si="130"/>
        <v>0</v>
      </c>
      <c r="AJ19" s="28">
        <f t="shared" si="130"/>
        <v>2</v>
      </c>
      <c r="AM19" s="28">
        <f t="shared" ref="AM19:AP19" si="131">if(AA19&lt;0,1+AM18,0)</f>
        <v>1</v>
      </c>
      <c r="AN19" s="28">
        <f t="shared" si="131"/>
        <v>0</v>
      </c>
      <c r="AO19" s="28">
        <f t="shared" si="131"/>
        <v>1</v>
      </c>
      <c r="AP19" s="28">
        <f t="shared" si="131"/>
        <v>0</v>
      </c>
      <c r="AS19" s="78">
        <f t="shared" ref="AS19:AV19" si="132">if(AA19&gt;0,AA19+AS17,0)</f>
        <v>0</v>
      </c>
      <c r="AT19" s="251">
        <f t="shared" si="132"/>
        <v>28</v>
      </c>
      <c r="AU19" s="78">
        <f t="shared" si="132"/>
        <v>0</v>
      </c>
      <c r="AV19" s="251">
        <f t="shared" si="132"/>
        <v>10</v>
      </c>
      <c r="AY19" s="80">
        <f t="shared" ref="AY19:BB19" si="133">if(AA19&lt;0,AA19+AY17,0)</f>
        <v>-10</v>
      </c>
      <c r="AZ19" s="28">
        <f t="shared" si="133"/>
        <v>0</v>
      </c>
      <c r="BA19" s="80">
        <f t="shared" si="133"/>
        <v>-60</v>
      </c>
      <c r="BB19" s="28">
        <f t="shared" si="133"/>
        <v>0</v>
      </c>
    </row>
    <row r="20">
      <c r="A20" s="262">
        <f t="shared" si="19"/>
        <v>18</v>
      </c>
      <c r="B20" s="262">
        <f>B19+6*32</f>
        <v>116</v>
      </c>
      <c r="C20" s="262">
        <f>C19-6*32</f>
        <v>-552</v>
      </c>
      <c r="D20" s="262">
        <f>D19+6*32</f>
        <v>240</v>
      </c>
      <c r="E20" s="262">
        <f>E19-6*32</f>
        <v>196</v>
      </c>
      <c r="F20" s="263">
        <f t="shared" ref="F20:K20" si="134">R20</f>
        <v>0</v>
      </c>
      <c r="G20" s="264" t="str">
        <f t="shared" si="134"/>
        <v>9 vip 3 - gode</v>
      </c>
      <c r="H20" s="264" t="str">
        <f t="shared" si="134"/>
        <v>Janus</v>
      </c>
      <c r="I20" s="264" t="str">
        <f t="shared" si="134"/>
        <v>Christian</v>
      </c>
      <c r="J20" s="249" t="str">
        <f t="shared" si="134"/>
        <v>Janus</v>
      </c>
      <c r="K20" s="248" t="str">
        <f t="shared" si="134"/>
        <v>DEL 2</v>
      </c>
      <c r="L20" s="56"/>
      <c r="M20" s="250">
        <f t="shared" si="21"/>
        <v>18</v>
      </c>
      <c r="N20" s="250">
        <f>N19+6*32</f>
        <v>116</v>
      </c>
      <c r="O20" s="250">
        <f>O19-6*32</f>
        <v>-552</v>
      </c>
      <c r="P20" s="250">
        <f>P19+6*32</f>
        <v>240</v>
      </c>
      <c r="Q20" s="250">
        <f>Q19-6*32</f>
        <v>196</v>
      </c>
      <c r="R20" s="250">
        <f t="shared" si="78"/>
        <v>0</v>
      </c>
      <c r="S20" s="247" t="s">
        <v>418</v>
      </c>
      <c r="T20" s="247" t="s">
        <v>9</v>
      </c>
      <c r="U20" s="247" t="s">
        <v>10</v>
      </c>
      <c r="V20" s="247" t="s">
        <v>9</v>
      </c>
      <c r="W20" s="25" t="s">
        <v>455</v>
      </c>
      <c r="X20" s="56"/>
      <c r="AA20" s="80">
        <f t="shared" ref="AA20:AD20" si="135">N20-N19</f>
        <v>192</v>
      </c>
      <c r="AB20" s="80">
        <f t="shared" si="135"/>
        <v>-192</v>
      </c>
      <c r="AC20" s="80">
        <f t="shared" si="135"/>
        <v>192</v>
      </c>
      <c r="AD20" s="80">
        <f t="shared" si="135"/>
        <v>-192</v>
      </c>
      <c r="AF20" s="25" t="s">
        <v>456</v>
      </c>
      <c r="AG20" s="28">
        <f t="shared" ref="AG20:AJ20" si="136">if(AA20&gt;0,1+AG19,0)</f>
        <v>1</v>
      </c>
      <c r="AH20" s="28">
        <f t="shared" si="136"/>
        <v>0</v>
      </c>
      <c r="AI20" s="28">
        <f t="shared" si="136"/>
        <v>1</v>
      </c>
      <c r="AJ20" s="28">
        <f t="shared" si="136"/>
        <v>0</v>
      </c>
      <c r="AM20" s="28">
        <f t="shared" ref="AM20:AP20" si="137">if(AA20&lt;0,1+AM19,0)</f>
        <v>0</v>
      </c>
      <c r="AN20" s="28">
        <f t="shared" si="137"/>
        <v>1</v>
      </c>
      <c r="AO20" s="28">
        <f t="shared" si="137"/>
        <v>0</v>
      </c>
      <c r="AP20" s="28">
        <f t="shared" si="137"/>
        <v>1</v>
      </c>
      <c r="AS20" s="251">
        <f t="shared" ref="AS20:AV20" si="138">if(AA20&gt;0,AA20+AS18,0)</f>
        <v>200</v>
      </c>
      <c r="AT20" s="78">
        <f t="shared" si="138"/>
        <v>0</v>
      </c>
      <c r="AU20" s="251">
        <f t="shared" si="138"/>
        <v>208</v>
      </c>
      <c r="AV20" s="78">
        <f t="shared" si="138"/>
        <v>0</v>
      </c>
      <c r="AY20" s="28">
        <f t="shared" ref="AY20:BB20" si="139">if(AA20&lt;0,AA20+AY18,0)</f>
        <v>0</v>
      </c>
      <c r="AZ20" s="80">
        <f t="shared" si="139"/>
        <v>-224</v>
      </c>
      <c r="BA20" s="28">
        <f t="shared" si="139"/>
        <v>0</v>
      </c>
      <c r="BB20" s="80">
        <f t="shared" si="139"/>
        <v>-192</v>
      </c>
    </row>
    <row r="21">
      <c r="A21" s="250">
        <f t="shared" si="19"/>
        <v>19</v>
      </c>
      <c r="B21" s="250">
        <f t="shared" ref="B21:D21" si="140">B20-32</f>
        <v>84</v>
      </c>
      <c r="C21" s="250">
        <f t="shared" si="140"/>
        <v>-584</v>
      </c>
      <c r="D21" s="250">
        <f t="shared" si="140"/>
        <v>208</v>
      </c>
      <c r="E21" s="250">
        <f>E20+96</f>
        <v>292</v>
      </c>
      <c r="F21" s="248">
        <f t="shared" ref="F21:K21" si="141">R21</f>
        <v>0</v>
      </c>
      <c r="G21" s="249" t="str">
        <f t="shared" si="141"/>
        <v>9 vip i 2 - selvmakker - gode es</v>
      </c>
      <c r="H21" s="249" t="str">
        <f t="shared" si="141"/>
        <v>Thomas</v>
      </c>
      <c r="I21" s="249" t="str">
        <f t="shared" si="141"/>
        <v/>
      </c>
      <c r="J21" s="249" t="str">
        <f t="shared" si="141"/>
        <v>Thomas</v>
      </c>
      <c r="K21" s="248" t="str">
        <f t="shared" si="141"/>
        <v>DEL 2</v>
      </c>
      <c r="L21" s="56"/>
      <c r="M21" s="250">
        <f t="shared" si="21"/>
        <v>19</v>
      </c>
      <c r="N21" s="250">
        <f t="shared" ref="N21:P21" si="142">N20-32</f>
        <v>84</v>
      </c>
      <c r="O21" s="250">
        <f t="shared" si="142"/>
        <v>-584</v>
      </c>
      <c r="P21" s="250">
        <f t="shared" si="142"/>
        <v>208</v>
      </c>
      <c r="Q21" s="250">
        <f>Q20+96</f>
        <v>292</v>
      </c>
      <c r="R21" s="250">
        <f t="shared" si="78"/>
        <v>0</v>
      </c>
      <c r="S21" s="247" t="s">
        <v>419</v>
      </c>
      <c r="T21" s="247" t="s">
        <v>7</v>
      </c>
      <c r="U21" s="247"/>
      <c r="V21" s="247" t="s">
        <v>7</v>
      </c>
      <c r="W21" s="25" t="s">
        <v>455</v>
      </c>
      <c r="X21" s="56"/>
      <c r="AA21" s="80">
        <f t="shared" ref="AA21:AD21" si="143">N21-N20</f>
        <v>-32</v>
      </c>
      <c r="AB21" s="80">
        <f t="shared" si="143"/>
        <v>-32</v>
      </c>
      <c r="AC21" s="80">
        <f t="shared" si="143"/>
        <v>-32</v>
      </c>
      <c r="AD21" s="80">
        <f t="shared" si="143"/>
        <v>96</v>
      </c>
      <c r="AG21" s="28">
        <f t="shared" ref="AG21:AJ21" si="144">if(AA21&gt;0,1+AG20,0)</f>
        <v>0</v>
      </c>
      <c r="AH21" s="28">
        <f t="shared" si="144"/>
        <v>0</v>
      </c>
      <c r="AI21" s="28">
        <f t="shared" si="144"/>
        <v>0</v>
      </c>
      <c r="AJ21" s="28">
        <f t="shared" si="144"/>
        <v>1</v>
      </c>
      <c r="AM21" s="28">
        <f t="shared" ref="AM21:AP21" si="145">if(AA21&lt;0,1+AM20,0)</f>
        <v>1</v>
      </c>
      <c r="AN21" s="28">
        <f t="shared" si="145"/>
        <v>2</v>
      </c>
      <c r="AO21" s="28">
        <f t="shared" si="145"/>
        <v>1</v>
      </c>
      <c r="AP21" s="28">
        <f t="shared" si="145"/>
        <v>0</v>
      </c>
      <c r="AS21" s="78">
        <f t="shared" ref="AS21:AV21" si="146">if(AA21&gt;0,AA21+AS19,0)</f>
        <v>0</v>
      </c>
      <c r="AT21" s="78">
        <f t="shared" si="146"/>
        <v>0</v>
      </c>
      <c r="AU21" s="78">
        <f t="shared" si="146"/>
        <v>0</v>
      </c>
      <c r="AV21" s="251">
        <f t="shared" si="146"/>
        <v>106</v>
      </c>
      <c r="AY21" s="80">
        <f t="shared" ref="AY21:BB21" si="147">if(AA21&lt;0,AA21+AY19,0)</f>
        <v>-42</v>
      </c>
      <c r="AZ21" s="80">
        <f t="shared" si="147"/>
        <v>-32</v>
      </c>
      <c r="BA21" s="80">
        <f t="shared" si="147"/>
        <v>-92</v>
      </c>
      <c r="BB21" s="28">
        <f t="shared" si="147"/>
        <v>0</v>
      </c>
    </row>
    <row r="22">
      <c r="A22" s="250">
        <f t="shared" si="19"/>
        <v>20</v>
      </c>
      <c r="B22" s="250">
        <f t="shared" ref="B22:C22" si="148">B21+4</f>
        <v>88</v>
      </c>
      <c r="C22" s="250">
        <f t="shared" si="148"/>
        <v>-580</v>
      </c>
      <c r="D22" s="250">
        <f t="shared" ref="D22:E22" si="149">D21-4</f>
        <v>204</v>
      </c>
      <c r="E22" s="250">
        <f t="shared" si="149"/>
        <v>288</v>
      </c>
      <c r="F22" s="248">
        <f t="shared" ref="F22:K22" si="150">R22</f>
        <v>0</v>
      </c>
      <c r="G22" s="249" t="str">
        <f t="shared" si="150"/>
        <v>9 alm</v>
      </c>
      <c r="H22" s="249" t="str">
        <f t="shared" si="150"/>
        <v>Peter</v>
      </c>
      <c r="I22" s="249" t="str">
        <f t="shared" si="150"/>
        <v>Christian</v>
      </c>
      <c r="J22" s="249" t="str">
        <f t="shared" si="150"/>
        <v>Christian</v>
      </c>
      <c r="K22" s="248" t="str">
        <f t="shared" si="150"/>
        <v>DEL 2</v>
      </c>
      <c r="L22" s="56"/>
      <c r="M22" s="250">
        <f t="shared" si="21"/>
        <v>20</v>
      </c>
      <c r="N22" s="250">
        <f t="shared" ref="N22:O22" si="151">N21+4</f>
        <v>88</v>
      </c>
      <c r="O22" s="250">
        <f t="shared" si="151"/>
        <v>-580</v>
      </c>
      <c r="P22" s="250">
        <f t="shared" ref="P22:Q22" si="152">P21-4</f>
        <v>204</v>
      </c>
      <c r="Q22" s="250">
        <f t="shared" si="152"/>
        <v>288</v>
      </c>
      <c r="R22" s="250">
        <f t="shared" si="78"/>
        <v>0</v>
      </c>
      <c r="S22" s="247" t="s">
        <v>345</v>
      </c>
      <c r="T22" s="247" t="s">
        <v>8</v>
      </c>
      <c r="U22" s="247" t="s">
        <v>10</v>
      </c>
      <c r="V22" s="247" t="s">
        <v>10</v>
      </c>
      <c r="W22" s="25" t="s">
        <v>455</v>
      </c>
      <c r="X22" s="56"/>
      <c r="AA22" s="80">
        <f t="shared" ref="AA22:AD22" si="153">N22-N21</f>
        <v>4</v>
      </c>
      <c r="AB22" s="80">
        <f t="shared" si="153"/>
        <v>4</v>
      </c>
      <c r="AC22" s="80">
        <f t="shared" si="153"/>
        <v>-4</v>
      </c>
      <c r="AD22" s="80">
        <f t="shared" si="153"/>
        <v>-4</v>
      </c>
      <c r="AG22" s="28">
        <f t="shared" ref="AG22:AJ22" si="154">if(AA22&gt;0,1+AG21,0)</f>
        <v>1</v>
      </c>
      <c r="AH22" s="28">
        <f t="shared" si="154"/>
        <v>1</v>
      </c>
      <c r="AI22" s="28">
        <f t="shared" si="154"/>
        <v>0</v>
      </c>
      <c r="AJ22" s="28">
        <f t="shared" si="154"/>
        <v>0</v>
      </c>
      <c r="AM22" s="28">
        <f t="shared" ref="AM22:AP22" si="155">if(AA22&lt;0,1+AM21,0)</f>
        <v>0</v>
      </c>
      <c r="AN22" s="28">
        <f t="shared" si="155"/>
        <v>0</v>
      </c>
      <c r="AO22" s="28">
        <f t="shared" si="155"/>
        <v>2</v>
      </c>
      <c r="AP22" s="28">
        <f t="shared" si="155"/>
        <v>1</v>
      </c>
      <c r="AS22" s="251">
        <f t="shared" ref="AS22:AV22" si="156">if(AA22&gt;0,AA22+AS20,0)</f>
        <v>204</v>
      </c>
      <c r="AT22" s="251">
        <f t="shared" si="156"/>
        <v>4</v>
      </c>
      <c r="AU22" s="78">
        <f t="shared" si="156"/>
        <v>0</v>
      </c>
      <c r="AV22" s="78">
        <f t="shared" si="156"/>
        <v>0</v>
      </c>
      <c r="AY22" s="28">
        <f t="shared" ref="AY22:BB22" si="157">if(AA22&lt;0,AA22+AY20,0)</f>
        <v>0</v>
      </c>
      <c r="AZ22" s="28">
        <f t="shared" si="157"/>
        <v>0</v>
      </c>
      <c r="BA22" s="80">
        <f t="shared" si="157"/>
        <v>-4</v>
      </c>
      <c r="BB22" s="80">
        <f t="shared" si="157"/>
        <v>-196</v>
      </c>
    </row>
    <row r="23">
      <c r="A23" s="250">
        <f t="shared" si="19"/>
        <v>21</v>
      </c>
      <c r="B23" s="250">
        <f t="shared" ref="B23:C23" si="158">B22+16</f>
        <v>104</v>
      </c>
      <c r="C23" s="250">
        <f t="shared" si="158"/>
        <v>-564</v>
      </c>
      <c r="D23" s="250">
        <f t="shared" ref="D23:E23" si="159">D22-16</f>
        <v>188</v>
      </c>
      <c r="E23" s="250">
        <f t="shared" si="159"/>
        <v>272</v>
      </c>
      <c r="F23" s="248">
        <f t="shared" ref="F23:K23" si="160">R23</f>
        <v>0</v>
      </c>
      <c r="G23" s="249" t="str">
        <f t="shared" si="160"/>
        <v>9 vip i 2 - hjerte</v>
      </c>
      <c r="H23" s="249" t="str">
        <f t="shared" si="160"/>
        <v>Thomas</v>
      </c>
      <c r="I23" s="249" t="str">
        <f t="shared" si="160"/>
        <v>Janus</v>
      </c>
      <c r="J23" s="249" t="str">
        <f t="shared" si="160"/>
        <v>Peter</v>
      </c>
      <c r="K23" s="248" t="str">
        <f t="shared" si="160"/>
        <v>DEL 2</v>
      </c>
      <c r="L23" s="56"/>
      <c r="M23" s="250">
        <f t="shared" si="21"/>
        <v>21</v>
      </c>
      <c r="N23" s="250">
        <f t="shared" ref="N23:O23" si="161">N22+16</f>
        <v>104</v>
      </c>
      <c r="O23" s="250">
        <f t="shared" si="161"/>
        <v>-564</v>
      </c>
      <c r="P23" s="250">
        <f t="shared" ref="P23:Q23" si="162">P22-16</f>
        <v>188</v>
      </c>
      <c r="Q23" s="250">
        <f t="shared" si="162"/>
        <v>272</v>
      </c>
      <c r="R23" s="250">
        <f t="shared" si="78"/>
        <v>0</v>
      </c>
      <c r="S23" s="247" t="s">
        <v>414</v>
      </c>
      <c r="T23" s="247" t="s">
        <v>7</v>
      </c>
      <c r="U23" s="247" t="s">
        <v>9</v>
      </c>
      <c r="V23" s="247" t="s">
        <v>8</v>
      </c>
      <c r="W23" s="25" t="s">
        <v>455</v>
      </c>
      <c r="X23" s="56"/>
      <c r="AA23" s="80">
        <f t="shared" ref="AA23:AD23" si="163">N23-N22</f>
        <v>16</v>
      </c>
      <c r="AB23" s="80">
        <f t="shared" si="163"/>
        <v>16</v>
      </c>
      <c r="AC23" s="80">
        <f t="shared" si="163"/>
        <v>-16</v>
      </c>
      <c r="AD23" s="80">
        <f t="shared" si="163"/>
        <v>-16</v>
      </c>
      <c r="AG23" s="28">
        <f t="shared" ref="AG23:AJ23" si="164">if(AA23&gt;0,1+AG22,0)</f>
        <v>2</v>
      </c>
      <c r="AH23" s="28">
        <f t="shared" si="164"/>
        <v>2</v>
      </c>
      <c r="AI23" s="28">
        <f t="shared" si="164"/>
        <v>0</v>
      </c>
      <c r="AJ23" s="28">
        <f t="shared" si="164"/>
        <v>0</v>
      </c>
      <c r="AM23" s="28">
        <f t="shared" ref="AM23:AP23" si="165">if(AA23&lt;0,1+AM22,0)</f>
        <v>0</v>
      </c>
      <c r="AN23" s="28">
        <f t="shared" si="165"/>
        <v>0</v>
      </c>
      <c r="AO23" s="28">
        <f t="shared" si="165"/>
        <v>3</v>
      </c>
      <c r="AP23" s="28">
        <f t="shared" si="165"/>
        <v>2</v>
      </c>
      <c r="AS23" s="251">
        <f t="shared" ref="AS23:AV23" si="166">if(AA23&gt;0,AA23+AS21,0)</f>
        <v>16</v>
      </c>
      <c r="AT23" s="251">
        <f t="shared" si="166"/>
        <v>16</v>
      </c>
      <c r="AU23" s="78">
        <f t="shared" si="166"/>
        <v>0</v>
      </c>
      <c r="AV23" s="78">
        <f t="shared" si="166"/>
        <v>0</v>
      </c>
      <c r="AY23" s="28">
        <f t="shared" ref="AY23:BB23" si="167">if(AA23&lt;0,AA23+AY21,0)</f>
        <v>0</v>
      </c>
      <c r="AZ23" s="28">
        <f t="shared" si="167"/>
        <v>0</v>
      </c>
      <c r="BA23" s="80">
        <f t="shared" si="167"/>
        <v>-108</v>
      </c>
      <c r="BB23" s="80">
        <f t="shared" si="167"/>
        <v>-16</v>
      </c>
    </row>
    <row r="24">
      <c r="A24" s="250">
        <f t="shared" si="19"/>
        <v>22</v>
      </c>
      <c r="B24" s="250">
        <f t="shared" ref="B24:C24" si="168">B23-4</f>
        <v>100</v>
      </c>
      <c r="C24" s="250">
        <f t="shared" si="168"/>
        <v>-568</v>
      </c>
      <c r="D24" s="250">
        <f>D23+12</f>
        <v>200</v>
      </c>
      <c r="E24" s="250">
        <f>E23-4</f>
        <v>268</v>
      </c>
      <c r="F24" s="248">
        <f t="shared" ref="F24:K24" si="169">R24</f>
        <v>0</v>
      </c>
      <c r="G24" s="249" t="str">
        <f t="shared" si="169"/>
        <v>sol</v>
      </c>
      <c r="H24" s="249" t="str">
        <f t="shared" si="169"/>
        <v/>
      </c>
      <c r="I24" s="249" t="str">
        <f t="shared" si="169"/>
        <v/>
      </c>
      <c r="J24" s="249" t="str">
        <f t="shared" si="169"/>
        <v>Janus</v>
      </c>
      <c r="K24" s="248" t="str">
        <f t="shared" si="169"/>
        <v>DEL 2</v>
      </c>
      <c r="L24" s="56"/>
      <c r="M24" s="250">
        <f t="shared" si="21"/>
        <v>22</v>
      </c>
      <c r="N24" s="250">
        <f t="shared" ref="N24:O24" si="170">N23-4</f>
        <v>100</v>
      </c>
      <c r="O24" s="250">
        <f t="shared" si="170"/>
        <v>-568</v>
      </c>
      <c r="P24" s="250">
        <f>P23+12</f>
        <v>200</v>
      </c>
      <c r="Q24" s="250">
        <f>Q23-4</f>
        <v>268</v>
      </c>
      <c r="R24" s="250">
        <f t="shared" si="78"/>
        <v>0</v>
      </c>
      <c r="S24" s="247" t="s">
        <v>139</v>
      </c>
      <c r="T24" s="247"/>
      <c r="U24" s="247"/>
      <c r="V24" s="247" t="s">
        <v>9</v>
      </c>
      <c r="W24" s="25" t="s">
        <v>455</v>
      </c>
      <c r="X24" s="56"/>
      <c r="AA24" s="80">
        <f t="shared" ref="AA24:AD24" si="171">N24-N23</f>
        <v>-4</v>
      </c>
      <c r="AB24" s="80">
        <f t="shared" si="171"/>
        <v>-4</v>
      </c>
      <c r="AC24" s="80">
        <f t="shared" si="171"/>
        <v>12</v>
      </c>
      <c r="AD24" s="80">
        <f t="shared" si="171"/>
        <v>-4</v>
      </c>
      <c r="AG24" s="28">
        <f t="shared" ref="AG24:AJ24" si="172">if(AA24&gt;0,1+AG23,0)</f>
        <v>0</v>
      </c>
      <c r="AH24" s="28">
        <f t="shared" si="172"/>
        <v>0</v>
      </c>
      <c r="AI24" s="28">
        <f t="shared" si="172"/>
        <v>1</v>
      </c>
      <c r="AJ24" s="28">
        <f t="shared" si="172"/>
        <v>0</v>
      </c>
      <c r="AM24" s="28">
        <f t="shared" ref="AM24:AP24" si="173">if(AA24&lt;0,1+AM23,0)</f>
        <v>1</v>
      </c>
      <c r="AN24" s="28">
        <f t="shared" si="173"/>
        <v>1</v>
      </c>
      <c r="AO24" s="28">
        <f t="shared" si="173"/>
        <v>0</v>
      </c>
      <c r="AP24" s="28">
        <f t="shared" si="173"/>
        <v>3</v>
      </c>
      <c r="AS24" s="78">
        <f t="shared" ref="AS24:AV24" si="174">if(AA24&gt;0,AA24+AS22,0)</f>
        <v>0</v>
      </c>
      <c r="AT24" s="78">
        <f t="shared" si="174"/>
        <v>0</v>
      </c>
      <c r="AU24" s="251">
        <f t="shared" si="174"/>
        <v>12</v>
      </c>
      <c r="AV24" s="78">
        <f t="shared" si="174"/>
        <v>0</v>
      </c>
      <c r="AY24" s="80">
        <f t="shared" ref="AY24:BB24" si="175">if(AA24&lt;0,AA24+AY22,0)</f>
        <v>-4</v>
      </c>
      <c r="AZ24" s="80">
        <f t="shared" si="175"/>
        <v>-4</v>
      </c>
      <c r="BA24" s="28">
        <f t="shared" si="175"/>
        <v>0</v>
      </c>
      <c r="BB24" s="80">
        <f t="shared" si="175"/>
        <v>-200</v>
      </c>
    </row>
    <row r="25">
      <c r="A25" s="250">
        <f t="shared" si="19"/>
        <v>23</v>
      </c>
      <c r="B25" s="250">
        <f>B24+12</f>
        <v>112</v>
      </c>
      <c r="C25" s="250">
        <f t="shared" ref="C25:D25" si="176">C24-12</f>
        <v>-580</v>
      </c>
      <c r="D25" s="250">
        <f t="shared" si="176"/>
        <v>188</v>
      </c>
      <c r="E25" s="250">
        <f>E24+12</f>
        <v>280</v>
      </c>
      <c r="F25" s="248">
        <f t="shared" ref="F25:K25" si="177">R25</f>
        <v>0</v>
      </c>
      <c r="G25" s="249" t="str">
        <f t="shared" si="177"/>
        <v>10 alm</v>
      </c>
      <c r="H25" s="249" t="str">
        <f t="shared" si="177"/>
        <v/>
      </c>
      <c r="I25" s="249" t="str">
        <f t="shared" si="177"/>
        <v/>
      </c>
      <c r="J25" s="249" t="str">
        <f t="shared" si="177"/>
        <v>Thomas</v>
      </c>
      <c r="K25" s="248" t="str">
        <f t="shared" si="177"/>
        <v>DEL 2</v>
      </c>
      <c r="L25" s="56"/>
      <c r="M25" s="250">
        <f t="shared" si="21"/>
        <v>23</v>
      </c>
      <c r="N25" s="250">
        <f>N24+12</f>
        <v>112</v>
      </c>
      <c r="O25" s="250">
        <f t="shared" ref="O25:P25" si="178">O24-12</f>
        <v>-580</v>
      </c>
      <c r="P25" s="250">
        <f t="shared" si="178"/>
        <v>188</v>
      </c>
      <c r="Q25" s="250">
        <f>Q24+12</f>
        <v>280</v>
      </c>
      <c r="R25" s="250">
        <f t="shared" si="78"/>
        <v>0</v>
      </c>
      <c r="S25" s="247" t="s">
        <v>314</v>
      </c>
      <c r="T25" s="247"/>
      <c r="U25" s="247"/>
      <c r="V25" s="247" t="s">
        <v>7</v>
      </c>
      <c r="W25" s="25" t="s">
        <v>455</v>
      </c>
      <c r="X25" s="56"/>
      <c r="AA25" s="80">
        <f t="shared" ref="AA25:AD25" si="179">N25-N24</f>
        <v>12</v>
      </c>
      <c r="AB25" s="80">
        <f t="shared" si="179"/>
        <v>-12</v>
      </c>
      <c r="AC25" s="80">
        <f t="shared" si="179"/>
        <v>-12</v>
      </c>
      <c r="AD25" s="80">
        <f t="shared" si="179"/>
        <v>12</v>
      </c>
      <c r="AG25" s="28">
        <f t="shared" ref="AG25:AJ25" si="180">if(AA25&gt;0,1+AG24,0)</f>
        <v>1</v>
      </c>
      <c r="AH25" s="28">
        <f t="shared" si="180"/>
        <v>0</v>
      </c>
      <c r="AI25" s="28">
        <f t="shared" si="180"/>
        <v>0</v>
      </c>
      <c r="AJ25" s="28">
        <f t="shared" si="180"/>
        <v>1</v>
      </c>
      <c r="AM25" s="28">
        <f t="shared" ref="AM25:AP25" si="181">if(AA25&lt;0,1+AM24,0)</f>
        <v>0</v>
      </c>
      <c r="AN25" s="28">
        <f t="shared" si="181"/>
        <v>2</v>
      </c>
      <c r="AO25" s="28">
        <f t="shared" si="181"/>
        <v>1</v>
      </c>
      <c r="AP25" s="28">
        <f t="shared" si="181"/>
        <v>0</v>
      </c>
      <c r="AS25" s="251">
        <f t="shared" ref="AS25:AV25" si="182">if(AA25&gt;0,AA25+AS23,0)</f>
        <v>28</v>
      </c>
      <c r="AT25" s="78">
        <f t="shared" si="182"/>
        <v>0</v>
      </c>
      <c r="AU25" s="78">
        <f t="shared" si="182"/>
        <v>0</v>
      </c>
      <c r="AV25" s="251">
        <f t="shared" si="182"/>
        <v>12</v>
      </c>
      <c r="AY25" s="28">
        <f t="shared" ref="AY25:BB25" si="183">if(AA25&lt;0,AA25+AY23,0)</f>
        <v>0</v>
      </c>
      <c r="AZ25" s="80">
        <f t="shared" si="183"/>
        <v>-12</v>
      </c>
      <c r="BA25" s="80">
        <f t="shared" si="183"/>
        <v>-120</v>
      </c>
      <c r="BB25" s="28">
        <f t="shared" si="183"/>
        <v>0</v>
      </c>
    </row>
    <row r="26">
      <c r="A26" s="250">
        <f t="shared" si="19"/>
        <v>24</v>
      </c>
      <c r="B26" s="250">
        <f t="shared" ref="B26:C26" si="184">B25-8</f>
        <v>104</v>
      </c>
      <c r="C26" s="250">
        <f t="shared" si="184"/>
        <v>-588</v>
      </c>
      <c r="D26" s="250">
        <f t="shared" ref="D26:E26" si="185">D25+8</f>
        <v>196</v>
      </c>
      <c r="E26" s="250">
        <f t="shared" si="185"/>
        <v>288</v>
      </c>
      <c r="F26" s="248">
        <f t="shared" ref="F26:K26" si="186">R26</f>
        <v>0</v>
      </c>
      <c r="G26" s="249" t="str">
        <f t="shared" si="186"/>
        <v>9 vip 1 - sol</v>
      </c>
      <c r="H26" s="249" t="str">
        <f t="shared" si="186"/>
        <v/>
      </c>
      <c r="I26" s="249" t="str">
        <f t="shared" si="186"/>
        <v/>
      </c>
      <c r="J26" s="249" t="str">
        <f t="shared" si="186"/>
        <v>Christian</v>
      </c>
      <c r="K26" s="248" t="str">
        <f t="shared" si="186"/>
        <v>DEL 2</v>
      </c>
      <c r="L26" s="56"/>
      <c r="M26" s="250">
        <f t="shared" si="21"/>
        <v>24</v>
      </c>
      <c r="N26" s="250">
        <f t="shared" ref="N26:O26" si="187">N25-8</f>
        <v>104</v>
      </c>
      <c r="O26" s="250">
        <f t="shared" si="187"/>
        <v>-588</v>
      </c>
      <c r="P26" s="250">
        <f t="shared" ref="P26:Q26" si="188">P25+8</f>
        <v>196</v>
      </c>
      <c r="Q26" s="250">
        <f t="shared" si="188"/>
        <v>288</v>
      </c>
      <c r="R26" s="250">
        <f t="shared" si="78"/>
        <v>0</v>
      </c>
      <c r="S26" s="247" t="s">
        <v>420</v>
      </c>
      <c r="T26" s="247"/>
      <c r="U26" s="247"/>
      <c r="V26" s="247" t="s">
        <v>10</v>
      </c>
      <c r="W26" s="25" t="s">
        <v>455</v>
      </c>
      <c r="X26" s="56"/>
      <c r="AA26" s="80">
        <f t="shared" ref="AA26:AD26" si="189">N26-N25</f>
        <v>-8</v>
      </c>
      <c r="AB26" s="80">
        <f t="shared" si="189"/>
        <v>-8</v>
      </c>
      <c r="AC26" s="80">
        <f t="shared" si="189"/>
        <v>8</v>
      </c>
      <c r="AD26" s="80">
        <f t="shared" si="189"/>
        <v>8</v>
      </c>
      <c r="AG26" s="28">
        <f t="shared" ref="AG26:AJ26" si="190">if(AA26&gt;0,1+AG25,0)</f>
        <v>0</v>
      </c>
      <c r="AH26" s="28">
        <f t="shared" si="190"/>
        <v>0</v>
      </c>
      <c r="AI26" s="28">
        <f t="shared" si="190"/>
        <v>1</v>
      </c>
      <c r="AJ26" s="28">
        <f t="shared" si="190"/>
        <v>2</v>
      </c>
      <c r="AM26" s="28">
        <f t="shared" ref="AM26:AP26" si="191">if(AA26&lt;0,1+AM25,0)</f>
        <v>1</v>
      </c>
      <c r="AN26" s="28">
        <f t="shared" si="191"/>
        <v>3</v>
      </c>
      <c r="AO26" s="28">
        <f t="shared" si="191"/>
        <v>0</v>
      </c>
      <c r="AP26" s="28">
        <f t="shared" si="191"/>
        <v>0</v>
      </c>
      <c r="AS26" s="78">
        <f t="shared" ref="AS26:AV26" si="192">if(AA26&gt;0,AA26+AS24,0)</f>
        <v>0</v>
      </c>
      <c r="AT26" s="78">
        <f t="shared" si="192"/>
        <v>0</v>
      </c>
      <c r="AU26" s="251">
        <f t="shared" si="192"/>
        <v>20</v>
      </c>
      <c r="AV26" s="251">
        <f t="shared" si="192"/>
        <v>8</v>
      </c>
      <c r="AY26" s="80">
        <f t="shared" ref="AY26:BB26" si="193">if(AA26&lt;0,AA26+AY24,0)</f>
        <v>-12</v>
      </c>
      <c r="AZ26" s="80">
        <f t="shared" si="193"/>
        <v>-12</v>
      </c>
      <c r="BA26" s="28">
        <f t="shared" si="193"/>
        <v>0</v>
      </c>
      <c r="BB26" s="28">
        <f t="shared" si="193"/>
        <v>0</v>
      </c>
    </row>
    <row r="27">
      <c r="A27" s="256">
        <f t="shared" si="19"/>
        <v>25</v>
      </c>
      <c r="B27" s="256">
        <f>B26+8</f>
        <v>112</v>
      </c>
      <c r="C27" s="256">
        <f>C26-8</f>
        <v>-596</v>
      </c>
      <c r="D27" s="256">
        <f>D26+8</f>
        <v>204</v>
      </c>
      <c r="E27" s="256">
        <f>E26-8</f>
        <v>280</v>
      </c>
      <c r="F27" s="265">
        <f t="shared" ref="F27:K27" si="194">R27</f>
        <v>0</v>
      </c>
      <c r="G27" s="266" t="str">
        <f t="shared" si="194"/>
        <v>Sans</v>
      </c>
      <c r="H27" s="266" t="str">
        <f t="shared" si="194"/>
        <v>Peter</v>
      </c>
      <c r="I27" s="266" t="str">
        <f t="shared" si="194"/>
        <v>Thomas</v>
      </c>
      <c r="J27" s="266" t="str">
        <f t="shared" si="194"/>
        <v>Peter</v>
      </c>
      <c r="K27" s="265" t="str">
        <f t="shared" si="194"/>
        <v>DEL 2</v>
      </c>
      <c r="L27" s="255"/>
      <c r="M27" s="256">
        <f t="shared" si="21"/>
        <v>25</v>
      </c>
      <c r="N27" s="256">
        <f>N26+8</f>
        <v>112</v>
      </c>
      <c r="O27" s="256">
        <f>O26-8</f>
        <v>-596</v>
      </c>
      <c r="P27" s="256">
        <f>P26+8</f>
        <v>204</v>
      </c>
      <c r="Q27" s="256">
        <f>Q26-8</f>
        <v>280</v>
      </c>
      <c r="R27" s="256">
        <f t="shared" si="78"/>
        <v>0</v>
      </c>
      <c r="S27" s="267" t="s">
        <v>98</v>
      </c>
      <c r="T27" s="267" t="s">
        <v>8</v>
      </c>
      <c r="U27" s="267" t="s">
        <v>7</v>
      </c>
      <c r="V27" s="267" t="s">
        <v>8</v>
      </c>
      <c r="W27" s="259" t="s">
        <v>455</v>
      </c>
      <c r="X27" s="255"/>
      <c r="Y27" s="100"/>
      <c r="Z27" s="100"/>
      <c r="AA27" s="268">
        <f t="shared" ref="AA27:AD27" si="195">N27-N26</f>
        <v>8</v>
      </c>
      <c r="AB27" s="268">
        <f t="shared" si="195"/>
        <v>-8</v>
      </c>
      <c r="AC27" s="268">
        <f t="shared" si="195"/>
        <v>8</v>
      </c>
      <c r="AD27" s="268">
        <f t="shared" si="195"/>
        <v>-8</v>
      </c>
      <c r="AE27" s="100"/>
      <c r="AF27" s="100"/>
      <c r="AG27" s="100">
        <f t="shared" ref="AG27:AJ27" si="196">if(AA27&gt;0,1+AG26,0)</f>
        <v>1</v>
      </c>
      <c r="AH27" s="100">
        <f t="shared" si="196"/>
        <v>0</v>
      </c>
      <c r="AI27" s="100">
        <f t="shared" si="196"/>
        <v>2</v>
      </c>
      <c r="AJ27" s="100">
        <f t="shared" si="196"/>
        <v>0</v>
      </c>
      <c r="AK27" s="100"/>
      <c r="AL27" s="100"/>
      <c r="AM27" s="100">
        <f t="shared" ref="AM27:AP27" si="197">if(AA27&lt;0,1+AM26,0)</f>
        <v>0</v>
      </c>
      <c r="AN27" s="100">
        <f t="shared" si="197"/>
        <v>4</v>
      </c>
      <c r="AO27" s="100">
        <f t="shared" si="197"/>
        <v>0</v>
      </c>
      <c r="AP27" s="100">
        <f t="shared" si="197"/>
        <v>1</v>
      </c>
      <c r="AQ27" s="100"/>
      <c r="AR27" s="100"/>
      <c r="AS27" s="269">
        <f t="shared" ref="AS27:AV27" si="198">if(AA27&gt;0,AA27+AS25,0)</f>
        <v>36</v>
      </c>
      <c r="AT27" s="270">
        <f t="shared" si="198"/>
        <v>0</v>
      </c>
      <c r="AU27" s="269">
        <f t="shared" si="198"/>
        <v>8</v>
      </c>
      <c r="AV27" s="270">
        <f t="shared" si="198"/>
        <v>0</v>
      </c>
      <c r="AW27" s="100"/>
      <c r="AX27" s="100"/>
      <c r="AY27" s="100">
        <f t="shared" ref="AY27:BB27" si="199">if(AA27&lt;0,AA27+AY25,0)</f>
        <v>0</v>
      </c>
      <c r="AZ27" s="268">
        <f t="shared" si="199"/>
        <v>-20</v>
      </c>
      <c r="BA27" s="100">
        <f t="shared" si="199"/>
        <v>0</v>
      </c>
      <c r="BB27" s="268">
        <f t="shared" si="199"/>
        <v>-8</v>
      </c>
    </row>
    <row r="28">
      <c r="A28" s="250">
        <f t="shared" si="19"/>
        <v>26</v>
      </c>
      <c r="B28" s="260">
        <f>B27+6</f>
        <v>118</v>
      </c>
      <c r="C28" s="260">
        <f>C27-6</f>
        <v>-602</v>
      </c>
      <c r="D28" s="260">
        <f>D27+6</f>
        <v>210</v>
      </c>
      <c r="E28" s="260">
        <f>E27-6</f>
        <v>274</v>
      </c>
      <c r="F28" s="248">
        <f t="shared" ref="F28:K28" si="200">R28</f>
        <v>0</v>
      </c>
      <c r="G28" s="249" t="str">
        <f t="shared" si="200"/>
        <v>8 gode</v>
      </c>
      <c r="H28" s="249" t="str">
        <f t="shared" si="200"/>
        <v>Thomas</v>
      </c>
      <c r="I28" s="249" t="str">
        <f t="shared" si="200"/>
        <v>Janus</v>
      </c>
      <c r="J28" s="249" t="str">
        <f t="shared" si="200"/>
        <v>Christian</v>
      </c>
      <c r="K28" s="248" t="str">
        <f t="shared" si="200"/>
        <v>DEL 3</v>
      </c>
      <c r="L28" s="56"/>
      <c r="M28" s="250">
        <f t="shared" si="21"/>
        <v>26</v>
      </c>
      <c r="N28" s="271">
        <f>N27+6</f>
        <v>118</v>
      </c>
      <c r="O28" s="271">
        <f>O27-6</f>
        <v>-602</v>
      </c>
      <c r="P28" s="271">
        <f>P27+6</f>
        <v>210</v>
      </c>
      <c r="Q28" s="271">
        <f>Q27-6</f>
        <v>274</v>
      </c>
      <c r="R28" s="260">
        <f t="shared" si="78"/>
        <v>0</v>
      </c>
      <c r="S28" s="261" t="s">
        <v>342</v>
      </c>
      <c r="T28" s="261" t="s">
        <v>7</v>
      </c>
      <c r="U28" s="261" t="s">
        <v>9</v>
      </c>
      <c r="V28" s="261" t="s">
        <v>10</v>
      </c>
      <c r="W28" s="106" t="s">
        <v>457</v>
      </c>
      <c r="X28" s="105"/>
      <c r="Y28" s="103"/>
      <c r="Z28" s="103"/>
      <c r="AA28" s="268">
        <f t="shared" ref="AA28:AD28" si="201">N28-N27</f>
        <v>6</v>
      </c>
      <c r="AB28" s="268">
        <f t="shared" si="201"/>
        <v>-6</v>
      </c>
      <c r="AC28" s="268">
        <f t="shared" si="201"/>
        <v>6</v>
      </c>
      <c r="AD28" s="268">
        <f t="shared" si="201"/>
        <v>-6</v>
      </c>
      <c r="AE28" s="103"/>
      <c r="AF28" s="103"/>
      <c r="AG28" s="28">
        <f t="shared" ref="AG28:AJ28" si="202">if(AA28&gt;0,1+AG27,0)</f>
        <v>2</v>
      </c>
      <c r="AH28" s="28">
        <f t="shared" si="202"/>
        <v>0</v>
      </c>
      <c r="AI28" s="28">
        <f t="shared" si="202"/>
        <v>3</v>
      </c>
      <c r="AJ28" s="28">
        <f t="shared" si="202"/>
        <v>0</v>
      </c>
      <c r="AK28" s="103"/>
      <c r="AL28" s="103"/>
      <c r="AM28" s="28">
        <f t="shared" ref="AM28:AP28" si="203">if(AA28&lt;0,1+AM27,0)</f>
        <v>0</v>
      </c>
      <c r="AN28" s="28">
        <f t="shared" si="203"/>
        <v>5</v>
      </c>
      <c r="AO28" s="28">
        <f t="shared" si="203"/>
        <v>0</v>
      </c>
      <c r="AP28" s="28">
        <f t="shared" si="203"/>
        <v>2</v>
      </c>
      <c r="AS28" s="251">
        <f t="shared" ref="AS28:AV28" si="204">if(AA28&gt;0,AA28+AS26,0)</f>
        <v>6</v>
      </c>
      <c r="AT28" s="78">
        <f t="shared" si="204"/>
        <v>0</v>
      </c>
      <c r="AU28" s="251">
        <f t="shared" si="204"/>
        <v>26</v>
      </c>
      <c r="AV28" s="78">
        <f t="shared" si="204"/>
        <v>0</v>
      </c>
      <c r="AY28" s="28">
        <f t="shared" ref="AY28:BB28" si="205">if(AA28&lt;0,AA28+AY26,0)</f>
        <v>0</v>
      </c>
      <c r="AZ28" s="80">
        <f t="shared" si="205"/>
        <v>-18</v>
      </c>
      <c r="BA28" s="28">
        <f t="shared" si="205"/>
        <v>0</v>
      </c>
      <c r="BB28" s="80">
        <f t="shared" si="205"/>
        <v>-6</v>
      </c>
    </row>
    <row r="29">
      <c r="A29" s="250">
        <f t="shared" si="19"/>
        <v>27</v>
      </c>
      <c r="B29" s="250">
        <f t="shared" ref="B29:C29" si="206">B28-16</f>
        <v>102</v>
      </c>
      <c r="C29" s="250">
        <f t="shared" si="206"/>
        <v>-618</v>
      </c>
      <c r="D29" s="250">
        <f>D28+3*16</f>
        <v>258</v>
      </c>
      <c r="E29" s="250">
        <f>E28-16</f>
        <v>258</v>
      </c>
      <c r="F29" s="248">
        <f t="shared" ref="F29:K29" si="207">R29</f>
        <v>0</v>
      </c>
      <c r="G29" s="249" t="str">
        <f t="shared" si="207"/>
        <v>Halv bordlægger</v>
      </c>
      <c r="H29" s="249" t="str">
        <f t="shared" si="207"/>
        <v>Janus</v>
      </c>
      <c r="I29" s="249" t="str">
        <f t="shared" si="207"/>
        <v/>
      </c>
      <c r="J29" s="249" t="str">
        <f t="shared" si="207"/>
        <v>Janus</v>
      </c>
      <c r="K29" s="248" t="str">
        <f t="shared" si="207"/>
        <v>DEL 3</v>
      </c>
      <c r="L29" s="56"/>
      <c r="M29" s="250">
        <f t="shared" si="21"/>
        <v>27</v>
      </c>
      <c r="N29" s="250">
        <f t="shared" ref="N29:O29" si="208">N28-16</f>
        <v>102</v>
      </c>
      <c r="O29" s="250">
        <f t="shared" si="208"/>
        <v>-618</v>
      </c>
      <c r="P29" s="250">
        <f>P28+3*16</f>
        <v>258</v>
      </c>
      <c r="Q29" s="250">
        <f>Q28-16</f>
        <v>258</v>
      </c>
      <c r="R29" s="250">
        <f t="shared" si="78"/>
        <v>0</v>
      </c>
      <c r="S29" s="247" t="s">
        <v>101</v>
      </c>
      <c r="T29" s="247" t="s">
        <v>9</v>
      </c>
      <c r="U29" s="247"/>
      <c r="V29" s="247" t="s">
        <v>9</v>
      </c>
      <c r="W29" s="25" t="s">
        <v>457</v>
      </c>
      <c r="X29" s="56"/>
      <c r="AA29" s="80">
        <f t="shared" ref="AA29:AD29" si="209">N29-N28</f>
        <v>-16</v>
      </c>
      <c r="AB29" s="80">
        <f t="shared" si="209"/>
        <v>-16</v>
      </c>
      <c r="AC29" s="80">
        <f t="shared" si="209"/>
        <v>48</v>
      </c>
      <c r="AD29" s="80">
        <f t="shared" si="209"/>
        <v>-16</v>
      </c>
      <c r="AG29" s="28">
        <f t="shared" ref="AG29:AJ29" si="210">if(AA29&gt;0,1+AG28,0)</f>
        <v>0</v>
      </c>
      <c r="AH29" s="28">
        <f t="shared" si="210"/>
        <v>0</v>
      </c>
      <c r="AI29" s="28">
        <f t="shared" si="210"/>
        <v>4</v>
      </c>
      <c r="AJ29" s="28">
        <f t="shared" si="210"/>
        <v>0</v>
      </c>
      <c r="AM29" s="28">
        <f t="shared" ref="AM29:AP29" si="211">if(AA29&lt;0,1+AM28,0)</f>
        <v>1</v>
      </c>
      <c r="AN29" s="28">
        <f t="shared" si="211"/>
        <v>6</v>
      </c>
      <c r="AO29" s="28">
        <f t="shared" si="211"/>
        <v>0</v>
      </c>
      <c r="AP29" s="28">
        <f t="shared" si="211"/>
        <v>3</v>
      </c>
      <c r="AS29" s="78">
        <f t="shared" ref="AS29:AV29" si="212">if(AA29&gt;0,AA29+AS27,0)</f>
        <v>0</v>
      </c>
      <c r="AT29" s="78">
        <f t="shared" si="212"/>
        <v>0</v>
      </c>
      <c r="AU29" s="251">
        <f t="shared" si="212"/>
        <v>56</v>
      </c>
      <c r="AV29" s="78">
        <f t="shared" si="212"/>
        <v>0</v>
      </c>
      <c r="AY29" s="80">
        <f t="shared" ref="AY29:BB29" si="213">if(AA29&lt;0,AA29+AY27,0)</f>
        <v>-16</v>
      </c>
      <c r="AZ29" s="80">
        <f t="shared" si="213"/>
        <v>-36</v>
      </c>
      <c r="BA29" s="28">
        <f t="shared" si="213"/>
        <v>0</v>
      </c>
      <c r="BB29" s="80">
        <f t="shared" si="213"/>
        <v>-24</v>
      </c>
    </row>
    <row r="30">
      <c r="A30" s="250">
        <f t="shared" si="19"/>
        <v>28</v>
      </c>
      <c r="B30" s="250">
        <f t="shared" ref="B30:C30" si="214">B29-4</f>
        <v>98</v>
      </c>
      <c r="C30" s="250">
        <f t="shared" si="214"/>
        <v>-622</v>
      </c>
      <c r="D30" s="250">
        <f t="shared" ref="D30:E30" si="215">D29+4</f>
        <v>262</v>
      </c>
      <c r="E30" s="250">
        <f t="shared" si="215"/>
        <v>262</v>
      </c>
      <c r="F30" s="248">
        <f t="shared" ref="F30:K30" si="216">R30</f>
        <v>0</v>
      </c>
      <c r="G30" s="249" t="str">
        <f t="shared" si="216"/>
        <v>9 alm</v>
      </c>
      <c r="H30" s="249" t="str">
        <f t="shared" si="216"/>
        <v>Christian</v>
      </c>
      <c r="I30" s="249" t="str">
        <f t="shared" si="216"/>
        <v>Janus</v>
      </c>
      <c r="J30" s="249" t="str">
        <f t="shared" si="216"/>
        <v>Peter</v>
      </c>
      <c r="K30" s="248" t="str">
        <f t="shared" si="216"/>
        <v>DEL 3</v>
      </c>
      <c r="L30" s="56"/>
      <c r="M30" s="250">
        <f t="shared" si="21"/>
        <v>28</v>
      </c>
      <c r="N30" s="250">
        <f t="shared" ref="N30:O30" si="217">N29-4</f>
        <v>98</v>
      </c>
      <c r="O30" s="250">
        <f t="shared" si="217"/>
        <v>-622</v>
      </c>
      <c r="P30" s="250">
        <f t="shared" ref="P30:Q30" si="218">P29+4</f>
        <v>262</v>
      </c>
      <c r="Q30" s="250">
        <f t="shared" si="218"/>
        <v>262</v>
      </c>
      <c r="R30" s="250">
        <f t="shared" si="78"/>
        <v>0</v>
      </c>
      <c r="S30" s="247" t="s">
        <v>345</v>
      </c>
      <c r="T30" s="247" t="s">
        <v>10</v>
      </c>
      <c r="U30" s="247" t="s">
        <v>9</v>
      </c>
      <c r="V30" s="247" t="s">
        <v>8</v>
      </c>
      <c r="W30" s="25" t="s">
        <v>457</v>
      </c>
      <c r="X30" s="56"/>
      <c r="AA30" s="80">
        <f t="shared" ref="AA30:AD30" si="219">N30-N29</f>
        <v>-4</v>
      </c>
      <c r="AB30" s="80">
        <f t="shared" si="219"/>
        <v>-4</v>
      </c>
      <c r="AC30" s="80">
        <f t="shared" si="219"/>
        <v>4</v>
      </c>
      <c r="AD30" s="80">
        <f t="shared" si="219"/>
        <v>4</v>
      </c>
      <c r="AG30" s="28">
        <f t="shared" ref="AG30:AJ30" si="220">if(AA30&gt;0,1+AG29,0)</f>
        <v>0</v>
      </c>
      <c r="AH30" s="28">
        <f t="shared" si="220"/>
        <v>0</v>
      </c>
      <c r="AI30" s="28">
        <f t="shared" si="220"/>
        <v>5</v>
      </c>
      <c r="AJ30" s="28">
        <f t="shared" si="220"/>
        <v>1</v>
      </c>
      <c r="AM30" s="28">
        <f t="shared" ref="AM30:AP30" si="221">if(AA30&lt;0,1+AM29,0)</f>
        <v>2</v>
      </c>
      <c r="AN30" s="28">
        <f t="shared" si="221"/>
        <v>7</v>
      </c>
      <c r="AO30" s="28">
        <f t="shared" si="221"/>
        <v>0</v>
      </c>
      <c r="AP30" s="28">
        <f t="shared" si="221"/>
        <v>0</v>
      </c>
      <c r="AS30" s="78">
        <f t="shared" ref="AS30:AV30" si="222">if(AA30&gt;0,AA30+AS28,0)</f>
        <v>0</v>
      </c>
      <c r="AT30" s="78">
        <f t="shared" si="222"/>
        <v>0</v>
      </c>
      <c r="AU30" s="251">
        <f t="shared" si="222"/>
        <v>30</v>
      </c>
      <c r="AV30" s="251">
        <f t="shared" si="222"/>
        <v>4</v>
      </c>
      <c r="AY30" s="80">
        <f t="shared" ref="AY30:BB30" si="223">if(AA30&lt;0,AA30+AY28,0)</f>
        <v>-4</v>
      </c>
      <c r="AZ30" s="80">
        <f t="shared" si="223"/>
        <v>-22</v>
      </c>
      <c r="BA30" s="28">
        <f t="shared" si="223"/>
        <v>0</v>
      </c>
      <c r="BB30" s="28">
        <f t="shared" si="223"/>
        <v>0</v>
      </c>
    </row>
    <row r="31">
      <c r="A31" s="250">
        <f t="shared" si="19"/>
        <v>29</v>
      </c>
      <c r="B31" s="250">
        <f>B30-8</f>
        <v>90</v>
      </c>
      <c r="C31" s="250">
        <f>C30+8</f>
        <v>-614</v>
      </c>
      <c r="D31" s="250">
        <f>D30-8</f>
        <v>254</v>
      </c>
      <c r="E31" s="250">
        <f t="shared" ref="E31:E32" si="231">E30+8</f>
        <v>270</v>
      </c>
      <c r="F31" s="248">
        <f t="shared" ref="F31:K31" si="224">R31</f>
        <v>0</v>
      </c>
      <c r="G31" s="249" t="str">
        <f t="shared" si="224"/>
        <v>10 alm</v>
      </c>
      <c r="H31" s="249" t="str">
        <f t="shared" si="224"/>
        <v>Christian</v>
      </c>
      <c r="I31" s="249" t="str">
        <f t="shared" si="224"/>
        <v>Peter</v>
      </c>
      <c r="J31" s="249" t="str">
        <f t="shared" si="224"/>
        <v>Thomas</v>
      </c>
      <c r="K31" s="248" t="str">
        <f t="shared" si="224"/>
        <v>DEL 3</v>
      </c>
      <c r="L31" s="56"/>
      <c r="M31" s="250">
        <f t="shared" si="21"/>
        <v>29</v>
      </c>
      <c r="N31" s="250">
        <f>N30-8</f>
        <v>90</v>
      </c>
      <c r="O31" s="250">
        <f>O30+8</f>
        <v>-614</v>
      </c>
      <c r="P31" s="250">
        <f>P30-8</f>
        <v>254</v>
      </c>
      <c r="Q31" s="250">
        <f t="shared" ref="Q31:Q32" si="234">Q30+8</f>
        <v>270</v>
      </c>
      <c r="R31" s="250">
        <f t="shared" si="78"/>
        <v>0</v>
      </c>
      <c r="S31" s="247" t="s">
        <v>314</v>
      </c>
      <c r="T31" s="247" t="s">
        <v>10</v>
      </c>
      <c r="U31" s="247" t="s">
        <v>8</v>
      </c>
      <c r="V31" s="247" t="s">
        <v>7</v>
      </c>
      <c r="W31" s="25" t="s">
        <v>457</v>
      </c>
      <c r="X31" s="56"/>
      <c r="AA31" s="80">
        <f t="shared" ref="AA31:AD31" si="225">N31-N30</f>
        <v>-8</v>
      </c>
      <c r="AB31" s="80">
        <f t="shared" si="225"/>
        <v>8</v>
      </c>
      <c r="AC31" s="80">
        <f t="shared" si="225"/>
        <v>-8</v>
      </c>
      <c r="AD31" s="80">
        <f t="shared" si="225"/>
        <v>8</v>
      </c>
      <c r="AG31" s="28">
        <f t="shared" ref="AG31:AJ31" si="226">if(AA31&gt;0,1+AG30,0)</f>
        <v>0</v>
      </c>
      <c r="AH31" s="28">
        <f t="shared" si="226"/>
        <v>1</v>
      </c>
      <c r="AI31" s="28">
        <f t="shared" si="226"/>
        <v>0</v>
      </c>
      <c r="AJ31" s="28">
        <f t="shared" si="226"/>
        <v>2</v>
      </c>
      <c r="AM31" s="28">
        <f t="shared" ref="AM31:AP31" si="227">if(AA31&lt;0,1+AM30,0)</f>
        <v>3</v>
      </c>
      <c r="AN31" s="28">
        <f t="shared" si="227"/>
        <v>0</v>
      </c>
      <c r="AO31" s="28">
        <f t="shared" si="227"/>
        <v>1</v>
      </c>
      <c r="AP31" s="28">
        <f t="shared" si="227"/>
        <v>0</v>
      </c>
      <c r="AS31" s="78">
        <f t="shared" ref="AS31:AV31" si="228">if(AA31&gt;0,AA31+AS29,0)</f>
        <v>0</v>
      </c>
      <c r="AT31" s="251">
        <f t="shared" si="228"/>
        <v>8</v>
      </c>
      <c r="AU31" s="78">
        <f t="shared" si="228"/>
        <v>0</v>
      </c>
      <c r="AV31" s="251">
        <f t="shared" si="228"/>
        <v>8</v>
      </c>
      <c r="AY31" s="80">
        <f t="shared" ref="AY31:BB31" si="229">if(AA31&lt;0,AA31+AY29,0)</f>
        <v>-24</v>
      </c>
      <c r="AZ31" s="28">
        <f t="shared" si="229"/>
        <v>0</v>
      </c>
      <c r="BA31" s="80">
        <f t="shared" si="229"/>
        <v>-8</v>
      </c>
      <c r="BB31" s="28">
        <f t="shared" si="229"/>
        <v>0</v>
      </c>
    </row>
    <row r="32">
      <c r="A32" s="250">
        <f t="shared" si="19"/>
        <v>30</v>
      </c>
      <c r="B32" s="250">
        <f t="shared" ref="B32:C32" si="230">B31+8</f>
        <v>98</v>
      </c>
      <c r="C32" s="250">
        <f t="shared" si="230"/>
        <v>-606</v>
      </c>
      <c r="D32" s="250">
        <f>D31-24</f>
        <v>230</v>
      </c>
      <c r="E32" s="250">
        <f t="shared" si="231"/>
        <v>278</v>
      </c>
      <c r="F32" s="248">
        <f t="shared" ref="F32:K32" si="232">R32</f>
        <v>0</v>
      </c>
      <c r="G32" s="249" t="str">
        <f t="shared" si="232"/>
        <v>Ren sol</v>
      </c>
      <c r="H32" s="249" t="str">
        <f t="shared" si="232"/>
        <v>Janus</v>
      </c>
      <c r="I32" s="249" t="str">
        <f t="shared" si="232"/>
        <v/>
      </c>
      <c r="J32" s="249" t="str">
        <f t="shared" si="232"/>
        <v>Christian</v>
      </c>
      <c r="K32" s="248" t="str">
        <f t="shared" si="232"/>
        <v>DEL 3</v>
      </c>
      <c r="L32" s="56"/>
      <c r="M32" s="250">
        <f t="shared" si="21"/>
        <v>30</v>
      </c>
      <c r="N32" s="250">
        <f t="shared" ref="N32:O32" si="233">N31+8</f>
        <v>98</v>
      </c>
      <c r="O32" s="250">
        <f t="shared" si="233"/>
        <v>-606</v>
      </c>
      <c r="P32" s="250">
        <f>P31-24</f>
        <v>230</v>
      </c>
      <c r="Q32" s="250">
        <f t="shared" si="234"/>
        <v>278</v>
      </c>
      <c r="R32" s="250">
        <f t="shared" si="78"/>
        <v>0</v>
      </c>
      <c r="S32" s="247" t="s">
        <v>97</v>
      </c>
      <c r="T32" s="247" t="s">
        <v>9</v>
      </c>
      <c r="U32" s="247"/>
      <c r="V32" s="247" t="s">
        <v>10</v>
      </c>
      <c r="W32" s="25" t="s">
        <v>457</v>
      </c>
      <c r="X32" s="56"/>
      <c r="AA32" s="80">
        <f t="shared" ref="AA32:AD32" si="235">N32-N31</f>
        <v>8</v>
      </c>
      <c r="AB32" s="80">
        <f t="shared" si="235"/>
        <v>8</v>
      </c>
      <c r="AC32" s="80">
        <f t="shared" si="235"/>
        <v>-24</v>
      </c>
      <c r="AD32" s="80">
        <f t="shared" si="235"/>
        <v>8</v>
      </c>
      <c r="AG32" s="28">
        <f t="shared" ref="AG32:AJ32" si="236">if(AA32&gt;0,1+AG31,0)</f>
        <v>1</v>
      </c>
      <c r="AH32" s="28">
        <f t="shared" si="236"/>
        <v>2</v>
      </c>
      <c r="AI32" s="28">
        <f t="shared" si="236"/>
        <v>0</v>
      </c>
      <c r="AJ32" s="28">
        <f t="shared" si="236"/>
        <v>3</v>
      </c>
      <c r="AM32" s="28">
        <f t="shared" ref="AM32:AP32" si="237">if(AA32&lt;0,1+AM31,0)</f>
        <v>0</v>
      </c>
      <c r="AN32" s="28">
        <f t="shared" si="237"/>
        <v>0</v>
      </c>
      <c r="AO32" s="28">
        <f t="shared" si="237"/>
        <v>2</v>
      </c>
      <c r="AP32" s="28">
        <f t="shared" si="237"/>
        <v>0</v>
      </c>
      <c r="AS32" s="251">
        <f t="shared" ref="AS32:AV32" si="238">if(AA32&gt;0,AA32+AS30,0)</f>
        <v>8</v>
      </c>
      <c r="AT32" s="251">
        <f t="shared" si="238"/>
        <v>8</v>
      </c>
      <c r="AU32" s="78">
        <f t="shared" si="238"/>
        <v>0</v>
      </c>
      <c r="AV32" s="251">
        <f t="shared" si="238"/>
        <v>12</v>
      </c>
      <c r="AY32" s="28">
        <f t="shared" ref="AY32:BB32" si="239">if(AA32&lt;0,AA32+AY30,0)</f>
        <v>0</v>
      </c>
      <c r="AZ32" s="28">
        <f t="shared" si="239"/>
        <v>0</v>
      </c>
      <c r="BA32" s="80">
        <f t="shared" si="239"/>
        <v>-24</v>
      </c>
      <c r="BB32" s="28">
        <f t="shared" si="239"/>
        <v>0</v>
      </c>
    </row>
    <row r="33">
      <c r="A33" s="250">
        <f t="shared" si="19"/>
        <v>31</v>
      </c>
      <c r="B33" s="250">
        <f>B32-8</f>
        <v>90</v>
      </c>
      <c r="C33" s="250">
        <f>C32+24</f>
        <v>-582</v>
      </c>
      <c r="D33" s="250">
        <f t="shared" ref="D33:E33" si="240">D32-8</f>
        <v>222</v>
      </c>
      <c r="E33" s="250">
        <f t="shared" si="240"/>
        <v>270</v>
      </c>
      <c r="F33" s="248">
        <f t="shared" ref="F33:K33" si="241">R33</f>
        <v>0</v>
      </c>
      <c r="G33" s="249" t="str">
        <f t="shared" si="241"/>
        <v>ren sol</v>
      </c>
      <c r="H33" s="249" t="str">
        <f t="shared" si="241"/>
        <v>Peter</v>
      </c>
      <c r="I33" s="249" t="str">
        <f t="shared" si="241"/>
        <v/>
      </c>
      <c r="J33" s="249" t="str">
        <f t="shared" si="241"/>
        <v>Janus</v>
      </c>
      <c r="K33" s="248" t="str">
        <f t="shared" si="241"/>
        <v>DEL 3</v>
      </c>
      <c r="L33" s="56"/>
      <c r="M33" s="250">
        <f t="shared" si="21"/>
        <v>31</v>
      </c>
      <c r="N33" s="250">
        <f>N32-8</f>
        <v>90</v>
      </c>
      <c r="O33" s="250">
        <f>O32+24</f>
        <v>-582</v>
      </c>
      <c r="P33" s="250">
        <f t="shared" ref="P33:Q33" si="242">P32-8</f>
        <v>222</v>
      </c>
      <c r="Q33" s="250">
        <f t="shared" si="242"/>
        <v>270</v>
      </c>
      <c r="R33" s="250">
        <f t="shared" si="78"/>
        <v>0</v>
      </c>
      <c r="S33" s="247" t="s">
        <v>140</v>
      </c>
      <c r="T33" s="247" t="s">
        <v>8</v>
      </c>
      <c r="U33" s="247"/>
      <c r="V33" s="247" t="s">
        <v>9</v>
      </c>
      <c r="W33" s="25" t="s">
        <v>457</v>
      </c>
      <c r="X33" s="56"/>
      <c r="AA33" s="80">
        <f t="shared" ref="AA33:AD33" si="243">N33-N32</f>
        <v>-8</v>
      </c>
      <c r="AB33" s="80">
        <f t="shared" si="243"/>
        <v>24</v>
      </c>
      <c r="AC33" s="80">
        <f t="shared" si="243"/>
        <v>-8</v>
      </c>
      <c r="AD33" s="80">
        <f t="shared" si="243"/>
        <v>-8</v>
      </c>
      <c r="AG33" s="28">
        <f t="shared" ref="AG33:AJ33" si="244">if(AA33&gt;0,1+AG32,0)</f>
        <v>0</v>
      </c>
      <c r="AH33" s="28">
        <f t="shared" si="244"/>
        <v>3</v>
      </c>
      <c r="AI33" s="28">
        <f t="shared" si="244"/>
        <v>0</v>
      </c>
      <c r="AJ33" s="28">
        <f t="shared" si="244"/>
        <v>0</v>
      </c>
      <c r="AM33" s="28">
        <f t="shared" ref="AM33:AP33" si="245">if(AA33&lt;0,1+AM32,0)</f>
        <v>1</v>
      </c>
      <c r="AN33" s="28">
        <f t="shared" si="245"/>
        <v>0</v>
      </c>
      <c r="AO33" s="28">
        <f t="shared" si="245"/>
        <v>3</v>
      </c>
      <c r="AP33" s="28">
        <f t="shared" si="245"/>
        <v>1</v>
      </c>
      <c r="AS33" s="78">
        <f t="shared" ref="AS33:AV33" si="246">if(AA33&gt;0,AA33+AS31,0)</f>
        <v>0</v>
      </c>
      <c r="AT33" s="251">
        <f t="shared" si="246"/>
        <v>32</v>
      </c>
      <c r="AU33" s="78">
        <f t="shared" si="246"/>
        <v>0</v>
      </c>
      <c r="AV33" s="78">
        <f t="shared" si="246"/>
        <v>0</v>
      </c>
      <c r="AY33" s="80">
        <f t="shared" ref="AY33:BB33" si="247">if(AA33&lt;0,AA33+AY31,0)</f>
        <v>-32</v>
      </c>
      <c r="AZ33" s="28">
        <f t="shared" si="247"/>
        <v>0</v>
      </c>
      <c r="BA33" s="80">
        <f t="shared" si="247"/>
        <v>-16</v>
      </c>
      <c r="BB33" s="80">
        <f t="shared" si="247"/>
        <v>-8</v>
      </c>
    </row>
    <row r="34">
      <c r="A34" s="250">
        <f t="shared" si="19"/>
        <v>32</v>
      </c>
      <c r="B34" s="250">
        <f t="shared" ref="B34:D34" si="248">B33+12</f>
        <v>102</v>
      </c>
      <c r="C34" s="250">
        <f t="shared" si="248"/>
        <v>-570</v>
      </c>
      <c r="D34" s="250">
        <f t="shared" si="248"/>
        <v>234</v>
      </c>
      <c r="E34" s="250">
        <f>E33-3*12</f>
        <v>234</v>
      </c>
      <c r="F34" s="248">
        <f t="shared" ref="F34:K34" si="249">R34</f>
        <v>0</v>
      </c>
      <c r="G34" s="249" t="str">
        <f t="shared" si="249"/>
        <v>9 gode</v>
      </c>
      <c r="H34" s="249" t="str">
        <f t="shared" si="249"/>
        <v>Christian</v>
      </c>
      <c r="I34" s="249" t="str">
        <f t="shared" si="249"/>
        <v>Selvmakker</v>
      </c>
      <c r="J34" s="249" t="str">
        <f t="shared" si="249"/>
        <v>Peter</v>
      </c>
      <c r="K34" s="248" t="str">
        <f t="shared" si="249"/>
        <v>DEL 3</v>
      </c>
      <c r="L34" s="56"/>
      <c r="M34" s="250">
        <f t="shared" si="21"/>
        <v>32</v>
      </c>
      <c r="N34" s="250">
        <f t="shared" ref="N34:P34" si="250">N33+12</f>
        <v>102</v>
      </c>
      <c r="O34" s="250">
        <f t="shared" si="250"/>
        <v>-570</v>
      </c>
      <c r="P34" s="250">
        <f t="shared" si="250"/>
        <v>234</v>
      </c>
      <c r="Q34" s="250">
        <f>Q33-3*12</f>
        <v>234</v>
      </c>
      <c r="R34" s="250">
        <f t="shared" si="78"/>
        <v>0</v>
      </c>
      <c r="S34" s="247" t="s">
        <v>299</v>
      </c>
      <c r="T34" s="247" t="s">
        <v>10</v>
      </c>
      <c r="U34" s="247" t="s">
        <v>228</v>
      </c>
      <c r="V34" s="247" t="s">
        <v>8</v>
      </c>
      <c r="W34" s="25" t="s">
        <v>457</v>
      </c>
      <c r="X34" s="56"/>
      <c r="AA34" s="80">
        <f t="shared" ref="AA34:AD34" si="251">N34-N33</f>
        <v>12</v>
      </c>
      <c r="AB34" s="80">
        <f t="shared" si="251"/>
        <v>12</v>
      </c>
      <c r="AC34" s="80">
        <f t="shared" si="251"/>
        <v>12</v>
      </c>
      <c r="AD34" s="80">
        <f t="shared" si="251"/>
        <v>-36</v>
      </c>
      <c r="AG34" s="28">
        <f t="shared" ref="AG34:AJ34" si="252">if(AA34&gt;0,1+AG33,0)</f>
        <v>1</v>
      </c>
      <c r="AH34" s="28">
        <f t="shared" si="252"/>
        <v>4</v>
      </c>
      <c r="AI34" s="28">
        <f t="shared" si="252"/>
        <v>1</v>
      </c>
      <c r="AJ34" s="28">
        <f t="shared" si="252"/>
        <v>0</v>
      </c>
      <c r="AM34" s="28">
        <f t="shared" ref="AM34:AP34" si="253">if(AA34&lt;0,1+AM33,0)</f>
        <v>0</v>
      </c>
      <c r="AN34" s="28">
        <f t="shared" si="253"/>
        <v>0</v>
      </c>
      <c r="AO34" s="28">
        <f t="shared" si="253"/>
        <v>0</v>
      </c>
      <c r="AP34" s="28">
        <f t="shared" si="253"/>
        <v>2</v>
      </c>
      <c r="AS34" s="251">
        <f t="shared" ref="AS34:AV34" si="254">if(AA34&gt;0,AA34+AS32,0)</f>
        <v>20</v>
      </c>
      <c r="AT34" s="251">
        <f t="shared" si="254"/>
        <v>20</v>
      </c>
      <c r="AU34" s="251">
        <f t="shared" si="254"/>
        <v>12</v>
      </c>
      <c r="AV34" s="78">
        <f t="shared" si="254"/>
        <v>0</v>
      </c>
      <c r="AY34" s="28">
        <f t="shared" ref="AY34:BB34" si="255">if(AA34&lt;0,AA34+AY32,0)</f>
        <v>0</v>
      </c>
      <c r="AZ34" s="28">
        <f t="shared" si="255"/>
        <v>0</v>
      </c>
      <c r="BA34" s="28">
        <f t="shared" si="255"/>
        <v>0</v>
      </c>
      <c r="BB34" s="80">
        <f t="shared" si="255"/>
        <v>-36</v>
      </c>
    </row>
    <row r="35">
      <c r="A35" s="250">
        <f t="shared" si="19"/>
        <v>33</v>
      </c>
      <c r="B35" s="250">
        <f>B34+24</f>
        <v>126</v>
      </c>
      <c r="C35" s="250">
        <f t="shared" ref="C35:E35" si="256">C34-8</f>
        <v>-578</v>
      </c>
      <c r="D35" s="250">
        <f t="shared" si="256"/>
        <v>226</v>
      </c>
      <c r="E35" s="250">
        <f t="shared" si="256"/>
        <v>226</v>
      </c>
      <c r="F35" s="248">
        <f t="shared" ref="F35:K35" si="257">R35</f>
        <v>0</v>
      </c>
      <c r="G35" s="249" t="str">
        <f t="shared" si="257"/>
        <v>ren sol</v>
      </c>
      <c r="H35" s="249" t="str">
        <f t="shared" si="257"/>
        <v>Thomas</v>
      </c>
      <c r="I35" s="249" t="str">
        <f t="shared" si="257"/>
        <v/>
      </c>
      <c r="J35" s="249" t="str">
        <f t="shared" si="257"/>
        <v>Thomas</v>
      </c>
      <c r="K35" s="248" t="str">
        <f t="shared" si="257"/>
        <v>DEL 3</v>
      </c>
      <c r="L35" s="56"/>
      <c r="M35" s="250">
        <f t="shared" si="21"/>
        <v>33</v>
      </c>
      <c r="N35" s="250">
        <f>N34+24</f>
        <v>126</v>
      </c>
      <c r="O35" s="250">
        <f t="shared" ref="O35:Q35" si="258">O34-8</f>
        <v>-578</v>
      </c>
      <c r="P35" s="250">
        <f t="shared" si="258"/>
        <v>226</v>
      </c>
      <c r="Q35" s="250">
        <f t="shared" si="258"/>
        <v>226</v>
      </c>
      <c r="R35" s="250">
        <f t="shared" si="78"/>
        <v>0</v>
      </c>
      <c r="S35" s="247" t="s">
        <v>140</v>
      </c>
      <c r="T35" s="247" t="s">
        <v>7</v>
      </c>
      <c r="U35" s="247"/>
      <c r="V35" s="247" t="s">
        <v>7</v>
      </c>
      <c r="W35" s="25" t="s">
        <v>457</v>
      </c>
      <c r="X35" s="56"/>
      <c r="AA35" s="80">
        <f t="shared" ref="AA35:AD35" si="259">N35-N34</f>
        <v>24</v>
      </c>
      <c r="AB35" s="80">
        <f t="shared" si="259"/>
        <v>-8</v>
      </c>
      <c r="AC35" s="80">
        <f t="shared" si="259"/>
        <v>-8</v>
      </c>
      <c r="AD35" s="80">
        <f t="shared" si="259"/>
        <v>-8</v>
      </c>
      <c r="AG35" s="28">
        <f t="shared" ref="AG35:AJ35" si="260">if(AA35&gt;0,1+AG34,0)</f>
        <v>2</v>
      </c>
      <c r="AH35" s="28">
        <f t="shared" si="260"/>
        <v>0</v>
      </c>
      <c r="AI35" s="28">
        <f t="shared" si="260"/>
        <v>0</v>
      </c>
      <c r="AJ35" s="28">
        <f t="shared" si="260"/>
        <v>0</v>
      </c>
      <c r="AM35" s="28">
        <f t="shared" ref="AM35:AP35" si="261">if(AA35&lt;0,1+AM34,0)</f>
        <v>0</v>
      </c>
      <c r="AN35" s="28">
        <f t="shared" si="261"/>
        <v>1</v>
      </c>
      <c r="AO35" s="28">
        <f t="shared" si="261"/>
        <v>1</v>
      </c>
      <c r="AP35" s="28">
        <f t="shared" si="261"/>
        <v>3</v>
      </c>
      <c r="AS35" s="251">
        <f t="shared" ref="AS35:AV35" si="262">if(AA35&gt;0,AA35+AS33,0)</f>
        <v>24</v>
      </c>
      <c r="AT35" s="78">
        <f t="shared" si="262"/>
        <v>0</v>
      </c>
      <c r="AU35" s="78">
        <f t="shared" si="262"/>
        <v>0</v>
      </c>
      <c r="AV35" s="78">
        <f t="shared" si="262"/>
        <v>0</v>
      </c>
      <c r="AY35" s="28">
        <f t="shared" ref="AY35:BB35" si="263">if(AA35&lt;0,AA35+AY33,0)</f>
        <v>0</v>
      </c>
      <c r="AZ35" s="80">
        <f t="shared" si="263"/>
        <v>-8</v>
      </c>
      <c r="BA35" s="80">
        <f t="shared" si="263"/>
        <v>-24</v>
      </c>
      <c r="BB35" s="80">
        <f t="shared" si="263"/>
        <v>-16</v>
      </c>
    </row>
    <row r="36">
      <c r="A36" s="250">
        <f t="shared" si="19"/>
        <v>34</v>
      </c>
      <c r="B36" s="250">
        <f>B35-3*32</f>
        <v>30</v>
      </c>
      <c r="C36" s="250">
        <f t="shared" ref="C36:E36" si="264">C35+32</f>
        <v>-546</v>
      </c>
      <c r="D36" s="250">
        <f t="shared" si="264"/>
        <v>258</v>
      </c>
      <c r="E36" s="250">
        <f t="shared" si="264"/>
        <v>258</v>
      </c>
      <c r="F36" s="248">
        <f t="shared" ref="F36:K36" si="265">R36</f>
        <v>0</v>
      </c>
      <c r="G36" s="249" t="str">
        <f t="shared" si="265"/>
        <v>11 vip 1 </v>
      </c>
      <c r="H36" s="249" t="str">
        <f t="shared" si="265"/>
        <v>Thomas</v>
      </c>
      <c r="I36" s="249" t="str">
        <f t="shared" si="265"/>
        <v>Selvmakker</v>
      </c>
      <c r="J36" s="249" t="str">
        <f t="shared" si="265"/>
        <v>Christian</v>
      </c>
      <c r="K36" s="248" t="str">
        <f t="shared" si="265"/>
        <v>DEL 3</v>
      </c>
      <c r="L36" s="56"/>
      <c r="M36" s="250">
        <f t="shared" si="21"/>
        <v>34</v>
      </c>
      <c r="N36" s="250">
        <f>N35-3*32</f>
        <v>30</v>
      </c>
      <c r="O36" s="250">
        <f t="shared" ref="O36:Q36" si="266">O35+32</f>
        <v>-546</v>
      </c>
      <c r="P36" s="250">
        <f t="shared" si="266"/>
        <v>258</v>
      </c>
      <c r="Q36" s="250">
        <f t="shared" si="266"/>
        <v>258</v>
      </c>
      <c r="R36" s="250">
        <f t="shared" si="78"/>
        <v>0</v>
      </c>
      <c r="S36" s="247" t="s">
        <v>458</v>
      </c>
      <c r="T36" s="247" t="s">
        <v>7</v>
      </c>
      <c r="U36" s="247" t="s">
        <v>228</v>
      </c>
      <c r="V36" s="247" t="s">
        <v>10</v>
      </c>
      <c r="W36" s="25" t="s">
        <v>457</v>
      </c>
      <c r="X36" s="56"/>
      <c r="AA36" s="80">
        <f t="shared" ref="AA36:AD36" si="267">N36-N35</f>
        <v>-96</v>
      </c>
      <c r="AB36" s="80">
        <f t="shared" si="267"/>
        <v>32</v>
      </c>
      <c r="AC36" s="80">
        <f t="shared" si="267"/>
        <v>32</v>
      </c>
      <c r="AD36" s="80">
        <f t="shared" si="267"/>
        <v>32</v>
      </c>
      <c r="AG36" s="28">
        <f t="shared" ref="AG36:AJ36" si="268">if(AA36&gt;0,1+AG35,0)</f>
        <v>0</v>
      </c>
      <c r="AH36" s="28">
        <f t="shared" si="268"/>
        <v>1</v>
      </c>
      <c r="AI36" s="28">
        <f t="shared" si="268"/>
        <v>1</v>
      </c>
      <c r="AJ36" s="28">
        <f t="shared" si="268"/>
        <v>1</v>
      </c>
      <c r="AM36" s="28">
        <f t="shared" ref="AM36:AP36" si="269">if(AA36&lt;0,1+AM35,0)</f>
        <v>1</v>
      </c>
      <c r="AN36" s="28">
        <f t="shared" si="269"/>
        <v>0</v>
      </c>
      <c r="AO36" s="28">
        <f t="shared" si="269"/>
        <v>0</v>
      </c>
      <c r="AP36" s="28">
        <f t="shared" si="269"/>
        <v>0</v>
      </c>
      <c r="AS36" s="78">
        <f t="shared" ref="AS36:AV36" si="270">if(AA36&gt;0,AA36+AS34,0)</f>
        <v>0</v>
      </c>
      <c r="AT36" s="251">
        <f t="shared" si="270"/>
        <v>52</v>
      </c>
      <c r="AU36" s="251">
        <f t="shared" si="270"/>
        <v>44</v>
      </c>
      <c r="AV36" s="251">
        <f t="shared" si="270"/>
        <v>32</v>
      </c>
      <c r="AY36" s="80">
        <f t="shared" ref="AY36:BB36" si="271">if(AA36&lt;0,AA36+AY34,0)</f>
        <v>-96</v>
      </c>
      <c r="AZ36" s="28">
        <f t="shared" si="271"/>
        <v>0</v>
      </c>
      <c r="BA36" s="28">
        <f t="shared" si="271"/>
        <v>0</v>
      </c>
      <c r="BB36" s="28">
        <f t="shared" si="271"/>
        <v>0</v>
      </c>
    </row>
    <row r="37">
      <c r="A37" s="250">
        <f t="shared" si="19"/>
        <v>35</v>
      </c>
      <c r="B37" s="250">
        <f t="shared" ref="B37:C37" si="272">B36-16</f>
        <v>14</v>
      </c>
      <c r="C37" s="250">
        <f t="shared" si="272"/>
        <v>-562</v>
      </c>
      <c r="D37" s="250">
        <f t="shared" ref="D37:E37" si="273">D36+16</f>
        <v>274</v>
      </c>
      <c r="E37" s="250">
        <f t="shared" si="273"/>
        <v>274</v>
      </c>
      <c r="F37" s="248">
        <f t="shared" ref="F37:K37" si="274">R37</f>
        <v>0</v>
      </c>
      <c r="G37" s="249" t="str">
        <f t="shared" si="274"/>
        <v>9 halve</v>
      </c>
      <c r="H37" s="249" t="str">
        <f t="shared" si="274"/>
        <v>Thomas</v>
      </c>
      <c r="I37" s="249" t="str">
        <f t="shared" si="274"/>
        <v>Peter</v>
      </c>
      <c r="J37" s="249" t="str">
        <f t="shared" si="274"/>
        <v>Janus</v>
      </c>
      <c r="K37" s="248" t="str">
        <f t="shared" si="274"/>
        <v>DEL 3</v>
      </c>
      <c r="L37" s="56"/>
      <c r="M37" s="250">
        <f t="shared" si="21"/>
        <v>35</v>
      </c>
      <c r="N37" s="250">
        <f t="shared" ref="N37:O37" si="275">N36-16</f>
        <v>14</v>
      </c>
      <c r="O37" s="250">
        <f t="shared" si="275"/>
        <v>-562</v>
      </c>
      <c r="P37" s="250">
        <f t="shared" ref="P37:Q37" si="276">P36+16</f>
        <v>274</v>
      </c>
      <c r="Q37" s="250">
        <f t="shared" si="276"/>
        <v>274</v>
      </c>
      <c r="R37" s="250">
        <f t="shared" si="78"/>
        <v>0</v>
      </c>
      <c r="S37" s="247" t="s">
        <v>293</v>
      </c>
      <c r="T37" s="247" t="s">
        <v>7</v>
      </c>
      <c r="U37" s="247" t="s">
        <v>8</v>
      </c>
      <c r="V37" s="247" t="s">
        <v>9</v>
      </c>
      <c r="W37" s="25" t="s">
        <v>457</v>
      </c>
      <c r="X37" s="56"/>
      <c r="AA37" s="80">
        <f t="shared" ref="AA37:AD37" si="277">N37-N36</f>
        <v>-16</v>
      </c>
      <c r="AB37" s="80">
        <f t="shared" si="277"/>
        <v>-16</v>
      </c>
      <c r="AC37" s="80">
        <f t="shared" si="277"/>
        <v>16</v>
      </c>
      <c r="AD37" s="80">
        <f t="shared" si="277"/>
        <v>16</v>
      </c>
      <c r="AG37" s="28">
        <f t="shared" ref="AG37:AJ37" si="278">if(AA37&gt;0,1+AG36,0)</f>
        <v>0</v>
      </c>
      <c r="AH37" s="28">
        <f t="shared" si="278"/>
        <v>0</v>
      </c>
      <c r="AI37" s="28">
        <f t="shared" si="278"/>
        <v>2</v>
      </c>
      <c r="AJ37" s="28">
        <f t="shared" si="278"/>
        <v>2</v>
      </c>
      <c r="AM37" s="28">
        <f t="shared" ref="AM37:AP37" si="279">if(AA37&lt;0,1+AM36,0)</f>
        <v>2</v>
      </c>
      <c r="AN37" s="28">
        <f t="shared" si="279"/>
        <v>1</v>
      </c>
      <c r="AO37" s="28">
        <f t="shared" si="279"/>
        <v>0</v>
      </c>
      <c r="AP37" s="28">
        <f t="shared" si="279"/>
        <v>0</v>
      </c>
      <c r="AS37" s="78">
        <f t="shared" ref="AS37:AV37" si="280">if(AA37&gt;0,AA37+AS35,0)</f>
        <v>0</v>
      </c>
      <c r="AT37" s="78">
        <f t="shared" si="280"/>
        <v>0</v>
      </c>
      <c r="AU37" s="251">
        <f t="shared" si="280"/>
        <v>16</v>
      </c>
      <c r="AV37" s="251">
        <f t="shared" si="280"/>
        <v>16</v>
      </c>
      <c r="AY37" s="80">
        <f t="shared" ref="AY37:BB37" si="281">if(AA37&lt;0,AA37+AY35,0)</f>
        <v>-16</v>
      </c>
      <c r="AZ37" s="80">
        <f t="shared" si="281"/>
        <v>-24</v>
      </c>
      <c r="BA37" s="28">
        <f t="shared" si="281"/>
        <v>0</v>
      </c>
      <c r="BB37" s="28">
        <f t="shared" si="281"/>
        <v>0</v>
      </c>
    </row>
    <row r="38">
      <c r="A38" s="250">
        <f t="shared" si="19"/>
        <v>36</v>
      </c>
      <c r="B38" s="250">
        <f t="shared" ref="B38:C38" si="282">B37+48</f>
        <v>62</v>
      </c>
      <c r="C38" s="250">
        <f t="shared" si="282"/>
        <v>-514</v>
      </c>
      <c r="D38" s="250">
        <f t="shared" ref="D38:E38" si="283">D37-48</f>
        <v>226</v>
      </c>
      <c r="E38" s="250">
        <f t="shared" si="283"/>
        <v>226</v>
      </c>
      <c r="F38" s="248">
        <f t="shared" ref="F38:K38" si="284">R38</f>
        <v>0</v>
      </c>
      <c r="G38" s="249" t="str">
        <f t="shared" si="284"/>
        <v>9 vip 1 (storslem)</v>
      </c>
      <c r="H38" s="249" t="str">
        <f t="shared" si="284"/>
        <v>Thomas</v>
      </c>
      <c r="I38" s="249" t="str">
        <f t="shared" si="284"/>
        <v>Peter</v>
      </c>
      <c r="J38" s="249" t="str">
        <f t="shared" si="284"/>
        <v>Peter</v>
      </c>
      <c r="K38" s="248" t="str">
        <f t="shared" si="284"/>
        <v>DEL 3</v>
      </c>
      <c r="L38" s="56"/>
      <c r="M38" s="250">
        <f t="shared" si="21"/>
        <v>36</v>
      </c>
      <c r="N38" s="250">
        <f t="shared" ref="N38:O38" si="285">N37+48</f>
        <v>62</v>
      </c>
      <c r="O38" s="250">
        <f t="shared" si="285"/>
        <v>-514</v>
      </c>
      <c r="P38" s="250">
        <f t="shared" ref="P38:Q38" si="286">P37-48</f>
        <v>226</v>
      </c>
      <c r="Q38" s="250">
        <f t="shared" si="286"/>
        <v>226</v>
      </c>
      <c r="R38" s="250">
        <f t="shared" si="78"/>
        <v>0</v>
      </c>
      <c r="S38" s="247" t="s">
        <v>459</v>
      </c>
      <c r="T38" s="247" t="s">
        <v>7</v>
      </c>
      <c r="U38" s="247" t="s">
        <v>8</v>
      </c>
      <c r="V38" s="247" t="s">
        <v>8</v>
      </c>
      <c r="W38" s="25" t="s">
        <v>457</v>
      </c>
      <c r="X38" s="56"/>
      <c r="AA38" s="80">
        <f t="shared" ref="AA38:AD38" si="287">N38-N37</f>
        <v>48</v>
      </c>
      <c r="AB38" s="80">
        <f t="shared" si="287"/>
        <v>48</v>
      </c>
      <c r="AC38" s="80">
        <f t="shared" si="287"/>
        <v>-48</v>
      </c>
      <c r="AD38" s="80">
        <f t="shared" si="287"/>
        <v>-48</v>
      </c>
      <c r="AG38" s="28">
        <f t="shared" ref="AG38:AJ38" si="288">if(AA38&gt;0,1+AG37,0)</f>
        <v>1</v>
      </c>
      <c r="AH38" s="28">
        <f t="shared" si="288"/>
        <v>1</v>
      </c>
      <c r="AI38" s="28">
        <f t="shared" si="288"/>
        <v>0</v>
      </c>
      <c r="AJ38" s="28">
        <f t="shared" si="288"/>
        <v>0</v>
      </c>
      <c r="AM38" s="28">
        <f t="shared" ref="AM38:AP38" si="289">if(AA38&lt;0,1+AM37,0)</f>
        <v>0</v>
      </c>
      <c r="AN38" s="28">
        <f t="shared" si="289"/>
        <v>0</v>
      </c>
      <c r="AO38" s="28">
        <f t="shared" si="289"/>
        <v>1</v>
      </c>
      <c r="AP38" s="28">
        <f t="shared" si="289"/>
        <v>1</v>
      </c>
      <c r="AS38" s="251">
        <f t="shared" ref="AS38:AV38" si="290">if(AA38&gt;0,AA38+AS36,0)</f>
        <v>48</v>
      </c>
      <c r="AT38" s="251">
        <f t="shared" si="290"/>
        <v>100</v>
      </c>
      <c r="AU38" s="78">
        <f t="shared" si="290"/>
        <v>0</v>
      </c>
      <c r="AV38" s="78">
        <f t="shared" si="290"/>
        <v>0</v>
      </c>
      <c r="AY38" s="28">
        <f t="shared" ref="AY38:BB38" si="291">if(AA38&lt;0,AA38+AY36,0)</f>
        <v>0</v>
      </c>
      <c r="AZ38" s="28">
        <f t="shared" si="291"/>
        <v>0</v>
      </c>
      <c r="BA38" s="80">
        <f t="shared" si="291"/>
        <v>-48</v>
      </c>
      <c r="BB38" s="80">
        <f t="shared" si="291"/>
        <v>-48</v>
      </c>
    </row>
    <row r="39">
      <c r="A39" s="250">
        <f t="shared" si="19"/>
        <v>37</v>
      </c>
      <c r="B39" s="250">
        <f t="shared" ref="B39:C39" si="292">B38+12</f>
        <v>74</v>
      </c>
      <c r="C39" s="250">
        <f t="shared" si="292"/>
        <v>-502</v>
      </c>
      <c r="D39" s="250">
        <f t="shared" ref="D39:E39" si="293">D38-12</f>
        <v>214</v>
      </c>
      <c r="E39" s="250">
        <f t="shared" si="293"/>
        <v>214</v>
      </c>
      <c r="F39" s="248">
        <f t="shared" ref="F39:K39" si="294">R39</f>
        <v>0</v>
      </c>
      <c r="G39" s="249" t="str">
        <f t="shared" si="294"/>
        <v>9 gode</v>
      </c>
      <c r="H39" s="249" t="str">
        <f t="shared" si="294"/>
        <v>Thomas</v>
      </c>
      <c r="I39" s="249" t="str">
        <f t="shared" si="294"/>
        <v>Peter</v>
      </c>
      <c r="J39" s="249" t="str">
        <f t="shared" si="294"/>
        <v>Thomas</v>
      </c>
      <c r="K39" s="248" t="str">
        <f t="shared" si="294"/>
        <v>DEL 3</v>
      </c>
      <c r="L39" s="56"/>
      <c r="M39" s="250">
        <f t="shared" si="21"/>
        <v>37</v>
      </c>
      <c r="N39" s="250">
        <f t="shared" ref="N39:O39" si="295">N38+12</f>
        <v>74</v>
      </c>
      <c r="O39" s="250">
        <f t="shared" si="295"/>
        <v>-502</v>
      </c>
      <c r="P39" s="250">
        <f t="shared" ref="P39:Q39" si="296">P38-12</f>
        <v>214</v>
      </c>
      <c r="Q39" s="250">
        <f t="shared" si="296"/>
        <v>214</v>
      </c>
      <c r="R39" s="250">
        <f t="shared" si="78"/>
        <v>0</v>
      </c>
      <c r="S39" s="247" t="s">
        <v>299</v>
      </c>
      <c r="T39" s="247" t="s">
        <v>7</v>
      </c>
      <c r="U39" s="247" t="s">
        <v>8</v>
      </c>
      <c r="V39" s="247" t="s">
        <v>7</v>
      </c>
      <c r="W39" s="25" t="s">
        <v>457</v>
      </c>
      <c r="X39" s="56"/>
      <c r="AA39" s="80">
        <f t="shared" ref="AA39:AD39" si="297">N39-N38</f>
        <v>12</v>
      </c>
      <c r="AB39" s="80">
        <f t="shared" si="297"/>
        <v>12</v>
      </c>
      <c r="AC39" s="80">
        <f t="shared" si="297"/>
        <v>-12</v>
      </c>
      <c r="AD39" s="80">
        <f t="shared" si="297"/>
        <v>-12</v>
      </c>
      <c r="AG39" s="28">
        <f t="shared" ref="AG39:AJ39" si="298">if(AA39&gt;0,1+AG38,0)</f>
        <v>2</v>
      </c>
      <c r="AH39" s="28">
        <f t="shared" si="298"/>
        <v>2</v>
      </c>
      <c r="AI39" s="28">
        <f t="shared" si="298"/>
        <v>0</v>
      </c>
      <c r="AJ39" s="28">
        <f t="shared" si="298"/>
        <v>0</v>
      </c>
      <c r="AM39" s="28">
        <f t="shared" ref="AM39:AP39" si="299">if(AA39&lt;0,1+AM38,0)</f>
        <v>0</v>
      </c>
      <c r="AN39" s="28">
        <f t="shared" si="299"/>
        <v>0</v>
      </c>
      <c r="AO39" s="28">
        <f t="shared" si="299"/>
        <v>2</v>
      </c>
      <c r="AP39" s="28">
        <f t="shared" si="299"/>
        <v>2</v>
      </c>
      <c r="AS39" s="251">
        <f t="shared" ref="AS39:AV39" si="300">if(AA39&gt;0,AA39+AS37,0)</f>
        <v>12</v>
      </c>
      <c r="AT39" s="251">
        <f t="shared" si="300"/>
        <v>12</v>
      </c>
      <c r="AU39" s="78">
        <f t="shared" si="300"/>
        <v>0</v>
      </c>
      <c r="AV39" s="78">
        <f t="shared" si="300"/>
        <v>0</v>
      </c>
      <c r="AY39" s="28">
        <f t="shared" ref="AY39:BB39" si="301">if(AA39&lt;0,AA39+AY37,0)</f>
        <v>0</v>
      </c>
      <c r="AZ39" s="28">
        <f t="shared" si="301"/>
        <v>0</v>
      </c>
      <c r="BA39" s="80">
        <f t="shared" si="301"/>
        <v>-12</v>
      </c>
      <c r="BB39" s="80">
        <f t="shared" si="301"/>
        <v>-12</v>
      </c>
    </row>
    <row r="40">
      <c r="A40" s="250">
        <f t="shared" si="19"/>
        <v>38</v>
      </c>
      <c r="B40" s="250">
        <f>B39-8</f>
        <v>66</v>
      </c>
      <c r="C40" s="250">
        <f>C39+24</f>
        <v>-478</v>
      </c>
      <c r="D40" s="250">
        <f t="shared" ref="D40:E40" si="302">D39-8</f>
        <v>206</v>
      </c>
      <c r="E40" s="250">
        <f t="shared" si="302"/>
        <v>206</v>
      </c>
      <c r="F40" s="248">
        <f t="shared" ref="F40:K40" si="303">R40</f>
        <v>0</v>
      </c>
      <c r="G40" s="249" t="str">
        <f t="shared" si="303"/>
        <v>Ren sol</v>
      </c>
      <c r="H40" s="249" t="str">
        <f t="shared" si="303"/>
        <v>Peter</v>
      </c>
      <c r="I40" s="249" t="str">
        <f t="shared" si="303"/>
        <v/>
      </c>
      <c r="J40" s="249" t="str">
        <f t="shared" si="303"/>
        <v>Christian</v>
      </c>
      <c r="K40" s="248" t="str">
        <f t="shared" si="303"/>
        <v>DEL 3</v>
      </c>
      <c r="L40" s="56"/>
      <c r="M40" s="250">
        <f t="shared" si="21"/>
        <v>38</v>
      </c>
      <c r="N40" s="250">
        <f>N39-8</f>
        <v>66</v>
      </c>
      <c r="O40" s="250">
        <f>O39+24</f>
        <v>-478</v>
      </c>
      <c r="P40" s="250">
        <f t="shared" ref="P40:Q40" si="304">P39-8</f>
        <v>206</v>
      </c>
      <c r="Q40" s="250">
        <f t="shared" si="304"/>
        <v>206</v>
      </c>
      <c r="R40" s="250">
        <f t="shared" si="78"/>
        <v>0</v>
      </c>
      <c r="S40" s="247" t="s">
        <v>97</v>
      </c>
      <c r="T40" s="247" t="s">
        <v>8</v>
      </c>
      <c r="U40" s="247"/>
      <c r="V40" s="247" t="s">
        <v>10</v>
      </c>
      <c r="W40" s="25" t="s">
        <v>457</v>
      </c>
      <c r="X40" s="56"/>
      <c r="AA40" s="80">
        <f t="shared" ref="AA40:AD40" si="305">N40-N39</f>
        <v>-8</v>
      </c>
      <c r="AB40" s="80">
        <f t="shared" si="305"/>
        <v>24</v>
      </c>
      <c r="AC40" s="80">
        <f t="shared" si="305"/>
        <v>-8</v>
      </c>
      <c r="AD40" s="80">
        <f t="shared" si="305"/>
        <v>-8</v>
      </c>
      <c r="AG40" s="28">
        <f t="shared" ref="AG40:AJ40" si="306">if(AA40&gt;0,1+AG39,0)</f>
        <v>0</v>
      </c>
      <c r="AH40" s="28">
        <f t="shared" si="306"/>
        <v>3</v>
      </c>
      <c r="AI40" s="28">
        <f t="shared" si="306"/>
        <v>0</v>
      </c>
      <c r="AJ40" s="28">
        <f t="shared" si="306"/>
        <v>0</v>
      </c>
      <c r="AM40" s="28">
        <f t="shared" ref="AM40:AP40" si="307">if(AA40&lt;0,1+AM39,0)</f>
        <v>1</v>
      </c>
      <c r="AN40" s="28">
        <f t="shared" si="307"/>
        <v>0</v>
      </c>
      <c r="AO40" s="28">
        <f t="shared" si="307"/>
        <v>3</v>
      </c>
      <c r="AP40" s="28">
        <f t="shared" si="307"/>
        <v>3</v>
      </c>
      <c r="AS40" s="78">
        <f t="shared" ref="AS40:AV40" si="308">if(AA40&gt;0,AA40+AS38,0)</f>
        <v>0</v>
      </c>
      <c r="AT40" s="251">
        <f t="shared" si="308"/>
        <v>124</v>
      </c>
      <c r="AU40" s="78">
        <f t="shared" si="308"/>
        <v>0</v>
      </c>
      <c r="AV40" s="78">
        <f t="shared" si="308"/>
        <v>0</v>
      </c>
      <c r="AY40" s="80">
        <f t="shared" ref="AY40:BB40" si="309">if(AA40&lt;0,AA40+AY38,0)</f>
        <v>-8</v>
      </c>
      <c r="AZ40" s="28">
        <f t="shared" si="309"/>
        <v>0</v>
      </c>
      <c r="BA40" s="80">
        <f t="shared" si="309"/>
        <v>-56</v>
      </c>
      <c r="BB40" s="80">
        <f t="shared" si="309"/>
        <v>-56</v>
      </c>
    </row>
    <row r="41">
      <c r="A41" s="250">
        <f t="shared" si="19"/>
        <v>39</v>
      </c>
      <c r="B41" s="250">
        <f>B40+8</f>
        <v>74</v>
      </c>
      <c r="C41" s="250">
        <f>C40-24</f>
        <v>-502</v>
      </c>
      <c r="D41" s="250">
        <f t="shared" ref="D41:E41" si="310">D40+8</f>
        <v>214</v>
      </c>
      <c r="E41" s="250">
        <f t="shared" si="310"/>
        <v>214</v>
      </c>
      <c r="F41" s="248">
        <f t="shared" ref="F41:K41" si="311">R41</f>
        <v>0</v>
      </c>
      <c r="G41" s="249" t="str">
        <f t="shared" si="311"/>
        <v>Ren sol</v>
      </c>
      <c r="H41" s="249" t="str">
        <f t="shared" si="311"/>
        <v>Peter</v>
      </c>
      <c r="I41" s="249" t="str">
        <f t="shared" si="311"/>
        <v/>
      </c>
      <c r="J41" s="249" t="str">
        <f t="shared" si="311"/>
        <v>Janus</v>
      </c>
      <c r="K41" s="248" t="str">
        <f t="shared" si="311"/>
        <v>DEL 3</v>
      </c>
      <c r="L41" s="56"/>
      <c r="M41" s="250">
        <f t="shared" si="21"/>
        <v>39</v>
      </c>
      <c r="N41" s="250">
        <f>N40+8</f>
        <v>74</v>
      </c>
      <c r="O41" s="250">
        <f>O40-24</f>
        <v>-502</v>
      </c>
      <c r="P41" s="250">
        <f t="shared" ref="P41:Q41" si="312">P40+8</f>
        <v>214</v>
      </c>
      <c r="Q41" s="250">
        <f t="shared" si="312"/>
        <v>214</v>
      </c>
      <c r="R41" s="250">
        <f t="shared" si="78"/>
        <v>0</v>
      </c>
      <c r="S41" s="247" t="s">
        <v>97</v>
      </c>
      <c r="T41" s="247" t="s">
        <v>8</v>
      </c>
      <c r="U41" s="247"/>
      <c r="V41" s="247" t="s">
        <v>9</v>
      </c>
      <c r="W41" s="25" t="s">
        <v>457</v>
      </c>
      <c r="X41" s="56"/>
      <c r="AA41" s="80">
        <f t="shared" ref="AA41:AD41" si="313">N41-N40</f>
        <v>8</v>
      </c>
      <c r="AB41" s="80">
        <f t="shared" si="313"/>
        <v>-24</v>
      </c>
      <c r="AC41" s="80">
        <f t="shared" si="313"/>
        <v>8</v>
      </c>
      <c r="AD41" s="80">
        <f t="shared" si="313"/>
        <v>8</v>
      </c>
      <c r="AG41" s="28">
        <f t="shared" ref="AG41:AJ41" si="314">if(AA41&gt;0,1+AG40,0)</f>
        <v>1</v>
      </c>
      <c r="AH41" s="28">
        <f t="shared" si="314"/>
        <v>0</v>
      </c>
      <c r="AI41" s="28">
        <f t="shared" si="314"/>
        <v>1</v>
      </c>
      <c r="AJ41" s="28">
        <f t="shared" si="314"/>
        <v>1</v>
      </c>
      <c r="AM41" s="28">
        <f t="shared" ref="AM41:AP41" si="315">if(AA41&lt;0,1+AM40,0)</f>
        <v>0</v>
      </c>
      <c r="AN41" s="28">
        <f t="shared" si="315"/>
        <v>1</v>
      </c>
      <c r="AO41" s="28">
        <f t="shared" si="315"/>
        <v>0</v>
      </c>
      <c r="AP41" s="28">
        <f t="shared" si="315"/>
        <v>0</v>
      </c>
      <c r="AS41" s="251">
        <f t="shared" ref="AS41:AV41" si="316">if(AA41&gt;0,AA41+AS39,0)</f>
        <v>20</v>
      </c>
      <c r="AT41" s="78">
        <f t="shared" si="316"/>
        <v>0</v>
      </c>
      <c r="AU41" s="251">
        <f t="shared" si="316"/>
        <v>8</v>
      </c>
      <c r="AV41" s="251">
        <f t="shared" si="316"/>
        <v>8</v>
      </c>
      <c r="AY41" s="28">
        <f t="shared" ref="AY41:BB41" si="317">if(AA41&lt;0,AA41+AY39,0)</f>
        <v>0</v>
      </c>
      <c r="AZ41" s="80">
        <f t="shared" si="317"/>
        <v>-24</v>
      </c>
      <c r="BA41" s="28">
        <f t="shared" si="317"/>
        <v>0</v>
      </c>
      <c r="BB41" s="28">
        <f t="shared" si="317"/>
        <v>0</v>
      </c>
    </row>
    <row r="42">
      <c r="A42" s="250">
        <f t="shared" si="19"/>
        <v>40</v>
      </c>
      <c r="B42" s="250">
        <f t="shared" ref="B42:C42" si="318">B41-96</f>
        <v>-22</v>
      </c>
      <c r="C42" s="250">
        <f t="shared" si="318"/>
        <v>-598</v>
      </c>
      <c r="D42" s="250">
        <f t="shared" ref="D42:E42" si="319">D41+96</f>
        <v>310</v>
      </c>
      <c r="E42" s="250">
        <f t="shared" si="319"/>
        <v>310</v>
      </c>
      <c r="F42" s="248">
        <f t="shared" ref="F42:K42" si="320">R42</f>
        <v>0</v>
      </c>
      <c r="G42" s="249" t="str">
        <f t="shared" si="320"/>
        <v>10 vip i 3</v>
      </c>
      <c r="H42" s="249" t="str">
        <f t="shared" si="320"/>
        <v>Thomas</v>
      </c>
      <c r="I42" s="249" t="str">
        <f t="shared" si="320"/>
        <v>Peter</v>
      </c>
      <c r="J42" s="249" t="str">
        <f t="shared" si="320"/>
        <v>Peter</v>
      </c>
      <c r="K42" s="248" t="str">
        <f t="shared" si="320"/>
        <v>DEL 3</v>
      </c>
      <c r="L42" s="56"/>
      <c r="M42" s="250">
        <f t="shared" si="21"/>
        <v>40</v>
      </c>
      <c r="N42" s="250">
        <f t="shared" ref="N42:O42" si="321">N41-96</f>
        <v>-22</v>
      </c>
      <c r="O42" s="250">
        <f t="shared" si="321"/>
        <v>-598</v>
      </c>
      <c r="P42" s="250">
        <f t="shared" ref="P42:Q42" si="322">P41+96</f>
        <v>310</v>
      </c>
      <c r="Q42" s="250">
        <f t="shared" si="322"/>
        <v>310</v>
      </c>
      <c r="R42" s="250">
        <f t="shared" si="78"/>
        <v>0</v>
      </c>
      <c r="S42" s="247" t="s">
        <v>429</v>
      </c>
      <c r="T42" s="247" t="s">
        <v>7</v>
      </c>
      <c r="U42" s="247" t="s">
        <v>8</v>
      </c>
      <c r="V42" s="247" t="s">
        <v>8</v>
      </c>
      <c r="W42" s="25" t="s">
        <v>457</v>
      </c>
      <c r="X42" s="56"/>
      <c r="AA42" s="80">
        <f t="shared" ref="AA42:AD42" si="323">N42-N41</f>
        <v>-96</v>
      </c>
      <c r="AB42" s="80">
        <f t="shared" si="323"/>
        <v>-96</v>
      </c>
      <c r="AC42" s="80">
        <f t="shared" si="323"/>
        <v>96</v>
      </c>
      <c r="AD42" s="80">
        <f t="shared" si="323"/>
        <v>96</v>
      </c>
      <c r="AG42" s="28">
        <f t="shared" ref="AG42:AJ42" si="324">if(AA42&gt;0,1+AG41,0)</f>
        <v>0</v>
      </c>
      <c r="AH42" s="28">
        <f t="shared" si="324"/>
        <v>0</v>
      </c>
      <c r="AI42" s="28">
        <f t="shared" si="324"/>
        <v>2</v>
      </c>
      <c r="AJ42" s="28">
        <f t="shared" si="324"/>
        <v>2</v>
      </c>
      <c r="AM42" s="28">
        <f t="shared" ref="AM42:AP42" si="325">if(AA42&lt;0,1+AM41,0)</f>
        <v>1</v>
      </c>
      <c r="AN42" s="28">
        <f t="shared" si="325"/>
        <v>2</v>
      </c>
      <c r="AO42" s="28">
        <f t="shared" si="325"/>
        <v>0</v>
      </c>
      <c r="AP42" s="28">
        <f t="shared" si="325"/>
        <v>0</v>
      </c>
      <c r="AS42" s="78">
        <f t="shared" ref="AS42:AV42" si="326">if(AA42&gt;0,AA42+AS40,0)</f>
        <v>0</v>
      </c>
      <c r="AT42" s="78">
        <f t="shared" si="326"/>
        <v>0</v>
      </c>
      <c r="AU42" s="251">
        <f t="shared" si="326"/>
        <v>96</v>
      </c>
      <c r="AV42" s="251">
        <f t="shared" si="326"/>
        <v>96</v>
      </c>
      <c r="AY42" s="80">
        <f t="shared" ref="AY42:BB42" si="327">if(AA42&lt;0,AA42+AY40,0)</f>
        <v>-104</v>
      </c>
      <c r="AZ42" s="80">
        <f t="shared" si="327"/>
        <v>-96</v>
      </c>
      <c r="BA42" s="28">
        <f t="shared" si="327"/>
        <v>0</v>
      </c>
      <c r="BB42" s="28">
        <f t="shared" si="327"/>
        <v>0</v>
      </c>
    </row>
    <row r="43">
      <c r="A43" s="250">
        <f t="shared" si="19"/>
        <v>41</v>
      </c>
      <c r="B43" s="250">
        <f>B42+16</f>
        <v>-6</v>
      </c>
      <c r="C43" s="250">
        <f>C42-16</f>
        <v>-614</v>
      </c>
      <c r="D43" s="250">
        <f>D42+16</f>
        <v>326</v>
      </c>
      <c r="E43" s="250">
        <f>E42-16</f>
        <v>294</v>
      </c>
      <c r="F43" s="248">
        <f t="shared" ref="F43:K43" si="328">R43</f>
        <v>0</v>
      </c>
      <c r="G43" s="249" t="str">
        <f t="shared" si="328"/>
        <v>8 i 2 </v>
      </c>
      <c r="H43" s="249" t="str">
        <f t="shared" si="328"/>
        <v>Thomas</v>
      </c>
      <c r="I43" s="249" t="str">
        <f t="shared" si="328"/>
        <v>Peter</v>
      </c>
      <c r="J43" s="249" t="str">
        <f t="shared" si="328"/>
        <v>Thomas</v>
      </c>
      <c r="K43" s="248" t="str">
        <f t="shared" si="328"/>
        <v>DEL 3</v>
      </c>
      <c r="L43" s="56"/>
      <c r="M43" s="250">
        <f t="shared" si="21"/>
        <v>41</v>
      </c>
      <c r="N43" s="250">
        <f>N42+16</f>
        <v>-6</v>
      </c>
      <c r="O43" s="250">
        <f>O42-16</f>
        <v>-614</v>
      </c>
      <c r="P43" s="250">
        <f>P42+16</f>
        <v>326</v>
      </c>
      <c r="Q43" s="250">
        <f>Q42-16</f>
        <v>294</v>
      </c>
      <c r="R43" s="250">
        <f t="shared" si="78"/>
        <v>0</v>
      </c>
      <c r="S43" s="247" t="s">
        <v>460</v>
      </c>
      <c r="T43" s="247" t="s">
        <v>7</v>
      </c>
      <c r="U43" s="247" t="s">
        <v>8</v>
      </c>
      <c r="V43" s="247" t="s">
        <v>7</v>
      </c>
      <c r="W43" s="25" t="s">
        <v>457</v>
      </c>
      <c r="X43" s="56"/>
      <c r="AA43" s="80">
        <f t="shared" ref="AA43:AD43" si="329">N43-N42</f>
        <v>16</v>
      </c>
      <c r="AB43" s="80">
        <f t="shared" si="329"/>
        <v>-16</v>
      </c>
      <c r="AC43" s="80">
        <f t="shared" si="329"/>
        <v>16</v>
      </c>
      <c r="AD43" s="80">
        <f t="shared" si="329"/>
        <v>-16</v>
      </c>
      <c r="AG43" s="28">
        <f t="shared" ref="AG43:AJ43" si="330">if(AA43&gt;0,1+AG42,0)</f>
        <v>1</v>
      </c>
      <c r="AH43" s="28">
        <f t="shared" si="330"/>
        <v>0</v>
      </c>
      <c r="AI43" s="28">
        <f t="shared" si="330"/>
        <v>3</v>
      </c>
      <c r="AJ43" s="28">
        <f t="shared" si="330"/>
        <v>0</v>
      </c>
      <c r="AM43" s="28">
        <f t="shared" ref="AM43:AP43" si="331">if(AA43&lt;0,1+AM42,0)</f>
        <v>0</v>
      </c>
      <c r="AN43" s="28">
        <f t="shared" si="331"/>
        <v>3</v>
      </c>
      <c r="AO43" s="28">
        <f t="shared" si="331"/>
        <v>0</v>
      </c>
      <c r="AP43" s="28">
        <f t="shared" si="331"/>
        <v>1</v>
      </c>
      <c r="AS43" s="251">
        <f t="shared" ref="AS43:AV43" si="332">if(AA43&gt;0,AA43+AS41,0)</f>
        <v>36</v>
      </c>
      <c r="AT43" s="78">
        <f t="shared" si="332"/>
        <v>0</v>
      </c>
      <c r="AU43" s="251">
        <f t="shared" si="332"/>
        <v>24</v>
      </c>
      <c r="AV43" s="78">
        <f t="shared" si="332"/>
        <v>0</v>
      </c>
      <c r="AY43" s="28">
        <f t="shared" ref="AY43:BB43" si="333">if(AA43&lt;0,AA43+AY41,0)</f>
        <v>0</v>
      </c>
      <c r="AZ43" s="80">
        <f t="shared" si="333"/>
        <v>-40</v>
      </c>
      <c r="BA43" s="28">
        <f t="shared" si="333"/>
        <v>0</v>
      </c>
      <c r="BB43" s="80">
        <f t="shared" si="333"/>
        <v>-16</v>
      </c>
    </row>
    <row r="44">
      <c r="A44" s="250">
        <f t="shared" si="19"/>
        <v>42</v>
      </c>
      <c r="B44" s="250">
        <f>B43+8</f>
        <v>2</v>
      </c>
      <c r="C44" s="250">
        <f t="shared" ref="C44:D44" si="334">C43-8</f>
        <v>-622</v>
      </c>
      <c r="D44" s="250">
        <f t="shared" si="334"/>
        <v>318</v>
      </c>
      <c r="E44" s="250">
        <f>E43+8</f>
        <v>302</v>
      </c>
      <c r="F44" s="248">
        <f t="shared" ref="F44:K44" si="335">R44</f>
        <v>0</v>
      </c>
      <c r="G44" s="249" t="str">
        <f t="shared" si="335"/>
        <v>8 i 2 </v>
      </c>
      <c r="H44" s="249" t="str">
        <f t="shared" si="335"/>
        <v>Thomas</v>
      </c>
      <c r="I44" s="249" t="str">
        <f t="shared" si="335"/>
        <v>Christian</v>
      </c>
      <c r="J44" s="249" t="str">
        <f t="shared" si="335"/>
        <v>Christian</v>
      </c>
      <c r="K44" s="248" t="str">
        <f t="shared" si="335"/>
        <v>DEL 3</v>
      </c>
      <c r="L44" s="56"/>
      <c r="M44" s="250">
        <f t="shared" si="21"/>
        <v>42</v>
      </c>
      <c r="N44" s="250">
        <f>N43+8</f>
        <v>2</v>
      </c>
      <c r="O44" s="250">
        <f t="shared" ref="O44:P44" si="336">O43-8</f>
        <v>-622</v>
      </c>
      <c r="P44" s="250">
        <f t="shared" si="336"/>
        <v>318</v>
      </c>
      <c r="Q44" s="250">
        <f>Q43+8</f>
        <v>302</v>
      </c>
      <c r="R44" s="250">
        <f t="shared" si="78"/>
        <v>0</v>
      </c>
      <c r="S44" s="247" t="s">
        <v>460</v>
      </c>
      <c r="T44" s="247" t="s">
        <v>7</v>
      </c>
      <c r="U44" s="247" t="s">
        <v>10</v>
      </c>
      <c r="V44" s="247" t="s">
        <v>10</v>
      </c>
      <c r="W44" s="25" t="s">
        <v>457</v>
      </c>
      <c r="X44" s="56"/>
      <c r="AA44" s="80">
        <f t="shared" ref="AA44:AD44" si="337">N44-N43</f>
        <v>8</v>
      </c>
      <c r="AB44" s="80">
        <f t="shared" si="337"/>
        <v>-8</v>
      </c>
      <c r="AC44" s="80">
        <f t="shared" si="337"/>
        <v>-8</v>
      </c>
      <c r="AD44" s="80">
        <f t="shared" si="337"/>
        <v>8</v>
      </c>
      <c r="AG44" s="28">
        <f t="shared" ref="AG44:AJ44" si="338">if(AA44&gt;0,1+AG43,0)</f>
        <v>2</v>
      </c>
      <c r="AH44" s="28">
        <f t="shared" si="338"/>
        <v>0</v>
      </c>
      <c r="AI44" s="28">
        <f t="shared" si="338"/>
        <v>0</v>
      </c>
      <c r="AJ44" s="28">
        <f t="shared" si="338"/>
        <v>1</v>
      </c>
      <c r="AM44" s="28">
        <f t="shared" ref="AM44:AP44" si="339">if(AA44&lt;0,1+AM43,0)</f>
        <v>0</v>
      </c>
      <c r="AN44" s="28">
        <f t="shared" si="339"/>
        <v>4</v>
      </c>
      <c r="AO44" s="28">
        <f t="shared" si="339"/>
        <v>1</v>
      </c>
      <c r="AP44" s="28">
        <f t="shared" si="339"/>
        <v>0</v>
      </c>
      <c r="AS44" s="251">
        <f t="shared" ref="AS44:AV44" si="340">if(AA44&gt;0,AA44+AS42,0)</f>
        <v>8</v>
      </c>
      <c r="AT44" s="78">
        <f t="shared" si="340"/>
        <v>0</v>
      </c>
      <c r="AU44" s="78">
        <f t="shared" si="340"/>
        <v>0</v>
      </c>
      <c r="AV44" s="251">
        <f t="shared" si="340"/>
        <v>104</v>
      </c>
      <c r="AY44" s="28">
        <f t="shared" ref="AY44:BB44" si="341">if(AA44&lt;0,AA44+AY42,0)</f>
        <v>0</v>
      </c>
      <c r="AZ44" s="80">
        <f t="shared" si="341"/>
        <v>-104</v>
      </c>
      <c r="BA44" s="80">
        <f t="shared" si="341"/>
        <v>-8</v>
      </c>
      <c r="BB44" s="28">
        <f t="shared" si="341"/>
        <v>0</v>
      </c>
    </row>
    <row r="45">
      <c r="A45" s="250">
        <f t="shared" si="19"/>
        <v>43</v>
      </c>
      <c r="B45" s="250">
        <f t="shared" ref="B45:D45" si="342">B44-4</f>
        <v>-2</v>
      </c>
      <c r="C45" s="250">
        <f t="shared" si="342"/>
        <v>-626</v>
      </c>
      <c r="D45" s="250">
        <f t="shared" si="342"/>
        <v>314</v>
      </c>
      <c r="E45" s="250">
        <f>E44+12</f>
        <v>314</v>
      </c>
      <c r="F45" s="248">
        <f t="shared" ref="F45:K45" si="343">R45</f>
        <v>0</v>
      </c>
      <c r="G45" s="249" t="str">
        <f t="shared" si="343"/>
        <v>Sol</v>
      </c>
      <c r="H45" s="249" t="str">
        <f t="shared" si="343"/>
        <v>Christian</v>
      </c>
      <c r="I45" s="249" t="str">
        <f t="shared" si="343"/>
        <v/>
      </c>
      <c r="J45" s="249" t="str">
        <f t="shared" si="343"/>
        <v>Janus</v>
      </c>
      <c r="K45" s="248" t="str">
        <f t="shared" si="343"/>
        <v>DEL 3</v>
      </c>
      <c r="L45" s="56"/>
      <c r="M45" s="250">
        <f t="shared" si="21"/>
        <v>43</v>
      </c>
      <c r="N45" s="250">
        <f t="shared" ref="N45:P45" si="344">N44-4</f>
        <v>-2</v>
      </c>
      <c r="O45" s="250">
        <f t="shared" si="344"/>
        <v>-626</v>
      </c>
      <c r="P45" s="250">
        <f t="shared" si="344"/>
        <v>314</v>
      </c>
      <c r="Q45" s="250">
        <f>Q44+12</f>
        <v>314</v>
      </c>
      <c r="R45" s="250">
        <f t="shared" si="78"/>
        <v>0</v>
      </c>
      <c r="S45" s="247" t="s">
        <v>99</v>
      </c>
      <c r="T45" s="247" t="s">
        <v>10</v>
      </c>
      <c r="U45" s="247"/>
      <c r="V45" s="247" t="s">
        <v>9</v>
      </c>
      <c r="W45" s="25" t="s">
        <v>457</v>
      </c>
      <c r="X45" s="56"/>
      <c r="AA45" s="80">
        <f t="shared" ref="AA45:AD45" si="345">N45-N44</f>
        <v>-4</v>
      </c>
      <c r="AB45" s="80">
        <f t="shared" si="345"/>
        <v>-4</v>
      </c>
      <c r="AC45" s="80">
        <f t="shared" si="345"/>
        <v>-4</v>
      </c>
      <c r="AD45" s="80">
        <f t="shared" si="345"/>
        <v>12</v>
      </c>
      <c r="AG45" s="28">
        <f t="shared" ref="AG45:AJ45" si="346">if(AA45&gt;0,1+AG44,0)</f>
        <v>0</v>
      </c>
      <c r="AH45" s="28">
        <f t="shared" si="346"/>
        <v>0</v>
      </c>
      <c r="AI45" s="28">
        <f t="shared" si="346"/>
        <v>0</v>
      </c>
      <c r="AJ45" s="28">
        <f t="shared" si="346"/>
        <v>2</v>
      </c>
      <c r="AM45" s="28">
        <f t="shared" ref="AM45:AP45" si="347">if(AA45&lt;0,1+AM44,0)</f>
        <v>1</v>
      </c>
      <c r="AN45" s="28">
        <f t="shared" si="347"/>
        <v>5</v>
      </c>
      <c r="AO45" s="28">
        <f t="shared" si="347"/>
        <v>2</v>
      </c>
      <c r="AP45" s="28">
        <f t="shared" si="347"/>
        <v>0</v>
      </c>
      <c r="AS45" s="78">
        <f t="shared" ref="AS45:AV45" si="348">if(AA45&gt;0,AA45+AS43,0)</f>
        <v>0</v>
      </c>
      <c r="AT45" s="78">
        <f t="shared" si="348"/>
        <v>0</v>
      </c>
      <c r="AU45" s="78">
        <f t="shared" si="348"/>
        <v>0</v>
      </c>
      <c r="AV45" s="251">
        <f t="shared" si="348"/>
        <v>12</v>
      </c>
      <c r="AY45" s="80">
        <f t="shared" ref="AY45:BB45" si="349">if(AA45&lt;0,AA45+AY43,0)</f>
        <v>-4</v>
      </c>
      <c r="AZ45" s="80">
        <f t="shared" si="349"/>
        <v>-44</v>
      </c>
      <c r="BA45" s="80">
        <f t="shared" si="349"/>
        <v>-4</v>
      </c>
      <c r="BB45" s="28">
        <f t="shared" si="349"/>
        <v>0</v>
      </c>
    </row>
    <row r="46">
      <c r="A46" s="250">
        <f t="shared" si="19"/>
        <v>44</v>
      </c>
      <c r="B46" s="250">
        <f>B45+80</f>
        <v>78</v>
      </c>
      <c r="C46" s="250">
        <f t="shared" ref="C46:D46" si="350">C45-80</f>
        <v>-706</v>
      </c>
      <c r="D46" s="250">
        <f t="shared" si="350"/>
        <v>234</v>
      </c>
      <c r="E46" s="250">
        <f>E45+80</f>
        <v>394</v>
      </c>
      <c r="F46" s="248">
        <f t="shared" ref="F46:K46" si="351">R46</f>
        <v>0</v>
      </c>
      <c r="G46" s="249" t="str">
        <f t="shared" si="351"/>
        <v>10 vip 1. </v>
      </c>
      <c r="H46" s="249" t="str">
        <f t="shared" si="351"/>
        <v>Thomas</v>
      </c>
      <c r="I46" s="249" t="str">
        <f t="shared" si="351"/>
        <v>Christian</v>
      </c>
      <c r="J46" s="249" t="str">
        <f t="shared" si="351"/>
        <v>Peter</v>
      </c>
      <c r="K46" s="248" t="str">
        <f t="shared" si="351"/>
        <v>DEL 3</v>
      </c>
      <c r="L46" s="56"/>
      <c r="M46" s="250">
        <f t="shared" si="21"/>
        <v>44</v>
      </c>
      <c r="N46" s="250">
        <f>N45+80</f>
        <v>78</v>
      </c>
      <c r="O46" s="250">
        <f t="shared" ref="O46:P46" si="352">O45-80</f>
        <v>-706</v>
      </c>
      <c r="P46" s="250">
        <f t="shared" si="352"/>
        <v>234</v>
      </c>
      <c r="Q46" s="250">
        <f>Q45+80</f>
        <v>394</v>
      </c>
      <c r="R46" s="250">
        <f t="shared" si="78"/>
        <v>0</v>
      </c>
      <c r="S46" s="247" t="s">
        <v>461</v>
      </c>
      <c r="T46" s="247" t="s">
        <v>7</v>
      </c>
      <c r="U46" s="247" t="s">
        <v>10</v>
      </c>
      <c r="V46" s="247" t="s">
        <v>8</v>
      </c>
      <c r="W46" s="25" t="s">
        <v>457</v>
      </c>
      <c r="X46" s="56"/>
      <c r="AA46" s="80">
        <f t="shared" ref="AA46:AD46" si="353">N46-N45</f>
        <v>80</v>
      </c>
      <c r="AB46" s="80">
        <f t="shared" si="353"/>
        <v>-80</v>
      </c>
      <c r="AC46" s="80">
        <f t="shared" si="353"/>
        <v>-80</v>
      </c>
      <c r="AD46" s="80">
        <f t="shared" si="353"/>
        <v>80</v>
      </c>
      <c r="AG46" s="28">
        <f t="shared" ref="AG46:AJ46" si="354">if(AA46&gt;0,1+AG45,0)</f>
        <v>1</v>
      </c>
      <c r="AH46" s="28">
        <f t="shared" si="354"/>
        <v>0</v>
      </c>
      <c r="AI46" s="28">
        <f t="shared" si="354"/>
        <v>0</v>
      </c>
      <c r="AJ46" s="28">
        <f t="shared" si="354"/>
        <v>3</v>
      </c>
      <c r="AM46" s="28">
        <f t="shared" ref="AM46:AP46" si="355">if(AA46&lt;0,1+AM45,0)</f>
        <v>0</v>
      </c>
      <c r="AN46" s="28">
        <f t="shared" si="355"/>
        <v>6</v>
      </c>
      <c r="AO46" s="28">
        <f t="shared" si="355"/>
        <v>3</v>
      </c>
      <c r="AP46" s="28">
        <f t="shared" si="355"/>
        <v>0</v>
      </c>
      <c r="AS46" s="251">
        <f t="shared" ref="AS46:AV46" si="356">if(AA46&gt;0,AA46+AS44,0)</f>
        <v>88</v>
      </c>
      <c r="AT46" s="78">
        <f t="shared" si="356"/>
        <v>0</v>
      </c>
      <c r="AU46" s="78">
        <f t="shared" si="356"/>
        <v>0</v>
      </c>
      <c r="AV46" s="251">
        <f t="shared" si="356"/>
        <v>184</v>
      </c>
      <c r="AY46" s="28">
        <f t="shared" ref="AY46:BB46" si="357">if(AA46&lt;0,AA46+AY44,0)</f>
        <v>0</v>
      </c>
      <c r="AZ46" s="80">
        <f t="shared" si="357"/>
        <v>-184</v>
      </c>
      <c r="BA46" s="80">
        <f t="shared" si="357"/>
        <v>-88</v>
      </c>
      <c r="BB46" s="28">
        <f t="shared" si="357"/>
        <v>0</v>
      </c>
    </row>
    <row r="47">
      <c r="A47" s="250">
        <f t="shared" si="19"/>
        <v>45</v>
      </c>
      <c r="B47" s="250">
        <f>B46-8</f>
        <v>70</v>
      </c>
      <c r="C47" s="250">
        <f t="shared" ref="C47:D47" si="358">C46+8</f>
        <v>-698</v>
      </c>
      <c r="D47" s="250">
        <f t="shared" si="358"/>
        <v>242</v>
      </c>
      <c r="E47" s="250">
        <f>E46-8</f>
        <v>386</v>
      </c>
      <c r="F47" s="248">
        <f t="shared" ref="F47:K47" si="359">R47</f>
        <v>0</v>
      </c>
      <c r="G47" s="249" t="str">
        <f t="shared" si="359"/>
        <v>10 alm</v>
      </c>
      <c r="H47" s="249" t="str">
        <f t="shared" si="359"/>
        <v>Thomas</v>
      </c>
      <c r="I47" s="249" t="str">
        <f t="shared" si="359"/>
        <v>Christian</v>
      </c>
      <c r="J47" s="249" t="str">
        <f t="shared" si="359"/>
        <v>Thomas</v>
      </c>
      <c r="K47" s="248" t="str">
        <f t="shared" si="359"/>
        <v>DEL 3</v>
      </c>
      <c r="L47" s="56"/>
      <c r="M47" s="250">
        <f t="shared" si="21"/>
        <v>45</v>
      </c>
      <c r="N47" s="250">
        <f>N46-8</f>
        <v>70</v>
      </c>
      <c r="O47" s="250">
        <f t="shared" ref="O47:P47" si="360">O46+8</f>
        <v>-698</v>
      </c>
      <c r="P47" s="250">
        <f t="shared" si="360"/>
        <v>242</v>
      </c>
      <c r="Q47" s="250">
        <f>Q46-8</f>
        <v>386</v>
      </c>
      <c r="R47" s="250">
        <f t="shared" si="78"/>
        <v>0</v>
      </c>
      <c r="S47" s="247" t="s">
        <v>314</v>
      </c>
      <c r="T47" s="247" t="s">
        <v>7</v>
      </c>
      <c r="U47" s="247" t="s">
        <v>10</v>
      </c>
      <c r="V47" s="247" t="s">
        <v>7</v>
      </c>
      <c r="W47" s="25" t="s">
        <v>457</v>
      </c>
      <c r="X47" s="56"/>
      <c r="AA47" s="80">
        <f t="shared" ref="AA47:AD47" si="361">N47-N46</f>
        <v>-8</v>
      </c>
      <c r="AB47" s="80">
        <f t="shared" si="361"/>
        <v>8</v>
      </c>
      <c r="AC47" s="80">
        <f t="shared" si="361"/>
        <v>8</v>
      </c>
      <c r="AD47" s="80">
        <f t="shared" si="361"/>
        <v>-8</v>
      </c>
      <c r="AG47" s="28">
        <f t="shared" ref="AG47:AJ47" si="362">if(AA47&gt;0,1+AG46,0)</f>
        <v>0</v>
      </c>
      <c r="AH47" s="28">
        <f t="shared" si="362"/>
        <v>1</v>
      </c>
      <c r="AI47" s="28">
        <f t="shared" si="362"/>
        <v>1</v>
      </c>
      <c r="AJ47" s="28">
        <f t="shared" si="362"/>
        <v>0</v>
      </c>
      <c r="AM47" s="28">
        <f t="shared" ref="AM47:AP47" si="363">if(AA47&lt;0,1+AM46,0)</f>
        <v>1</v>
      </c>
      <c r="AN47" s="28">
        <f t="shared" si="363"/>
        <v>0</v>
      </c>
      <c r="AO47" s="28">
        <f t="shared" si="363"/>
        <v>0</v>
      </c>
      <c r="AP47" s="28">
        <f t="shared" si="363"/>
        <v>1</v>
      </c>
      <c r="AS47" s="78">
        <f t="shared" ref="AS47:AV47" si="364">if(AA47&gt;0,AA47+AS45,0)</f>
        <v>0</v>
      </c>
      <c r="AT47" s="251">
        <f t="shared" si="364"/>
        <v>8</v>
      </c>
      <c r="AU47" s="251">
        <f t="shared" si="364"/>
        <v>8</v>
      </c>
      <c r="AV47" s="78">
        <f t="shared" si="364"/>
        <v>0</v>
      </c>
      <c r="AY47" s="80">
        <f t="shared" ref="AY47:BB47" si="365">if(AA47&lt;0,AA47+AY45,0)</f>
        <v>-12</v>
      </c>
      <c r="AZ47" s="28">
        <f t="shared" si="365"/>
        <v>0</v>
      </c>
      <c r="BA47" s="28">
        <f t="shared" si="365"/>
        <v>0</v>
      </c>
      <c r="BB47" s="80">
        <f t="shared" si="365"/>
        <v>-8</v>
      </c>
    </row>
    <row r="48">
      <c r="A48" s="250">
        <f t="shared" si="19"/>
        <v>46</v>
      </c>
      <c r="B48" s="250">
        <f>B47+16</f>
        <v>86</v>
      </c>
      <c r="C48" s="250">
        <f t="shared" ref="C48:D48" si="366">C47-16</f>
        <v>-714</v>
      </c>
      <c r="D48" s="250">
        <f t="shared" si="366"/>
        <v>226</v>
      </c>
      <c r="E48" s="250">
        <f>E47+16</f>
        <v>402</v>
      </c>
      <c r="F48" s="248">
        <f t="shared" ref="F48:K48" si="367">R48</f>
        <v>0</v>
      </c>
      <c r="G48" s="249" t="str">
        <f t="shared" si="367"/>
        <v>11 alm</v>
      </c>
      <c r="H48" s="249" t="str">
        <f t="shared" si="367"/>
        <v>Christian</v>
      </c>
      <c r="I48" s="249" t="str">
        <f t="shared" si="367"/>
        <v>Thomas</v>
      </c>
      <c r="J48" s="249" t="str">
        <f t="shared" si="367"/>
        <v>Christian</v>
      </c>
      <c r="K48" s="248" t="str">
        <f t="shared" si="367"/>
        <v>DEL 3</v>
      </c>
      <c r="L48" s="56"/>
      <c r="M48" s="250">
        <f t="shared" si="21"/>
        <v>46</v>
      </c>
      <c r="N48" s="250">
        <f>N47+16</f>
        <v>86</v>
      </c>
      <c r="O48" s="250">
        <f t="shared" ref="O48:P48" si="368">O47-16</f>
        <v>-714</v>
      </c>
      <c r="P48" s="250">
        <f t="shared" si="368"/>
        <v>226</v>
      </c>
      <c r="Q48" s="250">
        <f>Q47+16</f>
        <v>402</v>
      </c>
      <c r="R48" s="250">
        <f t="shared" si="78"/>
        <v>0</v>
      </c>
      <c r="S48" s="247" t="s">
        <v>375</v>
      </c>
      <c r="T48" s="247" t="s">
        <v>10</v>
      </c>
      <c r="U48" s="247" t="s">
        <v>7</v>
      </c>
      <c r="V48" s="247" t="s">
        <v>10</v>
      </c>
      <c r="W48" s="25" t="s">
        <v>457</v>
      </c>
      <c r="X48" s="56"/>
      <c r="AA48" s="80">
        <f t="shared" ref="AA48:AD48" si="369">N48-N47</f>
        <v>16</v>
      </c>
      <c r="AB48" s="80">
        <f t="shared" si="369"/>
        <v>-16</v>
      </c>
      <c r="AC48" s="80">
        <f t="shared" si="369"/>
        <v>-16</v>
      </c>
      <c r="AD48" s="80">
        <f t="shared" si="369"/>
        <v>16</v>
      </c>
      <c r="AG48" s="28">
        <f t="shared" ref="AG48:AJ48" si="370">if(AA48&gt;0,1+AG47,0)</f>
        <v>1</v>
      </c>
      <c r="AH48" s="28">
        <f t="shared" si="370"/>
        <v>0</v>
      </c>
      <c r="AI48" s="28">
        <f t="shared" si="370"/>
        <v>0</v>
      </c>
      <c r="AJ48" s="28">
        <f t="shared" si="370"/>
        <v>1</v>
      </c>
      <c r="AM48" s="28">
        <f t="shared" ref="AM48:AP48" si="371">if(AA48&lt;0,1+AM47,0)</f>
        <v>0</v>
      </c>
      <c r="AN48" s="28">
        <f t="shared" si="371"/>
        <v>1</v>
      </c>
      <c r="AO48" s="28">
        <f t="shared" si="371"/>
        <v>1</v>
      </c>
      <c r="AP48" s="28">
        <f t="shared" si="371"/>
        <v>0</v>
      </c>
      <c r="AS48" s="251">
        <f t="shared" ref="AS48:AV48" si="372">if(AA48&gt;0,AA48+AS46,0)</f>
        <v>104</v>
      </c>
      <c r="AT48" s="78">
        <f t="shared" si="372"/>
        <v>0</v>
      </c>
      <c r="AU48" s="78">
        <f t="shared" si="372"/>
        <v>0</v>
      </c>
      <c r="AV48" s="251">
        <f t="shared" si="372"/>
        <v>200</v>
      </c>
      <c r="AY48" s="28">
        <f t="shared" ref="AY48:BB48" si="373">if(AA48&lt;0,AA48+AY46,0)</f>
        <v>0</v>
      </c>
      <c r="AZ48" s="80">
        <f t="shared" si="373"/>
        <v>-200</v>
      </c>
      <c r="BA48" s="80">
        <f t="shared" si="373"/>
        <v>-104</v>
      </c>
      <c r="BB48" s="28">
        <f t="shared" si="373"/>
        <v>0</v>
      </c>
    </row>
    <row r="49">
      <c r="A49" s="250">
        <f t="shared" si="19"/>
        <v>47</v>
      </c>
      <c r="B49" s="250">
        <f t="shared" ref="B49:D49" si="374">B48+8</f>
        <v>94</v>
      </c>
      <c r="C49" s="250">
        <f t="shared" si="374"/>
        <v>-706</v>
      </c>
      <c r="D49" s="250">
        <f t="shared" si="374"/>
        <v>234</v>
      </c>
      <c r="E49" s="250">
        <f>E48-24</f>
        <v>378</v>
      </c>
      <c r="F49" s="248">
        <f t="shared" ref="F49:K49" si="375">R49</f>
        <v>0</v>
      </c>
      <c r="G49" s="249" t="str">
        <f t="shared" si="375"/>
        <v>ren sol</v>
      </c>
      <c r="H49" s="249" t="str">
        <f t="shared" si="375"/>
        <v>Christian</v>
      </c>
      <c r="I49" s="249" t="str">
        <f t="shared" si="375"/>
        <v/>
      </c>
      <c r="J49" s="249" t="str">
        <f t="shared" si="375"/>
        <v>Janus</v>
      </c>
      <c r="K49" s="248" t="str">
        <f t="shared" si="375"/>
        <v>DEL 3</v>
      </c>
      <c r="L49" s="56"/>
      <c r="M49" s="250">
        <f t="shared" si="21"/>
        <v>47</v>
      </c>
      <c r="N49" s="250">
        <f t="shared" ref="N49:P49" si="376">N48+8</f>
        <v>94</v>
      </c>
      <c r="O49" s="250">
        <f t="shared" si="376"/>
        <v>-706</v>
      </c>
      <c r="P49" s="250">
        <f t="shared" si="376"/>
        <v>234</v>
      </c>
      <c r="Q49" s="250">
        <f>Q48-24</f>
        <v>378</v>
      </c>
      <c r="R49" s="250">
        <f t="shared" si="78"/>
        <v>0</v>
      </c>
      <c r="S49" s="247" t="s">
        <v>140</v>
      </c>
      <c r="T49" s="247" t="s">
        <v>10</v>
      </c>
      <c r="U49" s="247"/>
      <c r="V49" s="247" t="s">
        <v>9</v>
      </c>
      <c r="W49" s="25" t="s">
        <v>457</v>
      </c>
      <c r="X49" s="56"/>
      <c r="AA49" s="80">
        <f t="shared" ref="AA49:AD49" si="377">N49-N48</f>
        <v>8</v>
      </c>
      <c r="AB49" s="80">
        <f t="shared" si="377"/>
        <v>8</v>
      </c>
      <c r="AC49" s="80">
        <f t="shared" si="377"/>
        <v>8</v>
      </c>
      <c r="AD49" s="80">
        <f t="shared" si="377"/>
        <v>-24</v>
      </c>
      <c r="AG49" s="28">
        <f t="shared" ref="AG49:AJ49" si="378">if(AA49&gt;0,1+AG48,0)</f>
        <v>2</v>
      </c>
      <c r="AH49" s="28">
        <f t="shared" si="378"/>
        <v>1</v>
      </c>
      <c r="AI49" s="28">
        <f t="shared" si="378"/>
        <v>1</v>
      </c>
      <c r="AJ49" s="28">
        <f t="shared" si="378"/>
        <v>0</v>
      </c>
      <c r="AM49" s="28">
        <f t="shared" ref="AM49:AP49" si="379">if(AA49&lt;0,1+AM48,0)</f>
        <v>0</v>
      </c>
      <c r="AN49" s="28">
        <f t="shared" si="379"/>
        <v>0</v>
      </c>
      <c r="AO49" s="28">
        <f t="shared" si="379"/>
        <v>0</v>
      </c>
      <c r="AP49" s="28">
        <f t="shared" si="379"/>
        <v>1</v>
      </c>
      <c r="AS49" s="251">
        <f t="shared" ref="AS49:AV49" si="380">if(AA49&gt;0,AA49+AS47,0)</f>
        <v>8</v>
      </c>
      <c r="AT49" s="251">
        <f t="shared" si="380"/>
        <v>16</v>
      </c>
      <c r="AU49" s="251">
        <f t="shared" si="380"/>
        <v>16</v>
      </c>
      <c r="AV49" s="78">
        <f t="shared" si="380"/>
        <v>0</v>
      </c>
      <c r="AY49" s="28">
        <f t="shared" ref="AY49:BB49" si="381">if(AA49&lt;0,AA49+AY47,0)</f>
        <v>0</v>
      </c>
      <c r="AZ49" s="28">
        <f t="shared" si="381"/>
        <v>0</v>
      </c>
      <c r="BA49" s="28">
        <f t="shared" si="381"/>
        <v>0</v>
      </c>
      <c r="BB49" s="80">
        <f t="shared" si="381"/>
        <v>-32</v>
      </c>
    </row>
    <row r="50">
      <c r="A50" s="250">
        <f t="shared" si="19"/>
        <v>48</v>
      </c>
      <c r="B50" s="250">
        <f t="shared" ref="B50:C50" si="382">B49+40</f>
        <v>134</v>
      </c>
      <c r="C50" s="250">
        <f t="shared" si="382"/>
        <v>-666</v>
      </c>
      <c r="D50" s="250">
        <f t="shared" ref="D50:E50" si="383">D49-40</f>
        <v>194</v>
      </c>
      <c r="E50" s="250">
        <f t="shared" si="383"/>
        <v>338</v>
      </c>
      <c r="F50" s="248">
        <f t="shared" ref="F50:K50" si="384">R50</f>
        <v>0</v>
      </c>
      <c r="G50" s="249" t="str">
        <f t="shared" si="384"/>
        <v>10 alm (storslem)</v>
      </c>
      <c r="H50" s="249" t="str">
        <f t="shared" si="384"/>
        <v>Peter</v>
      </c>
      <c r="I50" s="249" t="str">
        <f t="shared" si="384"/>
        <v>Thomas</v>
      </c>
      <c r="J50" s="249" t="str">
        <f t="shared" si="384"/>
        <v>Peter</v>
      </c>
      <c r="K50" s="248" t="str">
        <f t="shared" si="384"/>
        <v>DEL 3</v>
      </c>
      <c r="L50" s="56"/>
      <c r="M50" s="250">
        <f t="shared" si="21"/>
        <v>48</v>
      </c>
      <c r="N50" s="250">
        <f t="shared" ref="N50:O50" si="385">N49+40</f>
        <v>134</v>
      </c>
      <c r="O50" s="250">
        <f t="shared" si="385"/>
        <v>-666</v>
      </c>
      <c r="P50" s="250">
        <f t="shared" ref="P50:Q50" si="386">P49-40</f>
        <v>194</v>
      </c>
      <c r="Q50" s="250">
        <f t="shared" si="386"/>
        <v>338</v>
      </c>
      <c r="R50" s="250">
        <f t="shared" si="78"/>
        <v>0</v>
      </c>
      <c r="S50" s="247" t="s">
        <v>462</v>
      </c>
      <c r="T50" s="247" t="s">
        <v>8</v>
      </c>
      <c r="U50" s="247" t="s">
        <v>7</v>
      </c>
      <c r="V50" s="247" t="s">
        <v>8</v>
      </c>
      <c r="W50" s="25" t="s">
        <v>457</v>
      </c>
      <c r="X50" s="56"/>
      <c r="AA50" s="80">
        <f t="shared" ref="AA50:AD50" si="387">N50-N49</f>
        <v>40</v>
      </c>
      <c r="AB50" s="80">
        <f t="shared" si="387"/>
        <v>40</v>
      </c>
      <c r="AC50" s="80">
        <f t="shared" si="387"/>
        <v>-40</v>
      </c>
      <c r="AD50" s="80">
        <f t="shared" si="387"/>
        <v>-40</v>
      </c>
      <c r="AG50" s="28">
        <f t="shared" ref="AG50:AJ50" si="388">if(AA50&gt;0,1+AG49,0)</f>
        <v>3</v>
      </c>
      <c r="AH50" s="28">
        <f t="shared" si="388"/>
        <v>2</v>
      </c>
      <c r="AI50" s="28">
        <f t="shared" si="388"/>
        <v>0</v>
      </c>
      <c r="AJ50" s="28">
        <f t="shared" si="388"/>
        <v>0</v>
      </c>
      <c r="AM50" s="28">
        <f t="shared" ref="AM50:AP50" si="389">if(AA50&lt;0,1+AM49,0)</f>
        <v>0</v>
      </c>
      <c r="AN50" s="28">
        <f t="shared" si="389"/>
        <v>0</v>
      </c>
      <c r="AO50" s="28">
        <f t="shared" si="389"/>
        <v>1</v>
      </c>
      <c r="AP50" s="28">
        <f t="shared" si="389"/>
        <v>2</v>
      </c>
      <c r="AS50" s="251">
        <f t="shared" ref="AS50:AV50" si="390">if(AA50&gt;0,AA50+AS48,0)</f>
        <v>144</v>
      </c>
      <c r="AT50" s="251">
        <f t="shared" si="390"/>
        <v>40</v>
      </c>
      <c r="AU50" s="78">
        <f t="shared" si="390"/>
        <v>0</v>
      </c>
      <c r="AV50" s="78">
        <f t="shared" si="390"/>
        <v>0</v>
      </c>
      <c r="AY50" s="28">
        <f t="shared" ref="AY50:BB50" si="391">if(AA50&lt;0,AA50+AY48,0)</f>
        <v>0</v>
      </c>
      <c r="AZ50" s="28">
        <f t="shared" si="391"/>
        <v>0</v>
      </c>
      <c r="BA50" s="80">
        <f t="shared" si="391"/>
        <v>-144</v>
      </c>
      <c r="BB50" s="80">
        <f t="shared" si="391"/>
        <v>-40</v>
      </c>
    </row>
    <row r="51">
      <c r="A51" s="250">
        <f t="shared" si="19"/>
        <v>49</v>
      </c>
      <c r="B51" s="250">
        <f t="shared" ref="B51:C51" si="392">B50-32</f>
        <v>102</v>
      </c>
      <c r="C51" s="250">
        <f t="shared" si="392"/>
        <v>-698</v>
      </c>
      <c r="D51" s="250">
        <f t="shared" ref="D51:E51" si="393">D50+32</f>
        <v>226</v>
      </c>
      <c r="E51" s="250">
        <f t="shared" si="393"/>
        <v>370</v>
      </c>
      <c r="F51" s="248">
        <f t="shared" ref="F51:K51" si="394">R51</f>
        <v>0</v>
      </c>
      <c r="G51" s="249" t="str">
        <f t="shared" si="394"/>
        <v>10 gode</v>
      </c>
      <c r="H51" s="249" t="str">
        <f t="shared" si="394"/>
        <v>Thomas</v>
      </c>
      <c r="I51" s="249" t="str">
        <f t="shared" si="394"/>
        <v>Peter</v>
      </c>
      <c r="J51" s="249" t="str">
        <f t="shared" si="394"/>
        <v>Thomas</v>
      </c>
      <c r="K51" s="248" t="str">
        <f t="shared" si="394"/>
        <v>DEL 3</v>
      </c>
      <c r="L51" s="56"/>
      <c r="M51" s="250">
        <f t="shared" si="21"/>
        <v>49</v>
      </c>
      <c r="N51" s="250">
        <f t="shared" ref="N51:O51" si="395">N50-32</f>
        <v>102</v>
      </c>
      <c r="O51" s="250">
        <f t="shared" si="395"/>
        <v>-698</v>
      </c>
      <c r="P51" s="250">
        <f t="shared" ref="P51:Q51" si="396">P50+32</f>
        <v>226</v>
      </c>
      <c r="Q51" s="250">
        <f t="shared" si="396"/>
        <v>370</v>
      </c>
      <c r="R51" s="250">
        <f t="shared" si="78"/>
        <v>0</v>
      </c>
      <c r="S51" s="247" t="s">
        <v>308</v>
      </c>
      <c r="T51" s="247" t="s">
        <v>7</v>
      </c>
      <c r="U51" s="247" t="s">
        <v>8</v>
      </c>
      <c r="V51" s="247" t="s">
        <v>7</v>
      </c>
      <c r="W51" s="25" t="s">
        <v>457</v>
      </c>
      <c r="X51" s="56"/>
      <c r="AA51" s="80">
        <f t="shared" ref="AA51:AD51" si="397">N51-N50</f>
        <v>-32</v>
      </c>
      <c r="AB51" s="80">
        <f t="shared" si="397"/>
        <v>-32</v>
      </c>
      <c r="AC51" s="80">
        <f t="shared" si="397"/>
        <v>32</v>
      </c>
      <c r="AD51" s="80">
        <f t="shared" si="397"/>
        <v>32</v>
      </c>
      <c r="AG51" s="28">
        <f t="shared" ref="AG51:AJ51" si="398">if(AA51&gt;0,1+AG50,0)</f>
        <v>0</v>
      </c>
      <c r="AH51" s="28">
        <f t="shared" si="398"/>
        <v>0</v>
      </c>
      <c r="AI51" s="28">
        <f t="shared" si="398"/>
        <v>1</v>
      </c>
      <c r="AJ51" s="28">
        <f t="shared" si="398"/>
        <v>1</v>
      </c>
      <c r="AM51" s="28">
        <f t="shared" ref="AM51:AP51" si="399">if(AA51&lt;0,1+AM50,0)</f>
        <v>1</v>
      </c>
      <c r="AN51" s="28">
        <f t="shared" si="399"/>
        <v>1</v>
      </c>
      <c r="AO51" s="28">
        <f t="shared" si="399"/>
        <v>0</v>
      </c>
      <c r="AP51" s="28">
        <f t="shared" si="399"/>
        <v>0</v>
      </c>
      <c r="AS51" s="78">
        <f t="shared" ref="AS51:AV51" si="400">if(AA51&gt;0,AA51+AS49,0)</f>
        <v>0</v>
      </c>
      <c r="AT51" s="78">
        <f t="shared" si="400"/>
        <v>0</v>
      </c>
      <c r="AU51" s="251">
        <f t="shared" si="400"/>
        <v>48</v>
      </c>
      <c r="AV51" s="251">
        <f t="shared" si="400"/>
        <v>32</v>
      </c>
      <c r="AY51" s="80">
        <f t="shared" ref="AY51:BB51" si="401">if(AA51&lt;0,AA51+AY49,0)</f>
        <v>-32</v>
      </c>
      <c r="AZ51" s="80">
        <f t="shared" si="401"/>
        <v>-32</v>
      </c>
      <c r="BA51" s="28">
        <f t="shared" si="401"/>
        <v>0</v>
      </c>
      <c r="BB51" s="28">
        <f t="shared" si="401"/>
        <v>0</v>
      </c>
    </row>
    <row r="52">
      <c r="A52" s="250">
        <f t="shared" si="19"/>
        <v>50</v>
      </c>
      <c r="B52" s="250">
        <f>B51-3*24</f>
        <v>30</v>
      </c>
      <c r="C52" s="250">
        <f t="shared" ref="C52:E52" si="402">C51+24</f>
        <v>-674</v>
      </c>
      <c r="D52" s="250">
        <f t="shared" si="402"/>
        <v>250</v>
      </c>
      <c r="E52" s="250">
        <f t="shared" si="402"/>
        <v>394</v>
      </c>
      <c r="F52" s="248">
        <f t="shared" ref="F52:K52" si="403">R52</f>
        <v>0</v>
      </c>
      <c r="G52" s="249" t="str">
        <f t="shared" si="403"/>
        <v>10 alm (duefejl</v>
      </c>
      <c r="H52" s="249" t="str">
        <f t="shared" si="403"/>
        <v>Thomas</v>
      </c>
      <c r="I52" s="249" t="str">
        <f t="shared" si="403"/>
        <v>Janus</v>
      </c>
      <c r="J52" s="249" t="str">
        <f t="shared" si="403"/>
        <v>Christian</v>
      </c>
      <c r="K52" s="248" t="str">
        <f t="shared" si="403"/>
        <v>DEL 3</v>
      </c>
      <c r="L52" s="56"/>
      <c r="M52" s="250">
        <f t="shared" si="21"/>
        <v>50</v>
      </c>
      <c r="N52" s="250">
        <f>N51-3*24</f>
        <v>30</v>
      </c>
      <c r="O52" s="250">
        <f t="shared" ref="O52:Q52" si="404">O51+24</f>
        <v>-674</v>
      </c>
      <c r="P52" s="250">
        <f t="shared" si="404"/>
        <v>250</v>
      </c>
      <c r="Q52" s="250">
        <f t="shared" si="404"/>
        <v>394</v>
      </c>
      <c r="R52" s="250">
        <f t="shared" si="78"/>
        <v>0</v>
      </c>
      <c r="S52" s="247" t="s">
        <v>463</v>
      </c>
      <c r="T52" s="247" t="s">
        <v>7</v>
      </c>
      <c r="U52" s="247" t="s">
        <v>9</v>
      </c>
      <c r="V52" s="247" t="s">
        <v>10</v>
      </c>
      <c r="W52" s="25" t="s">
        <v>457</v>
      </c>
      <c r="X52" s="56"/>
      <c r="AA52" s="80">
        <f t="shared" ref="AA52:AD52" si="405">N52-N51</f>
        <v>-72</v>
      </c>
      <c r="AB52" s="80">
        <f t="shared" si="405"/>
        <v>24</v>
      </c>
      <c r="AC52" s="80">
        <f t="shared" si="405"/>
        <v>24</v>
      </c>
      <c r="AD52" s="80">
        <f t="shared" si="405"/>
        <v>24</v>
      </c>
      <c r="AG52" s="28">
        <f t="shared" ref="AG52:AJ52" si="406">if(AA52&gt;0,1+AG51,0)</f>
        <v>0</v>
      </c>
      <c r="AH52" s="28">
        <f t="shared" si="406"/>
        <v>1</v>
      </c>
      <c r="AI52" s="28">
        <f t="shared" si="406"/>
        <v>2</v>
      </c>
      <c r="AJ52" s="28">
        <f t="shared" si="406"/>
        <v>2</v>
      </c>
      <c r="AM52" s="28">
        <f t="shared" ref="AM52:AP52" si="407">if(AA52&lt;0,1+AM51,0)</f>
        <v>2</v>
      </c>
      <c r="AN52" s="28">
        <f t="shared" si="407"/>
        <v>0</v>
      </c>
      <c r="AO52" s="28">
        <f t="shared" si="407"/>
        <v>0</v>
      </c>
      <c r="AP52" s="28">
        <f t="shared" si="407"/>
        <v>0</v>
      </c>
      <c r="AS52" s="78">
        <f t="shared" ref="AS52:AV52" si="408">if(AA52&gt;0,AA52+AS50,0)</f>
        <v>0</v>
      </c>
      <c r="AT52" s="251">
        <f t="shared" si="408"/>
        <v>64</v>
      </c>
      <c r="AU52" s="251">
        <f t="shared" si="408"/>
        <v>24</v>
      </c>
      <c r="AV52" s="251">
        <f t="shared" si="408"/>
        <v>24</v>
      </c>
      <c r="AY52" s="80">
        <f t="shared" ref="AY52:BB52" si="409">if(AA52&lt;0,AA52+AY50,0)</f>
        <v>-72</v>
      </c>
      <c r="AZ52" s="28">
        <f t="shared" si="409"/>
        <v>0</v>
      </c>
      <c r="BA52" s="28">
        <f t="shared" si="409"/>
        <v>0</v>
      </c>
      <c r="BB52" s="28">
        <f t="shared" si="409"/>
        <v>0</v>
      </c>
    </row>
    <row r="53">
      <c r="A53" s="250">
        <f t="shared" si="19"/>
        <v>51</v>
      </c>
      <c r="B53" s="250">
        <f>B52-16</f>
        <v>14</v>
      </c>
      <c r="C53" s="250">
        <f>C52+48</f>
        <v>-626</v>
      </c>
      <c r="D53" s="250">
        <f t="shared" ref="D53:E53" si="410">D52-16</f>
        <v>234</v>
      </c>
      <c r="E53" s="250">
        <f t="shared" si="410"/>
        <v>378</v>
      </c>
      <c r="F53" s="248">
        <f t="shared" ref="F53:K53" si="411">R53</f>
        <v>0</v>
      </c>
      <c r="G53" s="249" t="str">
        <f t="shared" si="411"/>
        <v>Halv bordlægger</v>
      </c>
      <c r="H53" s="249" t="str">
        <f t="shared" si="411"/>
        <v>Peter</v>
      </c>
      <c r="I53" s="249" t="str">
        <f t="shared" si="411"/>
        <v/>
      </c>
      <c r="J53" s="249" t="str">
        <f t="shared" si="411"/>
        <v>Janus</v>
      </c>
      <c r="K53" s="248" t="str">
        <f t="shared" si="411"/>
        <v>DEL 3</v>
      </c>
      <c r="L53" s="56"/>
      <c r="M53" s="250">
        <f t="shared" si="21"/>
        <v>51</v>
      </c>
      <c r="N53" s="250">
        <f>N52-16</f>
        <v>14</v>
      </c>
      <c r="O53" s="250">
        <f>O52+48</f>
        <v>-626</v>
      </c>
      <c r="P53" s="250">
        <f t="shared" ref="P53:Q53" si="412">P52-16</f>
        <v>234</v>
      </c>
      <c r="Q53" s="250">
        <f t="shared" si="412"/>
        <v>378</v>
      </c>
      <c r="R53" s="250">
        <f t="shared" si="78"/>
        <v>0</v>
      </c>
      <c r="S53" s="247" t="s">
        <v>101</v>
      </c>
      <c r="T53" s="247" t="s">
        <v>8</v>
      </c>
      <c r="U53" s="247"/>
      <c r="V53" s="247" t="s">
        <v>9</v>
      </c>
      <c r="W53" s="25" t="s">
        <v>457</v>
      </c>
      <c r="X53" s="56"/>
      <c r="AA53" s="80">
        <f t="shared" ref="AA53:AD53" si="413">N53-N52</f>
        <v>-16</v>
      </c>
      <c r="AB53" s="80">
        <f t="shared" si="413"/>
        <v>48</v>
      </c>
      <c r="AC53" s="80">
        <f t="shared" si="413"/>
        <v>-16</v>
      </c>
      <c r="AD53" s="80">
        <f t="shared" si="413"/>
        <v>-16</v>
      </c>
      <c r="AG53" s="28">
        <f t="shared" ref="AG53:AJ53" si="414">if(AA53&gt;0,1+AG52,0)</f>
        <v>0</v>
      </c>
      <c r="AH53" s="28">
        <f t="shared" si="414"/>
        <v>2</v>
      </c>
      <c r="AI53" s="28">
        <f t="shared" si="414"/>
        <v>0</v>
      </c>
      <c r="AJ53" s="28">
        <f t="shared" si="414"/>
        <v>0</v>
      </c>
      <c r="AM53" s="28">
        <f t="shared" ref="AM53:AP53" si="415">if(AA53&lt;0,1+AM52,0)</f>
        <v>3</v>
      </c>
      <c r="AN53" s="28">
        <f t="shared" si="415"/>
        <v>0</v>
      </c>
      <c r="AO53" s="28">
        <f t="shared" si="415"/>
        <v>1</v>
      </c>
      <c r="AP53" s="28">
        <f t="shared" si="415"/>
        <v>1</v>
      </c>
      <c r="AS53" s="78">
        <f t="shared" ref="AS53:AV53" si="416">if(AA53&gt;0,AA53+AS51,0)</f>
        <v>0</v>
      </c>
      <c r="AT53" s="251">
        <f t="shared" si="416"/>
        <v>48</v>
      </c>
      <c r="AU53" s="78">
        <f t="shared" si="416"/>
        <v>0</v>
      </c>
      <c r="AV53" s="78">
        <f t="shared" si="416"/>
        <v>0</v>
      </c>
      <c r="AY53" s="80">
        <f t="shared" ref="AY53:BB53" si="417">if(AA53&lt;0,AA53+AY51,0)</f>
        <v>-48</v>
      </c>
      <c r="AZ53" s="28">
        <f t="shared" si="417"/>
        <v>0</v>
      </c>
      <c r="BA53" s="80">
        <f t="shared" si="417"/>
        <v>-16</v>
      </c>
      <c r="BB53" s="80">
        <f t="shared" si="417"/>
        <v>-16</v>
      </c>
    </row>
    <row r="54">
      <c r="A54" s="250">
        <f t="shared" si="19"/>
        <v>52</v>
      </c>
      <c r="B54" s="250">
        <f t="shared" ref="B54:D54" si="418">B53+8</f>
        <v>22</v>
      </c>
      <c r="C54" s="250">
        <f t="shared" si="418"/>
        <v>-618</v>
      </c>
      <c r="D54" s="250">
        <f t="shared" si="418"/>
        <v>242</v>
      </c>
      <c r="E54" s="250">
        <f>E53-24</f>
        <v>354</v>
      </c>
      <c r="F54" s="248">
        <f t="shared" ref="F54:K54" si="419">R54</f>
        <v>0</v>
      </c>
      <c r="G54" s="249" t="str">
        <f t="shared" si="419"/>
        <v>9 alm</v>
      </c>
      <c r="H54" s="249" t="str">
        <f t="shared" si="419"/>
        <v>Christian</v>
      </c>
      <c r="I54" s="249" t="str">
        <f t="shared" si="419"/>
        <v/>
      </c>
      <c r="J54" s="249" t="str">
        <f t="shared" si="419"/>
        <v>Peter</v>
      </c>
      <c r="K54" s="248" t="str">
        <f t="shared" si="419"/>
        <v>DEL 3</v>
      </c>
      <c r="L54" s="56"/>
      <c r="M54" s="250">
        <f t="shared" si="21"/>
        <v>52</v>
      </c>
      <c r="N54" s="250">
        <f t="shared" ref="N54:P54" si="420">N53+8</f>
        <v>22</v>
      </c>
      <c r="O54" s="250">
        <f t="shared" si="420"/>
        <v>-618</v>
      </c>
      <c r="P54" s="250">
        <f t="shared" si="420"/>
        <v>242</v>
      </c>
      <c r="Q54" s="250">
        <f>Q53-24</f>
        <v>354</v>
      </c>
      <c r="R54" s="250">
        <f t="shared" si="78"/>
        <v>0</v>
      </c>
      <c r="S54" s="247" t="s">
        <v>345</v>
      </c>
      <c r="T54" s="247" t="s">
        <v>10</v>
      </c>
      <c r="U54" s="247"/>
      <c r="V54" s="247" t="s">
        <v>8</v>
      </c>
      <c r="W54" s="25" t="s">
        <v>457</v>
      </c>
      <c r="X54" s="56"/>
      <c r="AA54" s="80">
        <f t="shared" ref="AA54:AD54" si="421">N54-N53</f>
        <v>8</v>
      </c>
      <c r="AB54" s="80">
        <f t="shared" si="421"/>
        <v>8</v>
      </c>
      <c r="AC54" s="80">
        <f t="shared" si="421"/>
        <v>8</v>
      </c>
      <c r="AD54" s="80">
        <f t="shared" si="421"/>
        <v>-24</v>
      </c>
      <c r="AG54" s="28">
        <f t="shared" ref="AG54:AJ54" si="422">if(AA54&gt;0,1+AG53,0)</f>
        <v>1</v>
      </c>
      <c r="AH54" s="28">
        <f t="shared" si="422"/>
        <v>3</v>
      </c>
      <c r="AI54" s="28">
        <f t="shared" si="422"/>
        <v>1</v>
      </c>
      <c r="AJ54" s="28">
        <f t="shared" si="422"/>
        <v>0</v>
      </c>
      <c r="AM54" s="28">
        <f t="shared" ref="AM54:AP54" si="423">if(AA54&lt;0,1+AM53,0)</f>
        <v>0</v>
      </c>
      <c r="AN54" s="28">
        <f t="shared" si="423"/>
        <v>0</v>
      </c>
      <c r="AO54" s="28">
        <f t="shared" si="423"/>
        <v>0</v>
      </c>
      <c r="AP54" s="28">
        <f t="shared" si="423"/>
        <v>2</v>
      </c>
      <c r="AS54" s="251">
        <f t="shared" ref="AS54:AV54" si="424">if(AA54&gt;0,AA54+AS52,0)</f>
        <v>8</v>
      </c>
      <c r="AT54" s="251">
        <f t="shared" si="424"/>
        <v>72</v>
      </c>
      <c r="AU54" s="251">
        <f t="shared" si="424"/>
        <v>32</v>
      </c>
      <c r="AV54" s="78">
        <f t="shared" si="424"/>
        <v>0</v>
      </c>
      <c r="AY54" s="28">
        <f t="shared" ref="AY54:BB54" si="425">if(AA54&lt;0,AA54+AY52,0)</f>
        <v>0</v>
      </c>
      <c r="AZ54" s="28">
        <f t="shared" si="425"/>
        <v>0</v>
      </c>
      <c r="BA54" s="28">
        <f t="shared" si="425"/>
        <v>0</v>
      </c>
      <c r="BB54" s="80">
        <f t="shared" si="425"/>
        <v>-24</v>
      </c>
    </row>
    <row r="55">
      <c r="A55" s="250">
        <f t="shared" si="19"/>
        <v>53</v>
      </c>
      <c r="B55" s="250">
        <f>B54+12</f>
        <v>34</v>
      </c>
      <c r="C55" s="250">
        <f>C54-12</f>
        <v>-630</v>
      </c>
      <c r="D55" s="250">
        <f>D54+12</f>
        <v>254</v>
      </c>
      <c r="E55" s="250">
        <f>E54-12</f>
        <v>342</v>
      </c>
      <c r="F55" s="248">
        <f t="shared" ref="F55:K55" si="426">R55</f>
        <v>0</v>
      </c>
      <c r="G55" s="249" t="str">
        <f t="shared" si="426"/>
        <v>9 vip 1 </v>
      </c>
      <c r="H55" s="249" t="str">
        <f t="shared" si="426"/>
        <v>Thomas</v>
      </c>
      <c r="I55" s="249" t="str">
        <f t="shared" si="426"/>
        <v>Janus</v>
      </c>
      <c r="J55" s="249" t="str">
        <f t="shared" si="426"/>
        <v>Thomas</v>
      </c>
      <c r="K55" s="248" t="str">
        <f t="shared" si="426"/>
        <v>DEL 3</v>
      </c>
      <c r="L55" s="56"/>
      <c r="M55" s="250">
        <f t="shared" si="21"/>
        <v>53</v>
      </c>
      <c r="N55" s="250">
        <f>N54+12</f>
        <v>34</v>
      </c>
      <c r="O55" s="250">
        <f>O54-12</f>
        <v>-630</v>
      </c>
      <c r="P55" s="250">
        <f>P54+12</f>
        <v>254</v>
      </c>
      <c r="Q55" s="250">
        <f>Q54-12</f>
        <v>342</v>
      </c>
      <c r="R55" s="250">
        <f t="shared" si="78"/>
        <v>0</v>
      </c>
      <c r="S55" s="247" t="s">
        <v>464</v>
      </c>
      <c r="T55" s="247" t="s">
        <v>7</v>
      </c>
      <c r="U55" s="247" t="s">
        <v>9</v>
      </c>
      <c r="V55" s="247" t="s">
        <v>7</v>
      </c>
      <c r="W55" s="25" t="s">
        <v>457</v>
      </c>
      <c r="X55" s="56"/>
      <c r="AA55" s="80">
        <f t="shared" ref="AA55:AD55" si="427">N55-N54</f>
        <v>12</v>
      </c>
      <c r="AB55" s="80">
        <f t="shared" si="427"/>
        <v>-12</v>
      </c>
      <c r="AC55" s="80">
        <f t="shared" si="427"/>
        <v>12</v>
      </c>
      <c r="AD55" s="80">
        <f t="shared" si="427"/>
        <v>-12</v>
      </c>
      <c r="AG55" s="28">
        <f t="shared" ref="AG55:AJ55" si="428">if(AA55&gt;0,1+AG54,0)</f>
        <v>2</v>
      </c>
      <c r="AH55" s="28">
        <f t="shared" si="428"/>
        <v>0</v>
      </c>
      <c r="AI55" s="28">
        <f t="shared" si="428"/>
        <v>2</v>
      </c>
      <c r="AJ55" s="28">
        <f t="shared" si="428"/>
        <v>0</v>
      </c>
      <c r="AM55" s="28">
        <f t="shared" ref="AM55:AP55" si="429">if(AA55&lt;0,1+AM54,0)</f>
        <v>0</v>
      </c>
      <c r="AN55" s="28">
        <f t="shared" si="429"/>
        <v>1</v>
      </c>
      <c r="AO55" s="28">
        <f t="shared" si="429"/>
        <v>0</v>
      </c>
      <c r="AP55" s="28">
        <f t="shared" si="429"/>
        <v>3</v>
      </c>
      <c r="AS55" s="251">
        <f t="shared" ref="AS55:AV55" si="430">if(AA55&gt;0,AA55+AS53,0)</f>
        <v>12</v>
      </c>
      <c r="AT55" s="78">
        <f t="shared" si="430"/>
        <v>0</v>
      </c>
      <c r="AU55" s="251">
        <f t="shared" si="430"/>
        <v>12</v>
      </c>
      <c r="AV55" s="78">
        <f t="shared" si="430"/>
        <v>0</v>
      </c>
      <c r="AY55" s="28">
        <f t="shared" ref="AY55:BB55" si="431">if(AA55&lt;0,AA55+AY53,0)</f>
        <v>0</v>
      </c>
      <c r="AZ55" s="80">
        <f t="shared" si="431"/>
        <v>-12</v>
      </c>
      <c r="BA55" s="28">
        <f t="shared" si="431"/>
        <v>0</v>
      </c>
      <c r="BB55" s="80">
        <f t="shared" si="431"/>
        <v>-28</v>
      </c>
    </row>
    <row r="56">
      <c r="A56" s="250">
        <f t="shared" si="19"/>
        <v>54</v>
      </c>
      <c r="B56" s="250">
        <f>B55-8</f>
        <v>26</v>
      </c>
      <c r="C56" s="250">
        <f>C55+8</f>
        <v>-622</v>
      </c>
      <c r="D56" s="250">
        <f>D55-8</f>
        <v>246</v>
      </c>
      <c r="E56" s="250">
        <f>E55+8</f>
        <v>350</v>
      </c>
      <c r="F56" s="248">
        <f t="shared" ref="F56:K56" si="432">R56</f>
        <v>0</v>
      </c>
      <c r="G56" s="249" t="str">
        <f t="shared" si="432"/>
        <v>9 halve</v>
      </c>
      <c r="H56" s="249" t="str">
        <f t="shared" si="432"/>
        <v>Peter</v>
      </c>
      <c r="I56" s="249" t="str">
        <f t="shared" si="432"/>
        <v>Christian</v>
      </c>
      <c r="J56" s="249" t="str">
        <f t="shared" si="432"/>
        <v>Christian</v>
      </c>
      <c r="K56" s="248" t="str">
        <f t="shared" si="432"/>
        <v>DEL 3</v>
      </c>
      <c r="L56" s="56"/>
      <c r="M56" s="250">
        <f t="shared" si="21"/>
        <v>54</v>
      </c>
      <c r="N56" s="250">
        <f>N55-8</f>
        <v>26</v>
      </c>
      <c r="O56" s="250">
        <f>O55+8</f>
        <v>-622</v>
      </c>
      <c r="P56" s="250">
        <f>P55-8</f>
        <v>246</v>
      </c>
      <c r="Q56" s="250">
        <f>Q55+8</f>
        <v>350</v>
      </c>
      <c r="R56" s="250">
        <f t="shared" si="78"/>
        <v>0</v>
      </c>
      <c r="S56" s="247" t="s">
        <v>293</v>
      </c>
      <c r="T56" s="247" t="s">
        <v>8</v>
      </c>
      <c r="U56" s="247" t="s">
        <v>10</v>
      </c>
      <c r="V56" s="247" t="s">
        <v>10</v>
      </c>
      <c r="W56" s="25" t="s">
        <v>457</v>
      </c>
      <c r="X56" s="56"/>
      <c r="AA56" s="80">
        <f t="shared" ref="AA56:AD56" si="433">N56-N55</f>
        <v>-8</v>
      </c>
      <c r="AB56" s="80">
        <f t="shared" si="433"/>
        <v>8</v>
      </c>
      <c r="AC56" s="80">
        <f t="shared" si="433"/>
        <v>-8</v>
      </c>
      <c r="AD56" s="80">
        <f t="shared" si="433"/>
        <v>8</v>
      </c>
      <c r="AG56" s="28">
        <f t="shared" ref="AG56:AJ56" si="434">if(AA56&gt;0,1+AG55,0)</f>
        <v>0</v>
      </c>
      <c r="AH56" s="28">
        <f t="shared" si="434"/>
        <v>1</v>
      </c>
      <c r="AI56" s="28">
        <f t="shared" si="434"/>
        <v>0</v>
      </c>
      <c r="AJ56" s="28">
        <f t="shared" si="434"/>
        <v>1</v>
      </c>
      <c r="AM56" s="28">
        <f t="shared" ref="AM56:AP56" si="435">if(AA56&lt;0,1+AM55,0)</f>
        <v>1</v>
      </c>
      <c r="AN56" s="28">
        <f t="shared" si="435"/>
        <v>0</v>
      </c>
      <c r="AO56" s="28">
        <f t="shared" si="435"/>
        <v>1</v>
      </c>
      <c r="AP56" s="28">
        <f t="shared" si="435"/>
        <v>0</v>
      </c>
      <c r="AS56" s="78">
        <f t="shared" ref="AS56:AV56" si="436">if(AA56&gt;0,AA56+AS54,0)</f>
        <v>0</v>
      </c>
      <c r="AT56" s="251">
        <f t="shared" si="436"/>
        <v>80</v>
      </c>
      <c r="AU56" s="78">
        <f t="shared" si="436"/>
        <v>0</v>
      </c>
      <c r="AV56" s="251">
        <f t="shared" si="436"/>
        <v>8</v>
      </c>
      <c r="AY56" s="80">
        <f t="shared" ref="AY56:BB56" si="437">if(AA56&lt;0,AA56+AY54,0)</f>
        <v>-8</v>
      </c>
      <c r="AZ56" s="28">
        <f t="shared" si="437"/>
        <v>0</v>
      </c>
      <c r="BA56" s="80">
        <f t="shared" si="437"/>
        <v>-8</v>
      </c>
      <c r="BB56" s="28">
        <f t="shared" si="437"/>
        <v>0</v>
      </c>
    </row>
    <row r="57">
      <c r="A57" s="250">
        <f t="shared" si="19"/>
        <v>55</v>
      </c>
      <c r="B57" s="250">
        <f t="shared" ref="B57:C57" si="438">B56-48</f>
        <v>-22</v>
      </c>
      <c r="C57" s="250">
        <f t="shared" si="438"/>
        <v>-670</v>
      </c>
      <c r="D57" s="250">
        <f t="shared" ref="D57:E57" si="439">D56+48</f>
        <v>294</v>
      </c>
      <c r="E57" s="250">
        <f t="shared" si="439"/>
        <v>398</v>
      </c>
      <c r="F57" s="248">
        <f t="shared" ref="F57:K57" si="440">R57</f>
        <v>0</v>
      </c>
      <c r="G57" s="249" t="str">
        <f t="shared" si="440"/>
        <v>9 vip i 3</v>
      </c>
      <c r="H57" s="249" t="str">
        <f t="shared" si="440"/>
        <v>Thomas</v>
      </c>
      <c r="I57" s="249" t="str">
        <f t="shared" si="440"/>
        <v>Peter</v>
      </c>
      <c r="J57" s="249" t="str">
        <f t="shared" si="440"/>
        <v>Janus</v>
      </c>
      <c r="K57" s="248" t="str">
        <f t="shared" si="440"/>
        <v>DEL 3</v>
      </c>
      <c r="L57" s="56"/>
      <c r="M57" s="250">
        <f t="shared" si="21"/>
        <v>55</v>
      </c>
      <c r="N57" s="250">
        <f t="shared" ref="N57:O57" si="441">N56-48</f>
        <v>-22</v>
      </c>
      <c r="O57" s="250">
        <f t="shared" si="441"/>
        <v>-670</v>
      </c>
      <c r="P57" s="250">
        <f t="shared" ref="P57:Q57" si="442">P56+48</f>
        <v>294</v>
      </c>
      <c r="Q57" s="250">
        <f t="shared" si="442"/>
        <v>398</v>
      </c>
      <c r="R57" s="250">
        <f t="shared" si="78"/>
        <v>0</v>
      </c>
      <c r="S57" s="247" t="s">
        <v>357</v>
      </c>
      <c r="T57" s="247" t="s">
        <v>7</v>
      </c>
      <c r="U57" s="247" t="s">
        <v>8</v>
      </c>
      <c r="V57" s="247" t="s">
        <v>9</v>
      </c>
      <c r="W57" s="25" t="s">
        <v>457</v>
      </c>
      <c r="X57" s="56"/>
      <c r="AA57" s="80">
        <f t="shared" ref="AA57:AD57" si="443">N57-N56</f>
        <v>-48</v>
      </c>
      <c r="AB57" s="80">
        <f t="shared" si="443"/>
        <v>-48</v>
      </c>
      <c r="AC57" s="80">
        <f t="shared" si="443"/>
        <v>48</v>
      </c>
      <c r="AD57" s="80">
        <f t="shared" si="443"/>
        <v>48</v>
      </c>
      <c r="AG57" s="28">
        <f t="shared" ref="AG57:AJ57" si="444">if(AA57&gt;0,1+AG56,0)</f>
        <v>0</v>
      </c>
      <c r="AH57" s="28">
        <f t="shared" si="444"/>
        <v>0</v>
      </c>
      <c r="AI57" s="28">
        <f t="shared" si="444"/>
        <v>1</v>
      </c>
      <c r="AJ57" s="28">
        <f t="shared" si="444"/>
        <v>2</v>
      </c>
      <c r="AM57" s="28">
        <f t="shared" ref="AM57:AP57" si="445">if(AA57&lt;0,1+AM56,0)</f>
        <v>2</v>
      </c>
      <c r="AN57" s="28">
        <f t="shared" si="445"/>
        <v>1</v>
      </c>
      <c r="AO57" s="28">
        <f t="shared" si="445"/>
        <v>0</v>
      </c>
      <c r="AP57" s="28">
        <f t="shared" si="445"/>
        <v>0</v>
      </c>
      <c r="AS57" s="78">
        <f t="shared" ref="AS57:AV57" si="446">if(AA57&gt;0,AA57+AS55,0)</f>
        <v>0</v>
      </c>
      <c r="AT57" s="78">
        <f t="shared" si="446"/>
        <v>0</v>
      </c>
      <c r="AU57" s="251">
        <f t="shared" si="446"/>
        <v>60</v>
      </c>
      <c r="AV57" s="251">
        <f t="shared" si="446"/>
        <v>48</v>
      </c>
      <c r="AY57" s="80">
        <f t="shared" ref="AY57:BB57" si="447">if(AA57&lt;0,AA57+AY55,0)</f>
        <v>-48</v>
      </c>
      <c r="AZ57" s="80">
        <f t="shared" si="447"/>
        <v>-60</v>
      </c>
      <c r="BA57" s="28">
        <f t="shared" si="447"/>
        <v>0</v>
      </c>
      <c r="BB57" s="28">
        <f t="shared" si="447"/>
        <v>0</v>
      </c>
    </row>
    <row r="58">
      <c r="A58" s="272"/>
      <c r="B58" s="272"/>
      <c r="C58" s="272"/>
      <c r="D58" s="272"/>
      <c r="E58" s="272"/>
      <c r="F58" s="272"/>
      <c r="G58" s="273"/>
      <c r="H58" s="273"/>
      <c r="I58" s="273"/>
      <c r="J58" s="273"/>
      <c r="K58" s="272"/>
      <c r="L58" s="272"/>
      <c r="M58" s="272"/>
      <c r="N58" s="272"/>
      <c r="O58" s="272"/>
      <c r="P58" s="272"/>
      <c r="Q58" s="272"/>
      <c r="R58" s="272"/>
      <c r="S58" s="274"/>
      <c r="T58" s="274"/>
      <c r="U58" s="274"/>
      <c r="V58" s="274"/>
      <c r="W58" s="84"/>
      <c r="X58" s="56"/>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c r="AZ58" s="84"/>
      <c r="BA58" s="84"/>
      <c r="BB58" s="84"/>
    </row>
    <row r="59">
      <c r="G59" s="275"/>
      <c r="H59" s="275"/>
      <c r="I59" s="275"/>
      <c r="J59" s="275"/>
      <c r="L59" s="56"/>
      <c r="N59" s="80">
        <f t="shared" ref="N59:Q59" si="448">N10</f>
        <v>-192</v>
      </c>
      <c r="O59" s="80">
        <f t="shared" si="448"/>
        <v>-256</v>
      </c>
      <c r="P59" s="80">
        <f t="shared" si="448"/>
        <v>192</v>
      </c>
      <c r="Q59" s="80">
        <f t="shared" si="448"/>
        <v>256</v>
      </c>
      <c r="R59" s="25" t="s">
        <v>453</v>
      </c>
      <c r="X59" s="56"/>
      <c r="AG59" s="28" t="str">
        <f t="shared" ref="AG59:AJ59" si="449">AG1</f>
        <v>Thomas</v>
      </c>
      <c r="AH59" s="28" t="str">
        <f t="shared" si="449"/>
        <v>Peter</v>
      </c>
      <c r="AI59" s="28" t="str">
        <f t="shared" si="449"/>
        <v>Janus</v>
      </c>
      <c r="AJ59" s="28" t="str">
        <f t="shared" si="449"/>
        <v>Christian</v>
      </c>
    </row>
    <row r="60">
      <c r="G60" s="275"/>
      <c r="H60" s="275"/>
      <c r="I60" s="275"/>
      <c r="J60" s="275"/>
      <c r="L60" s="56"/>
      <c r="N60" s="80">
        <f t="shared" ref="N60:Q60" si="450">N27</f>
        <v>112</v>
      </c>
      <c r="O60" s="80">
        <f t="shared" si="450"/>
        <v>-596</v>
      </c>
      <c r="P60" s="80">
        <f t="shared" si="450"/>
        <v>204</v>
      </c>
      <c r="Q60" s="80">
        <f t="shared" si="450"/>
        <v>280</v>
      </c>
      <c r="R60" s="25" t="s">
        <v>455</v>
      </c>
      <c r="X60" s="56"/>
      <c r="Y60" s="25"/>
      <c r="Z60" s="25" t="s">
        <v>112</v>
      </c>
      <c r="AA60" s="80">
        <f t="shared" ref="AA60:AD60" si="451">MAX(AA3:AA57)</f>
        <v>192</v>
      </c>
      <c r="AB60" s="80">
        <f t="shared" si="451"/>
        <v>48</v>
      </c>
      <c r="AC60" s="80">
        <f t="shared" si="451"/>
        <v>224</v>
      </c>
      <c r="AD60" s="80">
        <f t="shared" si="451"/>
        <v>224</v>
      </c>
      <c r="AF60" s="25" t="s">
        <v>465</v>
      </c>
      <c r="AG60" s="28">
        <f t="shared" ref="AG60:AJ60" si="452">Max(AG3:AG57)</f>
        <v>3</v>
      </c>
      <c r="AH60" s="28">
        <f t="shared" si="452"/>
        <v>4</v>
      </c>
      <c r="AI60" s="28">
        <f t="shared" si="452"/>
        <v>5</v>
      </c>
      <c r="AJ60" s="28">
        <f t="shared" si="452"/>
        <v>4</v>
      </c>
    </row>
    <row r="61">
      <c r="G61" s="275"/>
      <c r="H61" s="275"/>
      <c r="I61" s="275"/>
      <c r="J61" s="275"/>
      <c r="L61" s="56"/>
      <c r="N61" s="80">
        <f t="shared" ref="N61:Q61" si="453">N57</f>
        <v>-22</v>
      </c>
      <c r="O61" s="80">
        <f t="shared" si="453"/>
        <v>-670</v>
      </c>
      <c r="P61" s="80">
        <f t="shared" si="453"/>
        <v>294</v>
      </c>
      <c r="Q61" s="80">
        <f t="shared" si="453"/>
        <v>398</v>
      </c>
      <c r="R61" s="25" t="s">
        <v>457</v>
      </c>
      <c r="X61" s="56"/>
      <c r="Y61" s="25"/>
      <c r="Z61" s="25" t="s">
        <v>113</v>
      </c>
      <c r="AA61" s="80">
        <f t="shared" ref="AA61:AD61" si="454">MIN(AA3:AA57)</f>
        <v>-224</v>
      </c>
      <c r="AB61" s="80">
        <f t="shared" si="454"/>
        <v>-224</v>
      </c>
      <c r="AC61" s="80">
        <f t="shared" si="454"/>
        <v>-96</v>
      </c>
      <c r="AD61" s="80">
        <f t="shared" si="454"/>
        <v>-192</v>
      </c>
      <c r="AF61" s="25" t="s">
        <v>466</v>
      </c>
      <c r="AG61" s="28">
        <f t="shared" ref="AG61:AJ61" si="455">MAX(AM3:AM57)</f>
        <v>3</v>
      </c>
      <c r="AH61" s="28">
        <f t="shared" si="455"/>
        <v>7</v>
      </c>
      <c r="AI61" s="28">
        <f t="shared" si="455"/>
        <v>5</v>
      </c>
      <c r="AJ61" s="28">
        <f t="shared" si="455"/>
        <v>3</v>
      </c>
    </row>
    <row r="62">
      <c r="A62" s="32"/>
      <c r="B62" s="32"/>
      <c r="C62" s="32"/>
      <c r="D62" s="32"/>
      <c r="E62" s="32"/>
      <c r="F62" s="32"/>
      <c r="G62" s="276"/>
      <c r="H62" s="276"/>
      <c r="I62" s="276"/>
      <c r="J62" s="276"/>
      <c r="K62" s="32"/>
      <c r="L62" s="32"/>
      <c r="M62" s="32"/>
      <c r="N62" s="27">
        <f t="shared" ref="N62:Q62" si="456">SUM(N59:N61)</f>
        <v>-102</v>
      </c>
      <c r="O62" s="27">
        <f t="shared" si="456"/>
        <v>-1522</v>
      </c>
      <c r="P62" s="27">
        <f t="shared" si="456"/>
        <v>690</v>
      </c>
      <c r="Q62" s="27">
        <f t="shared" si="456"/>
        <v>934</v>
      </c>
      <c r="R62" s="25" t="s">
        <v>108</v>
      </c>
      <c r="S62" s="80">
        <f>SUM(N62:Q62)</f>
        <v>0</v>
      </c>
      <c r="X62" s="56"/>
      <c r="Y62" s="25"/>
      <c r="Z62" s="25" t="s">
        <v>114</v>
      </c>
      <c r="AA62" s="123">
        <f t="shared" ref="AA62:AD62" si="457">AVERAGE(AA3:AA57)</f>
        <v>-0.4074074074</v>
      </c>
      <c r="AB62" s="123">
        <f t="shared" si="457"/>
        <v>-12.40740741</v>
      </c>
      <c r="AC62" s="123">
        <f t="shared" si="457"/>
        <v>5.444444444</v>
      </c>
      <c r="AD62" s="123">
        <f t="shared" si="457"/>
        <v>7.37037037</v>
      </c>
    </row>
    <row r="63">
      <c r="G63" s="275"/>
      <c r="H63" s="275"/>
      <c r="I63" s="275"/>
      <c r="J63" s="275"/>
      <c r="L63" s="56"/>
      <c r="X63" s="56"/>
      <c r="AF63" s="25" t="s">
        <v>467</v>
      </c>
      <c r="AG63" s="28">
        <f t="shared" ref="AG63:AJ63" si="458">MAX(AS3:AS57)</f>
        <v>204</v>
      </c>
      <c r="AH63" s="28">
        <f t="shared" si="458"/>
        <v>124</v>
      </c>
      <c r="AI63" s="28">
        <f t="shared" si="458"/>
        <v>240</v>
      </c>
      <c r="AJ63" s="80">
        <f t="shared" si="458"/>
        <v>240</v>
      </c>
    </row>
    <row r="64">
      <c r="G64" s="275"/>
      <c r="H64" s="275"/>
      <c r="I64" s="275"/>
      <c r="J64" s="275"/>
      <c r="L64" s="56"/>
      <c r="X64" s="56"/>
      <c r="Y64" s="25" t="s">
        <v>4</v>
      </c>
      <c r="AA64" s="28">
        <f>count(AA18:AA57)</f>
        <v>40</v>
      </c>
      <c r="AF64" s="25" t="s">
        <v>468</v>
      </c>
      <c r="AG64" s="80">
        <f t="shared" ref="AG64:AJ64" si="459">MIN(AY3:AY57)</f>
        <v>-240</v>
      </c>
      <c r="AH64" s="80">
        <f t="shared" si="459"/>
        <v>-248</v>
      </c>
      <c r="AI64" s="80">
        <f t="shared" si="459"/>
        <v>-144</v>
      </c>
      <c r="AJ64" s="28">
        <f t="shared" si="459"/>
        <v>-200</v>
      </c>
    </row>
    <row r="65">
      <c r="G65" s="275"/>
      <c r="H65" s="275"/>
      <c r="I65" s="275"/>
      <c r="J65" s="275"/>
      <c r="L65" s="56"/>
      <c r="X65" s="56"/>
    </row>
    <row r="66">
      <c r="G66" s="275"/>
      <c r="H66" s="275"/>
      <c r="I66" s="275"/>
      <c r="J66" s="275"/>
      <c r="L66" s="56"/>
      <c r="N66" s="56">
        <v>-192.0</v>
      </c>
      <c r="O66" s="56">
        <v>-256.0</v>
      </c>
      <c r="P66" s="56">
        <v>192.0</v>
      </c>
      <c r="Q66" s="56">
        <v>256.0</v>
      </c>
      <c r="X66" s="56"/>
      <c r="Y66" s="25" t="s">
        <v>126</v>
      </c>
      <c r="AA66" s="28">
        <f t="shared" ref="AA66:AD66" si="460">COUNTIF($T$3:$T$57, AA2)</f>
        <v>24</v>
      </c>
      <c r="AB66" s="28">
        <f t="shared" si="460"/>
        <v>11</v>
      </c>
      <c r="AC66" s="28">
        <f t="shared" si="460"/>
        <v>4</v>
      </c>
      <c r="AD66" s="28">
        <f t="shared" si="460"/>
        <v>13</v>
      </c>
    </row>
    <row r="67">
      <c r="G67" s="275"/>
      <c r="H67" s="275"/>
      <c r="I67" s="275"/>
      <c r="J67" s="275"/>
      <c r="L67" s="56"/>
      <c r="N67" s="56">
        <v>304.0</v>
      </c>
      <c r="O67" s="56">
        <v>-340.0</v>
      </c>
      <c r="P67" s="56">
        <v>12.0</v>
      </c>
      <c r="Q67" s="56">
        <v>24.0</v>
      </c>
      <c r="X67" s="56"/>
      <c r="Y67" s="25" t="s">
        <v>121</v>
      </c>
      <c r="AA67" s="28">
        <f t="shared" ref="AA67:AD67" si="461">COUNTIF(AA3:AA57, "&gt;0")</f>
        <v>29</v>
      </c>
      <c r="AB67" s="28">
        <f t="shared" si="461"/>
        <v>23</v>
      </c>
      <c r="AC67" s="28">
        <f t="shared" si="461"/>
        <v>25</v>
      </c>
      <c r="AD67" s="28">
        <f t="shared" si="461"/>
        <v>30</v>
      </c>
    </row>
    <row r="68">
      <c r="G68" s="275"/>
      <c r="H68" s="275"/>
      <c r="I68" s="275"/>
      <c r="J68" s="275"/>
      <c r="L68" s="56"/>
      <c r="N68" s="56">
        <v>-134.0</v>
      </c>
      <c r="O68" s="56">
        <v>-74.0</v>
      </c>
      <c r="P68" s="56">
        <v>90.0</v>
      </c>
      <c r="Q68" s="56">
        <v>118.0</v>
      </c>
      <c r="X68" s="56"/>
      <c r="Y68" s="25" t="s">
        <v>123</v>
      </c>
      <c r="AA68" s="28">
        <f t="shared" ref="AA68:AD68" si="462">COUNTIF(AA3:AA57, "&lt;0")</f>
        <v>25</v>
      </c>
      <c r="AB68" s="28">
        <f t="shared" si="462"/>
        <v>31</v>
      </c>
      <c r="AC68" s="28">
        <f t="shared" si="462"/>
        <v>29</v>
      </c>
      <c r="AD68" s="28">
        <f t="shared" si="462"/>
        <v>24</v>
      </c>
    </row>
    <row r="69">
      <c r="G69" s="275"/>
      <c r="H69" s="275"/>
      <c r="I69" s="275"/>
      <c r="J69" s="275"/>
      <c r="L69" s="56"/>
      <c r="N69" s="196">
        <f t="shared" ref="N69:Q69" si="463">SUM(N66:N68)</f>
        <v>-22</v>
      </c>
      <c r="O69" s="196">
        <f t="shared" si="463"/>
        <v>-670</v>
      </c>
      <c r="P69" s="196">
        <f t="shared" si="463"/>
        <v>294</v>
      </c>
      <c r="Q69" s="196">
        <f t="shared" si="463"/>
        <v>398</v>
      </c>
      <c r="X69" s="56"/>
      <c r="Y69" s="25"/>
    </row>
    <row r="70">
      <c r="G70" s="275"/>
      <c r="H70" s="275"/>
      <c r="I70" s="275"/>
      <c r="J70" s="275"/>
      <c r="L70" s="56"/>
      <c r="X70" s="56"/>
      <c r="Y70" s="25" t="s">
        <v>328</v>
      </c>
      <c r="AA70" s="28">
        <f t="shared" ref="AA70:AD70" si="464">COUNTIFS($T$3:$T$57, AA2,AA3:AA57, "&gt;0")</f>
        <v>11</v>
      </c>
      <c r="AB70" s="28">
        <f t="shared" si="464"/>
        <v>7</v>
      </c>
      <c r="AC70" s="28">
        <f t="shared" si="464"/>
        <v>2</v>
      </c>
      <c r="AD70" s="28">
        <f t="shared" si="464"/>
        <v>7</v>
      </c>
    </row>
    <row r="71">
      <c r="G71" s="275"/>
      <c r="H71" s="275"/>
      <c r="I71" s="275"/>
      <c r="J71" s="275"/>
      <c r="L71" s="56"/>
      <c r="X71" s="56"/>
      <c r="Y71" s="25"/>
      <c r="Z71" s="59" t="s">
        <v>122</v>
      </c>
      <c r="AA71" s="128">
        <f t="shared" ref="AA71:AD71" si="465">sum(AA70/AA66)</f>
        <v>0.4583333333</v>
      </c>
      <c r="AB71" s="128">
        <f t="shared" si="465"/>
        <v>0.6363636364</v>
      </c>
      <c r="AC71" s="128">
        <f t="shared" si="465"/>
        <v>0.5</v>
      </c>
      <c r="AD71" s="128">
        <f t="shared" si="465"/>
        <v>0.5384615385</v>
      </c>
    </row>
    <row r="72">
      <c r="G72" s="275"/>
      <c r="H72" s="275"/>
      <c r="I72" s="275"/>
      <c r="J72" s="275"/>
      <c r="L72" s="56"/>
      <c r="X72" s="56"/>
      <c r="Y72" s="25" t="s">
        <v>329</v>
      </c>
      <c r="AA72" s="28">
        <f t="shared" ref="AA72:AD72" si="466">COUNTIFS($T$3:$T$57, AA2,AA3:AA57, "&lt;0")</f>
        <v>13</v>
      </c>
      <c r="AB72" s="28">
        <f t="shared" si="466"/>
        <v>4</v>
      </c>
      <c r="AC72" s="28">
        <f t="shared" si="466"/>
        <v>2</v>
      </c>
      <c r="AD72" s="28">
        <f t="shared" si="466"/>
        <v>5</v>
      </c>
    </row>
    <row r="73">
      <c r="A73" s="80"/>
      <c r="B73" s="80"/>
      <c r="C73" s="80"/>
      <c r="D73" s="80"/>
      <c r="E73" s="80"/>
      <c r="F73" s="80"/>
      <c r="G73" s="277"/>
      <c r="H73" s="277"/>
      <c r="I73" s="277"/>
      <c r="J73" s="277"/>
      <c r="K73" s="80"/>
      <c r="L73" s="56"/>
      <c r="M73" s="80"/>
      <c r="N73" s="80">
        <v>-22.0</v>
      </c>
      <c r="O73" s="80">
        <v>-670.0</v>
      </c>
      <c r="P73" s="80">
        <v>294.0</v>
      </c>
      <c r="Q73" s="80">
        <v>398.0</v>
      </c>
      <c r="X73" s="56"/>
      <c r="Y73" s="25"/>
      <c r="Z73" s="59" t="s">
        <v>122</v>
      </c>
      <c r="AA73" s="128">
        <f t="shared" ref="AA73:AD73" si="467">sum(AA72/AA66)</f>
        <v>0.5416666667</v>
      </c>
      <c r="AB73" s="128">
        <f t="shared" si="467"/>
        <v>0.3636363636</v>
      </c>
      <c r="AC73" s="128">
        <f t="shared" si="467"/>
        <v>0.5</v>
      </c>
      <c r="AD73" s="128">
        <f t="shared" si="467"/>
        <v>0.3846153846</v>
      </c>
    </row>
    <row r="74">
      <c r="G74" s="275"/>
      <c r="H74" s="275"/>
      <c r="I74" s="275"/>
      <c r="J74" s="275"/>
      <c r="L74" s="56"/>
      <c r="X74" s="56"/>
      <c r="Y74" s="25"/>
    </row>
    <row r="75">
      <c r="G75" s="275"/>
      <c r="H75" s="275"/>
      <c r="I75" s="275"/>
      <c r="J75" s="275"/>
      <c r="L75" s="56"/>
      <c r="N75" s="25">
        <f t="shared" ref="N75:Q75" si="468">SUM(N66:N67)</f>
        <v>112</v>
      </c>
      <c r="O75" s="25">
        <f t="shared" si="468"/>
        <v>-596</v>
      </c>
      <c r="P75" s="25">
        <f t="shared" si="468"/>
        <v>204</v>
      </c>
      <c r="Q75" s="25">
        <f t="shared" si="468"/>
        <v>280</v>
      </c>
      <c r="X75" s="56"/>
      <c r="Y75" s="25" t="s">
        <v>330</v>
      </c>
      <c r="AA75" s="28">
        <f t="shared" ref="AA75:AD75" si="469">MAXIFS(AA3:AA57, $T$3:$T$57, AA2)</f>
        <v>96</v>
      </c>
      <c r="AB75" s="28">
        <f t="shared" si="469"/>
        <v>48</v>
      </c>
      <c r="AC75" s="28">
        <f t="shared" si="469"/>
        <v>192</v>
      </c>
      <c r="AD75" s="28">
        <f t="shared" si="469"/>
        <v>16</v>
      </c>
    </row>
    <row r="76">
      <c r="G76" s="275"/>
      <c r="H76" s="275"/>
      <c r="I76" s="275"/>
      <c r="J76" s="275"/>
      <c r="L76" s="56"/>
      <c r="X76" s="56"/>
      <c r="Y76" s="25" t="s">
        <v>331</v>
      </c>
      <c r="AA76" s="28">
        <f t="shared" ref="AA76:AD76" si="470">MINIFS(AA3:AA57, $T$3:$T$57, AA2)</f>
        <v>-224</v>
      </c>
      <c r="AB76" s="28">
        <f t="shared" si="470"/>
        <v>-24</v>
      </c>
      <c r="AC76" s="28">
        <f t="shared" si="470"/>
        <v>-24</v>
      </c>
      <c r="AD76" s="28">
        <f t="shared" si="470"/>
        <v>-36</v>
      </c>
    </row>
    <row r="77">
      <c r="G77" s="275"/>
      <c r="H77" s="275"/>
      <c r="I77" s="275"/>
      <c r="J77" s="275"/>
      <c r="L77" s="56"/>
      <c r="X77" s="56"/>
      <c r="Y77" s="25"/>
    </row>
  </sheetData>
  <conditionalFormatting sqref="AA3:AD57">
    <cfRule type="cellIs" dxfId="0" priority="1" operator="greaterThan">
      <formula>0</formula>
    </cfRule>
  </conditionalFormatting>
  <conditionalFormatting sqref="AA3:AD57">
    <cfRule type="cellIs" dxfId="13" priority="2" operator="lessThan">
      <formula>0</formula>
    </cfRule>
  </conditionalFormatting>
  <conditionalFormatting sqref="AA3:AD57">
    <cfRule type="cellIs" dxfId="14" priority="3" operator="equal">
      <formula>0</formula>
    </cfRule>
  </conditionalFormatting>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5"/>
    <col customWidth="1" min="2" max="11" width="8.38"/>
    <col customWidth="1" min="12" max="12" width="2.13"/>
    <col customWidth="1" min="13" max="18" width="8.38"/>
    <col customWidth="1" min="19" max="19" width="25.13"/>
    <col customWidth="1" min="20" max="21" width="10.13"/>
    <col customWidth="1" min="23" max="23" width="8.0"/>
    <col customWidth="1" min="24" max="24" width="2.13"/>
    <col customWidth="1" min="25" max="25" width="5.75"/>
    <col customWidth="1" min="26" max="26" width="12.5"/>
    <col customWidth="1" min="27" max="30" width="7.13"/>
    <col customWidth="1" min="32" max="32" width="15.88"/>
    <col customWidth="1" min="33" max="36" width="8.5"/>
    <col customWidth="1" min="37" max="37" width="7.25"/>
    <col customWidth="1" min="39" max="49" width="7.63"/>
    <col customWidth="1" min="50" max="50" width="9.25"/>
    <col customWidth="1" min="51" max="54" width="7.63"/>
  </cols>
  <sheetData>
    <row r="1">
      <c r="A1" s="220">
        <f>'00_Regnskab_01'!A25</f>
        <v>22</v>
      </c>
      <c r="B1" s="221">
        <f>'00_Regnskab_01'!C25</f>
        <v>45199</v>
      </c>
      <c r="C1" s="216"/>
      <c r="D1" s="215" t="str">
        <f>'00_Regnskab_01'!L25</f>
        <v>Peter, Lyngby</v>
      </c>
      <c r="E1" s="214"/>
      <c r="F1" s="216"/>
      <c r="G1" s="243"/>
      <c r="H1" s="243"/>
      <c r="I1" s="243"/>
      <c r="J1" s="243"/>
      <c r="K1" s="216"/>
      <c r="L1" s="216"/>
      <c r="R1" s="219"/>
      <c r="S1" s="222"/>
      <c r="T1" s="219"/>
      <c r="U1" s="219"/>
      <c r="V1" s="219"/>
      <c r="W1" s="218"/>
      <c r="X1" s="218"/>
      <c r="AF1" s="25" t="s">
        <v>448</v>
      </c>
      <c r="AG1" s="28" t="str">
        <f t="shared" ref="AG1:AJ1" si="1">AA2</f>
        <v>Thomas</v>
      </c>
      <c r="AH1" s="28" t="str">
        <f t="shared" si="1"/>
        <v>Peter</v>
      </c>
      <c r="AI1" s="28" t="str">
        <f t="shared" si="1"/>
        <v>Janus</v>
      </c>
      <c r="AJ1" s="28" t="str">
        <f t="shared" si="1"/>
        <v>Christian</v>
      </c>
      <c r="AL1" s="25" t="s">
        <v>449</v>
      </c>
      <c r="AM1" s="28" t="str">
        <f t="shared" ref="AM1:AP1" si="2">AA2</f>
        <v>Thomas</v>
      </c>
      <c r="AN1" s="28" t="str">
        <f t="shared" si="2"/>
        <v>Peter</v>
      </c>
      <c r="AO1" s="28" t="str">
        <f t="shared" si="2"/>
        <v>Janus</v>
      </c>
      <c r="AP1" s="28" t="str">
        <f t="shared" si="2"/>
        <v>Christian</v>
      </c>
      <c r="AR1" s="25" t="s">
        <v>450</v>
      </c>
      <c r="AS1" s="25" t="str">
        <f t="shared" ref="AS1:AV1" si="3">AA2</f>
        <v>Thomas</v>
      </c>
      <c r="AT1" s="25" t="str">
        <f t="shared" si="3"/>
        <v>Peter</v>
      </c>
      <c r="AU1" s="25" t="str">
        <f t="shared" si="3"/>
        <v>Janus</v>
      </c>
      <c r="AV1" s="25" t="str">
        <f t="shared" si="3"/>
        <v>Christian</v>
      </c>
      <c r="AX1" s="25" t="s">
        <v>451</v>
      </c>
      <c r="AY1" s="28" t="str">
        <f>AA2</f>
        <v>Thomas</v>
      </c>
    </row>
    <row r="2">
      <c r="A2" s="244" t="s">
        <v>452</v>
      </c>
      <c r="B2" s="245" t="str">
        <f t="shared" ref="B2:K2" si="4">N2</f>
        <v>Thomas</v>
      </c>
      <c r="C2" s="245" t="str">
        <f t="shared" si="4"/>
        <v>Peter</v>
      </c>
      <c r="D2" s="245" t="str">
        <f t="shared" si="4"/>
        <v>Janus</v>
      </c>
      <c r="E2" s="245" t="str">
        <f t="shared" si="4"/>
        <v>Christian</v>
      </c>
      <c r="F2" s="245" t="str">
        <f t="shared" si="4"/>
        <v>Kontrol</v>
      </c>
      <c r="G2" s="246" t="str">
        <f t="shared" si="4"/>
        <v>Melding</v>
      </c>
      <c r="H2" s="246" t="str">
        <f t="shared" si="4"/>
        <v>Hvem</v>
      </c>
      <c r="I2" s="246" t="str">
        <f t="shared" si="4"/>
        <v>Makker</v>
      </c>
      <c r="J2" s="246" t="str">
        <f t="shared" si="4"/>
        <v>Giver</v>
      </c>
      <c r="K2" s="245" t="str">
        <f t="shared" si="4"/>
        <v/>
      </c>
      <c r="L2" s="218"/>
      <c r="M2" s="247"/>
      <c r="N2" s="247" t="s">
        <v>7</v>
      </c>
      <c r="O2" s="247" t="s">
        <v>8</v>
      </c>
      <c r="P2" s="247" t="s">
        <v>9</v>
      </c>
      <c r="Q2" s="247" t="s">
        <v>10</v>
      </c>
      <c r="R2" s="247" t="s">
        <v>288</v>
      </c>
      <c r="S2" s="247" t="s">
        <v>64</v>
      </c>
      <c r="T2" s="247" t="s">
        <v>361</v>
      </c>
      <c r="U2" s="247" t="s">
        <v>81</v>
      </c>
      <c r="V2" s="247" t="s">
        <v>393</v>
      </c>
      <c r="X2" s="56"/>
      <c r="AA2" s="28" t="str">
        <f t="shared" ref="AA2:AD2" si="5">N2</f>
        <v>Thomas</v>
      </c>
      <c r="AB2" s="28" t="str">
        <f t="shared" si="5"/>
        <v>Peter</v>
      </c>
      <c r="AC2" s="28" t="str">
        <f t="shared" si="5"/>
        <v>Janus</v>
      </c>
      <c r="AD2" s="28" t="str">
        <f t="shared" si="5"/>
        <v>Christian</v>
      </c>
      <c r="AS2" s="25">
        <v>0.0</v>
      </c>
      <c r="AT2" s="25">
        <v>0.0</v>
      </c>
      <c r="AU2" s="25">
        <v>0.0</v>
      </c>
      <c r="AV2" s="25">
        <v>0.0</v>
      </c>
      <c r="AY2" s="25">
        <v>0.0</v>
      </c>
      <c r="AZ2" s="25">
        <v>0.0</v>
      </c>
      <c r="BA2" s="25">
        <v>0.0</v>
      </c>
      <c r="BB2" s="25">
        <v>0.0</v>
      </c>
    </row>
    <row r="3">
      <c r="A3" s="248">
        <v>1.0</v>
      </c>
      <c r="B3" s="248">
        <f t="shared" ref="B3:K3" si="6">N3</f>
        <v>-4</v>
      </c>
      <c r="C3" s="248">
        <f t="shared" si="6"/>
        <v>-4</v>
      </c>
      <c r="D3" s="248">
        <f t="shared" si="6"/>
        <v>-4</v>
      </c>
      <c r="E3" s="248">
        <f t="shared" si="6"/>
        <v>12</v>
      </c>
      <c r="F3" s="248">
        <f t="shared" si="6"/>
        <v>0</v>
      </c>
      <c r="G3" s="249" t="str">
        <f t="shared" si="6"/>
        <v>Ren sol</v>
      </c>
      <c r="H3" s="249" t="str">
        <f t="shared" si="6"/>
        <v>Christian</v>
      </c>
      <c r="I3" s="249" t="str">
        <f t="shared" si="6"/>
        <v/>
      </c>
      <c r="J3" s="249" t="str">
        <f t="shared" si="6"/>
        <v>Thomas</v>
      </c>
      <c r="K3" s="248" t="str">
        <f t="shared" si="6"/>
        <v>DEL 1</v>
      </c>
      <c r="L3" s="56"/>
      <c r="M3" s="248">
        <v>1.0</v>
      </c>
      <c r="N3" s="250">
        <v>-4.0</v>
      </c>
      <c r="O3" s="250">
        <v>-4.0</v>
      </c>
      <c r="P3" s="250">
        <v>-4.0</v>
      </c>
      <c r="Q3" s="250">
        <v>12.0</v>
      </c>
      <c r="R3" s="250">
        <f t="shared" ref="R3:R10" si="13">SUM(N3:Q3)</f>
        <v>0</v>
      </c>
      <c r="S3" s="247" t="s">
        <v>97</v>
      </c>
      <c r="T3" s="247" t="s">
        <v>10</v>
      </c>
      <c r="U3" s="247"/>
      <c r="V3" s="247" t="s">
        <v>7</v>
      </c>
      <c r="W3" s="25" t="s">
        <v>453</v>
      </c>
      <c r="X3" s="56"/>
      <c r="AA3" s="80">
        <f t="shared" ref="AA3:AD3" si="7">N3</f>
        <v>-4</v>
      </c>
      <c r="AB3" s="80">
        <f t="shared" si="7"/>
        <v>-4</v>
      </c>
      <c r="AC3" s="80">
        <f t="shared" si="7"/>
        <v>-4</v>
      </c>
      <c r="AD3" s="80">
        <f t="shared" si="7"/>
        <v>12</v>
      </c>
      <c r="AG3" s="28">
        <f t="shared" ref="AG3:AJ3" si="8">if(AA3&gt;0,1+AG2,0)</f>
        <v>0</v>
      </c>
      <c r="AH3" s="28">
        <f t="shared" si="8"/>
        <v>0</v>
      </c>
      <c r="AI3" s="28">
        <f t="shared" si="8"/>
        <v>0</v>
      </c>
      <c r="AJ3" s="28">
        <f t="shared" si="8"/>
        <v>1</v>
      </c>
      <c r="AM3" s="28">
        <f t="shared" ref="AM3:AP3" si="9">if(AA3&lt;0,1+AM2,0)</f>
        <v>1</v>
      </c>
      <c r="AN3" s="28">
        <f t="shared" si="9"/>
        <v>1</v>
      </c>
      <c r="AO3" s="28">
        <f t="shared" si="9"/>
        <v>1</v>
      </c>
      <c r="AP3" s="28">
        <f t="shared" si="9"/>
        <v>0</v>
      </c>
      <c r="AS3" s="78">
        <f t="shared" ref="AS3:AV3" si="10">if(AA3&gt;0,AA3+AS2,0)</f>
        <v>0</v>
      </c>
      <c r="AT3" s="78">
        <f t="shared" si="10"/>
        <v>0</v>
      </c>
      <c r="AU3" s="78">
        <f t="shared" si="10"/>
        <v>0</v>
      </c>
      <c r="AV3" s="251">
        <f t="shared" si="10"/>
        <v>12</v>
      </c>
      <c r="AY3" s="80">
        <f t="shared" ref="AY3:BB3" si="11">if(AA3&lt;0,AA3+AY2,0)</f>
        <v>-4</v>
      </c>
      <c r="AZ3" s="80">
        <f t="shared" si="11"/>
        <v>-4</v>
      </c>
      <c r="BA3" s="80">
        <f t="shared" si="11"/>
        <v>-4</v>
      </c>
      <c r="BB3" s="28">
        <f t="shared" si="11"/>
        <v>0</v>
      </c>
    </row>
    <row r="4">
      <c r="A4" s="250">
        <f t="shared" ref="A4:A11" si="19">A3+1</f>
        <v>2</v>
      </c>
      <c r="B4" s="248">
        <f t="shared" ref="B4:K4" si="12">N4</f>
        <v>8</v>
      </c>
      <c r="C4" s="248">
        <f t="shared" si="12"/>
        <v>-16</v>
      </c>
      <c r="D4" s="248">
        <f t="shared" si="12"/>
        <v>-16</v>
      </c>
      <c r="E4" s="248">
        <f t="shared" si="12"/>
        <v>24</v>
      </c>
      <c r="F4" s="248">
        <f t="shared" si="12"/>
        <v>0</v>
      </c>
      <c r="G4" s="249" t="str">
        <f t="shared" si="12"/>
        <v>10 alm</v>
      </c>
      <c r="H4" s="249" t="str">
        <f t="shared" si="12"/>
        <v>Christian</v>
      </c>
      <c r="I4" s="249" t="str">
        <f t="shared" si="12"/>
        <v>Thomas</v>
      </c>
      <c r="J4" s="249" t="str">
        <f t="shared" si="12"/>
        <v>Peter</v>
      </c>
      <c r="K4" s="248" t="str">
        <f t="shared" si="12"/>
        <v>DEL 1</v>
      </c>
      <c r="L4" s="56"/>
      <c r="M4" s="250">
        <f t="shared" ref="M4:M41" si="21">M3+1</f>
        <v>2</v>
      </c>
      <c r="N4" s="250">
        <v>8.0</v>
      </c>
      <c r="O4" s="250">
        <v>-16.0</v>
      </c>
      <c r="P4" s="250">
        <v>-16.0</v>
      </c>
      <c r="Q4" s="250">
        <v>24.0</v>
      </c>
      <c r="R4" s="250">
        <f t="shared" si="13"/>
        <v>0</v>
      </c>
      <c r="S4" s="247" t="s">
        <v>314</v>
      </c>
      <c r="T4" s="247" t="s">
        <v>10</v>
      </c>
      <c r="U4" s="247" t="s">
        <v>7</v>
      </c>
      <c r="V4" s="247" t="s">
        <v>8</v>
      </c>
      <c r="W4" s="25" t="s">
        <v>453</v>
      </c>
      <c r="X4" s="56"/>
      <c r="AA4" s="80">
        <f t="shared" ref="AA4:AD4" si="14">N4-N3</f>
        <v>12</v>
      </c>
      <c r="AB4" s="80">
        <f t="shared" si="14"/>
        <v>-12</v>
      </c>
      <c r="AC4" s="80">
        <f t="shared" si="14"/>
        <v>-12</v>
      </c>
      <c r="AD4" s="80">
        <f t="shared" si="14"/>
        <v>12</v>
      </c>
      <c r="AG4" s="28">
        <f t="shared" ref="AG4:AJ4" si="15">if(AA4&gt;0,1+AG3,0)</f>
        <v>1</v>
      </c>
      <c r="AH4" s="28">
        <f t="shared" si="15"/>
        <v>0</v>
      </c>
      <c r="AI4" s="28">
        <f t="shared" si="15"/>
        <v>0</v>
      </c>
      <c r="AJ4" s="28">
        <f t="shared" si="15"/>
        <v>2</v>
      </c>
      <c r="AM4" s="28">
        <f t="shared" ref="AM4:AP4" si="16">if(AA4&lt;0,1+AM3,0)</f>
        <v>0</v>
      </c>
      <c r="AN4" s="28">
        <f t="shared" si="16"/>
        <v>2</v>
      </c>
      <c r="AO4" s="28">
        <f t="shared" si="16"/>
        <v>2</v>
      </c>
      <c r="AP4" s="28">
        <f t="shared" si="16"/>
        <v>0</v>
      </c>
      <c r="AS4" s="251">
        <f t="shared" ref="AS4:AV4" si="17">if(AA4&gt;0,AA4+AS3,0)</f>
        <v>12</v>
      </c>
      <c r="AT4" s="78">
        <f t="shared" si="17"/>
        <v>0</v>
      </c>
      <c r="AU4" s="78">
        <f t="shared" si="17"/>
        <v>0</v>
      </c>
      <c r="AV4" s="251">
        <f t="shared" si="17"/>
        <v>24</v>
      </c>
      <c r="AY4" s="28">
        <f t="shared" ref="AY4:BB4" si="18">if(AA4&lt;0,AA4+AY3,0)</f>
        <v>0</v>
      </c>
      <c r="AZ4" s="80">
        <f t="shared" si="18"/>
        <v>-16</v>
      </c>
      <c r="BA4" s="80">
        <f t="shared" si="18"/>
        <v>-16</v>
      </c>
      <c r="BB4" s="28">
        <f t="shared" si="18"/>
        <v>0</v>
      </c>
    </row>
    <row r="5">
      <c r="A5" s="250">
        <f t="shared" si="19"/>
        <v>3</v>
      </c>
      <c r="B5" s="248">
        <f t="shared" ref="B5:K5" si="20">N5</f>
        <v>20</v>
      </c>
      <c r="C5" s="248">
        <f t="shared" si="20"/>
        <v>-28</v>
      </c>
      <c r="D5" s="248">
        <f t="shared" si="20"/>
        <v>-28</v>
      </c>
      <c r="E5" s="248">
        <f t="shared" si="20"/>
        <v>36</v>
      </c>
      <c r="F5" s="248">
        <f t="shared" si="20"/>
        <v>0</v>
      </c>
      <c r="G5" s="249" t="str">
        <f t="shared" si="20"/>
        <v>9 gode</v>
      </c>
      <c r="H5" s="249" t="str">
        <f t="shared" si="20"/>
        <v>Christian</v>
      </c>
      <c r="I5" s="249" t="str">
        <f t="shared" si="20"/>
        <v>Thomas</v>
      </c>
      <c r="J5" s="249" t="str">
        <f t="shared" si="20"/>
        <v>Janus</v>
      </c>
      <c r="K5" s="248" t="str">
        <f t="shared" si="20"/>
        <v>DEL 1</v>
      </c>
      <c r="L5" s="56"/>
      <c r="M5" s="250">
        <f t="shared" si="21"/>
        <v>3</v>
      </c>
      <c r="N5" s="250">
        <v>20.0</v>
      </c>
      <c r="O5" s="250">
        <v>-28.0</v>
      </c>
      <c r="P5" s="250">
        <v>-28.0</v>
      </c>
      <c r="Q5" s="250">
        <v>36.0</v>
      </c>
      <c r="R5" s="250">
        <f t="shared" si="13"/>
        <v>0</v>
      </c>
      <c r="S5" s="247" t="s">
        <v>299</v>
      </c>
      <c r="T5" s="247" t="s">
        <v>10</v>
      </c>
      <c r="U5" s="247" t="s">
        <v>7</v>
      </c>
      <c r="V5" s="247" t="s">
        <v>9</v>
      </c>
      <c r="W5" s="25" t="s">
        <v>453</v>
      </c>
      <c r="X5" s="56"/>
      <c r="AA5" s="80">
        <f t="shared" ref="AA5:AD5" si="22">N5-N4</f>
        <v>12</v>
      </c>
      <c r="AB5" s="80">
        <f t="shared" si="22"/>
        <v>-12</v>
      </c>
      <c r="AC5" s="80">
        <f t="shared" si="22"/>
        <v>-12</v>
      </c>
      <c r="AD5" s="80">
        <f t="shared" si="22"/>
        <v>12</v>
      </c>
      <c r="AG5" s="28">
        <f t="shared" ref="AG5:AJ5" si="23">if(AA5&gt;0,1+AG4,0)</f>
        <v>2</v>
      </c>
      <c r="AH5" s="28">
        <f t="shared" si="23"/>
        <v>0</v>
      </c>
      <c r="AI5" s="28">
        <f t="shared" si="23"/>
        <v>0</v>
      </c>
      <c r="AJ5" s="28">
        <f t="shared" si="23"/>
        <v>3</v>
      </c>
      <c r="AM5" s="28">
        <f t="shared" ref="AM5:AP5" si="24">if(AA5&lt;0,1+AM4,0)</f>
        <v>0</v>
      </c>
      <c r="AN5" s="28">
        <f t="shared" si="24"/>
        <v>3</v>
      </c>
      <c r="AO5" s="28">
        <f t="shared" si="24"/>
        <v>3</v>
      </c>
      <c r="AP5" s="28">
        <f t="shared" si="24"/>
        <v>0</v>
      </c>
      <c r="AS5" s="251">
        <f t="shared" ref="AS5:AV5" si="25">if(AA5&gt;0,AA5+AS4,0)</f>
        <v>24</v>
      </c>
      <c r="AT5" s="78">
        <f t="shared" si="25"/>
        <v>0</v>
      </c>
      <c r="AU5" s="78">
        <f t="shared" si="25"/>
        <v>0</v>
      </c>
      <c r="AV5" s="251">
        <f t="shared" si="25"/>
        <v>36</v>
      </c>
      <c r="AY5" s="28">
        <f t="shared" ref="AY5:BB5" si="26">if(AA5&lt;0,AA5+AY4,0)</f>
        <v>0</v>
      </c>
      <c r="AZ5" s="80">
        <f t="shared" si="26"/>
        <v>-28</v>
      </c>
      <c r="BA5" s="80">
        <f t="shared" si="26"/>
        <v>-28</v>
      </c>
      <c r="BB5" s="28">
        <f t="shared" si="26"/>
        <v>0</v>
      </c>
    </row>
    <row r="6">
      <c r="A6" s="250">
        <f t="shared" si="19"/>
        <v>4</v>
      </c>
      <c r="B6" s="248">
        <f t="shared" ref="B6:K6" si="27">N6</f>
        <v>8</v>
      </c>
      <c r="C6" s="248">
        <f t="shared" si="27"/>
        <v>-24</v>
      </c>
      <c r="D6" s="248">
        <f t="shared" si="27"/>
        <v>-24</v>
      </c>
      <c r="E6" s="248">
        <f t="shared" si="27"/>
        <v>40</v>
      </c>
      <c r="F6" s="248">
        <f t="shared" si="27"/>
        <v>0</v>
      </c>
      <c r="G6" s="249" t="str">
        <f t="shared" si="27"/>
        <v>vip</v>
      </c>
      <c r="H6" s="249" t="str">
        <f t="shared" si="27"/>
        <v>Thomas</v>
      </c>
      <c r="I6" s="249" t="str">
        <f t="shared" si="27"/>
        <v/>
      </c>
      <c r="J6" s="249" t="str">
        <f t="shared" si="27"/>
        <v>Christian</v>
      </c>
      <c r="K6" s="248" t="str">
        <f t="shared" si="27"/>
        <v>DEL 1</v>
      </c>
      <c r="L6" s="56"/>
      <c r="M6" s="250">
        <f t="shared" si="21"/>
        <v>4</v>
      </c>
      <c r="N6" s="250">
        <f>N5-12</f>
        <v>8</v>
      </c>
      <c r="O6" s="250">
        <f t="shared" ref="O6:P6" si="28">O5+4</f>
        <v>-24</v>
      </c>
      <c r="P6" s="250">
        <f t="shared" si="28"/>
        <v>-24</v>
      </c>
      <c r="Q6" s="250">
        <v>40.0</v>
      </c>
      <c r="R6" s="250">
        <f t="shared" si="13"/>
        <v>0</v>
      </c>
      <c r="S6" s="247" t="s">
        <v>145</v>
      </c>
      <c r="T6" s="247" t="s">
        <v>7</v>
      </c>
      <c r="U6" s="247"/>
      <c r="V6" s="247" t="s">
        <v>10</v>
      </c>
      <c r="W6" s="25" t="s">
        <v>453</v>
      </c>
      <c r="X6" s="56"/>
      <c r="AA6" s="80">
        <f t="shared" ref="AA6:AD6" si="29">N6-N5</f>
        <v>-12</v>
      </c>
      <c r="AB6" s="80">
        <f t="shared" si="29"/>
        <v>4</v>
      </c>
      <c r="AC6" s="80">
        <f t="shared" si="29"/>
        <v>4</v>
      </c>
      <c r="AD6" s="80">
        <f t="shared" si="29"/>
        <v>4</v>
      </c>
      <c r="AG6" s="28">
        <f t="shared" ref="AG6:AJ6" si="30">if(AA6&gt;0,1+AG5,0)</f>
        <v>0</v>
      </c>
      <c r="AH6" s="28">
        <f t="shared" si="30"/>
        <v>1</v>
      </c>
      <c r="AI6" s="28">
        <f t="shared" si="30"/>
        <v>1</v>
      </c>
      <c r="AJ6" s="28">
        <f t="shared" si="30"/>
        <v>4</v>
      </c>
      <c r="AM6" s="28">
        <f t="shared" ref="AM6:AP6" si="31">if(AA6&lt;0,1+AM5,0)</f>
        <v>1</v>
      </c>
      <c r="AN6" s="28">
        <f t="shared" si="31"/>
        <v>0</v>
      </c>
      <c r="AO6" s="28">
        <f t="shared" si="31"/>
        <v>0</v>
      </c>
      <c r="AP6" s="28">
        <f t="shared" si="31"/>
        <v>0</v>
      </c>
      <c r="AS6" s="78">
        <f t="shared" ref="AS6:AV6" si="32">if(AA6&gt;0,AA6+AS5,0)</f>
        <v>0</v>
      </c>
      <c r="AT6" s="251">
        <f t="shared" si="32"/>
        <v>4</v>
      </c>
      <c r="AU6" s="251">
        <f t="shared" si="32"/>
        <v>4</v>
      </c>
      <c r="AV6" s="251">
        <f t="shared" si="32"/>
        <v>40</v>
      </c>
      <c r="AY6" s="80">
        <f t="shared" ref="AY6:BB6" si="33">if(AA6&lt;0,AA6+AY5,0)</f>
        <v>-12</v>
      </c>
      <c r="AZ6" s="28">
        <f t="shared" si="33"/>
        <v>0</v>
      </c>
      <c r="BA6" s="28">
        <f t="shared" si="33"/>
        <v>0</v>
      </c>
      <c r="BB6" s="28">
        <f t="shared" si="33"/>
        <v>0</v>
      </c>
    </row>
    <row r="7">
      <c r="A7" s="250">
        <f t="shared" si="19"/>
        <v>5</v>
      </c>
      <c r="B7" s="248">
        <f t="shared" ref="B7:K7" si="34">N7</f>
        <v>32</v>
      </c>
      <c r="C7" s="248">
        <f t="shared" si="34"/>
        <v>-32</v>
      </c>
      <c r="D7" s="248">
        <f t="shared" si="34"/>
        <v>-32</v>
      </c>
      <c r="E7" s="248">
        <f t="shared" si="34"/>
        <v>32</v>
      </c>
      <c r="F7" s="248">
        <f t="shared" si="34"/>
        <v>0</v>
      </c>
      <c r="G7" s="249" t="str">
        <f t="shared" si="34"/>
        <v>Ren sol</v>
      </c>
      <c r="H7" s="249" t="str">
        <f t="shared" si="34"/>
        <v>Thomas</v>
      </c>
      <c r="I7" s="249" t="str">
        <f t="shared" si="34"/>
        <v/>
      </c>
      <c r="J7" s="249" t="str">
        <f t="shared" si="34"/>
        <v>Thomas</v>
      </c>
      <c r="K7" s="248" t="str">
        <f t="shared" si="34"/>
        <v>DEL 1</v>
      </c>
      <c r="L7" s="56"/>
      <c r="M7" s="250">
        <f t="shared" si="21"/>
        <v>5</v>
      </c>
      <c r="N7" s="250">
        <f>N6+24</f>
        <v>32</v>
      </c>
      <c r="O7" s="250">
        <f t="shared" ref="O7:Q7" si="35">O6-8</f>
        <v>-32</v>
      </c>
      <c r="P7" s="250">
        <f t="shared" si="35"/>
        <v>-32</v>
      </c>
      <c r="Q7" s="250">
        <f t="shared" si="35"/>
        <v>32</v>
      </c>
      <c r="R7" s="250">
        <f t="shared" si="13"/>
        <v>0</v>
      </c>
      <c r="S7" s="247" t="s">
        <v>97</v>
      </c>
      <c r="T7" s="247" t="s">
        <v>7</v>
      </c>
      <c r="U7" s="247"/>
      <c r="V7" s="247" t="s">
        <v>7</v>
      </c>
      <c r="W7" s="25" t="s">
        <v>453</v>
      </c>
      <c r="X7" s="56"/>
      <c r="AA7" s="80">
        <f t="shared" ref="AA7:AD7" si="36">N7-N6</f>
        <v>24</v>
      </c>
      <c r="AB7" s="80">
        <f t="shared" si="36"/>
        <v>-8</v>
      </c>
      <c r="AC7" s="80">
        <f t="shared" si="36"/>
        <v>-8</v>
      </c>
      <c r="AD7" s="80">
        <f t="shared" si="36"/>
        <v>-8</v>
      </c>
      <c r="AG7" s="28">
        <f t="shared" ref="AG7:AJ7" si="37">if(AA7&gt;0,1+AG6,0)</f>
        <v>1</v>
      </c>
      <c r="AH7" s="28">
        <f t="shared" si="37"/>
        <v>0</v>
      </c>
      <c r="AI7" s="28">
        <f t="shared" si="37"/>
        <v>0</v>
      </c>
      <c r="AJ7" s="28">
        <f t="shared" si="37"/>
        <v>0</v>
      </c>
      <c r="AM7" s="28">
        <f t="shared" ref="AM7:AP7" si="38">if(AA7&lt;0,1+AM6,0)</f>
        <v>0</v>
      </c>
      <c r="AN7" s="28">
        <f t="shared" si="38"/>
        <v>1</v>
      </c>
      <c r="AO7" s="28">
        <f t="shared" si="38"/>
        <v>1</v>
      </c>
      <c r="AP7" s="28">
        <f t="shared" si="38"/>
        <v>1</v>
      </c>
      <c r="AS7" s="251">
        <f t="shared" ref="AS7:AV7" si="39">if(AA7&gt;0,AA7+AS6,0)</f>
        <v>24</v>
      </c>
      <c r="AT7" s="78">
        <f t="shared" si="39"/>
        <v>0</v>
      </c>
      <c r="AU7" s="78">
        <f t="shared" si="39"/>
        <v>0</v>
      </c>
      <c r="AV7" s="78">
        <f t="shared" si="39"/>
        <v>0</v>
      </c>
      <c r="AY7" s="28">
        <f t="shared" ref="AY7:BB7" si="40">if(AA7&lt;0,AA7+AY6,0)</f>
        <v>0</v>
      </c>
      <c r="AZ7" s="80">
        <f t="shared" si="40"/>
        <v>-8</v>
      </c>
      <c r="BA7" s="80">
        <f t="shared" si="40"/>
        <v>-8</v>
      </c>
      <c r="BB7" s="80">
        <f t="shared" si="40"/>
        <v>-8</v>
      </c>
    </row>
    <row r="8">
      <c r="A8" s="250">
        <f t="shared" si="19"/>
        <v>6</v>
      </c>
      <c r="B8" s="248">
        <f t="shared" ref="B8:K8" si="41">N8</f>
        <v>-192</v>
      </c>
      <c r="C8" s="248">
        <f t="shared" si="41"/>
        <v>-256</v>
      </c>
      <c r="D8" s="248">
        <f t="shared" si="41"/>
        <v>192</v>
      </c>
      <c r="E8" s="248">
        <f t="shared" si="41"/>
        <v>256</v>
      </c>
      <c r="F8" s="248">
        <f t="shared" si="41"/>
        <v>0</v>
      </c>
      <c r="G8" s="249" t="str">
        <f t="shared" si="41"/>
        <v>10 Vip i 3. </v>
      </c>
      <c r="H8" s="249" t="str">
        <f t="shared" si="41"/>
        <v>Thomas</v>
      </c>
      <c r="I8" s="249" t="str">
        <f t="shared" si="41"/>
        <v>Peter</v>
      </c>
      <c r="J8" s="249" t="str">
        <f t="shared" si="41"/>
        <v>Peter</v>
      </c>
      <c r="K8" s="248" t="str">
        <f t="shared" si="41"/>
        <v>DEL 1</v>
      </c>
      <c r="L8" s="56"/>
      <c r="M8" s="250">
        <f t="shared" si="21"/>
        <v>6</v>
      </c>
      <c r="N8" s="250">
        <f t="shared" ref="N8:O8" si="42">N7-7*32</f>
        <v>-192</v>
      </c>
      <c r="O8" s="250">
        <f t="shared" si="42"/>
        <v>-256</v>
      </c>
      <c r="P8" s="250">
        <f t="shared" ref="P8:Q8" si="43">P7+7*32</f>
        <v>192</v>
      </c>
      <c r="Q8" s="250">
        <f t="shared" si="43"/>
        <v>256</v>
      </c>
      <c r="R8" s="250">
        <f t="shared" si="13"/>
        <v>0</v>
      </c>
      <c r="S8" s="247" t="s">
        <v>454</v>
      </c>
      <c r="T8" s="247" t="s">
        <v>7</v>
      </c>
      <c r="U8" s="247" t="s">
        <v>8</v>
      </c>
      <c r="V8" s="247" t="s">
        <v>8</v>
      </c>
      <c r="W8" s="25" t="s">
        <v>453</v>
      </c>
      <c r="X8" s="56"/>
      <c r="AA8" s="80">
        <f t="shared" ref="AA8:AD8" si="44">N8-N7</f>
        <v>-224</v>
      </c>
      <c r="AB8" s="80">
        <f t="shared" si="44"/>
        <v>-224</v>
      </c>
      <c r="AC8" s="80">
        <f t="shared" si="44"/>
        <v>224</v>
      </c>
      <c r="AD8" s="80">
        <f t="shared" si="44"/>
        <v>224</v>
      </c>
      <c r="AG8" s="28">
        <f t="shared" ref="AG8:AJ8" si="45">if(AA8&gt;0,1+AG7,0)</f>
        <v>0</v>
      </c>
      <c r="AH8" s="28">
        <f t="shared" si="45"/>
        <v>0</v>
      </c>
      <c r="AI8" s="28">
        <f t="shared" si="45"/>
        <v>1</v>
      </c>
      <c r="AJ8" s="28">
        <f t="shared" si="45"/>
        <v>1</v>
      </c>
      <c r="AM8" s="28">
        <f t="shared" ref="AM8:AP8" si="46">if(AA8&lt;0,1+AM7,0)</f>
        <v>1</v>
      </c>
      <c r="AN8" s="28">
        <f t="shared" si="46"/>
        <v>2</v>
      </c>
      <c r="AO8" s="28">
        <f t="shared" si="46"/>
        <v>0</v>
      </c>
      <c r="AP8" s="28">
        <f t="shared" si="46"/>
        <v>0</v>
      </c>
      <c r="AS8" s="78">
        <f t="shared" ref="AS8:AV8" si="47">if(AA8&gt;0,AA8+AS7,0)</f>
        <v>0</v>
      </c>
      <c r="AT8" s="78">
        <f t="shared" si="47"/>
        <v>0</v>
      </c>
      <c r="AU8" s="251">
        <f t="shared" si="47"/>
        <v>224</v>
      </c>
      <c r="AV8" s="251">
        <f t="shared" si="47"/>
        <v>224</v>
      </c>
      <c r="AY8" s="80">
        <f t="shared" ref="AY8:BB8" si="48">if(AA8&lt;0,AA8+AY7,0)</f>
        <v>-224</v>
      </c>
      <c r="AZ8" s="80">
        <f t="shared" si="48"/>
        <v>-232</v>
      </c>
      <c r="BA8" s="28">
        <f t="shared" si="48"/>
        <v>0</v>
      </c>
      <c r="BB8" s="28">
        <f t="shared" si="48"/>
        <v>0</v>
      </c>
    </row>
    <row r="9">
      <c r="A9" s="250">
        <f t="shared" si="19"/>
        <v>7</v>
      </c>
      <c r="B9" s="248">
        <f t="shared" ref="B9:K9" si="49">N9</f>
        <v>-208</v>
      </c>
      <c r="C9" s="248">
        <f t="shared" si="49"/>
        <v>-272</v>
      </c>
      <c r="D9" s="248">
        <f t="shared" si="49"/>
        <v>208</v>
      </c>
      <c r="E9" s="248">
        <f t="shared" si="49"/>
        <v>272</v>
      </c>
      <c r="F9" s="248">
        <f t="shared" si="49"/>
        <v>0</v>
      </c>
      <c r="G9" s="249" t="str">
        <f t="shared" si="49"/>
        <v>10 gode</v>
      </c>
      <c r="H9" s="249" t="str">
        <f t="shared" si="49"/>
        <v>Thomas</v>
      </c>
      <c r="I9" s="249" t="str">
        <f t="shared" si="49"/>
        <v>Peter</v>
      </c>
      <c r="J9" s="249" t="str">
        <f t="shared" si="49"/>
        <v>Janus</v>
      </c>
      <c r="K9" s="248" t="str">
        <f t="shared" si="49"/>
        <v>DEL 1</v>
      </c>
      <c r="L9" s="56"/>
      <c r="M9" s="250">
        <f t="shared" si="21"/>
        <v>7</v>
      </c>
      <c r="N9" s="250">
        <f t="shared" ref="N9:O9" si="50">N8-16</f>
        <v>-208</v>
      </c>
      <c r="O9" s="250">
        <f t="shared" si="50"/>
        <v>-272</v>
      </c>
      <c r="P9" s="250">
        <f t="shared" ref="P9:Q9" si="51">P8+16</f>
        <v>208</v>
      </c>
      <c r="Q9" s="250">
        <f t="shared" si="51"/>
        <v>272</v>
      </c>
      <c r="R9" s="250">
        <f t="shared" si="13"/>
        <v>0</v>
      </c>
      <c r="S9" s="247" t="s">
        <v>308</v>
      </c>
      <c r="T9" s="247" t="s">
        <v>7</v>
      </c>
      <c r="U9" s="247" t="s">
        <v>8</v>
      </c>
      <c r="V9" s="247" t="s">
        <v>9</v>
      </c>
      <c r="W9" s="25" t="s">
        <v>453</v>
      </c>
      <c r="X9" s="56"/>
      <c r="AA9" s="80">
        <f t="shared" ref="AA9:AD9" si="52">N9-N8</f>
        <v>-16</v>
      </c>
      <c r="AB9" s="80">
        <f t="shared" si="52"/>
        <v>-16</v>
      </c>
      <c r="AC9" s="80">
        <f t="shared" si="52"/>
        <v>16</v>
      </c>
      <c r="AD9" s="80">
        <f t="shared" si="52"/>
        <v>16</v>
      </c>
      <c r="AG9" s="28">
        <f t="shared" ref="AG9:AJ9" si="53">if(AA9&gt;0,1+AG8,0)</f>
        <v>0</v>
      </c>
      <c r="AH9" s="28">
        <f t="shared" si="53"/>
        <v>0</v>
      </c>
      <c r="AI9" s="28">
        <f t="shared" si="53"/>
        <v>2</v>
      </c>
      <c r="AJ9" s="28">
        <f t="shared" si="53"/>
        <v>2</v>
      </c>
      <c r="AM9" s="28">
        <f t="shared" ref="AM9:AP9" si="54">if(AA9&lt;0,1+AM8,0)</f>
        <v>2</v>
      </c>
      <c r="AN9" s="28">
        <f t="shared" si="54"/>
        <v>3</v>
      </c>
      <c r="AO9" s="28">
        <f t="shared" si="54"/>
        <v>0</v>
      </c>
      <c r="AP9" s="28">
        <f t="shared" si="54"/>
        <v>0</v>
      </c>
      <c r="AS9" s="78">
        <f t="shared" ref="AS9:AV9" si="55">if(AA9&gt;0,AA9+AS8,0)</f>
        <v>0</v>
      </c>
      <c r="AT9" s="78">
        <f t="shared" si="55"/>
        <v>0</v>
      </c>
      <c r="AU9" s="251">
        <f t="shared" si="55"/>
        <v>240</v>
      </c>
      <c r="AV9" s="251">
        <f t="shared" si="55"/>
        <v>240</v>
      </c>
      <c r="AY9" s="80">
        <f t="shared" ref="AY9:BB9" si="56">if(AA9&lt;0,AA9+AY8,0)</f>
        <v>-240</v>
      </c>
      <c r="AZ9" s="80">
        <f t="shared" si="56"/>
        <v>-248</v>
      </c>
      <c r="BA9" s="28">
        <f t="shared" si="56"/>
        <v>0</v>
      </c>
      <c r="BB9" s="28">
        <f t="shared" si="56"/>
        <v>0</v>
      </c>
    </row>
    <row r="10">
      <c r="A10" s="250">
        <f t="shared" si="19"/>
        <v>8</v>
      </c>
      <c r="B10" s="248">
        <f t="shared" ref="B10:K10" si="57">N10</f>
        <v>-192</v>
      </c>
      <c r="C10" s="248">
        <f t="shared" si="57"/>
        <v>-256</v>
      </c>
      <c r="D10" s="248">
        <f t="shared" si="57"/>
        <v>192</v>
      </c>
      <c r="E10" s="248">
        <f t="shared" si="57"/>
        <v>256</v>
      </c>
      <c r="F10" s="248">
        <f t="shared" si="57"/>
        <v>0</v>
      </c>
      <c r="G10" s="249" t="str">
        <f t="shared" si="57"/>
        <v>9 halve</v>
      </c>
      <c r="H10" s="249" t="str">
        <f t="shared" si="57"/>
        <v>Christian</v>
      </c>
      <c r="I10" s="249" t="str">
        <f t="shared" si="57"/>
        <v>Janus</v>
      </c>
      <c r="J10" s="249" t="str">
        <f t="shared" si="57"/>
        <v>Christian</v>
      </c>
      <c r="K10" s="248" t="str">
        <f t="shared" si="57"/>
        <v>DEL 1</v>
      </c>
      <c r="L10" s="56"/>
      <c r="M10" s="250">
        <f t="shared" si="21"/>
        <v>8</v>
      </c>
      <c r="N10" s="250">
        <f t="shared" ref="N10:O10" si="58">N9+16</f>
        <v>-192</v>
      </c>
      <c r="O10" s="250">
        <f t="shared" si="58"/>
        <v>-256</v>
      </c>
      <c r="P10" s="250">
        <f t="shared" ref="P10:Q10" si="59">P9-16</f>
        <v>192</v>
      </c>
      <c r="Q10" s="250">
        <f t="shared" si="59"/>
        <v>256</v>
      </c>
      <c r="R10" s="250">
        <f t="shared" si="13"/>
        <v>0</v>
      </c>
      <c r="S10" s="247" t="s">
        <v>293</v>
      </c>
      <c r="T10" s="247" t="s">
        <v>10</v>
      </c>
      <c r="U10" s="247" t="s">
        <v>9</v>
      </c>
      <c r="V10" s="247" t="s">
        <v>10</v>
      </c>
      <c r="W10" s="25" t="s">
        <v>453</v>
      </c>
      <c r="X10" s="56"/>
      <c r="AA10" s="80">
        <f t="shared" ref="AA10:AD10" si="60">N10-N9</f>
        <v>16</v>
      </c>
      <c r="AB10" s="80">
        <f t="shared" si="60"/>
        <v>16</v>
      </c>
      <c r="AC10" s="80">
        <f t="shared" si="60"/>
        <v>-16</v>
      </c>
      <c r="AD10" s="80">
        <f t="shared" si="60"/>
        <v>-16</v>
      </c>
      <c r="AG10" s="28">
        <f t="shared" ref="AG10:AJ10" si="61">if(AA10&gt;0,1+AG9,0)</f>
        <v>1</v>
      </c>
      <c r="AH10" s="28">
        <f t="shared" si="61"/>
        <v>1</v>
      </c>
      <c r="AI10" s="28">
        <f t="shared" si="61"/>
        <v>0</v>
      </c>
      <c r="AJ10" s="28">
        <f t="shared" si="61"/>
        <v>0</v>
      </c>
      <c r="AM10" s="28">
        <f t="shared" ref="AM10:AP10" si="62">if(AA10&lt;0,1+AM9,0)</f>
        <v>0</v>
      </c>
      <c r="AN10" s="28">
        <f t="shared" si="62"/>
        <v>0</v>
      </c>
      <c r="AO10" s="28">
        <f t="shared" si="62"/>
        <v>1</v>
      </c>
      <c r="AP10" s="28">
        <f t="shared" si="62"/>
        <v>1</v>
      </c>
      <c r="AS10" s="251">
        <f t="shared" ref="AS10:AV10" si="63">if(AA10&gt;0,AA10+AS9,0)</f>
        <v>16</v>
      </c>
      <c r="AT10" s="251">
        <f t="shared" si="63"/>
        <v>16</v>
      </c>
      <c r="AU10" s="78">
        <f t="shared" si="63"/>
        <v>0</v>
      </c>
      <c r="AV10" s="78">
        <f t="shared" si="63"/>
        <v>0</v>
      </c>
      <c r="AY10" s="28">
        <f t="shared" ref="AY10:BB10" si="64">if(AA10&lt;0,AA10+AY9,0)</f>
        <v>0</v>
      </c>
      <c r="AZ10" s="28">
        <f t="shared" si="64"/>
        <v>0</v>
      </c>
      <c r="BA10" s="80">
        <f t="shared" si="64"/>
        <v>-16</v>
      </c>
      <c r="BB10" s="80">
        <f t="shared" si="64"/>
        <v>-16</v>
      </c>
    </row>
    <row r="11">
      <c r="A11" s="252">
        <f t="shared" si="19"/>
        <v>9</v>
      </c>
      <c r="B11" s="253">
        <f t="shared" ref="B11:E11" si="65">B10</f>
        <v>-192</v>
      </c>
      <c r="C11" s="253">
        <f t="shared" si="65"/>
        <v>-256</v>
      </c>
      <c r="D11" s="253">
        <f t="shared" si="65"/>
        <v>192</v>
      </c>
      <c r="E11" s="253">
        <f t="shared" si="65"/>
        <v>256</v>
      </c>
      <c r="F11" s="253" t="str">
        <f t="shared" ref="F11:K11" si="66">R11</f>
        <v/>
      </c>
      <c r="G11" s="254" t="str">
        <f t="shared" si="66"/>
        <v>9 gode</v>
      </c>
      <c r="H11" s="254" t="str">
        <f t="shared" si="66"/>
        <v>Christian</v>
      </c>
      <c r="I11" s="254" t="str">
        <f t="shared" si="66"/>
        <v>Selvmakker</v>
      </c>
      <c r="J11" s="254" t="str">
        <f t="shared" si="66"/>
        <v>Peter</v>
      </c>
      <c r="K11" s="253" t="str">
        <f t="shared" si="66"/>
        <v>DEL 1</v>
      </c>
      <c r="L11" s="255"/>
      <c r="M11" s="256">
        <f t="shared" si="21"/>
        <v>9</v>
      </c>
      <c r="N11" s="257"/>
      <c r="O11" s="257"/>
      <c r="P11" s="257"/>
      <c r="Q11" s="257"/>
      <c r="R11" s="258"/>
      <c r="S11" s="258" t="s">
        <v>299</v>
      </c>
      <c r="T11" s="258" t="s">
        <v>10</v>
      </c>
      <c r="U11" s="258" t="s">
        <v>228</v>
      </c>
      <c r="V11" s="258" t="s">
        <v>8</v>
      </c>
      <c r="W11" s="259" t="s">
        <v>453</v>
      </c>
      <c r="X11" s="255"/>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0"/>
      <c r="AZ11" s="100"/>
      <c r="BA11" s="100"/>
      <c r="BB11" s="100"/>
    </row>
    <row r="12">
      <c r="A12" s="250">
        <f>M11+1</f>
        <v>10</v>
      </c>
      <c r="B12" s="260">
        <f>B10+6</f>
        <v>-186</v>
      </c>
      <c r="C12" s="260">
        <f>C10-6</f>
        <v>-262</v>
      </c>
      <c r="D12" s="260">
        <f>D10+6</f>
        <v>198</v>
      </c>
      <c r="E12" s="260">
        <f>E10-6</f>
        <v>250</v>
      </c>
      <c r="F12" s="248">
        <f t="shared" ref="F12:K12" si="67">R12</f>
        <v>0</v>
      </c>
      <c r="G12" s="249" t="str">
        <f t="shared" si="67"/>
        <v>8 gode</v>
      </c>
      <c r="H12" s="249" t="str">
        <f t="shared" si="67"/>
        <v>Thomas</v>
      </c>
      <c r="I12" s="249" t="str">
        <f t="shared" si="67"/>
        <v>Janus</v>
      </c>
      <c r="J12" s="249" t="str">
        <f t="shared" si="67"/>
        <v>Christian</v>
      </c>
      <c r="K12" s="248" t="str">
        <f t="shared" si="67"/>
        <v>DEL 3</v>
      </c>
      <c r="L12" s="56"/>
      <c r="M12" s="250">
        <f t="shared" si="21"/>
        <v>10</v>
      </c>
      <c r="N12" s="271">
        <f t="shared" ref="N12:O12" si="68">N8-6</f>
        <v>-198</v>
      </c>
      <c r="O12" s="271">
        <f t="shared" si="68"/>
        <v>-262</v>
      </c>
      <c r="P12" s="271">
        <f t="shared" ref="P12:Q12" si="69">P8+6</f>
        <v>198</v>
      </c>
      <c r="Q12" s="271">
        <f t="shared" si="69"/>
        <v>262</v>
      </c>
      <c r="R12" s="260">
        <f t="shared" ref="R12:R41" si="78">SUM(N12:Q12)</f>
        <v>0</v>
      </c>
      <c r="S12" s="261" t="s">
        <v>342</v>
      </c>
      <c r="T12" s="261" t="s">
        <v>7</v>
      </c>
      <c r="U12" s="261" t="s">
        <v>9</v>
      </c>
      <c r="V12" s="261" t="s">
        <v>10</v>
      </c>
      <c r="W12" s="106" t="s">
        <v>457</v>
      </c>
      <c r="X12" s="105"/>
      <c r="Y12" s="103"/>
      <c r="Z12" s="103"/>
      <c r="AA12" s="80">
        <f t="shared" ref="AA12:AD12" si="70">N12-N10</f>
        <v>-6</v>
      </c>
      <c r="AB12" s="80">
        <f t="shared" si="70"/>
        <v>-6</v>
      </c>
      <c r="AC12" s="80">
        <f t="shared" si="70"/>
        <v>6</v>
      </c>
      <c r="AD12" s="80">
        <f t="shared" si="70"/>
        <v>6</v>
      </c>
      <c r="AE12" s="103"/>
      <c r="AF12" s="103"/>
      <c r="AG12" s="28">
        <f t="shared" ref="AG12:AJ12" si="71">if(AA12&gt;0,1+AG10,0)</f>
        <v>0</v>
      </c>
      <c r="AH12" s="28">
        <f t="shared" si="71"/>
        <v>0</v>
      </c>
      <c r="AI12" s="28">
        <f t="shared" si="71"/>
        <v>1</v>
      </c>
      <c r="AJ12" s="28">
        <f t="shared" si="71"/>
        <v>1</v>
      </c>
      <c r="AK12" s="103"/>
      <c r="AL12" s="103"/>
      <c r="AM12" s="28">
        <f t="shared" ref="AM12:AP12" si="72">if(AA12&lt;0,1+AM10,0)</f>
        <v>1</v>
      </c>
      <c r="AN12" s="28">
        <f t="shared" si="72"/>
        <v>1</v>
      </c>
      <c r="AO12" s="28">
        <f t="shared" si="72"/>
        <v>0</v>
      </c>
      <c r="AP12" s="28">
        <f t="shared" si="72"/>
        <v>0</v>
      </c>
      <c r="AS12" s="78">
        <f t="shared" ref="AS12:AV12" si="73">if(AA12&gt;0,AA12+AS10,0)</f>
        <v>0</v>
      </c>
      <c r="AT12" s="78">
        <f t="shared" si="73"/>
        <v>0</v>
      </c>
      <c r="AU12" s="251">
        <f t="shared" si="73"/>
        <v>6</v>
      </c>
      <c r="AV12" s="251">
        <f t="shared" si="73"/>
        <v>6</v>
      </c>
      <c r="AY12" s="80">
        <f t="shared" ref="AY12:BB12" si="74">if(AA12&lt;0,AA12+AY10,0)</f>
        <v>-6</v>
      </c>
      <c r="AZ12" s="80">
        <f t="shared" si="74"/>
        <v>-6</v>
      </c>
      <c r="BA12" s="28">
        <f t="shared" si="74"/>
        <v>0</v>
      </c>
      <c r="BB12" s="28">
        <f t="shared" si="74"/>
        <v>0</v>
      </c>
    </row>
    <row r="13">
      <c r="A13" s="250">
        <f t="shared" ref="A13:A41" si="84">A12+1</f>
        <v>11</v>
      </c>
      <c r="B13" s="250">
        <f t="shared" ref="B13:C13" si="75">B12-16</f>
        <v>-202</v>
      </c>
      <c r="C13" s="250">
        <f t="shared" si="75"/>
        <v>-278</v>
      </c>
      <c r="D13" s="250">
        <f>D12+3*16</f>
        <v>246</v>
      </c>
      <c r="E13" s="250">
        <f>E12-16</f>
        <v>234</v>
      </c>
      <c r="F13" s="248">
        <f t="shared" ref="F13:K13" si="76">R13</f>
        <v>0</v>
      </c>
      <c r="G13" s="249" t="str">
        <f t="shared" si="76"/>
        <v>Halv bordlægger</v>
      </c>
      <c r="H13" s="249" t="str">
        <f t="shared" si="76"/>
        <v>Janus</v>
      </c>
      <c r="I13" s="249" t="str">
        <f t="shared" si="76"/>
        <v/>
      </c>
      <c r="J13" s="249" t="str">
        <f t="shared" si="76"/>
        <v>Janus</v>
      </c>
      <c r="K13" s="248" t="str">
        <f t="shared" si="76"/>
        <v>DEL 3</v>
      </c>
      <c r="L13" s="56"/>
      <c r="M13" s="250">
        <f t="shared" si="21"/>
        <v>11</v>
      </c>
      <c r="N13" s="250">
        <f t="shared" ref="N13:O13" si="77">N12-16</f>
        <v>-214</v>
      </c>
      <c r="O13" s="250">
        <f t="shared" si="77"/>
        <v>-278</v>
      </c>
      <c r="P13" s="250">
        <f>P12+3*16</f>
        <v>246</v>
      </c>
      <c r="Q13" s="250">
        <f>Q12-16</f>
        <v>246</v>
      </c>
      <c r="R13" s="250">
        <f t="shared" si="78"/>
        <v>0</v>
      </c>
      <c r="S13" s="247" t="s">
        <v>101</v>
      </c>
      <c r="T13" s="247" t="s">
        <v>9</v>
      </c>
      <c r="U13" s="247"/>
      <c r="V13" s="247" t="s">
        <v>9</v>
      </c>
      <c r="W13" s="25" t="s">
        <v>457</v>
      </c>
      <c r="X13" s="56"/>
      <c r="AA13" s="80">
        <f t="shared" ref="AA13:AD13" si="79">N13-N12</f>
        <v>-16</v>
      </c>
      <c r="AB13" s="80">
        <f t="shared" si="79"/>
        <v>-16</v>
      </c>
      <c r="AC13" s="80">
        <f t="shared" si="79"/>
        <v>48</v>
      </c>
      <c r="AD13" s="80">
        <f t="shared" si="79"/>
        <v>-16</v>
      </c>
      <c r="AG13" s="28">
        <f t="shared" ref="AG13:AJ13" si="80">if(AA13&gt;0,1+AG12,0)</f>
        <v>0</v>
      </c>
      <c r="AH13" s="28">
        <f t="shared" si="80"/>
        <v>0</v>
      </c>
      <c r="AI13" s="28">
        <f t="shared" si="80"/>
        <v>2</v>
      </c>
      <c r="AJ13" s="28">
        <f t="shared" si="80"/>
        <v>0</v>
      </c>
      <c r="AM13" s="28">
        <f t="shared" ref="AM13:AP13" si="81">if(AA13&lt;0,1+AM12,0)</f>
        <v>2</v>
      </c>
      <c r="AN13" s="28">
        <f t="shared" si="81"/>
        <v>2</v>
      </c>
      <c r="AO13" s="28">
        <f t="shared" si="81"/>
        <v>0</v>
      </c>
      <c r="AP13" s="28">
        <f t="shared" si="81"/>
        <v>1</v>
      </c>
      <c r="AS13" s="78">
        <f t="shared" ref="AS13:AV13" si="82">if(AA13&gt;0,AA13+AS12,0)</f>
        <v>0</v>
      </c>
      <c r="AT13" s="78">
        <f t="shared" si="82"/>
        <v>0</v>
      </c>
      <c r="AU13" s="251">
        <f t="shared" si="82"/>
        <v>54</v>
      </c>
      <c r="AV13" s="78">
        <f t="shared" si="82"/>
        <v>0</v>
      </c>
      <c r="AY13" s="80">
        <f t="shared" ref="AY13:BB13" si="83">if(AA13&lt;0,AA13+AY12,0)</f>
        <v>-22</v>
      </c>
      <c r="AZ13" s="80">
        <f t="shared" si="83"/>
        <v>-22</v>
      </c>
      <c r="BA13" s="28">
        <f t="shared" si="83"/>
        <v>0</v>
      </c>
      <c r="BB13" s="80">
        <f t="shared" si="83"/>
        <v>-16</v>
      </c>
    </row>
    <row r="14">
      <c r="A14" s="250">
        <f t="shared" si="84"/>
        <v>12</v>
      </c>
      <c r="B14" s="250">
        <f t="shared" ref="B14:C14" si="85">B13-4</f>
        <v>-206</v>
      </c>
      <c r="C14" s="250">
        <f t="shared" si="85"/>
        <v>-282</v>
      </c>
      <c r="D14" s="250">
        <f t="shared" ref="D14:E14" si="86">D13+4</f>
        <v>250</v>
      </c>
      <c r="E14" s="250">
        <f t="shared" si="86"/>
        <v>238</v>
      </c>
      <c r="F14" s="248">
        <f t="shared" ref="F14:K14" si="87">R14</f>
        <v>0</v>
      </c>
      <c r="G14" s="249" t="str">
        <f t="shared" si="87"/>
        <v>9 alm</v>
      </c>
      <c r="H14" s="249" t="str">
        <f t="shared" si="87"/>
        <v>Christian</v>
      </c>
      <c r="I14" s="249" t="str">
        <f t="shared" si="87"/>
        <v>Janus</v>
      </c>
      <c r="J14" s="249" t="str">
        <f t="shared" si="87"/>
        <v>Peter</v>
      </c>
      <c r="K14" s="248" t="str">
        <f t="shared" si="87"/>
        <v>DEL 3</v>
      </c>
      <c r="L14" s="56"/>
      <c r="M14" s="250">
        <f t="shared" si="21"/>
        <v>12</v>
      </c>
      <c r="N14" s="250">
        <f t="shared" ref="N14:O14" si="88">N13-4</f>
        <v>-218</v>
      </c>
      <c r="O14" s="250">
        <f t="shared" si="88"/>
        <v>-282</v>
      </c>
      <c r="P14" s="250">
        <f t="shared" ref="P14:Q14" si="89">P13+4</f>
        <v>250</v>
      </c>
      <c r="Q14" s="250">
        <f t="shared" si="89"/>
        <v>250</v>
      </c>
      <c r="R14" s="250">
        <f t="shared" si="78"/>
        <v>0</v>
      </c>
      <c r="S14" s="247" t="s">
        <v>345</v>
      </c>
      <c r="T14" s="247" t="s">
        <v>10</v>
      </c>
      <c r="U14" s="247" t="s">
        <v>9</v>
      </c>
      <c r="V14" s="247" t="s">
        <v>8</v>
      </c>
      <c r="W14" s="25" t="s">
        <v>457</v>
      </c>
      <c r="X14" s="56"/>
      <c r="AA14" s="80">
        <f t="shared" ref="AA14:AD14" si="90">N14-N13</f>
        <v>-4</v>
      </c>
      <c r="AB14" s="80">
        <f t="shared" si="90"/>
        <v>-4</v>
      </c>
      <c r="AC14" s="80">
        <f t="shared" si="90"/>
        <v>4</v>
      </c>
      <c r="AD14" s="80">
        <f t="shared" si="90"/>
        <v>4</v>
      </c>
      <c r="AG14" s="28">
        <f t="shared" ref="AG14:AJ14" si="91">if(AA14&gt;0,1+AG13,0)</f>
        <v>0</v>
      </c>
      <c r="AH14" s="28">
        <f t="shared" si="91"/>
        <v>0</v>
      </c>
      <c r="AI14" s="28">
        <f t="shared" si="91"/>
        <v>3</v>
      </c>
      <c r="AJ14" s="28">
        <f t="shared" si="91"/>
        <v>1</v>
      </c>
      <c r="AM14" s="28">
        <f t="shared" ref="AM14:AP14" si="92">if(AA14&lt;0,1+AM13,0)</f>
        <v>3</v>
      </c>
      <c r="AN14" s="28">
        <f t="shared" si="92"/>
        <v>3</v>
      </c>
      <c r="AO14" s="28">
        <f t="shared" si="92"/>
        <v>0</v>
      </c>
      <c r="AP14" s="28">
        <f t="shared" si="92"/>
        <v>0</v>
      </c>
      <c r="AS14" s="78">
        <f t="shared" ref="AS14:AV14" si="93">if(AA14&gt;0,AA14+AS12,0)</f>
        <v>0</v>
      </c>
      <c r="AT14" s="78">
        <f t="shared" si="93"/>
        <v>0</v>
      </c>
      <c r="AU14" s="251">
        <f t="shared" si="93"/>
        <v>10</v>
      </c>
      <c r="AV14" s="251">
        <f t="shared" si="93"/>
        <v>10</v>
      </c>
      <c r="AY14" s="80">
        <f t="shared" ref="AY14:BB14" si="94">if(AA14&lt;0,AA14+AY12,0)</f>
        <v>-10</v>
      </c>
      <c r="AZ14" s="80">
        <f t="shared" si="94"/>
        <v>-10</v>
      </c>
      <c r="BA14" s="28">
        <f t="shared" si="94"/>
        <v>0</v>
      </c>
      <c r="BB14" s="28">
        <f t="shared" si="94"/>
        <v>0</v>
      </c>
    </row>
    <row r="15">
      <c r="A15" s="250">
        <f t="shared" si="84"/>
        <v>13</v>
      </c>
      <c r="B15" s="250">
        <f>B14-8</f>
        <v>-214</v>
      </c>
      <c r="C15" s="250">
        <f>C14+8</f>
        <v>-274</v>
      </c>
      <c r="D15" s="250">
        <f>D14-8</f>
        <v>242</v>
      </c>
      <c r="E15" s="250">
        <f t="shared" ref="E15:E16" si="102">E14+8</f>
        <v>246</v>
      </c>
      <c r="F15" s="248">
        <f t="shared" ref="F15:K15" si="95">R15</f>
        <v>0</v>
      </c>
      <c r="G15" s="249" t="str">
        <f t="shared" si="95"/>
        <v>10 alm</v>
      </c>
      <c r="H15" s="249" t="str">
        <f t="shared" si="95"/>
        <v>Christian</v>
      </c>
      <c r="I15" s="249" t="str">
        <f t="shared" si="95"/>
        <v>Peter</v>
      </c>
      <c r="J15" s="249" t="str">
        <f t="shared" si="95"/>
        <v>Thomas</v>
      </c>
      <c r="K15" s="248" t="str">
        <f t="shared" si="95"/>
        <v>DEL 3</v>
      </c>
      <c r="L15" s="56"/>
      <c r="M15" s="250">
        <f t="shared" si="21"/>
        <v>13</v>
      </c>
      <c r="N15" s="250">
        <f>N14-8</f>
        <v>-226</v>
      </c>
      <c r="O15" s="250">
        <f>O14+8</f>
        <v>-274</v>
      </c>
      <c r="P15" s="250">
        <f>P14-8</f>
        <v>242</v>
      </c>
      <c r="Q15" s="250">
        <f t="shared" ref="Q15:Q16" si="105">Q14+8</f>
        <v>258</v>
      </c>
      <c r="R15" s="250">
        <f t="shared" si="78"/>
        <v>0</v>
      </c>
      <c r="S15" s="247" t="s">
        <v>314</v>
      </c>
      <c r="T15" s="247" t="s">
        <v>10</v>
      </c>
      <c r="U15" s="247" t="s">
        <v>8</v>
      </c>
      <c r="V15" s="247" t="s">
        <v>7</v>
      </c>
      <c r="W15" s="25" t="s">
        <v>457</v>
      </c>
      <c r="X15" s="56"/>
      <c r="AA15" s="80">
        <f t="shared" ref="AA15:AD15" si="96">N15-N14</f>
        <v>-8</v>
      </c>
      <c r="AB15" s="80">
        <f t="shared" si="96"/>
        <v>8</v>
      </c>
      <c r="AC15" s="80">
        <f t="shared" si="96"/>
        <v>-8</v>
      </c>
      <c r="AD15" s="80">
        <f t="shared" si="96"/>
        <v>8</v>
      </c>
      <c r="AG15" s="28">
        <f t="shared" ref="AG15:AJ15" si="97">if(AA15&gt;0,1+AG14,0)</f>
        <v>0</v>
      </c>
      <c r="AH15" s="28">
        <f t="shared" si="97"/>
        <v>1</v>
      </c>
      <c r="AI15" s="28">
        <f t="shared" si="97"/>
        <v>0</v>
      </c>
      <c r="AJ15" s="28">
        <f t="shared" si="97"/>
        <v>2</v>
      </c>
      <c r="AM15" s="28">
        <f t="shared" ref="AM15:AP15" si="98">if(AA15&lt;0,1+AM14,0)</f>
        <v>4</v>
      </c>
      <c r="AN15" s="28">
        <f t="shared" si="98"/>
        <v>0</v>
      </c>
      <c r="AO15" s="28">
        <f t="shared" si="98"/>
        <v>1</v>
      </c>
      <c r="AP15" s="28">
        <f t="shared" si="98"/>
        <v>0</v>
      </c>
      <c r="AS15" s="78">
        <f t="shared" ref="AS15:AV15" si="99">if(AA15&gt;0,AA15+AS13,0)</f>
        <v>0</v>
      </c>
      <c r="AT15" s="251">
        <f t="shared" si="99"/>
        <v>8</v>
      </c>
      <c r="AU15" s="78">
        <f t="shared" si="99"/>
        <v>0</v>
      </c>
      <c r="AV15" s="251">
        <f t="shared" si="99"/>
        <v>8</v>
      </c>
      <c r="AY15" s="80">
        <f t="shared" ref="AY15:BB15" si="100">if(AA15&lt;0,AA15+AY13,0)</f>
        <v>-30</v>
      </c>
      <c r="AZ15" s="28">
        <f t="shared" si="100"/>
        <v>0</v>
      </c>
      <c r="BA15" s="80">
        <f t="shared" si="100"/>
        <v>-8</v>
      </c>
      <c r="BB15" s="28">
        <f t="shared" si="100"/>
        <v>0</v>
      </c>
    </row>
    <row r="16">
      <c r="A16" s="250">
        <f t="shared" si="84"/>
        <v>14</v>
      </c>
      <c r="B16" s="250">
        <f t="shared" ref="B16:C16" si="101">B15+8</f>
        <v>-206</v>
      </c>
      <c r="C16" s="250">
        <f t="shared" si="101"/>
        <v>-266</v>
      </c>
      <c r="D16" s="250">
        <f>D15-24</f>
        <v>218</v>
      </c>
      <c r="E16" s="250">
        <f t="shared" si="102"/>
        <v>254</v>
      </c>
      <c r="F16" s="248">
        <f t="shared" ref="F16:K16" si="103">R16</f>
        <v>0</v>
      </c>
      <c r="G16" s="249" t="str">
        <f t="shared" si="103"/>
        <v>Ren sol</v>
      </c>
      <c r="H16" s="249" t="str">
        <f t="shared" si="103"/>
        <v>Janus</v>
      </c>
      <c r="I16" s="249" t="str">
        <f t="shared" si="103"/>
        <v/>
      </c>
      <c r="J16" s="249" t="str">
        <f t="shared" si="103"/>
        <v>Christian</v>
      </c>
      <c r="K16" s="248" t="str">
        <f t="shared" si="103"/>
        <v>DEL 3</v>
      </c>
      <c r="L16" s="56"/>
      <c r="M16" s="250">
        <f t="shared" si="21"/>
        <v>14</v>
      </c>
      <c r="N16" s="250">
        <f t="shared" ref="N16:O16" si="104">N15+8</f>
        <v>-218</v>
      </c>
      <c r="O16" s="250">
        <f t="shared" si="104"/>
        <v>-266</v>
      </c>
      <c r="P16" s="250">
        <f>P15-24</f>
        <v>218</v>
      </c>
      <c r="Q16" s="250">
        <f t="shared" si="105"/>
        <v>266</v>
      </c>
      <c r="R16" s="250">
        <f t="shared" si="78"/>
        <v>0</v>
      </c>
      <c r="S16" s="247" t="s">
        <v>97</v>
      </c>
      <c r="T16" s="247" t="s">
        <v>9</v>
      </c>
      <c r="U16" s="247"/>
      <c r="V16" s="247" t="s">
        <v>10</v>
      </c>
      <c r="W16" s="25" t="s">
        <v>457</v>
      </c>
      <c r="X16" s="56"/>
      <c r="AA16" s="80">
        <f t="shared" ref="AA16:AD16" si="106">N16-N15</f>
        <v>8</v>
      </c>
      <c r="AB16" s="80">
        <f t="shared" si="106"/>
        <v>8</v>
      </c>
      <c r="AC16" s="80">
        <f t="shared" si="106"/>
        <v>-24</v>
      </c>
      <c r="AD16" s="80">
        <f t="shared" si="106"/>
        <v>8</v>
      </c>
      <c r="AG16" s="28">
        <f t="shared" ref="AG16:AJ16" si="107">if(AA16&gt;0,1+AG15,0)</f>
        <v>1</v>
      </c>
      <c r="AH16" s="28">
        <f t="shared" si="107"/>
        <v>2</v>
      </c>
      <c r="AI16" s="28">
        <f t="shared" si="107"/>
        <v>0</v>
      </c>
      <c r="AJ16" s="28">
        <f t="shared" si="107"/>
        <v>3</v>
      </c>
      <c r="AM16" s="28">
        <f t="shared" ref="AM16:AP16" si="108">if(AA16&lt;0,1+AM15,0)</f>
        <v>0</v>
      </c>
      <c r="AN16" s="28">
        <f t="shared" si="108"/>
        <v>0</v>
      </c>
      <c r="AO16" s="28">
        <f t="shared" si="108"/>
        <v>2</v>
      </c>
      <c r="AP16" s="28">
        <f t="shared" si="108"/>
        <v>0</v>
      </c>
      <c r="AS16" s="251">
        <f t="shared" ref="AS16:AV16" si="109">if(AA16&gt;0,AA16+AS14,0)</f>
        <v>8</v>
      </c>
      <c r="AT16" s="251">
        <f t="shared" si="109"/>
        <v>8</v>
      </c>
      <c r="AU16" s="78">
        <f t="shared" si="109"/>
        <v>0</v>
      </c>
      <c r="AV16" s="251">
        <f t="shared" si="109"/>
        <v>18</v>
      </c>
      <c r="AY16" s="28">
        <f t="shared" ref="AY16:BB16" si="110">if(AA16&lt;0,AA16+AY14,0)</f>
        <v>0</v>
      </c>
      <c r="AZ16" s="28">
        <f t="shared" si="110"/>
        <v>0</v>
      </c>
      <c r="BA16" s="80">
        <f t="shared" si="110"/>
        <v>-24</v>
      </c>
      <c r="BB16" s="28">
        <f t="shared" si="110"/>
        <v>0</v>
      </c>
    </row>
    <row r="17">
      <c r="A17" s="250">
        <f t="shared" si="84"/>
        <v>15</v>
      </c>
      <c r="B17" s="250">
        <f>B16-8</f>
        <v>-214</v>
      </c>
      <c r="C17" s="250">
        <f>C16+24</f>
        <v>-242</v>
      </c>
      <c r="D17" s="250">
        <f t="shared" ref="D17:E17" si="111">D16-8</f>
        <v>210</v>
      </c>
      <c r="E17" s="250">
        <f t="shared" si="111"/>
        <v>246</v>
      </c>
      <c r="F17" s="248">
        <f t="shared" ref="F17:K17" si="112">R17</f>
        <v>0</v>
      </c>
      <c r="G17" s="249" t="str">
        <f t="shared" si="112"/>
        <v>ren sol</v>
      </c>
      <c r="H17" s="249" t="str">
        <f t="shared" si="112"/>
        <v>Peter</v>
      </c>
      <c r="I17" s="249" t="str">
        <f t="shared" si="112"/>
        <v/>
      </c>
      <c r="J17" s="249" t="str">
        <f t="shared" si="112"/>
        <v>Janus</v>
      </c>
      <c r="K17" s="248" t="str">
        <f t="shared" si="112"/>
        <v>DEL 3</v>
      </c>
      <c r="L17" s="56"/>
      <c r="M17" s="250">
        <f t="shared" si="21"/>
        <v>15</v>
      </c>
      <c r="N17" s="250">
        <f>N16-8</f>
        <v>-226</v>
      </c>
      <c r="O17" s="250">
        <f>O16+24</f>
        <v>-242</v>
      </c>
      <c r="P17" s="250">
        <f t="shared" ref="P17:Q17" si="113">P16-8</f>
        <v>210</v>
      </c>
      <c r="Q17" s="250">
        <f t="shared" si="113"/>
        <v>258</v>
      </c>
      <c r="R17" s="250">
        <f t="shared" si="78"/>
        <v>0</v>
      </c>
      <c r="S17" s="247" t="s">
        <v>140</v>
      </c>
      <c r="T17" s="247" t="s">
        <v>8</v>
      </c>
      <c r="U17" s="247"/>
      <c r="V17" s="247" t="s">
        <v>9</v>
      </c>
      <c r="W17" s="25" t="s">
        <v>457</v>
      </c>
      <c r="X17" s="56"/>
      <c r="AA17" s="80">
        <f t="shared" ref="AA17:AD17" si="114">N17-N16</f>
        <v>-8</v>
      </c>
      <c r="AB17" s="80">
        <f t="shared" si="114"/>
        <v>24</v>
      </c>
      <c r="AC17" s="80">
        <f t="shared" si="114"/>
        <v>-8</v>
      </c>
      <c r="AD17" s="80">
        <f t="shared" si="114"/>
        <v>-8</v>
      </c>
      <c r="AG17" s="28">
        <f t="shared" ref="AG17:AJ17" si="115">if(AA17&gt;0,1+AG16,0)</f>
        <v>0</v>
      </c>
      <c r="AH17" s="28">
        <f t="shared" si="115"/>
        <v>3</v>
      </c>
      <c r="AI17" s="28">
        <f t="shared" si="115"/>
        <v>0</v>
      </c>
      <c r="AJ17" s="28">
        <f t="shared" si="115"/>
        <v>0</v>
      </c>
      <c r="AM17" s="28">
        <f t="shared" ref="AM17:AP17" si="116">if(AA17&lt;0,1+AM16,0)</f>
        <v>1</v>
      </c>
      <c r="AN17" s="28">
        <f t="shared" si="116"/>
        <v>0</v>
      </c>
      <c r="AO17" s="28">
        <f t="shared" si="116"/>
        <v>3</v>
      </c>
      <c r="AP17" s="28">
        <f t="shared" si="116"/>
        <v>1</v>
      </c>
      <c r="AS17" s="78">
        <f t="shared" ref="AS17:AV17" si="117">if(AA17&gt;0,AA17+AS15,0)</f>
        <v>0</v>
      </c>
      <c r="AT17" s="251">
        <f t="shared" si="117"/>
        <v>32</v>
      </c>
      <c r="AU17" s="78">
        <f t="shared" si="117"/>
        <v>0</v>
      </c>
      <c r="AV17" s="78">
        <f t="shared" si="117"/>
        <v>0</v>
      </c>
      <c r="AY17" s="80">
        <f t="shared" ref="AY17:BB17" si="118">if(AA17&lt;0,AA17+AY15,0)</f>
        <v>-38</v>
      </c>
      <c r="AZ17" s="28">
        <f t="shared" si="118"/>
        <v>0</v>
      </c>
      <c r="BA17" s="80">
        <f t="shared" si="118"/>
        <v>-16</v>
      </c>
      <c r="BB17" s="80">
        <f t="shared" si="118"/>
        <v>-8</v>
      </c>
    </row>
    <row r="18">
      <c r="A18" s="250">
        <f t="shared" si="84"/>
        <v>16</v>
      </c>
      <c r="B18" s="250">
        <f t="shared" ref="B18:D18" si="119">B17+12</f>
        <v>-202</v>
      </c>
      <c r="C18" s="250">
        <f t="shared" si="119"/>
        <v>-230</v>
      </c>
      <c r="D18" s="250">
        <f t="shared" si="119"/>
        <v>222</v>
      </c>
      <c r="E18" s="250">
        <f>E17-3*12</f>
        <v>210</v>
      </c>
      <c r="F18" s="248">
        <f t="shared" ref="F18:K18" si="120">R18</f>
        <v>0</v>
      </c>
      <c r="G18" s="249" t="str">
        <f t="shared" si="120"/>
        <v>9 gode</v>
      </c>
      <c r="H18" s="249" t="str">
        <f t="shared" si="120"/>
        <v>Christian</v>
      </c>
      <c r="I18" s="249" t="str">
        <f t="shared" si="120"/>
        <v>Selvmakker</v>
      </c>
      <c r="J18" s="249" t="str">
        <f t="shared" si="120"/>
        <v>Peter</v>
      </c>
      <c r="K18" s="248" t="str">
        <f t="shared" si="120"/>
        <v>DEL 3</v>
      </c>
      <c r="L18" s="56"/>
      <c r="M18" s="250">
        <f t="shared" si="21"/>
        <v>16</v>
      </c>
      <c r="N18" s="250">
        <f t="shared" ref="N18:P18" si="121">N17+12</f>
        <v>-214</v>
      </c>
      <c r="O18" s="250">
        <f t="shared" si="121"/>
        <v>-230</v>
      </c>
      <c r="P18" s="250">
        <f t="shared" si="121"/>
        <v>222</v>
      </c>
      <c r="Q18" s="250">
        <f>Q17-3*12</f>
        <v>222</v>
      </c>
      <c r="R18" s="250">
        <f t="shared" si="78"/>
        <v>0</v>
      </c>
      <c r="S18" s="247" t="s">
        <v>299</v>
      </c>
      <c r="T18" s="247" t="s">
        <v>10</v>
      </c>
      <c r="U18" s="247" t="s">
        <v>228</v>
      </c>
      <c r="V18" s="247" t="s">
        <v>8</v>
      </c>
      <c r="W18" s="25" t="s">
        <v>457</v>
      </c>
      <c r="X18" s="56"/>
      <c r="AA18" s="80">
        <f t="shared" ref="AA18:AD18" si="122">N18-N17</f>
        <v>12</v>
      </c>
      <c r="AB18" s="80">
        <f t="shared" si="122"/>
        <v>12</v>
      </c>
      <c r="AC18" s="80">
        <f t="shared" si="122"/>
        <v>12</v>
      </c>
      <c r="AD18" s="80">
        <f t="shared" si="122"/>
        <v>-36</v>
      </c>
      <c r="AG18" s="28">
        <f t="shared" ref="AG18:AJ18" si="123">if(AA18&gt;0,1+AG17,0)</f>
        <v>1</v>
      </c>
      <c r="AH18" s="28">
        <f t="shared" si="123"/>
        <v>4</v>
      </c>
      <c r="AI18" s="28">
        <f t="shared" si="123"/>
        <v>1</v>
      </c>
      <c r="AJ18" s="28">
        <f t="shared" si="123"/>
        <v>0</v>
      </c>
      <c r="AM18" s="28">
        <f t="shared" ref="AM18:AP18" si="124">if(AA18&lt;0,1+AM17,0)</f>
        <v>0</v>
      </c>
      <c r="AN18" s="28">
        <f t="shared" si="124"/>
        <v>0</v>
      </c>
      <c r="AO18" s="28">
        <f t="shared" si="124"/>
        <v>0</v>
      </c>
      <c r="AP18" s="28">
        <f t="shared" si="124"/>
        <v>2</v>
      </c>
      <c r="AS18" s="251">
        <f t="shared" ref="AS18:AV18" si="125">if(AA18&gt;0,AA18+AS16,0)</f>
        <v>20</v>
      </c>
      <c r="AT18" s="251">
        <f t="shared" si="125"/>
        <v>20</v>
      </c>
      <c r="AU18" s="251">
        <f t="shared" si="125"/>
        <v>12</v>
      </c>
      <c r="AV18" s="78">
        <f t="shared" si="125"/>
        <v>0</v>
      </c>
      <c r="AY18" s="28">
        <f t="shared" ref="AY18:BB18" si="126">if(AA18&lt;0,AA18+AY16,0)</f>
        <v>0</v>
      </c>
      <c r="AZ18" s="28">
        <f t="shared" si="126"/>
        <v>0</v>
      </c>
      <c r="BA18" s="28">
        <f t="shared" si="126"/>
        <v>0</v>
      </c>
      <c r="BB18" s="80">
        <f t="shared" si="126"/>
        <v>-36</v>
      </c>
    </row>
    <row r="19">
      <c r="A19" s="250">
        <f t="shared" si="84"/>
        <v>17</v>
      </c>
      <c r="B19" s="250">
        <f>B18+24</f>
        <v>-178</v>
      </c>
      <c r="C19" s="250">
        <f t="shared" ref="C19:E19" si="127">C18-8</f>
        <v>-238</v>
      </c>
      <c r="D19" s="250">
        <f t="shared" si="127"/>
        <v>214</v>
      </c>
      <c r="E19" s="250">
        <f t="shared" si="127"/>
        <v>202</v>
      </c>
      <c r="F19" s="248">
        <f t="shared" ref="F19:K19" si="128">R19</f>
        <v>0</v>
      </c>
      <c r="G19" s="249" t="str">
        <f t="shared" si="128"/>
        <v>ren sol</v>
      </c>
      <c r="H19" s="249" t="str">
        <f t="shared" si="128"/>
        <v>Thomas</v>
      </c>
      <c r="I19" s="249" t="str">
        <f t="shared" si="128"/>
        <v/>
      </c>
      <c r="J19" s="249" t="str">
        <f t="shared" si="128"/>
        <v>Thomas</v>
      </c>
      <c r="K19" s="248" t="str">
        <f t="shared" si="128"/>
        <v>DEL 3</v>
      </c>
      <c r="L19" s="56"/>
      <c r="M19" s="250">
        <f t="shared" si="21"/>
        <v>17</v>
      </c>
      <c r="N19" s="250">
        <f>N18+24</f>
        <v>-190</v>
      </c>
      <c r="O19" s="250">
        <f t="shared" ref="O19:Q19" si="129">O18-8</f>
        <v>-238</v>
      </c>
      <c r="P19" s="250">
        <f t="shared" si="129"/>
        <v>214</v>
      </c>
      <c r="Q19" s="250">
        <f t="shared" si="129"/>
        <v>214</v>
      </c>
      <c r="R19" s="250">
        <f t="shared" si="78"/>
        <v>0</v>
      </c>
      <c r="S19" s="247" t="s">
        <v>140</v>
      </c>
      <c r="T19" s="247" t="s">
        <v>7</v>
      </c>
      <c r="U19" s="247"/>
      <c r="V19" s="247" t="s">
        <v>7</v>
      </c>
      <c r="W19" s="25" t="s">
        <v>457</v>
      </c>
      <c r="X19" s="56"/>
      <c r="AA19" s="80">
        <f t="shared" ref="AA19:AD19" si="130">N19-N18</f>
        <v>24</v>
      </c>
      <c r="AB19" s="80">
        <f t="shared" si="130"/>
        <v>-8</v>
      </c>
      <c r="AC19" s="80">
        <f t="shared" si="130"/>
        <v>-8</v>
      </c>
      <c r="AD19" s="80">
        <f t="shared" si="130"/>
        <v>-8</v>
      </c>
      <c r="AG19" s="28">
        <f t="shared" ref="AG19:AJ19" si="131">if(AA19&gt;0,1+AG18,0)</f>
        <v>2</v>
      </c>
      <c r="AH19" s="28">
        <f t="shared" si="131"/>
        <v>0</v>
      </c>
      <c r="AI19" s="28">
        <f t="shared" si="131"/>
        <v>0</v>
      </c>
      <c r="AJ19" s="28">
        <f t="shared" si="131"/>
        <v>0</v>
      </c>
      <c r="AM19" s="28">
        <f t="shared" ref="AM19:AP19" si="132">if(AA19&lt;0,1+AM18,0)</f>
        <v>0</v>
      </c>
      <c r="AN19" s="28">
        <f t="shared" si="132"/>
        <v>1</v>
      </c>
      <c r="AO19" s="28">
        <f t="shared" si="132"/>
        <v>1</v>
      </c>
      <c r="AP19" s="28">
        <f t="shared" si="132"/>
        <v>3</v>
      </c>
      <c r="AS19" s="251">
        <f t="shared" ref="AS19:AV19" si="133">if(AA19&gt;0,AA19+AS17,0)</f>
        <v>24</v>
      </c>
      <c r="AT19" s="78">
        <f t="shared" si="133"/>
        <v>0</v>
      </c>
      <c r="AU19" s="78">
        <f t="shared" si="133"/>
        <v>0</v>
      </c>
      <c r="AV19" s="78">
        <f t="shared" si="133"/>
        <v>0</v>
      </c>
      <c r="AY19" s="28">
        <f t="shared" ref="AY19:BB19" si="134">if(AA19&lt;0,AA19+AY17,0)</f>
        <v>0</v>
      </c>
      <c r="AZ19" s="80">
        <f t="shared" si="134"/>
        <v>-8</v>
      </c>
      <c r="BA19" s="80">
        <f t="shared" si="134"/>
        <v>-24</v>
      </c>
      <c r="BB19" s="80">
        <f t="shared" si="134"/>
        <v>-16</v>
      </c>
    </row>
    <row r="20">
      <c r="A20" s="250">
        <f t="shared" si="84"/>
        <v>18</v>
      </c>
      <c r="B20" s="250">
        <f>B19-3*32</f>
        <v>-274</v>
      </c>
      <c r="C20" s="250">
        <f t="shared" ref="C20:E20" si="135">C19+32</f>
        <v>-206</v>
      </c>
      <c r="D20" s="250">
        <f t="shared" si="135"/>
        <v>246</v>
      </c>
      <c r="E20" s="250">
        <f t="shared" si="135"/>
        <v>234</v>
      </c>
      <c r="F20" s="248">
        <f t="shared" ref="F20:K20" si="136">R20</f>
        <v>0</v>
      </c>
      <c r="G20" s="249" t="str">
        <f t="shared" si="136"/>
        <v>11 vip 1 </v>
      </c>
      <c r="H20" s="249" t="str">
        <f t="shared" si="136"/>
        <v>Thomas</v>
      </c>
      <c r="I20" s="249" t="str">
        <f t="shared" si="136"/>
        <v>Selvmakker</v>
      </c>
      <c r="J20" s="249" t="str">
        <f t="shared" si="136"/>
        <v>Christian</v>
      </c>
      <c r="K20" s="248" t="str">
        <f t="shared" si="136"/>
        <v>DEL 3</v>
      </c>
      <c r="L20" s="56"/>
      <c r="M20" s="250">
        <f t="shared" si="21"/>
        <v>18</v>
      </c>
      <c r="N20" s="250">
        <f>N19-3*32</f>
        <v>-286</v>
      </c>
      <c r="O20" s="250">
        <f t="shared" ref="O20:Q20" si="137">O19+32</f>
        <v>-206</v>
      </c>
      <c r="P20" s="250">
        <f t="shared" si="137"/>
        <v>246</v>
      </c>
      <c r="Q20" s="250">
        <f t="shared" si="137"/>
        <v>246</v>
      </c>
      <c r="R20" s="250">
        <f t="shared" si="78"/>
        <v>0</v>
      </c>
      <c r="S20" s="247" t="s">
        <v>458</v>
      </c>
      <c r="T20" s="247" t="s">
        <v>7</v>
      </c>
      <c r="U20" s="247" t="s">
        <v>228</v>
      </c>
      <c r="V20" s="247" t="s">
        <v>10</v>
      </c>
      <c r="W20" s="25" t="s">
        <v>457</v>
      </c>
      <c r="X20" s="56"/>
      <c r="AA20" s="80">
        <f t="shared" ref="AA20:AD20" si="138">N20-N19</f>
        <v>-96</v>
      </c>
      <c r="AB20" s="80">
        <f t="shared" si="138"/>
        <v>32</v>
      </c>
      <c r="AC20" s="80">
        <f t="shared" si="138"/>
        <v>32</v>
      </c>
      <c r="AD20" s="80">
        <f t="shared" si="138"/>
        <v>32</v>
      </c>
      <c r="AG20" s="28">
        <f t="shared" ref="AG20:AJ20" si="139">if(AA20&gt;0,1+AG19,0)</f>
        <v>0</v>
      </c>
      <c r="AH20" s="28">
        <f t="shared" si="139"/>
        <v>1</v>
      </c>
      <c r="AI20" s="28">
        <f t="shared" si="139"/>
        <v>1</v>
      </c>
      <c r="AJ20" s="28">
        <f t="shared" si="139"/>
        <v>1</v>
      </c>
      <c r="AM20" s="28">
        <f t="shared" ref="AM20:AP20" si="140">if(AA20&lt;0,1+AM19,0)</f>
        <v>1</v>
      </c>
      <c r="AN20" s="28">
        <f t="shared" si="140"/>
        <v>0</v>
      </c>
      <c r="AO20" s="28">
        <f t="shared" si="140"/>
        <v>0</v>
      </c>
      <c r="AP20" s="28">
        <f t="shared" si="140"/>
        <v>0</v>
      </c>
      <c r="AS20" s="78">
        <f t="shared" ref="AS20:AV20" si="141">if(AA20&gt;0,AA20+AS18,0)</f>
        <v>0</v>
      </c>
      <c r="AT20" s="251">
        <f t="shared" si="141"/>
        <v>52</v>
      </c>
      <c r="AU20" s="251">
        <f t="shared" si="141"/>
        <v>44</v>
      </c>
      <c r="AV20" s="251">
        <f t="shared" si="141"/>
        <v>32</v>
      </c>
      <c r="AY20" s="80">
        <f t="shared" ref="AY20:BB20" si="142">if(AA20&lt;0,AA20+AY18,0)</f>
        <v>-96</v>
      </c>
      <c r="AZ20" s="28">
        <f t="shared" si="142"/>
        <v>0</v>
      </c>
      <c r="BA20" s="28">
        <f t="shared" si="142"/>
        <v>0</v>
      </c>
      <c r="BB20" s="28">
        <f t="shared" si="142"/>
        <v>0</v>
      </c>
    </row>
    <row r="21">
      <c r="A21" s="250">
        <f t="shared" si="84"/>
        <v>19</v>
      </c>
      <c r="B21" s="250">
        <f t="shared" ref="B21:C21" si="143">B20-16</f>
        <v>-290</v>
      </c>
      <c r="C21" s="250">
        <f t="shared" si="143"/>
        <v>-222</v>
      </c>
      <c r="D21" s="250">
        <f t="shared" ref="D21:E21" si="144">D20+16</f>
        <v>262</v>
      </c>
      <c r="E21" s="250">
        <f t="shared" si="144"/>
        <v>250</v>
      </c>
      <c r="F21" s="248">
        <f t="shared" ref="F21:K21" si="145">R21</f>
        <v>0</v>
      </c>
      <c r="G21" s="249" t="str">
        <f t="shared" si="145"/>
        <v>9 halve</v>
      </c>
      <c r="H21" s="249" t="str">
        <f t="shared" si="145"/>
        <v>Thomas</v>
      </c>
      <c r="I21" s="249" t="str">
        <f t="shared" si="145"/>
        <v>Peter</v>
      </c>
      <c r="J21" s="249" t="str">
        <f t="shared" si="145"/>
        <v>Janus</v>
      </c>
      <c r="K21" s="248" t="str">
        <f t="shared" si="145"/>
        <v>DEL 3</v>
      </c>
      <c r="L21" s="56"/>
      <c r="M21" s="250">
        <f t="shared" si="21"/>
        <v>19</v>
      </c>
      <c r="N21" s="250">
        <f t="shared" ref="N21:O21" si="146">N20-16</f>
        <v>-302</v>
      </c>
      <c r="O21" s="250">
        <f t="shared" si="146"/>
        <v>-222</v>
      </c>
      <c r="P21" s="250">
        <f t="shared" ref="P21:Q21" si="147">P20+16</f>
        <v>262</v>
      </c>
      <c r="Q21" s="250">
        <f t="shared" si="147"/>
        <v>262</v>
      </c>
      <c r="R21" s="250">
        <f t="shared" si="78"/>
        <v>0</v>
      </c>
      <c r="S21" s="247" t="s">
        <v>293</v>
      </c>
      <c r="T21" s="247" t="s">
        <v>7</v>
      </c>
      <c r="U21" s="247" t="s">
        <v>8</v>
      </c>
      <c r="V21" s="247" t="s">
        <v>9</v>
      </c>
      <c r="W21" s="25" t="s">
        <v>457</v>
      </c>
      <c r="X21" s="56"/>
      <c r="AA21" s="80">
        <f t="shared" ref="AA21:AD21" si="148">N21-N20</f>
        <v>-16</v>
      </c>
      <c r="AB21" s="80">
        <f t="shared" si="148"/>
        <v>-16</v>
      </c>
      <c r="AC21" s="80">
        <f t="shared" si="148"/>
        <v>16</v>
      </c>
      <c r="AD21" s="80">
        <f t="shared" si="148"/>
        <v>16</v>
      </c>
      <c r="AG21" s="28">
        <f t="shared" ref="AG21:AJ21" si="149">if(AA21&gt;0,1+AG20,0)</f>
        <v>0</v>
      </c>
      <c r="AH21" s="28">
        <f t="shared" si="149"/>
        <v>0</v>
      </c>
      <c r="AI21" s="28">
        <f t="shared" si="149"/>
        <v>2</v>
      </c>
      <c r="AJ21" s="28">
        <f t="shared" si="149"/>
        <v>2</v>
      </c>
      <c r="AM21" s="28">
        <f t="shared" ref="AM21:AP21" si="150">if(AA21&lt;0,1+AM20,0)</f>
        <v>2</v>
      </c>
      <c r="AN21" s="28">
        <f t="shared" si="150"/>
        <v>1</v>
      </c>
      <c r="AO21" s="28">
        <f t="shared" si="150"/>
        <v>0</v>
      </c>
      <c r="AP21" s="28">
        <f t="shared" si="150"/>
        <v>0</v>
      </c>
      <c r="AS21" s="78">
        <f t="shared" ref="AS21:AV21" si="151">if(AA21&gt;0,AA21+AS19,0)</f>
        <v>0</v>
      </c>
      <c r="AT21" s="78">
        <f t="shared" si="151"/>
        <v>0</v>
      </c>
      <c r="AU21" s="251">
        <f t="shared" si="151"/>
        <v>16</v>
      </c>
      <c r="AV21" s="251">
        <f t="shared" si="151"/>
        <v>16</v>
      </c>
      <c r="AY21" s="80">
        <f t="shared" ref="AY21:BB21" si="152">if(AA21&lt;0,AA21+AY19,0)</f>
        <v>-16</v>
      </c>
      <c r="AZ21" s="80">
        <f t="shared" si="152"/>
        <v>-24</v>
      </c>
      <c r="BA21" s="28">
        <f t="shared" si="152"/>
        <v>0</v>
      </c>
      <c r="BB21" s="28">
        <f t="shared" si="152"/>
        <v>0</v>
      </c>
    </row>
    <row r="22">
      <c r="A22" s="250">
        <f t="shared" si="84"/>
        <v>20</v>
      </c>
      <c r="B22" s="250">
        <f t="shared" ref="B22:C22" si="153">B21+48</f>
        <v>-242</v>
      </c>
      <c r="C22" s="250">
        <f t="shared" si="153"/>
        <v>-174</v>
      </c>
      <c r="D22" s="250">
        <f t="shared" ref="D22:E22" si="154">D21-48</f>
        <v>214</v>
      </c>
      <c r="E22" s="250">
        <f t="shared" si="154"/>
        <v>202</v>
      </c>
      <c r="F22" s="248">
        <f t="shared" ref="F22:K22" si="155">R22</f>
        <v>0</v>
      </c>
      <c r="G22" s="249" t="str">
        <f t="shared" si="155"/>
        <v>9 vip 1 (storslem)</v>
      </c>
      <c r="H22" s="249" t="str">
        <f t="shared" si="155"/>
        <v>Thomas</v>
      </c>
      <c r="I22" s="249" t="str">
        <f t="shared" si="155"/>
        <v>Peter</v>
      </c>
      <c r="J22" s="249" t="str">
        <f t="shared" si="155"/>
        <v>Peter</v>
      </c>
      <c r="K22" s="248" t="str">
        <f t="shared" si="155"/>
        <v>DEL 3</v>
      </c>
      <c r="L22" s="56"/>
      <c r="M22" s="250">
        <f t="shared" si="21"/>
        <v>20</v>
      </c>
      <c r="N22" s="250">
        <f t="shared" ref="N22:O22" si="156">N21+48</f>
        <v>-254</v>
      </c>
      <c r="O22" s="250">
        <f t="shared" si="156"/>
        <v>-174</v>
      </c>
      <c r="P22" s="250">
        <f t="shared" ref="P22:Q22" si="157">P21-48</f>
        <v>214</v>
      </c>
      <c r="Q22" s="250">
        <f t="shared" si="157"/>
        <v>214</v>
      </c>
      <c r="R22" s="250">
        <f t="shared" si="78"/>
        <v>0</v>
      </c>
      <c r="S22" s="247" t="s">
        <v>459</v>
      </c>
      <c r="T22" s="247" t="s">
        <v>7</v>
      </c>
      <c r="U22" s="247" t="s">
        <v>8</v>
      </c>
      <c r="V22" s="247" t="s">
        <v>8</v>
      </c>
      <c r="W22" s="25" t="s">
        <v>457</v>
      </c>
      <c r="X22" s="56"/>
      <c r="AA22" s="80">
        <f t="shared" ref="AA22:AD22" si="158">N22-N21</f>
        <v>48</v>
      </c>
      <c r="AB22" s="80">
        <f t="shared" si="158"/>
        <v>48</v>
      </c>
      <c r="AC22" s="80">
        <f t="shared" si="158"/>
        <v>-48</v>
      </c>
      <c r="AD22" s="80">
        <f t="shared" si="158"/>
        <v>-48</v>
      </c>
      <c r="AG22" s="28">
        <f t="shared" ref="AG22:AJ22" si="159">if(AA22&gt;0,1+AG21,0)</f>
        <v>1</v>
      </c>
      <c r="AH22" s="28">
        <f t="shared" si="159"/>
        <v>1</v>
      </c>
      <c r="AI22" s="28">
        <f t="shared" si="159"/>
        <v>0</v>
      </c>
      <c r="AJ22" s="28">
        <f t="shared" si="159"/>
        <v>0</v>
      </c>
      <c r="AM22" s="28">
        <f t="shared" ref="AM22:AP22" si="160">if(AA22&lt;0,1+AM21,0)</f>
        <v>0</v>
      </c>
      <c r="AN22" s="28">
        <f t="shared" si="160"/>
        <v>0</v>
      </c>
      <c r="AO22" s="28">
        <f t="shared" si="160"/>
        <v>1</v>
      </c>
      <c r="AP22" s="28">
        <f t="shared" si="160"/>
        <v>1</v>
      </c>
      <c r="AS22" s="251">
        <f t="shared" ref="AS22:AV22" si="161">if(AA22&gt;0,AA22+AS20,0)</f>
        <v>48</v>
      </c>
      <c r="AT22" s="251">
        <f t="shared" si="161"/>
        <v>100</v>
      </c>
      <c r="AU22" s="78">
        <f t="shared" si="161"/>
        <v>0</v>
      </c>
      <c r="AV22" s="78">
        <f t="shared" si="161"/>
        <v>0</v>
      </c>
      <c r="AY22" s="28">
        <f t="shared" ref="AY22:BB22" si="162">if(AA22&lt;0,AA22+AY20,0)</f>
        <v>0</v>
      </c>
      <c r="AZ22" s="28">
        <f t="shared" si="162"/>
        <v>0</v>
      </c>
      <c r="BA22" s="80">
        <f t="shared" si="162"/>
        <v>-48</v>
      </c>
      <c r="BB22" s="80">
        <f t="shared" si="162"/>
        <v>-48</v>
      </c>
    </row>
    <row r="23">
      <c r="A23" s="250">
        <f t="shared" si="84"/>
        <v>21</v>
      </c>
      <c r="B23" s="250">
        <f t="shared" ref="B23:C23" si="163">B22+12</f>
        <v>-230</v>
      </c>
      <c r="C23" s="250">
        <f t="shared" si="163"/>
        <v>-162</v>
      </c>
      <c r="D23" s="250">
        <f t="shared" ref="D23:E23" si="164">D22-12</f>
        <v>202</v>
      </c>
      <c r="E23" s="250">
        <f t="shared" si="164"/>
        <v>190</v>
      </c>
      <c r="F23" s="248">
        <f t="shared" ref="F23:K23" si="165">R23</f>
        <v>0</v>
      </c>
      <c r="G23" s="249" t="str">
        <f t="shared" si="165"/>
        <v>9 gode</v>
      </c>
      <c r="H23" s="249" t="str">
        <f t="shared" si="165"/>
        <v>Thomas</v>
      </c>
      <c r="I23" s="249" t="str">
        <f t="shared" si="165"/>
        <v>Peter</v>
      </c>
      <c r="J23" s="249" t="str">
        <f t="shared" si="165"/>
        <v>Thomas</v>
      </c>
      <c r="K23" s="248" t="str">
        <f t="shared" si="165"/>
        <v>DEL 3</v>
      </c>
      <c r="L23" s="56"/>
      <c r="M23" s="250">
        <f t="shared" si="21"/>
        <v>21</v>
      </c>
      <c r="N23" s="250">
        <f t="shared" ref="N23:O23" si="166">N22+12</f>
        <v>-242</v>
      </c>
      <c r="O23" s="250">
        <f t="shared" si="166"/>
        <v>-162</v>
      </c>
      <c r="P23" s="250">
        <f t="shared" ref="P23:Q23" si="167">P22-12</f>
        <v>202</v>
      </c>
      <c r="Q23" s="250">
        <f t="shared" si="167"/>
        <v>202</v>
      </c>
      <c r="R23" s="250">
        <f t="shared" si="78"/>
        <v>0</v>
      </c>
      <c r="S23" s="247" t="s">
        <v>299</v>
      </c>
      <c r="T23" s="247" t="s">
        <v>7</v>
      </c>
      <c r="U23" s="247" t="s">
        <v>8</v>
      </c>
      <c r="V23" s="247" t="s">
        <v>7</v>
      </c>
      <c r="W23" s="25" t="s">
        <v>457</v>
      </c>
      <c r="X23" s="56"/>
      <c r="AA23" s="80">
        <f t="shared" ref="AA23:AD23" si="168">N23-N22</f>
        <v>12</v>
      </c>
      <c r="AB23" s="80">
        <f t="shared" si="168"/>
        <v>12</v>
      </c>
      <c r="AC23" s="80">
        <f t="shared" si="168"/>
        <v>-12</v>
      </c>
      <c r="AD23" s="80">
        <f t="shared" si="168"/>
        <v>-12</v>
      </c>
      <c r="AG23" s="28">
        <f t="shared" ref="AG23:AJ23" si="169">if(AA23&gt;0,1+AG22,0)</f>
        <v>2</v>
      </c>
      <c r="AH23" s="28">
        <f t="shared" si="169"/>
        <v>2</v>
      </c>
      <c r="AI23" s="28">
        <f t="shared" si="169"/>
        <v>0</v>
      </c>
      <c r="AJ23" s="28">
        <f t="shared" si="169"/>
        <v>0</v>
      </c>
      <c r="AM23" s="28">
        <f t="shared" ref="AM23:AP23" si="170">if(AA23&lt;0,1+AM22,0)</f>
        <v>0</v>
      </c>
      <c r="AN23" s="28">
        <f t="shared" si="170"/>
        <v>0</v>
      </c>
      <c r="AO23" s="28">
        <f t="shared" si="170"/>
        <v>2</v>
      </c>
      <c r="AP23" s="28">
        <f t="shared" si="170"/>
        <v>2</v>
      </c>
      <c r="AS23" s="251">
        <f t="shared" ref="AS23:AV23" si="171">if(AA23&gt;0,AA23+AS21,0)</f>
        <v>12</v>
      </c>
      <c r="AT23" s="251">
        <f t="shared" si="171"/>
        <v>12</v>
      </c>
      <c r="AU23" s="78">
        <f t="shared" si="171"/>
        <v>0</v>
      </c>
      <c r="AV23" s="78">
        <f t="shared" si="171"/>
        <v>0</v>
      </c>
      <c r="AY23" s="28">
        <f t="shared" ref="AY23:BB23" si="172">if(AA23&lt;0,AA23+AY21,0)</f>
        <v>0</v>
      </c>
      <c r="AZ23" s="28">
        <f t="shared" si="172"/>
        <v>0</v>
      </c>
      <c r="BA23" s="80">
        <f t="shared" si="172"/>
        <v>-12</v>
      </c>
      <c r="BB23" s="80">
        <f t="shared" si="172"/>
        <v>-12</v>
      </c>
    </row>
    <row r="24">
      <c r="A24" s="250">
        <f t="shared" si="84"/>
        <v>22</v>
      </c>
      <c r="B24" s="250">
        <f>B23-8</f>
        <v>-238</v>
      </c>
      <c r="C24" s="250">
        <f>C23+24</f>
        <v>-138</v>
      </c>
      <c r="D24" s="250">
        <f t="shared" ref="D24:E24" si="173">D23-8</f>
        <v>194</v>
      </c>
      <c r="E24" s="250">
        <f t="shared" si="173"/>
        <v>182</v>
      </c>
      <c r="F24" s="248">
        <f t="shared" ref="F24:K24" si="174">R24</f>
        <v>0</v>
      </c>
      <c r="G24" s="249" t="str">
        <f t="shared" si="174"/>
        <v>Ren sol</v>
      </c>
      <c r="H24" s="249" t="str">
        <f t="shared" si="174"/>
        <v>Peter</v>
      </c>
      <c r="I24" s="249" t="str">
        <f t="shared" si="174"/>
        <v/>
      </c>
      <c r="J24" s="249" t="str">
        <f t="shared" si="174"/>
        <v>Christian</v>
      </c>
      <c r="K24" s="248" t="str">
        <f t="shared" si="174"/>
        <v>DEL 3</v>
      </c>
      <c r="L24" s="56"/>
      <c r="M24" s="250">
        <f t="shared" si="21"/>
        <v>22</v>
      </c>
      <c r="N24" s="250">
        <f>N23-8</f>
        <v>-250</v>
      </c>
      <c r="O24" s="250">
        <f>O23+24</f>
        <v>-138</v>
      </c>
      <c r="P24" s="250">
        <f t="shared" ref="P24:Q24" si="175">P23-8</f>
        <v>194</v>
      </c>
      <c r="Q24" s="250">
        <f t="shared" si="175"/>
        <v>194</v>
      </c>
      <c r="R24" s="250">
        <f t="shared" si="78"/>
        <v>0</v>
      </c>
      <c r="S24" s="247" t="s">
        <v>97</v>
      </c>
      <c r="T24" s="247" t="s">
        <v>8</v>
      </c>
      <c r="U24" s="247"/>
      <c r="V24" s="247" t="s">
        <v>10</v>
      </c>
      <c r="W24" s="25" t="s">
        <v>457</v>
      </c>
      <c r="X24" s="56"/>
      <c r="AA24" s="80">
        <f t="shared" ref="AA24:AD24" si="176">N24-N23</f>
        <v>-8</v>
      </c>
      <c r="AB24" s="80">
        <f t="shared" si="176"/>
        <v>24</v>
      </c>
      <c r="AC24" s="80">
        <f t="shared" si="176"/>
        <v>-8</v>
      </c>
      <c r="AD24" s="80">
        <f t="shared" si="176"/>
        <v>-8</v>
      </c>
      <c r="AG24" s="28">
        <f t="shared" ref="AG24:AJ24" si="177">if(AA24&gt;0,1+AG23,0)</f>
        <v>0</v>
      </c>
      <c r="AH24" s="28">
        <f t="shared" si="177"/>
        <v>3</v>
      </c>
      <c r="AI24" s="28">
        <f t="shared" si="177"/>
        <v>0</v>
      </c>
      <c r="AJ24" s="28">
        <f t="shared" si="177"/>
        <v>0</v>
      </c>
      <c r="AM24" s="28">
        <f t="shared" ref="AM24:AP24" si="178">if(AA24&lt;0,1+AM23,0)</f>
        <v>1</v>
      </c>
      <c r="AN24" s="28">
        <f t="shared" si="178"/>
        <v>0</v>
      </c>
      <c r="AO24" s="28">
        <f t="shared" si="178"/>
        <v>3</v>
      </c>
      <c r="AP24" s="28">
        <f t="shared" si="178"/>
        <v>3</v>
      </c>
      <c r="AS24" s="78">
        <f t="shared" ref="AS24:AV24" si="179">if(AA24&gt;0,AA24+AS22,0)</f>
        <v>0</v>
      </c>
      <c r="AT24" s="251">
        <f t="shared" si="179"/>
        <v>124</v>
      </c>
      <c r="AU24" s="78">
        <f t="shared" si="179"/>
        <v>0</v>
      </c>
      <c r="AV24" s="78">
        <f t="shared" si="179"/>
        <v>0</v>
      </c>
      <c r="AY24" s="80">
        <f t="shared" ref="AY24:BB24" si="180">if(AA24&lt;0,AA24+AY22,0)</f>
        <v>-8</v>
      </c>
      <c r="AZ24" s="28">
        <f t="shared" si="180"/>
        <v>0</v>
      </c>
      <c r="BA24" s="80">
        <f t="shared" si="180"/>
        <v>-56</v>
      </c>
      <c r="BB24" s="80">
        <f t="shared" si="180"/>
        <v>-56</v>
      </c>
    </row>
    <row r="25">
      <c r="A25" s="250">
        <f t="shared" si="84"/>
        <v>23</v>
      </c>
      <c r="B25" s="250">
        <f>B24+8</f>
        <v>-230</v>
      </c>
      <c r="C25" s="250">
        <f>C24-24</f>
        <v>-162</v>
      </c>
      <c r="D25" s="250">
        <f t="shared" ref="D25:E25" si="181">D24+8</f>
        <v>202</v>
      </c>
      <c r="E25" s="250">
        <f t="shared" si="181"/>
        <v>190</v>
      </c>
      <c r="F25" s="248">
        <f t="shared" ref="F25:K25" si="182">R25</f>
        <v>0</v>
      </c>
      <c r="G25" s="249" t="str">
        <f t="shared" si="182"/>
        <v>Ren sol</v>
      </c>
      <c r="H25" s="249" t="str">
        <f t="shared" si="182"/>
        <v>Peter</v>
      </c>
      <c r="I25" s="249" t="str">
        <f t="shared" si="182"/>
        <v/>
      </c>
      <c r="J25" s="249" t="str">
        <f t="shared" si="182"/>
        <v>Janus</v>
      </c>
      <c r="K25" s="248" t="str">
        <f t="shared" si="182"/>
        <v>DEL 3</v>
      </c>
      <c r="L25" s="56"/>
      <c r="M25" s="250">
        <f t="shared" si="21"/>
        <v>23</v>
      </c>
      <c r="N25" s="250">
        <f>N24+8</f>
        <v>-242</v>
      </c>
      <c r="O25" s="250">
        <f>O24-24</f>
        <v>-162</v>
      </c>
      <c r="P25" s="250">
        <f t="shared" ref="P25:Q25" si="183">P24+8</f>
        <v>202</v>
      </c>
      <c r="Q25" s="250">
        <f t="shared" si="183"/>
        <v>202</v>
      </c>
      <c r="R25" s="250">
        <f t="shared" si="78"/>
        <v>0</v>
      </c>
      <c r="S25" s="247" t="s">
        <v>97</v>
      </c>
      <c r="T25" s="247" t="s">
        <v>8</v>
      </c>
      <c r="U25" s="247"/>
      <c r="V25" s="247" t="s">
        <v>9</v>
      </c>
      <c r="W25" s="25" t="s">
        <v>457</v>
      </c>
      <c r="X25" s="56"/>
      <c r="AA25" s="80">
        <f t="shared" ref="AA25:AD25" si="184">N25-N24</f>
        <v>8</v>
      </c>
      <c r="AB25" s="80">
        <f t="shared" si="184"/>
        <v>-24</v>
      </c>
      <c r="AC25" s="80">
        <f t="shared" si="184"/>
        <v>8</v>
      </c>
      <c r="AD25" s="80">
        <f t="shared" si="184"/>
        <v>8</v>
      </c>
      <c r="AG25" s="28">
        <f t="shared" ref="AG25:AJ25" si="185">if(AA25&gt;0,1+AG24,0)</f>
        <v>1</v>
      </c>
      <c r="AH25" s="28">
        <f t="shared" si="185"/>
        <v>0</v>
      </c>
      <c r="AI25" s="28">
        <f t="shared" si="185"/>
        <v>1</v>
      </c>
      <c r="AJ25" s="28">
        <f t="shared" si="185"/>
        <v>1</v>
      </c>
      <c r="AM25" s="28">
        <f t="shared" ref="AM25:AP25" si="186">if(AA25&lt;0,1+AM24,0)</f>
        <v>0</v>
      </c>
      <c r="AN25" s="28">
        <f t="shared" si="186"/>
        <v>1</v>
      </c>
      <c r="AO25" s="28">
        <f t="shared" si="186"/>
        <v>0</v>
      </c>
      <c r="AP25" s="28">
        <f t="shared" si="186"/>
        <v>0</v>
      </c>
      <c r="AS25" s="251">
        <f t="shared" ref="AS25:AV25" si="187">if(AA25&gt;0,AA25+AS23,0)</f>
        <v>20</v>
      </c>
      <c r="AT25" s="78">
        <f t="shared" si="187"/>
        <v>0</v>
      </c>
      <c r="AU25" s="251">
        <f t="shared" si="187"/>
        <v>8</v>
      </c>
      <c r="AV25" s="251">
        <f t="shared" si="187"/>
        <v>8</v>
      </c>
      <c r="AY25" s="28">
        <f t="shared" ref="AY25:BB25" si="188">if(AA25&lt;0,AA25+AY23,0)</f>
        <v>0</v>
      </c>
      <c r="AZ25" s="80">
        <f t="shared" si="188"/>
        <v>-24</v>
      </c>
      <c r="BA25" s="28">
        <f t="shared" si="188"/>
        <v>0</v>
      </c>
      <c r="BB25" s="28">
        <f t="shared" si="188"/>
        <v>0</v>
      </c>
    </row>
    <row r="26">
      <c r="A26" s="250">
        <f t="shared" si="84"/>
        <v>24</v>
      </c>
      <c r="B26" s="250">
        <f t="shared" ref="B26:C26" si="189">B25-96</f>
        <v>-326</v>
      </c>
      <c r="C26" s="250">
        <f t="shared" si="189"/>
        <v>-258</v>
      </c>
      <c r="D26" s="250">
        <f t="shared" ref="D26:E26" si="190">D25+96</f>
        <v>298</v>
      </c>
      <c r="E26" s="250">
        <f t="shared" si="190"/>
        <v>286</v>
      </c>
      <c r="F26" s="248">
        <f t="shared" ref="F26:K26" si="191">R26</f>
        <v>0</v>
      </c>
      <c r="G26" s="249" t="str">
        <f t="shared" si="191"/>
        <v>10 vip i 3</v>
      </c>
      <c r="H26" s="249" t="str">
        <f t="shared" si="191"/>
        <v>Thomas</v>
      </c>
      <c r="I26" s="249" t="str">
        <f t="shared" si="191"/>
        <v>Peter</v>
      </c>
      <c r="J26" s="249" t="str">
        <f t="shared" si="191"/>
        <v>Peter</v>
      </c>
      <c r="K26" s="248" t="str">
        <f t="shared" si="191"/>
        <v>DEL 3</v>
      </c>
      <c r="L26" s="56"/>
      <c r="M26" s="250">
        <f t="shared" si="21"/>
        <v>24</v>
      </c>
      <c r="N26" s="250">
        <f t="shared" ref="N26:O26" si="192">N25-96</f>
        <v>-338</v>
      </c>
      <c r="O26" s="250">
        <f t="shared" si="192"/>
        <v>-258</v>
      </c>
      <c r="P26" s="250">
        <f t="shared" ref="P26:Q26" si="193">P25+96</f>
        <v>298</v>
      </c>
      <c r="Q26" s="250">
        <f t="shared" si="193"/>
        <v>298</v>
      </c>
      <c r="R26" s="250">
        <f t="shared" si="78"/>
        <v>0</v>
      </c>
      <c r="S26" s="247" t="s">
        <v>429</v>
      </c>
      <c r="T26" s="247" t="s">
        <v>7</v>
      </c>
      <c r="U26" s="247" t="s">
        <v>8</v>
      </c>
      <c r="V26" s="247" t="s">
        <v>8</v>
      </c>
      <c r="W26" s="25" t="s">
        <v>457</v>
      </c>
      <c r="X26" s="56"/>
      <c r="AA26" s="80">
        <f t="shared" ref="AA26:AD26" si="194">N26-N25</f>
        <v>-96</v>
      </c>
      <c r="AB26" s="80">
        <f t="shared" si="194"/>
        <v>-96</v>
      </c>
      <c r="AC26" s="80">
        <f t="shared" si="194"/>
        <v>96</v>
      </c>
      <c r="AD26" s="80">
        <f t="shared" si="194"/>
        <v>96</v>
      </c>
      <c r="AG26" s="28">
        <f t="shared" ref="AG26:AJ26" si="195">if(AA26&gt;0,1+AG25,0)</f>
        <v>0</v>
      </c>
      <c r="AH26" s="28">
        <f t="shared" si="195"/>
        <v>0</v>
      </c>
      <c r="AI26" s="28">
        <f t="shared" si="195"/>
        <v>2</v>
      </c>
      <c r="AJ26" s="28">
        <f t="shared" si="195"/>
        <v>2</v>
      </c>
      <c r="AM26" s="28">
        <f t="shared" ref="AM26:AP26" si="196">if(AA26&lt;0,1+AM25,0)</f>
        <v>1</v>
      </c>
      <c r="AN26" s="28">
        <f t="shared" si="196"/>
        <v>2</v>
      </c>
      <c r="AO26" s="28">
        <f t="shared" si="196"/>
        <v>0</v>
      </c>
      <c r="AP26" s="28">
        <f t="shared" si="196"/>
        <v>0</v>
      </c>
      <c r="AS26" s="78">
        <f t="shared" ref="AS26:AV26" si="197">if(AA26&gt;0,AA26+AS24,0)</f>
        <v>0</v>
      </c>
      <c r="AT26" s="78">
        <f t="shared" si="197"/>
        <v>0</v>
      </c>
      <c r="AU26" s="251">
        <f t="shared" si="197"/>
        <v>96</v>
      </c>
      <c r="AV26" s="251">
        <f t="shared" si="197"/>
        <v>96</v>
      </c>
      <c r="AY26" s="80">
        <f t="shared" ref="AY26:BB26" si="198">if(AA26&lt;0,AA26+AY24,0)</f>
        <v>-104</v>
      </c>
      <c r="AZ26" s="80">
        <f t="shared" si="198"/>
        <v>-96</v>
      </c>
      <c r="BA26" s="28">
        <f t="shared" si="198"/>
        <v>0</v>
      </c>
      <c r="BB26" s="28">
        <f t="shared" si="198"/>
        <v>0</v>
      </c>
    </row>
    <row r="27">
      <c r="A27" s="250">
        <f t="shared" si="84"/>
        <v>25</v>
      </c>
      <c r="B27" s="250">
        <f>B26+16</f>
        <v>-310</v>
      </c>
      <c r="C27" s="250">
        <f>C26-16</f>
        <v>-274</v>
      </c>
      <c r="D27" s="250">
        <f>D26+16</f>
        <v>314</v>
      </c>
      <c r="E27" s="250">
        <f>E26-16</f>
        <v>270</v>
      </c>
      <c r="F27" s="248">
        <f t="shared" ref="F27:K27" si="199">R27</f>
        <v>0</v>
      </c>
      <c r="G27" s="249" t="str">
        <f t="shared" si="199"/>
        <v>8 i 2 </v>
      </c>
      <c r="H27" s="249" t="str">
        <f t="shared" si="199"/>
        <v>Thomas</v>
      </c>
      <c r="I27" s="249" t="str">
        <f t="shared" si="199"/>
        <v>Peter</v>
      </c>
      <c r="J27" s="249" t="str">
        <f t="shared" si="199"/>
        <v>Thomas</v>
      </c>
      <c r="K27" s="248" t="str">
        <f t="shared" si="199"/>
        <v>DEL 3</v>
      </c>
      <c r="L27" s="56"/>
      <c r="M27" s="250">
        <f t="shared" si="21"/>
        <v>25</v>
      </c>
      <c r="N27" s="250">
        <f>N26+16</f>
        <v>-322</v>
      </c>
      <c r="O27" s="250">
        <f>O26-16</f>
        <v>-274</v>
      </c>
      <c r="P27" s="250">
        <f>P26+16</f>
        <v>314</v>
      </c>
      <c r="Q27" s="250">
        <f>Q26-16</f>
        <v>282</v>
      </c>
      <c r="R27" s="250">
        <f t="shared" si="78"/>
        <v>0</v>
      </c>
      <c r="S27" s="247" t="s">
        <v>460</v>
      </c>
      <c r="T27" s="247" t="s">
        <v>7</v>
      </c>
      <c r="U27" s="247" t="s">
        <v>8</v>
      </c>
      <c r="V27" s="247" t="s">
        <v>7</v>
      </c>
      <c r="W27" s="25" t="s">
        <v>457</v>
      </c>
      <c r="X27" s="56"/>
      <c r="AA27" s="80">
        <f t="shared" ref="AA27:AD27" si="200">N27-N26</f>
        <v>16</v>
      </c>
      <c r="AB27" s="80">
        <f t="shared" si="200"/>
        <v>-16</v>
      </c>
      <c r="AC27" s="80">
        <f t="shared" si="200"/>
        <v>16</v>
      </c>
      <c r="AD27" s="80">
        <f t="shared" si="200"/>
        <v>-16</v>
      </c>
      <c r="AG27" s="28">
        <f t="shared" ref="AG27:AJ27" si="201">if(AA27&gt;0,1+AG26,0)</f>
        <v>1</v>
      </c>
      <c r="AH27" s="28">
        <f t="shared" si="201"/>
        <v>0</v>
      </c>
      <c r="AI27" s="28">
        <f t="shared" si="201"/>
        <v>3</v>
      </c>
      <c r="AJ27" s="28">
        <f t="shared" si="201"/>
        <v>0</v>
      </c>
      <c r="AM27" s="28">
        <f t="shared" ref="AM27:AP27" si="202">if(AA27&lt;0,1+AM26,0)</f>
        <v>0</v>
      </c>
      <c r="AN27" s="28">
        <f t="shared" si="202"/>
        <v>3</v>
      </c>
      <c r="AO27" s="28">
        <f t="shared" si="202"/>
        <v>0</v>
      </c>
      <c r="AP27" s="28">
        <f t="shared" si="202"/>
        <v>1</v>
      </c>
      <c r="AS27" s="251">
        <f t="shared" ref="AS27:AV27" si="203">if(AA27&gt;0,AA27+AS25,0)</f>
        <v>36</v>
      </c>
      <c r="AT27" s="78">
        <f t="shared" si="203"/>
        <v>0</v>
      </c>
      <c r="AU27" s="251">
        <f t="shared" si="203"/>
        <v>24</v>
      </c>
      <c r="AV27" s="78">
        <f t="shared" si="203"/>
        <v>0</v>
      </c>
      <c r="AY27" s="28">
        <f t="shared" ref="AY27:BB27" si="204">if(AA27&lt;0,AA27+AY25,0)</f>
        <v>0</v>
      </c>
      <c r="AZ27" s="80">
        <f t="shared" si="204"/>
        <v>-40</v>
      </c>
      <c r="BA27" s="28">
        <f t="shared" si="204"/>
        <v>0</v>
      </c>
      <c r="BB27" s="80">
        <f t="shared" si="204"/>
        <v>-16</v>
      </c>
    </row>
    <row r="28">
      <c r="A28" s="250">
        <f t="shared" si="84"/>
        <v>26</v>
      </c>
      <c r="B28" s="250">
        <f>B27+8</f>
        <v>-302</v>
      </c>
      <c r="C28" s="250">
        <f t="shared" ref="C28:D28" si="205">C27-8</f>
        <v>-282</v>
      </c>
      <c r="D28" s="250">
        <f t="shared" si="205"/>
        <v>306</v>
      </c>
      <c r="E28" s="250">
        <f>E27+8</f>
        <v>278</v>
      </c>
      <c r="F28" s="248">
        <f t="shared" ref="F28:K28" si="206">R28</f>
        <v>0</v>
      </c>
      <c r="G28" s="249" t="str">
        <f t="shared" si="206"/>
        <v>8 i 2 </v>
      </c>
      <c r="H28" s="249" t="str">
        <f t="shared" si="206"/>
        <v>Thomas</v>
      </c>
      <c r="I28" s="249" t="str">
        <f t="shared" si="206"/>
        <v>Christian</v>
      </c>
      <c r="J28" s="249" t="str">
        <f t="shared" si="206"/>
        <v>Christian</v>
      </c>
      <c r="K28" s="248" t="str">
        <f t="shared" si="206"/>
        <v>DEL 3</v>
      </c>
      <c r="L28" s="56"/>
      <c r="M28" s="250">
        <f t="shared" si="21"/>
        <v>26</v>
      </c>
      <c r="N28" s="250">
        <f>N27+8</f>
        <v>-314</v>
      </c>
      <c r="O28" s="250">
        <f t="shared" ref="O28:P28" si="207">O27-8</f>
        <v>-282</v>
      </c>
      <c r="P28" s="250">
        <f t="shared" si="207"/>
        <v>306</v>
      </c>
      <c r="Q28" s="250">
        <f>Q27+8</f>
        <v>290</v>
      </c>
      <c r="R28" s="250">
        <f t="shared" si="78"/>
        <v>0</v>
      </c>
      <c r="S28" s="247" t="s">
        <v>460</v>
      </c>
      <c r="T28" s="247" t="s">
        <v>7</v>
      </c>
      <c r="U28" s="247" t="s">
        <v>10</v>
      </c>
      <c r="V28" s="247" t="s">
        <v>10</v>
      </c>
      <c r="W28" s="25" t="s">
        <v>457</v>
      </c>
      <c r="X28" s="56"/>
      <c r="AA28" s="80">
        <f t="shared" ref="AA28:AD28" si="208">N28-N27</f>
        <v>8</v>
      </c>
      <c r="AB28" s="80">
        <f t="shared" si="208"/>
        <v>-8</v>
      </c>
      <c r="AC28" s="80">
        <f t="shared" si="208"/>
        <v>-8</v>
      </c>
      <c r="AD28" s="80">
        <f t="shared" si="208"/>
        <v>8</v>
      </c>
      <c r="AG28" s="28">
        <f t="shared" ref="AG28:AJ28" si="209">if(AA28&gt;0,1+AG27,0)</f>
        <v>2</v>
      </c>
      <c r="AH28" s="28">
        <f t="shared" si="209"/>
        <v>0</v>
      </c>
      <c r="AI28" s="28">
        <f t="shared" si="209"/>
        <v>0</v>
      </c>
      <c r="AJ28" s="28">
        <f t="shared" si="209"/>
        <v>1</v>
      </c>
      <c r="AM28" s="28">
        <f t="shared" ref="AM28:AP28" si="210">if(AA28&lt;0,1+AM27,0)</f>
        <v>0</v>
      </c>
      <c r="AN28" s="28">
        <f t="shared" si="210"/>
        <v>4</v>
      </c>
      <c r="AO28" s="28">
        <f t="shared" si="210"/>
        <v>1</v>
      </c>
      <c r="AP28" s="28">
        <f t="shared" si="210"/>
        <v>0</v>
      </c>
      <c r="AS28" s="251">
        <f t="shared" ref="AS28:AV28" si="211">if(AA28&gt;0,AA28+AS26,0)</f>
        <v>8</v>
      </c>
      <c r="AT28" s="78">
        <f t="shared" si="211"/>
        <v>0</v>
      </c>
      <c r="AU28" s="78">
        <f t="shared" si="211"/>
        <v>0</v>
      </c>
      <c r="AV28" s="251">
        <f t="shared" si="211"/>
        <v>104</v>
      </c>
      <c r="AY28" s="28">
        <f t="shared" ref="AY28:BB28" si="212">if(AA28&lt;0,AA28+AY26,0)</f>
        <v>0</v>
      </c>
      <c r="AZ28" s="80">
        <f t="shared" si="212"/>
        <v>-104</v>
      </c>
      <c r="BA28" s="80">
        <f t="shared" si="212"/>
        <v>-8</v>
      </c>
      <c r="BB28" s="28">
        <f t="shared" si="212"/>
        <v>0</v>
      </c>
    </row>
    <row r="29">
      <c r="A29" s="250">
        <f t="shared" si="84"/>
        <v>27</v>
      </c>
      <c r="B29" s="250">
        <f t="shared" ref="B29:D29" si="213">B28-4</f>
        <v>-306</v>
      </c>
      <c r="C29" s="250">
        <f t="shared" si="213"/>
        <v>-286</v>
      </c>
      <c r="D29" s="250">
        <f t="shared" si="213"/>
        <v>302</v>
      </c>
      <c r="E29" s="250">
        <f>E28+12</f>
        <v>290</v>
      </c>
      <c r="F29" s="248">
        <f t="shared" ref="F29:K29" si="214">R29</f>
        <v>0</v>
      </c>
      <c r="G29" s="249" t="str">
        <f t="shared" si="214"/>
        <v>Sol</v>
      </c>
      <c r="H29" s="249" t="str">
        <f t="shared" si="214"/>
        <v>Christian</v>
      </c>
      <c r="I29" s="249" t="str">
        <f t="shared" si="214"/>
        <v/>
      </c>
      <c r="J29" s="249" t="str">
        <f t="shared" si="214"/>
        <v>Janus</v>
      </c>
      <c r="K29" s="248" t="str">
        <f t="shared" si="214"/>
        <v>DEL 3</v>
      </c>
      <c r="L29" s="56"/>
      <c r="M29" s="250">
        <f t="shared" si="21"/>
        <v>27</v>
      </c>
      <c r="N29" s="250">
        <f t="shared" ref="N29:P29" si="215">N28-4</f>
        <v>-318</v>
      </c>
      <c r="O29" s="250">
        <f t="shared" si="215"/>
        <v>-286</v>
      </c>
      <c r="P29" s="250">
        <f t="shared" si="215"/>
        <v>302</v>
      </c>
      <c r="Q29" s="250">
        <f>Q28+12</f>
        <v>302</v>
      </c>
      <c r="R29" s="250">
        <f t="shared" si="78"/>
        <v>0</v>
      </c>
      <c r="S29" s="247" t="s">
        <v>99</v>
      </c>
      <c r="T29" s="247" t="s">
        <v>10</v>
      </c>
      <c r="U29" s="247"/>
      <c r="V29" s="247" t="s">
        <v>9</v>
      </c>
      <c r="W29" s="25" t="s">
        <v>457</v>
      </c>
      <c r="X29" s="56"/>
      <c r="AA29" s="80">
        <f t="shared" ref="AA29:AD29" si="216">N29-N28</f>
        <v>-4</v>
      </c>
      <c r="AB29" s="80">
        <f t="shared" si="216"/>
        <v>-4</v>
      </c>
      <c r="AC29" s="80">
        <f t="shared" si="216"/>
        <v>-4</v>
      </c>
      <c r="AD29" s="80">
        <f t="shared" si="216"/>
        <v>12</v>
      </c>
      <c r="AG29" s="28">
        <f t="shared" ref="AG29:AJ29" si="217">if(AA29&gt;0,1+AG28,0)</f>
        <v>0</v>
      </c>
      <c r="AH29" s="28">
        <f t="shared" si="217"/>
        <v>0</v>
      </c>
      <c r="AI29" s="28">
        <f t="shared" si="217"/>
        <v>0</v>
      </c>
      <c r="AJ29" s="28">
        <f t="shared" si="217"/>
        <v>2</v>
      </c>
      <c r="AM29" s="28">
        <f t="shared" ref="AM29:AP29" si="218">if(AA29&lt;0,1+AM28,0)</f>
        <v>1</v>
      </c>
      <c r="AN29" s="28">
        <f t="shared" si="218"/>
        <v>5</v>
      </c>
      <c r="AO29" s="28">
        <f t="shared" si="218"/>
        <v>2</v>
      </c>
      <c r="AP29" s="28">
        <f t="shared" si="218"/>
        <v>0</v>
      </c>
      <c r="AS29" s="78">
        <f t="shared" ref="AS29:AV29" si="219">if(AA29&gt;0,AA29+AS27,0)</f>
        <v>0</v>
      </c>
      <c r="AT29" s="78">
        <f t="shared" si="219"/>
        <v>0</v>
      </c>
      <c r="AU29" s="78">
        <f t="shared" si="219"/>
        <v>0</v>
      </c>
      <c r="AV29" s="251">
        <f t="shared" si="219"/>
        <v>12</v>
      </c>
      <c r="AY29" s="80">
        <f t="shared" ref="AY29:BB29" si="220">if(AA29&lt;0,AA29+AY27,0)</f>
        <v>-4</v>
      </c>
      <c r="AZ29" s="80">
        <f t="shared" si="220"/>
        <v>-44</v>
      </c>
      <c r="BA29" s="80">
        <f t="shared" si="220"/>
        <v>-4</v>
      </c>
      <c r="BB29" s="28">
        <f t="shared" si="220"/>
        <v>0</v>
      </c>
    </row>
    <row r="30">
      <c r="A30" s="250">
        <f t="shared" si="84"/>
        <v>28</v>
      </c>
      <c r="B30" s="250">
        <f>B29+80</f>
        <v>-226</v>
      </c>
      <c r="C30" s="250">
        <f t="shared" ref="C30:D30" si="221">C29-80</f>
        <v>-366</v>
      </c>
      <c r="D30" s="250">
        <f t="shared" si="221"/>
        <v>222</v>
      </c>
      <c r="E30" s="250">
        <f>E29+80</f>
        <v>370</v>
      </c>
      <c r="F30" s="248">
        <f t="shared" ref="F30:K30" si="222">R30</f>
        <v>0</v>
      </c>
      <c r="G30" s="249" t="str">
        <f t="shared" si="222"/>
        <v>10 vip 1. </v>
      </c>
      <c r="H30" s="249" t="str">
        <f t="shared" si="222"/>
        <v>Thomas</v>
      </c>
      <c r="I30" s="249" t="str">
        <f t="shared" si="222"/>
        <v>Christian</v>
      </c>
      <c r="J30" s="249" t="str">
        <f t="shared" si="222"/>
        <v>Peter</v>
      </c>
      <c r="K30" s="248" t="str">
        <f t="shared" si="222"/>
        <v>DEL 3</v>
      </c>
      <c r="L30" s="56"/>
      <c r="M30" s="250">
        <f t="shared" si="21"/>
        <v>28</v>
      </c>
      <c r="N30" s="250">
        <f>N29+80</f>
        <v>-238</v>
      </c>
      <c r="O30" s="250">
        <f t="shared" ref="O30:P30" si="223">O29-80</f>
        <v>-366</v>
      </c>
      <c r="P30" s="250">
        <f t="shared" si="223"/>
        <v>222</v>
      </c>
      <c r="Q30" s="250">
        <f>Q29+80</f>
        <v>382</v>
      </c>
      <c r="R30" s="250">
        <f t="shared" si="78"/>
        <v>0</v>
      </c>
      <c r="S30" s="247" t="s">
        <v>461</v>
      </c>
      <c r="T30" s="247" t="s">
        <v>7</v>
      </c>
      <c r="U30" s="247" t="s">
        <v>10</v>
      </c>
      <c r="V30" s="247" t="s">
        <v>8</v>
      </c>
      <c r="W30" s="25" t="s">
        <v>457</v>
      </c>
      <c r="X30" s="56"/>
      <c r="AA30" s="80">
        <f t="shared" ref="AA30:AD30" si="224">N30-N29</f>
        <v>80</v>
      </c>
      <c r="AB30" s="80">
        <f t="shared" si="224"/>
        <v>-80</v>
      </c>
      <c r="AC30" s="80">
        <f t="shared" si="224"/>
        <v>-80</v>
      </c>
      <c r="AD30" s="80">
        <f t="shared" si="224"/>
        <v>80</v>
      </c>
      <c r="AG30" s="28">
        <f t="shared" ref="AG30:AJ30" si="225">if(AA30&gt;0,1+AG29,0)</f>
        <v>1</v>
      </c>
      <c r="AH30" s="28">
        <f t="shared" si="225"/>
        <v>0</v>
      </c>
      <c r="AI30" s="28">
        <f t="shared" si="225"/>
        <v>0</v>
      </c>
      <c r="AJ30" s="28">
        <f t="shared" si="225"/>
        <v>3</v>
      </c>
      <c r="AM30" s="28">
        <f t="shared" ref="AM30:AP30" si="226">if(AA30&lt;0,1+AM29,0)</f>
        <v>0</v>
      </c>
      <c r="AN30" s="28">
        <f t="shared" si="226"/>
        <v>6</v>
      </c>
      <c r="AO30" s="28">
        <f t="shared" si="226"/>
        <v>3</v>
      </c>
      <c r="AP30" s="28">
        <f t="shared" si="226"/>
        <v>0</v>
      </c>
      <c r="AS30" s="251">
        <f t="shared" ref="AS30:AV30" si="227">if(AA30&gt;0,AA30+AS28,0)</f>
        <v>88</v>
      </c>
      <c r="AT30" s="78">
        <f t="shared" si="227"/>
        <v>0</v>
      </c>
      <c r="AU30" s="78">
        <f t="shared" si="227"/>
        <v>0</v>
      </c>
      <c r="AV30" s="251">
        <f t="shared" si="227"/>
        <v>184</v>
      </c>
      <c r="AY30" s="28">
        <f t="shared" ref="AY30:BB30" si="228">if(AA30&lt;0,AA30+AY28,0)</f>
        <v>0</v>
      </c>
      <c r="AZ30" s="80">
        <f t="shared" si="228"/>
        <v>-184</v>
      </c>
      <c r="BA30" s="80">
        <f t="shared" si="228"/>
        <v>-88</v>
      </c>
      <c r="BB30" s="28">
        <f t="shared" si="228"/>
        <v>0</v>
      </c>
    </row>
    <row r="31">
      <c r="A31" s="250">
        <f t="shared" si="84"/>
        <v>29</v>
      </c>
      <c r="B31" s="250">
        <f>B30-8</f>
        <v>-234</v>
      </c>
      <c r="C31" s="250">
        <f t="shared" ref="C31:D31" si="229">C30+8</f>
        <v>-358</v>
      </c>
      <c r="D31" s="250">
        <f t="shared" si="229"/>
        <v>230</v>
      </c>
      <c r="E31" s="250">
        <f>E30-8</f>
        <v>362</v>
      </c>
      <c r="F31" s="248">
        <f t="shared" ref="F31:K31" si="230">R31</f>
        <v>0</v>
      </c>
      <c r="G31" s="249" t="str">
        <f t="shared" si="230"/>
        <v>10 alm</v>
      </c>
      <c r="H31" s="249" t="str">
        <f t="shared" si="230"/>
        <v>Thomas</v>
      </c>
      <c r="I31" s="249" t="str">
        <f t="shared" si="230"/>
        <v>Christian</v>
      </c>
      <c r="J31" s="249" t="str">
        <f t="shared" si="230"/>
        <v>Thomas</v>
      </c>
      <c r="K31" s="248" t="str">
        <f t="shared" si="230"/>
        <v>DEL 3</v>
      </c>
      <c r="L31" s="56"/>
      <c r="M31" s="250">
        <f t="shared" si="21"/>
        <v>29</v>
      </c>
      <c r="N31" s="250">
        <f>N30-8</f>
        <v>-246</v>
      </c>
      <c r="O31" s="250">
        <f t="shared" ref="O31:P31" si="231">O30+8</f>
        <v>-358</v>
      </c>
      <c r="P31" s="250">
        <f t="shared" si="231"/>
        <v>230</v>
      </c>
      <c r="Q31" s="250">
        <f>Q30-8</f>
        <v>374</v>
      </c>
      <c r="R31" s="250">
        <f t="shared" si="78"/>
        <v>0</v>
      </c>
      <c r="S31" s="247" t="s">
        <v>314</v>
      </c>
      <c r="T31" s="247" t="s">
        <v>7</v>
      </c>
      <c r="U31" s="247" t="s">
        <v>10</v>
      </c>
      <c r="V31" s="247" t="s">
        <v>7</v>
      </c>
      <c r="W31" s="25" t="s">
        <v>457</v>
      </c>
      <c r="X31" s="56"/>
      <c r="AA31" s="80">
        <f t="shared" ref="AA31:AD31" si="232">N31-N30</f>
        <v>-8</v>
      </c>
      <c r="AB31" s="80">
        <f t="shared" si="232"/>
        <v>8</v>
      </c>
      <c r="AC31" s="80">
        <f t="shared" si="232"/>
        <v>8</v>
      </c>
      <c r="AD31" s="80">
        <f t="shared" si="232"/>
        <v>-8</v>
      </c>
      <c r="AG31" s="28">
        <f t="shared" ref="AG31:AJ31" si="233">if(AA31&gt;0,1+AG30,0)</f>
        <v>0</v>
      </c>
      <c r="AH31" s="28">
        <f t="shared" si="233"/>
        <v>1</v>
      </c>
      <c r="AI31" s="28">
        <f t="shared" si="233"/>
        <v>1</v>
      </c>
      <c r="AJ31" s="28">
        <f t="shared" si="233"/>
        <v>0</v>
      </c>
      <c r="AM31" s="28">
        <f t="shared" ref="AM31:AP31" si="234">if(AA31&lt;0,1+AM30,0)</f>
        <v>1</v>
      </c>
      <c r="AN31" s="28">
        <f t="shared" si="234"/>
        <v>0</v>
      </c>
      <c r="AO31" s="28">
        <f t="shared" si="234"/>
        <v>0</v>
      </c>
      <c r="AP31" s="28">
        <f t="shared" si="234"/>
        <v>1</v>
      </c>
      <c r="AS31" s="78">
        <f t="shared" ref="AS31:AV31" si="235">if(AA31&gt;0,AA31+AS29,0)</f>
        <v>0</v>
      </c>
      <c r="AT31" s="251">
        <f t="shared" si="235"/>
        <v>8</v>
      </c>
      <c r="AU31" s="251">
        <f t="shared" si="235"/>
        <v>8</v>
      </c>
      <c r="AV31" s="78">
        <f t="shared" si="235"/>
        <v>0</v>
      </c>
      <c r="AY31" s="80">
        <f t="shared" ref="AY31:BB31" si="236">if(AA31&lt;0,AA31+AY29,0)</f>
        <v>-12</v>
      </c>
      <c r="AZ31" s="28">
        <f t="shared" si="236"/>
        <v>0</v>
      </c>
      <c r="BA31" s="28">
        <f t="shared" si="236"/>
        <v>0</v>
      </c>
      <c r="BB31" s="80">
        <f t="shared" si="236"/>
        <v>-8</v>
      </c>
    </row>
    <row r="32">
      <c r="A32" s="250">
        <f t="shared" si="84"/>
        <v>30</v>
      </c>
      <c r="B32" s="250">
        <f>B31+16</f>
        <v>-218</v>
      </c>
      <c r="C32" s="250">
        <f t="shared" ref="C32:D32" si="237">C31-16</f>
        <v>-374</v>
      </c>
      <c r="D32" s="250">
        <f t="shared" si="237"/>
        <v>214</v>
      </c>
      <c r="E32" s="250">
        <f>E31+16</f>
        <v>378</v>
      </c>
      <c r="F32" s="248">
        <f t="shared" ref="F32:K32" si="238">R32</f>
        <v>0</v>
      </c>
      <c r="G32" s="249" t="str">
        <f t="shared" si="238"/>
        <v>11 alm</v>
      </c>
      <c r="H32" s="249" t="str">
        <f t="shared" si="238"/>
        <v>Christian</v>
      </c>
      <c r="I32" s="249" t="str">
        <f t="shared" si="238"/>
        <v>Thomas</v>
      </c>
      <c r="J32" s="249" t="str">
        <f t="shared" si="238"/>
        <v>Christian</v>
      </c>
      <c r="K32" s="248" t="str">
        <f t="shared" si="238"/>
        <v>DEL 3</v>
      </c>
      <c r="L32" s="56"/>
      <c r="M32" s="250">
        <f t="shared" si="21"/>
        <v>30</v>
      </c>
      <c r="N32" s="250">
        <f>N31+16</f>
        <v>-230</v>
      </c>
      <c r="O32" s="250">
        <f t="shared" ref="O32:P32" si="239">O31-16</f>
        <v>-374</v>
      </c>
      <c r="P32" s="250">
        <f t="shared" si="239"/>
        <v>214</v>
      </c>
      <c r="Q32" s="250">
        <f>Q31+16</f>
        <v>390</v>
      </c>
      <c r="R32" s="250">
        <f t="shared" si="78"/>
        <v>0</v>
      </c>
      <c r="S32" s="247" t="s">
        <v>375</v>
      </c>
      <c r="T32" s="247" t="s">
        <v>10</v>
      </c>
      <c r="U32" s="247" t="s">
        <v>7</v>
      </c>
      <c r="V32" s="247" t="s">
        <v>10</v>
      </c>
      <c r="W32" s="25" t="s">
        <v>457</v>
      </c>
      <c r="X32" s="56"/>
      <c r="AA32" s="80">
        <f t="shared" ref="AA32:AD32" si="240">N32-N31</f>
        <v>16</v>
      </c>
      <c r="AB32" s="80">
        <f t="shared" si="240"/>
        <v>-16</v>
      </c>
      <c r="AC32" s="80">
        <f t="shared" si="240"/>
        <v>-16</v>
      </c>
      <c r="AD32" s="80">
        <f t="shared" si="240"/>
        <v>16</v>
      </c>
      <c r="AG32" s="28">
        <f t="shared" ref="AG32:AJ32" si="241">if(AA32&gt;0,1+AG31,0)</f>
        <v>1</v>
      </c>
      <c r="AH32" s="28">
        <f t="shared" si="241"/>
        <v>0</v>
      </c>
      <c r="AI32" s="28">
        <f t="shared" si="241"/>
        <v>0</v>
      </c>
      <c r="AJ32" s="28">
        <f t="shared" si="241"/>
        <v>1</v>
      </c>
      <c r="AM32" s="28">
        <f t="shared" ref="AM32:AP32" si="242">if(AA32&lt;0,1+AM31,0)</f>
        <v>0</v>
      </c>
      <c r="AN32" s="28">
        <f t="shared" si="242"/>
        <v>1</v>
      </c>
      <c r="AO32" s="28">
        <f t="shared" si="242"/>
        <v>1</v>
      </c>
      <c r="AP32" s="28">
        <f t="shared" si="242"/>
        <v>0</v>
      </c>
      <c r="AS32" s="251">
        <f t="shared" ref="AS32:AV32" si="243">if(AA32&gt;0,AA32+AS30,0)</f>
        <v>104</v>
      </c>
      <c r="AT32" s="78">
        <f t="shared" si="243"/>
        <v>0</v>
      </c>
      <c r="AU32" s="78">
        <f t="shared" si="243"/>
        <v>0</v>
      </c>
      <c r="AV32" s="251">
        <f t="shared" si="243"/>
        <v>200</v>
      </c>
      <c r="AY32" s="28">
        <f t="shared" ref="AY32:BB32" si="244">if(AA32&lt;0,AA32+AY30,0)</f>
        <v>0</v>
      </c>
      <c r="AZ32" s="80">
        <f t="shared" si="244"/>
        <v>-200</v>
      </c>
      <c r="BA32" s="80">
        <f t="shared" si="244"/>
        <v>-104</v>
      </c>
      <c r="BB32" s="28">
        <f t="shared" si="244"/>
        <v>0</v>
      </c>
    </row>
    <row r="33">
      <c r="A33" s="250">
        <f t="shared" si="84"/>
        <v>31</v>
      </c>
      <c r="B33" s="250">
        <f t="shared" ref="B33:D33" si="245">B32+8</f>
        <v>-210</v>
      </c>
      <c r="C33" s="250">
        <f t="shared" si="245"/>
        <v>-366</v>
      </c>
      <c r="D33" s="250">
        <f t="shared" si="245"/>
        <v>222</v>
      </c>
      <c r="E33" s="250">
        <f>E32-24</f>
        <v>354</v>
      </c>
      <c r="F33" s="248">
        <f t="shared" ref="F33:K33" si="246">R33</f>
        <v>0</v>
      </c>
      <c r="G33" s="249" t="str">
        <f t="shared" si="246"/>
        <v>ren sol</v>
      </c>
      <c r="H33" s="249" t="str">
        <f t="shared" si="246"/>
        <v>Christian</v>
      </c>
      <c r="I33" s="249" t="str">
        <f t="shared" si="246"/>
        <v/>
      </c>
      <c r="J33" s="249" t="str">
        <f t="shared" si="246"/>
        <v>Janus</v>
      </c>
      <c r="K33" s="248" t="str">
        <f t="shared" si="246"/>
        <v>DEL 3</v>
      </c>
      <c r="L33" s="56"/>
      <c r="M33" s="250">
        <f t="shared" si="21"/>
        <v>31</v>
      </c>
      <c r="N33" s="250">
        <f t="shared" ref="N33:P33" si="247">N32+8</f>
        <v>-222</v>
      </c>
      <c r="O33" s="250">
        <f t="shared" si="247"/>
        <v>-366</v>
      </c>
      <c r="P33" s="250">
        <f t="shared" si="247"/>
        <v>222</v>
      </c>
      <c r="Q33" s="250">
        <f>Q32-24</f>
        <v>366</v>
      </c>
      <c r="R33" s="250">
        <f t="shared" si="78"/>
        <v>0</v>
      </c>
      <c r="S33" s="247" t="s">
        <v>140</v>
      </c>
      <c r="T33" s="247" t="s">
        <v>10</v>
      </c>
      <c r="U33" s="247"/>
      <c r="V33" s="247" t="s">
        <v>9</v>
      </c>
      <c r="W33" s="25" t="s">
        <v>457</v>
      </c>
      <c r="X33" s="56"/>
      <c r="AA33" s="80">
        <f t="shared" ref="AA33:AD33" si="248">N33-N32</f>
        <v>8</v>
      </c>
      <c r="AB33" s="80">
        <f t="shared" si="248"/>
        <v>8</v>
      </c>
      <c r="AC33" s="80">
        <f t="shared" si="248"/>
        <v>8</v>
      </c>
      <c r="AD33" s="80">
        <f t="shared" si="248"/>
        <v>-24</v>
      </c>
      <c r="AG33" s="28">
        <f t="shared" ref="AG33:AJ33" si="249">if(AA33&gt;0,1+AG32,0)</f>
        <v>2</v>
      </c>
      <c r="AH33" s="28">
        <f t="shared" si="249"/>
        <v>1</v>
      </c>
      <c r="AI33" s="28">
        <f t="shared" si="249"/>
        <v>1</v>
      </c>
      <c r="AJ33" s="28">
        <f t="shared" si="249"/>
        <v>0</v>
      </c>
      <c r="AM33" s="28">
        <f t="shared" ref="AM33:AP33" si="250">if(AA33&lt;0,1+AM32,0)</f>
        <v>0</v>
      </c>
      <c r="AN33" s="28">
        <f t="shared" si="250"/>
        <v>0</v>
      </c>
      <c r="AO33" s="28">
        <f t="shared" si="250"/>
        <v>0</v>
      </c>
      <c r="AP33" s="28">
        <f t="shared" si="250"/>
        <v>1</v>
      </c>
      <c r="AS33" s="251">
        <f t="shared" ref="AS33:AV33" si="251">if(AA33&gt;0,AA33+AS31,0)</f>
        <v>8</v>
      </c>
      <c r="AT33" s="251">
        <f t="shared" si="251"/>
        <v>16</v>
      </c>
      <c r="AU33" s="251">
        <f t="shared" si="251"/>
        <v>16</v>
      </c>
      <c r="AV33" s="78">
        <f t="shared" si="251"/>
        <v>0</v>
      </c>
      <c r="AY33" s="28">
        <f t="shared" ref="AY33:BB33" si="252">if(AA33&lt;0,AA33+AY31,0)</f>
        <v>0</v>
      </c>
      <c r="AZ33" s="28">
        <f t="shared" si="252"/>
        <v>0</v>
      </c>
      <c r="BA33" s="28">
        <f t="shared" si="252"/>
        <v>0</v>
      </c>
      <c r="BB33" s="80">
        <f t="shared" si="252"/>
        <v>-32</v>
      </c>
    </row>
    <row r="34">
      <c r="A34" s="250">
        <f t="shared" si="84"/>
        <v>32</v>
      </c>
      <c r="B34" s="250">
        <f t="shared" ref="B34:C34" si="253">B33+40</f>
        <v>-170</v>
      </c>
      <c r="C34" s="250">
        <f t="shared" si="253"/>
        <v>-326</v>
      </c>
      <c r="D34" s="250">
        <f t="shared" ref="D34:E34" si="254">D33-40</f>
        <v>182</v>
      </c>
      <c r="E34" s="250">
        <f t="shared" si="254"/>
        <v>314</v>
      </c>
      <c r="F34" s="248">
        <f t="shared" ref="F34:K34" si="255">R34</f>
        <v>0</v>
      </c>
      <c r="G34" s="249" t="str">
        <f t="shared" si="255"/>
        <v>10 alm (storslem)</v>
      </c>
      <c r="H34" s="249" t="str">
        <f t="shared" si="255"/>
        <v>Peter</v>
      </c>
      <c r="I34" s="249" t="str">
        <f t="shared" si="255"/>
        <v>Thomas</v>
      </c>
      <c r="J34" s="249" t="str">
        <f t="shared" si="255"/>
        <v>Peter</v>
      </c>
      <c r="K34" s="248" t="str">
        <f t="shared" si="255"/>
        <v>DEL 3</v>
      </c>
      <c r="L34" s="56"/>
      <c r="M34" s="250">
        <f t="shared" si="21"/>
        <v>32</v>
      </c>
      <c r="N34" s="250">
        <f t="shared" ref="N34:O34" si="256">N33+40</f>
        <v>-182</v>
      </c>
      <c r="O34" s="250">
        <f t="shared" si="256"/>
        <v>-326</v>
      </c>
      <c r="P34" s="250">
        <f t="shared" ref="P34:Q34" si="257">P33-40</f>
        <v>182</v>
      </c>
      <c r="Q34" s="250">
        <f t="shared" si="257"/>
        <v>326</v>
      </c>
      <c r="R34" s="250">
        <f t="shared" si="78"/>
        <v>0</v>
      </c>
      <c r="S34" s="247" t="s">
        <v>462</v>
      </c>
      <c r="T34" s="247" t="s">
        <v>8</v>
      </c>
      <c r="U34" s="247" t="s">
        <v>7</v>
      </c>
      <c r="V34" s="247" t="s">
        <v>8</v>
      </c>
      <c r="W34" s="25" t="s">
        <v>457</v>
      </c>
      <c r="X34" s="56"/>
      <c r="AA34" s="80">
        <f t="shared" ref="AA34:AD34" si="258">N34-N33</f>
        <v>40</v>
      </c>
      <c r="AB34" s="80">
        <f t="shared" si="258"/>
        <v>40</v>
      </c>
      <c r="AC34" s="80">
        <f t="shared" si="258"/>
        <v>-40</v>
      </c>
      <c r="AD34" s="80">
        <f t="shared" si="258"/>
        <v>-40</v>
      </c>
      <c r="AG34" s="28">
        <f t="shared" ref="AG34:AJ34" si="259">if(AA34&gt;0,1+AG33,0)</f>
        <v>3</v>
      </c>
      <c r="AH34" s="28">
        <f t="shared" si="259"/>
        <v>2</v>
      </c>
      <c r="AI34" s="28">
        <f t="shared" si="259"/>
        <v>0</v>
      </c>
      <c r="AJ34" s="28">
        <f t="shared" si="259"/>
        <v>0</v>
      </c>
      <c r="AM34" s="28">
        <f t="shared" ref="AM34:AP34" si="260">if(AA34&lt;0,1+AM33,0)</f>
        <v>0</v>
      </c>
      <c r="AN34" s="28">
        <f t="shared" si="260"/>
        <v>0</v>
      </c>
      <c r="AO34" s="28">
        <f t="shared" si="260"/>
        <v>1</v>
      </c>
      <c r="AP34" s="28">
        <f t="shared" si="260"/>
        <v>2</v>
      </c>
      <c r="AS34" s="251">
        <f t="shared" ref="AS34:AV34" si="261">if(AA34&gt;0,AA34+AS32,0)</f>
        <v>144</v>
      </c>
      <c r="AT34" s="251">
        <f t="shared" si="261"/>
        <v>40</v>
      </c>
      <c r="AU34" s="78">
        <f t="shared" si="261"/>
        <v>0</v>
      </c>
      <c r="AV34" s="78">
        <f t="shared" si="261"/>
        <v>0</v>
      </c>
      <c r="AY34" s="28">
        <f t="shared" ref="AY34:BB34" si="262">if(AA34&lt;0,AA34+AY32,0)</f>
        <v>0</v>
      </c>
      <c r="AZ34" s="28">
        <f t="shared" si="262"/>
        <v>0</v>
      </c>
      <c r="BA34" s="80">
        <f t="shared" si="262"/>
        <v>-144</v>
      </c>
      <c r="BB34" s="80">
        <f t="shared" si="262"/>
        <v>-40</v>
      </c>
    </row>
    <row r="35">
      <c r="A35" s="250">
        <f t="shared" si="84"/>
        <v>33</v>
      </c>
      <c r="B35" s="250">
        <f t="shared" ref="B35:C35" si="263">B34-32</f>
        <v>-202</v>
      </c>
      <c r="C35" s="250">
        <f t="shared" si="263"/>
        <v>-358</v>
      </c>
      <c r="D35" s="250">
        <f t="shared" ref="D35:E35" si="264">D34+32</f>
        <v>214</v>
      </c>
      <c r="E35" s="250">
        <f t="shared" si="264"/>
        <v>346</v>
      </c>
      <c r="F35" s="248">
        <f t="shared" ref="F35:K35" si="265">R35</f>
        <v>0</v>
      </c>
      <c r="G35" s="249" t="str">
        <f t="shared" si="265"/>
        <v>10 gode</v>
      </c>
      <c r="H35" s="249" t="str">
        <f t="shared" si="265"/>
        <v>Thomas</v>
      </c>
      <c r="I35" s="249" t="str">
        <f t="shared" si="265"/>
        <v>Peter</v>
      </c>
      <c r="J35" s="249" t="str">
        <f t="shared" si="265"/>
        <v>Thomas</v>
      </c>
      <c r="K35" s="248" t="str">
        <f t="shared" si="265"/>
        <v>DEL 3</v>
      </c>
      <c r="L35" s="56"/>
      <c r="M35" s="250">
        <f t="shared" si="21"/>
        <v>33</v>
      </c>
      <c r="N35" s="250">
        <f t="shared" ref="N35:O35" si="266">N34-32</f>
        <v>-214</v>
      </c>
      <c r="O35" s="250">
        <f t="shared" si="266"/>
        <v>-358</v>
      </c>
      <c r="P35" s="250">
        <f t="shared" ref="P35:Q35" si="267">P34+32</f>
        <v>214</v>
      </c>
      <c r="Q35" s="250">
        <f t="shared" si="267"/>
        <v>358</v>
      </c>
      <c r="R35" s="250">
        <f t="shared" si="78"/>
        <v>0</v>
      </c>
      <c r="S35" s="247" t="s">
        <v>308</v>
      </c>
      <c r="T35" s="247" t="s">
        <v>7</v>
      </c>
      <c r="U35" s="247" t="s">
        <v>8</v>
      </c>
      <c r="V35" s="247" t="s">
        <v>7</v>
      </c>
      <c r="W35" s="25" t="s">
        <v>457</v>
      </c>
      <c r="X35" s="56"/>
      <c r="AA35" s="80">
        <f t="shared" ref="AA35:AD35" si="268">N35-N34</f>
        <v>-32</v>
      </c>
      <c r="AB35" s="80">
        <f t="shared" si="268"/>
        <v>-32</v>
      </c>
      <c r="AC35" s="80">
        <f t="shared" si="268"/>
        <v>32</v>
      </c>
      <c r="AD35" s="80">
        <f t="shared" si="268"/>
        <v>32</v>
      </c>
      <c r="AG35" s="28">
        <f t="shared" ref="AG35:AJ35" si="269">if(AA35&gt;0,1+AG34,0)</f>
        <v>0</v>
      </c>
      <c r="AH35" s="28">
        <f t="shared" si="269"/>
        <v>0</v>
      </c>
      <c r="AI35" s="28">
        <f t="shared" si="269"/>
        <v>1</v>
      </c>
      <c r="AJ35" s="28">
        <f t="shared" si="269"/>
        <v>1</v>
      </c>
      <c r="AM35" s="28">
        <f t="shared" ref="AM35:AP35" si="270">if(AA35&lt;0,1+AM34,0)</f>
        <v>1</v>
      </c>
      <c r="AN35" s="28">
        <f t="shared" si="270"/>
        <v>1</v>
      </c>
      <c r="AO35" s="28">
        <f t="shared" si="270"/>
        <v>0</v>
      </c>
      <c r="AP35" s="28">
        <f t="shared" si="270"/>
        <v>0</v>
      </c>
      <c r="AS35" s="78">
        <f t="shared" ref="AS35:AV35" si="271">if(AA35&gt;0,AA35+AS33,0)</f>
        <v>0</v>
      </c>
      <c r="AT35" s="78">
        <f t="shared" si="271"/>
        <v>0</v>
      </c>
      <c r="AU35" s="251">
        <f t="shared" si="271"/>
        <v>48</v>
      </c>
      <c r="AV35" s="251">
        <f t="shared" si="271"/>
        <v>32</v>
      </c>
      <c r="AY35" s="80">
        <f t="shared" ref="AY35:BB35" si="272">if(AA35&lt;0,AA35+AY33,0)</f>
        <v>-32</v>
      </c>
      <c r="AZ35" s="80">
        <f t="shared" si="272"/>
        <v>-32</v>
      </c>
      <c r="BA35" s="28">
        <f t="shared" si="272"/>
        <v>0</v>
      </c>
      <c r="BB35" s="28">
        <f t="shared" si="272"/>
        <v>0</v>
      </c>
    </row>
    <row r="36">
      <c r="A36" s="250">
        <f t="shared" si="84"/>
        <v>34</v>
      </c>
      <c r="B36" s="250">
        <f>B35-3*24</f>
        <v>-274</v>
      </c>
      <c r="C36" s="250">
        <f t="shared" ref="C36:E36" si="273">C35+24</f>
        <v>-334</v>
      </c>
      <c r="D36" s="250">
        <f t="shared" si="273"/>
        <v>238</v>
      </c>
      <c r="E36" s="250">
        <f t="shared" si="273"/>
        <v>370</v>
      </c>
      <c r="F36" s="248">
        <f t="shared" ref="F36:K36" si="274">R36</f>
        <v>0</v>
      </c>
      <c r="G36" s="249" t="str">
        <f t="shared" si="274"/>
        <v>10 alm (duefejl</v>
      </c>
      <c r="H36" s="249" t="str">
        <f t="shared" si="274"/>
        <v>Thomas</v>
      </c>
      <c r="I36" s="249" t="str">
        <f t="shared" si="274"/>
        <v>Janus</v>
      </c>
      <c r="J36" s="249" t="str">
        <f t="shared" si="274"/>
        <v>Christian</v>
      </c>
      <c r="K36" s="248" t="str">
        <f t="shared" si="274"/>
        <v>DEL 3</v>
      </c>
      <c r="L36" s="56"/>
      <c r="M36" s="250">
        <f t="shared" si="21"/>
        <v>34</v>
      </c>
      <c r="N36" s="250">
        <f>N35-3*24</f>
        <v>-286</v>
      </c>
      <c r="O36" s="250">
        <f t="shared" ref="O36:Q36" si="275">O35+24</f>
        <v>-334</v>
      </c>
      <c r="P36" s="250">
        <f t="shared" si="275"/>
        <v>238</v>
      </c>
      <c r="Q36" s="250">
        <f t="shared" si="275"/>
        <v>382</v>
      </c>
      <c r="R36" s="250">
        <f t="shared" si="78"/>
        <v>0</v>
      </c>
      <c r="S36" s="247" t="s">
        <v>463</v>
      </c>
      <c r="T36" s="247" t="s">
        <v>7</v>
      </c>
      <c r="U36" s="247" t="s">
        <v>9</v>
      </c>
      <c r="V36" s="247" t="s">
        <v>10</v>
      </c>
      <c r="W36" s="25" t="s">
        <v>457</v>
      </c>
      <c r="X36" s="56"/>
      <c r="AA36" s="80">
        <f t="shared" ref="AA36:AD36" si="276">N36-N35</f>
        <v>-72</v>
      </c>
      <c r="AB36" s="80">
        <f t="shared" si="276"/>
        <v>24</v>
      </c>
      <c r="AC36" s="80">
        <f t="shared" si="276"/>
        <v>24</v>
      </c>
      <c r="AD36" s="80">
        <f t="shared" si="276"/>
        <v>24</v>
      </c>
      <c r="AG36" s="28">
        <f t="shared" ref="AG36:AJ36" si="277">if(AA36&gt;0,1+AG35,0)</f>
        <v>0</v>
      </c>
      <c r="AH36" s="28">
        <f t="shared" si="277"/>
        <v>1</v>
      </c>
      <c r="AI36" s="28">
        <f t="shared" si="277"/>
        <v>2</v>
      </c>
      <c r="AJ36" s="28">
        <f t="shared" si="277"/>
        <v>2</v>
      </c>
      <c r="AM36" s="28">
        <f t="shared" ref="AM36:AP36" si="278">if(AA36&lt;0,1+AM35,0)</f>
        <v>2</v>
      </c>
      <c r="AN36" s="28">
        <f t="shared" si="278"/>
        <v>0</v>
      </c>
      <c r="AO36" s="28">
        <f t="shared" si="278"/>
        <v>0</v>
      </c>
      <c r="AP36" s="28">
        <f t="shared" si="278"/>
        <v>0</v>
      </c>
      <c r="AS36" s="78">
        <f t="shared" ref="AS36:AV36" si="279">if(AA36&gt;0,AA36+AS34,0)</f>
        <v>0</v>
      </c>
      <c r="AT36" s="251">
        <f t="shared" si="279"/>
        <v>64</v>
      </c>
      <c r="AU36" s="251">
        <f t="shared" si="279"/>
        <v>24</v>
      </c>
      <c r="AV36" s="251">
        <f t="shared" si="279"/>
        <v>24</v>
      </c>
      <c r="AY36" s="80">
        <f t="shared" ref="AY36:BB36" si="280">if(AA36&lt;0,AA36+AY34,0)</f>
        <v>-72</v>
      </c>
      <c r="AZ36" s="28">
        <f t="shared" si="280"/>
        <v>0</v>
      </c>
      <c r="BA36" s="28">
        <f t="shared" si="280"/>
        <v>0</v>
      </c>
      <c r="BB36" s="28">
        <f t="shared" si="280"/>
        <v>0</v>
      </c>
    </row>
    <row r="37">
      <c r="A37" s="250">
        <f t="shared" si="84"/>
        <v>35</v>
      </c>
      <c r="B37" s="250">
        <f>B36-16</f>
        <v>-290</v>
      </c>
      <c r="C37" s="250">
        <f>C36+48</f>
        <v>-286</v>
      </c>
      <c r="D37" s="250">
        <f t="shared" ref="D37:E37" si="281">D36-16</f>
        <v>222</v>
      </c>
      <c r="E37" s="250">
        <f t="shared" si="281"/>
        <v>354</v>
      </c>
      <c r="F37" s="248">
        <f t="shared" ref="F37:K37" si="282">R37</f>
        <v>0</v>
      </c>
      <c r="G37" s="249" t="str">
        <f t="shared" si="282"/>
        <v>Halv bordlægger</v>
      </c>
      <c r="H37" s="249" t="str">
        <f t="shared" si="282"/>
        <v>Peter</v>
      </c>
      <c r="I37" s="249" t="str">
        <f t="shared" si="282"/>
        <v/>
      </c>
      <c r="J37" s="249" t="str">
        <f t="shared" si="282"/>
        <v>Janus</v>
      </c>
      <c r="K37" s="248" t="str">
        <f t="shared" si="282"/>
        <v>DEL 3</v>
      </c>
      <c r="L37" s="56"/>
      <c r="M37" s="250">
        <f t="shared" si="21"/>
        <v>35</v>
      </c>
      <c r="N37" s="250">
        <f>N36-16</f>
        <v>-302</v>
      </c>
      <c r="O37" s="250">
        <f>O36+48</f>
        <v>-286</v>
      </c>
      <c r="P37" s="250">
        <f t="shared" ref="P37:Q37" si="283">P36-16</f>
        <v>222</v>
      </c>
      <c r="Q37" s="250">
        <f t="shared" si="283"/>
        <v>366</v>
      </c>
      <c r="R37" s="250">
        <f t="shared" si="78"/>
        <v>0</v>
      </c>
      <c r="S37" s="247" t="s">
        <v>101</v>
      </c>
      <c r="T37" s="247" t="s">
        <v>8</v>
      </c>
      <c r="U37" s="247"/>
      <c r="V37" s="247" t="s">
        <v>9</v>
      </c>
      <c r="W37" s="25" t="s">
        <v>457</v>
      </c>
      <c r="X37" s="56"/>
      <c r="AA37" s="80">
        <f t="shared" ref="AA37:AD37" si="284">N37-N36</f>
        <v>-16</v>
      </c>
      <c r="AB37" s="80">
        <f t="shared" si="284"/>
        <v>48</v>
      </c>
      <c r="AC37" s="80">
        <f t="shared" si="284"/>
        <v>-16</v>
      </c>
      <c r="AD37" s="80">
        <f t="shared" si="284"/>
        <v>-16</v>
      </c>
      <c r="AG37" s="28">
        <f t="shared" ref="AG37:AJ37" si="285">if(AA37&gt;0,1+AG36,0)</f>
        <v>0</v>
      </c>
      <c r="AH37" s="28">
        <f t="shared" si="285"/>
        <v>2</v>
      </c>
      <c r="AI37" s="28">
        <f t="shared" si="285"/>
        <v>0</v>
      </c>
      <c r="AJ37" s="28">
        <f t="shared" si="285"/>
        <v>0</v>
      </c>
      <c r="AM37" s="28">
        <f t="shared" ref="AM37:AP37" si="286">if(AA37&lt;0,1+AM36,0)</f>
        <v>3</v>
      </c>
      <c r="AN37" s="28">
        <f t="shared" si="286"/>
        <v>0</v>
      </c>
      <c r="AO37" s="28">
        <f t="shared" si="286"/>
        <v>1</v>
      </c>
      <c r="AP37" s="28">
        <f t="shared" si="286"/>
        <v>1</v>
      </c>
      <c r="AS37" s="78">
        <f t="shared" ref="AS37:AV37" si="287">if(AA37&gt;0,AA37+AS35,0)</f>
        <v>0</v>
      </c>
      <c r="AT37" s="251">
        <f t="shared" si="287"/>
        <v>48</v>
      </c>
      <c r="AU37" s="78">
        <f t="shared" si="287"/>
        <v>0</v>
      </c>
      <c r="AV37" s="78">
        <f t="shared" si="287"/>
        <v>0</v>
      </c>
      <c r="AY37" s="80">
        <f t="shared" ref="AY37:BB37" si="288">if(AA37&lt;0,AA37+AY35,0)</f>
        <v>-48</v>
      </c>
      <c r="AZ37" s="28">
        <f t="shared" si="288"/>
        <v>0</v>
      </c>
      <c r="BA37" s="80">
        <f t="shared" si="288"/>
        <v>-16</v>
      </c>
      <c r="BB37" s="80">
        <f t="shared" si="288"/>
        <v>-16</v>
      </c>
    </row>
    <row r="38">
      <c r="A38" s="250">
        <f t="shared" si="84"/>
        <v>36</v>
      </c>
      <c r="B38" s="250">
        <f t="shared" ref="B38:D38" si="289">B37+8</f>
        <v>-282</v>
      </c>
      <c r="C38" s="250">
        <f t="shared" si="289"/>
        <v>-278</v>
      </c>
      <c r="D38" s="250">
        <f t="shared" si="289"/>
        <v>230</v>
      </c>
      <c r="E38" s="250">
        <f>E37-24</f>
        <v>330</v>
      </c>
      <c r="F38" s="248">
        <f t="shared" ref="F38:K38" si="290">R38</f>
        <v>0</v>
      </c>
      <c r="G38" s="249" t="str">
        <f t="shared" si="290"/>
        <v>9 alm</v>
      </c>
      <c r="H38" s="249" t="str">
        <f t="shared" si="290"/>
        <v>Christian</v>
      </c>
      <c r="I38" s="249" t="str">
        <f t="shared" si="290"/>
        <v/>
      </c>
      <c r="J38" s="249" t="str">
        <f t="shared" si="290"/>
        <v>Peter</v>
      </c>
      <c r="K38" s="248" t="str">
        <f t="shared" si="290"/>
        <v>DEL 3</v>
      </c>
      <c r="L38" s="56"/>
      <c r="M38" s="250">
        <f t="shared" si="21"/>
        <v>36</v>
      </c>
      <c r="N38" s="250">
        <f t="shared" ref="N38:P38" si="291">N37+8</f>
        <v>-294</v>
      </c>
      <c r="O38" s="250">
        <f t="shared" si="291"/>
        <v>-278</v>
      </c>
      <c r="P38" s="250">
        <f t="shared" si="291"/>
        <v>230</v>
      </c>
      <c r="Q38" s="250">
        <f>Q37-24</f>
        <v>342</v>
      </c>
      <c r="R38" s="250">
        <f t="shared" si="78"/>
        <v>0</v>
      </c>
      <c r="S38" s="247" t="s">
        <v>345</v>
      </c>
      <c r="T38" s="247" t="s">
        <v>10</v>
      </c>
      <c r="U38" s="247"/>
      <c r="V38" s="247" t="s">
        <v>8</v>
      </c>
      <c r="W38" s="25" t="s">
        <v>457</v>
      </c>
      <c r="X38" s="56"/>
      <c r="AA38" s="80">
        <f t="shared" ref="AA38:AD38" si="292">N38-N37</f>
        <v>8</v>
      </c>
      <c r="AB38" s="80">
        <f t="shared" si="292"/>
        <v>8</v>
      </c>
      <c r="AC38" s="80">
        <f t="shared" si="292"/>
        <v>8</v>
      </c>
      <c r="AD38" s="80">
        <f t="shared" si="292"/>
        <v>-24</v>
      </c>
      <c r="AG38" s="28">
        <f t="shared" ref="AG38:AJ38" si="293">if(AA38&gt;0,1+AG37,0)</f>
        <v>1</v>
      </c>
      <c r="AH38" s="28">
        <f t="shared" si="293"/>
        <v>3</v>
      </c>
      <c r="AI38" s="28">
        <f t="shared" si="293"/>
        <v>1</v>
      </c>
      <c r="AJ38" s="28">
        <f t="shared" si="293"/>
        <v>0</v>
      </c>
      <c r="AM38" s="28">
        <f t="shared" ref="AM38:AP38" si="294">if(AA38&lt;0,1+AM37,0)</f>
        <v>0</v>
      </c>
      <c r="AN38" s="28">
        <f t="shared" si="294"/>
        <v>0</v>
      </c>
      <c r="AO38" s="28">
        <f t="shared" si="294"/>
        <v>0</v>
      </c>
      <c r="AP38" s="28">
        <f t="shared" si="294"/>
        <v>2</v>
      </c>
      <c r="AS38" s="251">
        <f t="shared" ref="AS38:AV38" si="295">if(AA38&gt;0,AA38+AS36,0)</f>
        <v>8</v>
      </c>
      <c r="AT38" s="251">
        <f t="shared" si="295"/>
        <v>72</v>
      </c>
      <c r="AU38" s="251">
        <f t="shared" si="295"/>
        <v>32</v>
      </c>
      <c r="AV38" s="78">
        <f t="shared" si="295"/>
        <v>0</v>
      </c>
      <c r="AY38" s="28">
        <f t="shared" ref="AY38:BB38" si="296">if(AA38&lt;0,AA38+AY36,0)</f>
        <v>0</v>
      </c>
      <c r="AZ38" s="28">
        <f t="shared" si="296"/>
        <v>0</v>
      </c>
      <c r="BA38" s="28">
        <f t="shared" si="296"/>
        <v>0</v>
      </c>
      <c r="BB38" s="80">
        <f t="shared" si="296"/>
        <v>-24</v>
      </c>
    </row>
    <row r="39">
      <c r="A39" s="250">
        <f t="shared" si="84"/>
        <v>37</v>
      </c>
      <c r="B39" s="250">
        <f>B38+12</f>
        <v>-270</v>
      </c>
      <c r="C39" s="250">
        <f>C38-12</f>
        <v>-290</v>
      </c>
      <c r="D39" s="250">
        <f>D38+12</f>
        <v>242</v>
      </c>
      <c r="E39" s="250">
        <f>E38-12</f>
        <v>318</v>
      </c>
      <c r="F39" s="248">
        <f t="shared" ref="F39:K39" si="297">R39</f>
        <v>0</v>
      </c>
      <c r="G39" s="249" t="str">
        <f t="shared" si="297"/>
        <v>9 vip 1 </v>
      </c>
      <c r="H39" s="249" t="str">
        <f t="shared" si="297"/>
        <v>Thomas</v>
      </c>
      <c r="I39" s="249" t="str">
        <f t="shared" si="297"/>
        <v>Janus</v>
      </c>
      <c r="J39" s="249" t="str">
        <f t="shared" si="297"/>
        <v>Thomas</v>
      </c>
      <c r="K39" s="248" t="str">
        <f t="shared" si="297"/>
        <v>DEL 3</v>
      </c>
      <c r="L39" s="56"/>
      <c r="M39" s="250">
        <f t="shared" si="21"/>
        <v>37</v>
      </c>
      <c r="N39" s="250">
        <f>N38+12</f>
        <v>-282</v>
      </c>
      <c r="O39" s="250">
        <f>O38-12</f>
        <v>-290</v>
      </c>
      <c r="P39" s="250">
        <f>P38+12</f>
        <v>242</v>
      </c>
      <c r="Q39" s="250">
        <f>Q38-12</f>
        <v>330</v>
      </c>
      <c r="R39" s="250">
        <f t="shared" si="78"/>
        <v>0</v>
      </c>
      <c r="S39" s="247" t="s">
        <v>464</v>
      </c>
      <c r="T39" s="247" t="s">
        <v>7</v>
      </c>
      <c r="U39" s="247" t="s">
        <v>9</v>
      </c>
      <c r="V39" s="247" t="s">
        <v>7</v>
      </c>
      <c r="W39" s="25" t="s">
        <v>457</v>
      </c>
      <c r="X39" s="56"/>
      <c r="AA39" s="80">
        <f t="shared" ref="AA39:AD39" si="298">N39-N38</f>
        <v>12</v>
      </c>
      <c r="AB39" s="80">
        <f t="shared" si="298"/>
        <v>-12</v>
      </c>
      <c r="AC39" s="80">
        <f t="shared" si="298"/>
        <v>12</v>
      </c>
      <c r="AD39" s="80">
        <f t="shared" si="298"/>
        <v>-12</v>
      </c>
      <c r="AG39" s="28">
        <f t="shared" ref="AG39:AJ39" si="299">if(AA39&gt;0,1+AG38,0)</f>
        <v>2</v>
      </c>
      <c r="AH39" s="28">
        <f t="shared" si="299"/>
        <v>0</v>
      </c>
      <c r="AI39" s="28">
        <f t="shared" si="299"/>
        <v>2</v>
      </c>
      <c r="AJ39" s="28">
        <f t="shared" si="299"/>
        <v>0</v>
      </c>
      <c r="AM39" s="28">
        <f t="shared" ref="AM39:AP39" si="300">if(AA39&lt;0,1+AM38,0)</f>
        <v>0</v>
      </c>
      <c r="AN39" s="28">
        <f t="shared" si="300"/>
        <v>1</v>
      </c>
      <c r="AO39" s="28">
        <f t="shared" si="300"/>
        <v>0</v>
      </c>
      <c r="AP39" s="28">
        <f t="shared" si="300"/>
        <v>3</v>
      </c>
      <c r="AS39" s="251">
        <f t="shared" ref="AS39:AV39" si="301">if(AA39&gt;0,AA39+AS37,0)</f>
        <v>12</v>
      </c>
      <c r="AT39" s="78">
        <f t="shared" si="301"/>
        <v>0</v>
      </c>
      <c r="AU39" s="251">
        <f t="shared" si="301"/>
        <v>12</v>
      </c>
      <c r="AV39" s="78">
        <f t="shared" si="301"/>
        <v>0</v>
      </c>
      <c r="AY39" s="28">
        <f t="shared" ref="AY39:BB39" si="302">if(AA39&lt;0,AA39+AY37,0)</f>
        <v>0</v>
      </c>
      <c r="AZ39" s="80">
        <f t="shared" si="302"/>
        <v>-12</v>
      </c>
      <c r="BA39" s="28">
        <f t="shared" si="302"/>
        <v>0</v>
      </c>
      <c r="BB39" s="80">
        <f t="shared" si="302"/>
        <v>-28</v>
      </c>
    </row>
    <row r="40">
      <c r="A40" s="250">
        <f t="shared" si="84"/>
        <v>38</v>
      </c>
      <c r="B40" s="250">
        <f>B39-8</f>
        <v>-278</v>
      </c>
      <c r="C40" s="250">
        <f>C39+8</f>
        <v>-282</v>
      </c>
      <c r="D40" s="250">
        <f>D39-8</f>
        <v>234</v>
      </c>
      <c r="E40" s="250">
        <f>E39+8</f>
        <v>326</v>
      </c>
      <c r="F40" s="248">
        <f t="shared" ref="F40:K40" si="303">R40</f>
        <v>0</v>
      </c>
      <c r="G40" s="249" t="str">
        <f t="shared" si="303"/>
        <v>9 halve</v>
      </c>
      <c r="H40" s="249" t="str">
        <f t="shared" si="303"/>
        <v>Peter</v>
      </c>
      <c r="I40" s="249" t="str">
        <f t="shared" si="303"/>
        <v>Christian</v>
      </c>
      <c r="J40" s="249" t="str">
        <f t="shared" si="303"/>
        <v>Christian</v>
      </c>
      <c r="K40" s="248" t="str">
        <f t="shared" si="303"/>
        <v>DEL 3</v>
      </c>
      <c r="L40" s="56"/>
      <c r="M40" s="250">
        <f t="shared" si="21"/>
        <v>38</v>
      </c>
      <c r="N40" s="250">
        <f>N39-8</f>
        <v>-290</v>
      </c>
      <c r="O40" s="250">
        <f>O39+8</f>
        <v>-282</v>
      </c>
      <c r="P40" s="250">
        <f>P39-8</f>
        <v>234</v>
      </c>
      <c r="Q40" s="250">
        <f>Q39+8</f>
        <v>338</v>
      </c>
      <c r="R40" s="250">
        <f t="shared" si="78"/>
        <v>0</v>
      </c>
      <c r="S40" s="247" t="s">
        <v>293</v>
      </c>
      <c r="T40" s="247" t="s">
        <v>8</v>
      </c>
      <c r="U40" s="247" t="s">
        <v>10</v>
      </c>
      <c r="V40" s="247" t="s">
        <v>10</v>
      </c>
      <c r="W40" s="25" t="s">
        <v>457</v>
      </c>
      <c r="X40" s="56"/>
      <c r="AA40" s="80">
        <f t="shared" ref="AA40:AD40" si="304">N40-N39</f>
        <v>-8</v>
      </c>
      <c r="AB40" s="80">
        <f t="shared" si="304"/>
        <v>8</v>
      </c>
      <c r="AC40" s="80">
        <f t="shared" si="304"/>
        <v>-8</v>
      </c>
      <c r="AD40" s="80">
        <f t="shared" si="304"/>
        <v>8</v>
      </c>
      <c r="AG40" s="28">
        <f t="shared" ref="AG40:AJ40" si="305">if(AA40&gt;0,1+AG39,0)</f>
        <v>0</v>
      </c>
      <c r="AH40" s="28">
        <f t="shared" si="305"/>
        <v>1</v>
      </c>
      <c r="AI40" s="28">
        <f t="shared" si="305"/>
        <v>0</v>
      </c>
      <c r="AJ40" s="28">
        <f t="shared" si="305"/>
        <v>1</v>
      </c>
      <c r="AM40" s="28">
        <f t="shared" ref="AM40:AP40" si="306">if(AA40&lt;0,1+AM39,0)</f>
        <v>1</v>
      </c>
      <c r="AN40" s="28">
        <f t="shared" si="306"/>
        <v>0</v>
      </c>
      <c r="AO40" s="28">
        <f t="shared" si="306"/>
        <v>1</v>
      </c>
      <c r="AP40" s="28">
        <f t="shared" si="306"/>
        <v>0</v>
      </c>
      <c r="AS40" s="78">
        <f t="shared" ref="AS40:AV40" si="307">if(AA40&gt;0,AA40+AS38,0)</f>
        <v>0</v>
      </c>
      <c r="AT40" s="251">
        <f t="shared" si="307"/>
        <v>80</v>
      </c>
      <c r="AU40" s="78">
        <f t="shared" si="307"/>
        <v>0</v>
      </c>
      <c r="AV40" s="251">
        <f t="shared" si="307"/>
        <v>8</v>
      </c>
      <c r="AY40" s="80">
        <f t="shared" ref="AY40:BB40" si="308">if(AA40&lt;0,AA40+AY38,0)</f>
        <v>-8</v>
      </c>
      <c r="AZ40" s="28">
        <f t="shared" si="308"/>
        <v>0</v>
      </c>
      <c r="BA40" s="80">
        <f t="shared" si="308"/>
        <v>-8</v>
      </c>
      <c r="BB40" s="28">
        <f t="shared" si="308"/>
        <v>0</v>
      </c>
    </row>
    <row r="41">
      <c r="A41" s="250">
        <f t="shared" si="84"/>
        <v>39</v>
      </c>
      <c r="B41" s="250">
        <f t="shared" ref="B41:C41" si="309">B40-48</f>
        <v>-326</v>
      </c>
      <c r="C41" s="250">
        <f t="shared" si="309"/>
        <v>-330</v>
      </c>
      <c r="D41" s="250">
        <f t="shared" ref="D41:E41" si="310">D40+48</f>
        <v>282</v>
      </c>
      <c r="E41" s="250">
        <f t="shared" si="310"/>
        <v>374</v>
      </c>
      <c r="F41" s="248">
        <f t="shared" ref="F41:K41" si="311">R41</f>
        <v>0</v>
      </c>
      <c r="G41" s="249" t="str">
        <f t="shared" si="311"/>
        <v>9 vip i 3</v>
      </c>
      <c r="H41" s="249" t="str">
        <f t="shared" si="311"/>
        <v>Thomas</v>
      </c>
      <c r="I41" s="249" t="str">
        <f t="shared" si="311"/>
        <v>Peter</v>
      </c>
      <c r="J41" s="249" t="str">
        <f t="shared" si="311"/>
        <v>Janus</v>
      </c>
      <c r="K41" s="248" t="str">
        <f t="shared" si="311"/>
        <v>DEL 3</v>
      </c>
      <c r="L41" s="56"/>
      <c r="M41" s="250">
        <f t="shared" si="21"/>
        <v>39</v>
      </c>
      <c r="N41" s="250">
        <f t="shared" ref="N41:O41" si="312">N40-48</f>
        <v>-338</v>
      </c>
      <c r="O41" s="250">
        <f t="shared" si="312"/>
        <v>-330</v>
      </c>
      <c r="P41" s="250">
        <f t="shared" ref="P41:Q41" si="313">P40+48</f>
        <v>282</v>
      </c>
      <c r="Q41" s="250">
        <f t="shared" si="313"/>
        <v>386</v>
      </c>
      <c r="R41" s="250">
        <f t="shared" si="78"/>
        <v>0</v>
      </c>
      <c r="S41" s="247" t="s">
        <v>357</v>
      </c>
      <c r="T41" s="247" t="s">
        <v>7</v>
      </c>
      <c r="U41" s="247" t="s">
        <v>8</v>
      </c>
      <c r="V41" s="247" t="s">
        <v>9</v>
      </c>
      <c r="W41" s="25" t="s">
        <v>457</v>
      </c>
      <c r="X41" s="56"/>
      <c r="AA41" s="80">
        <f t="shared" ref="AA41:AD41" si="314">N41-N40</f>
        <v>-48</v>
      </c>
      <c r="AB41" s="80">
        <f t="shared" si="314"/>
        <v>-48</v>
      </c>
      <c r="AC41" s="80">
        <f t="shared" si="314"/>
        <v>48</v>
      </c>
      <c r="AD41" s="80">
        <f t="shared" si="314"/>
        <v>48</v>
      </c>
      <c r="AG41" s="28">
        <f t="shared" ref="AG41:AJ41" si="315">if(AA41&gt;0,1+AG40,0)</f>
        <v>0</v>
      </c>
      <c r="AH41" s="28">
        <f t="shared" si="315"/>
        <v>0</v>
      </c>
      <c r="AI41" s="28">
        <f t="shared" si="315"/>
        <v>1</v>
      </c>
      <c r="AJ41" s="28">
        <f t="shared" si="315"/>
        <v>2</v>
      </c>
      <c r="AM41" s="28">
        <f t="shared" ref="AM41:AP41" si="316">if(AA41&lt;0,1+AM40,0)</f>
        <v>2</v>
      </c>
      <c r="AN41" s="28">
        <f t="shared" si="316"/>
        <v>1</v>
      </c>
      <c r="AO41" s="28">
        <f t="shared" si="316"/>
        <v>0</v>
      </c>
      <c r="AP41" s="28">
        <f t="shared" si="316"/>
        <v>0</v>
      </c>
      <c r="AS41" s="78">
        <f t="shared" ref="AS41:AV41" si="317">if(AA41&gt;0,AA41+AS39,0)</f>
        <v>0</v>
      </c>
      <c r="AT41" s="78">
        <f t="shared" si="317"/>
        <v>0</v>
      </c>
      <c r="AU41" s="251">
        <f t="shared" si="317"/>
        <v>60</v>
      </c>
      <c r="AV41" s="251">
        <f t="shared" si="317"/>
        <v>48</v>
      </c>
      <c r="AY41" s="80">
        <f t="shared" ref="AY41:BB41" si="318">if(AA41&lt;0,AA41+AY39,0)</f>
        <v>-48</v>
      </c>
      <c r="AZ41" s="80">
        <f t="shared" si="318"/>
        <v>-60</v>
      </c>
      <c r="BA41" s="28">
        <f t="shared" si="318"/>
        <v>0</v>
      </c>
      <c r="BB41" s="28">
        <f t="shared" si="318"/>
        <v>0</v>
      </c>
    </row>
    <row r="42">
      <c r="A42" s="272"/>
      <c r="B42" s="272"/>
      <c r="C42" s="272"/>
      <c r="D42" s="272"/>
      <c r="E42" s="272"/>
      <c r="F42" s="272"/>
      <c r="G42" s="273"/>
      <c r="H42" s="273"/>
      <c r="I42" s="273"/>
      <c r="J42" s="273"/>
      <c r="K42" s="272"/>
      <c r="L42" s="272"/>
      <c r="M42" s="272"/>
      <c r="N42" s="272"/>
      <c r="O42" s="272"/>
      <c r="P42" s="272"/>
      <c r="Q42" s="272"/>
      <c r="R42" s="272"/>
      <c r="S42" s="274"/>
      <c r="T42" s="274"/>
      <c r="U42" s="274"/>
      <c r="V42" s="274"/>
      <c r="W42" s="84"/>
      <c r="X42" s="56"/>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row>
    <row r="43">
      <c r="G43" s="275"/>
      <c r="H43" s="275"/>
      <c r="I43" s="275"/>
      <c r="J43" s="275"/>
      <c r="L43" s="56"/>
      <c r="N43" s="278">
        <f t="shared" ref="N43:Q43" si="319">N10</f>
        <v>-192</v>
      </c>
      <c r="O43" s="278">
        <f t="shared" si="319"/>
        <v>-256</v>
      </c>
      <c r="P43" s="278">
        <f t="shared" si="319"/>
        <v>192</v>
      </c>
      <c r="Q43" s="278">
        <f t="shared" si="319"/>
        <v>256</v>
      </c>
      <c r="R43" s="279" t="s">
        <v>453</v>
      </c>
      <c r="X43" s="56"/>
      <c r="AG43" s="28" t="str">
        <f t="shared" ref="AG43:AJ43" si="320">AG1</f>
        <v>Thomas</v>
      </c>
      <c r="AH43" s="28" t="str">
        <f t="shared" si="320"/>
        <v>Peter</v>
      </c>
      <c r="AI43" s="28" t="str">
        <f t="shared" si="320"/>
        <v>Janus</v>
      </c>
      <c r="AJ43" s="28" t="str">
        <f t="shared" si="320"/>
        <v>Christian</v>
      </c>
    </row>
    <row r="44">
      <c r="G44" s="275"/>
      <c r="H44" s="275"/>
      <c r="I44" s="275"/>
      <c r="J44" s="275"/>
      <c r="L44" s="56"/>
      <c r="N44" s="278">
        <f t="shared" ref="N44:Q44" si="321">N41</f>
        <v>-338</v>
      </c>
      <c r="O44" s="278">
        <f t="shared" si="321"/>
        <v>-330</v>
      </c>
      <c r="P44" s="278">
        <f t="shared" si="321"/>
        <v>282</v>
      </c>
      <c r="Q44" s="278">
        <f t="shared" si="321"/>
        <v>386</v>
      </c>
      <c r="R44" s="279" t="s">
        <v>455</v>
      </c>
      <c r="X44" s="56"/>
      <c r="Y44" s="25"/>
      <c r="Z44" s="25" t="s">
        <v>112</v>
      </c>
      <c r="AA44" s="80">
        <f t="shared" ref="AA44:AD44" si="322">MAX(AA3:AA41)</f>
        <v>80</v>
      </c>
      <c r="AB44" s="80">
        <f t="shared" si="322"/>
        <v>48</v>
      </c>
      <c r="AC44" s="80">
        <f t="shared" si="322"/>
        <v>224</v>
      </c>
      <c r="AD44" s="80">
        <f t="shared" si="322"/>
        <v>224</v>
      </c>
      <c r="AF44" s="25" t="s">
        <v>465</v>
      </c>
      <c r="AG44" s="28">
        <f t="shared" ref="AG44:AJ44" si="323">Max(AG3:AG41)</f>
        <v>3</v>
      </c>
      <c r="AH44" s="28">
        <f t="shared" si="323"/>
        <v>4</v>
      </c>
      <c r="AI44" s="28">
        <f t="shared" si="323"/>
        <v>3</v>
      </c>
      <c r="AJ44" s="28">
        <f t="shared" si="323"/>
        <v>4</v>
      </c>
    </row>
    <row r="45">
      <c r="G45" s="275"/>
      <c r="H45" s="275"/>
      <c r="I45" s="275"/>
      <c r="J45" s="275"/>
      <c r="L45" s="56"/>
      <c r="X45" s="56"/>
      <c r="Y45" s="25"/>
      <c r="Z45" s="25" t="s">
        <v>113</v>
      </c>
      <c r="AA45" s="80">
        <f t="shared" ref="AA45:AD45" si="324">MIN(AA3:AA41)</f>
        <v>-224</v>
      </c>
      <c r="AB45" s="80">
        <f t="shared" si="324"/>
        <v>-224</v>
      </c>
      <c r="AC45" s="80">
        <f t="shared" si="324"/>
        <v>-80</v>
      </c>
      <c r="AD45" s="80">
        <f t="shared" si="324"/>
        <v>-48</v>
      </c>
      <c r="AF45" s="25" t="s">
        <v>466</v>
      </c>
      <c r="AG45" s="28">
        <f t="shared" ref="AG45:AJ45" si="325">MAX(AM3:AM41)</f>
        <v>4</v>
      </c>
      <c r="AH45" s="28">
        <f t="shared" si="325"/>
        <v>6</v>
      </c>
      <c r="AI45" s="28">
        <f t="shared" si="325"/>
        <v>3</v>
      </c>
      <c r="AJ45" s="28">
        <f t="shared" si="325"/>
        <v>3</v>
      </c>
    </row>
    <row r="46">
      <c r="A46" s="32"/>
      <c r="B46" s="32"/>
      <c r="C46" s="32"/>
      <c r="D46" s="32"/>
      <c r="E46" s="32"/>
      <c r="F46" s="32"/>
      <c r="G46" s="276"/>
      <c r="H46" s="276"/>
      <c r="I46" s="276"/>
      <c r="J46" s="276"/>
      <c r="K46" s="32"/>
      <c r="L46" s="32"/>
      <c r="M46" s="32"/>
      <c r="N46" s="32"/>
      <c r="O46" s="32"/>
      <c r="P46" s="32"/>
      <c r="Q46" s="32"/>
      <c r="X46" s="56"/>
      <c r="Y46" s="25"/>
      <c r="Z46" s="25" t="s">
        <v>114</v>
      </c>
      <c r="AA46" s="123">
        <f t="shared" ref="AA46:AD46" si="326">AVERAGE(AA3:AA41)</f>
        <v>-8.894736842</v>
      </c>
      <c r="AB46" s="123">
        <f t="shared" si="326"/>
        <v>-8.684210526</v>
      </c>
      <c r="AC46" s="123">
        <f t="shared" si="326"/>
        <v>7.421052632</v>
      </c>
      <c r="AD46" s="123">
        <f t="shared" si="326"/>
        <v>10.15789474</v>
      </c>
    </row>
    <row r="47">
      <c r="G47" s="275"/>
      <c r="H47" s="275"/>
      <c r="I47" s="275"/>
      <c r="J47" s="275"/>
      <c r="L47" s="56"/>
      <c r="X47" s="56"/>
      <c r="AF47" s="25" t="s">
        <v>467</v>
      </c>
      <c r="AG47" s="28">
        <f t="shared" ref="AG47:AJ47" si="327">MAX(AS3:AS41)</f>
        <v>144</v>
      </c>
      <c r="AH47" s="28">
        <f t="shared" si="327"/>
        <v>124</v>
      </c>
      <c r="AI47" s="28">
        <f t="shared" si="327"/>
        <v>240</v>
      </c>
      <c r="AJ47" s="80">
        <f t="shared" si="327"/>
        <v>240</v>
      </c>
    </row>
    <row r="48">
      <c r="B48" s="28" t="str">
        <f t="shared" ref="B48:E48" si="328">N2</f>
        <v>Thomas</v>
      </c>
      <c r="C48" s="28" t="str">
        <f t="shared" si="328"/>
        <v>Peter</v>
      </c>
      <c r="D48" s="28" t="str">
        <f t="shared" si="328"/>
        <v>Janus</v>
      </c>
      <c r="E48" s="28" t="str">
        <f t="shared" si="328"/>
        <v>Christian</v>
      </c>
      <c r="G48" s="275"/>
      <c r="H48" s="275"/>
      <c r="I48" s="275"/>
      <c r="J48" s="275"/>
      <c r="L48" s="56"/>
      <c r="X48" s="56"/>
      <c r="Y48" s="25" t="s">
        <v>4</v>
      </c>
      <c r="AA48" s="28">
        <f>count(AA12:AA41)</f>
        <v>30</v>
      </c>
      <c r="AF48" s="25" t="s">
        <v>468</v>
      </c>
      <c r="AG48" s="80">
        <f t="shared" ref="AG48:AJ48" si="329">MIN(AY3:AY41)</f>
        <v>-240</v>
      </c>
      <c r="AH48" s="80">
        <f t="shared" si="329"/>
        <v>-248</v>
      </c>
      <c r="AI48" s="80">
        <f t="shared" si="329"/>
        <v>-144</v>
      </c>
      <c r="AJ48" s="28">
        <f t="shared" si="329"/>
        <v>-56</v>
      </c>
    </row>
    <row r="49">
      <c r="B49" s="28">
        <v>-192.0</v>
      </c>
      <c r="C49" s="28">
        <v>-256.0</v>
      </c>
      <c r="D49" s="28">
        <v>192.0</v>
      </c>
      <c r="E49" s="28">
        <v>256.0</v>
      </c>
      <c r="G49" s="275"/>
      <c r="H49" s="275"/>
      <c r="I49" s="275"/>
      <c r="J49" s="275"/>
      <c r="L49" s="56"/>
      <c r="X49" s="56"/>
    </row>
    <row r="50">
      <c r="B50" s="28">
        <v>-134.0</v>
      </c>
      <c r="C50" s="28">
        <v>-74.0</v>
      </c>
      <c r="D50" s="28">
        <v>90.0</v>
      </c>
      <c r="E50" s="28">
        <v>118.0</v>
      </c>
      <c r="G50" s="275"/>
      <c r="H50" s="275"/>
      <c r="I50" s="275"/>
      <c r="J50" s="275"/>
      <c r="L50" s="56"/>
      <c r="X50" s="56"/>
      <c r="Y50" s="25" t="s">
        <v>126</v>
      </c>
      <c r="AA50" s="28">
        <f t="shared" ref="AA50:AD50" si="330">COUNTIF($T$3:$T$41, AA2)</f>
        <v>19</v>
      </c>
      <c r="AB50" s="28">
        <f t="shared" si="330"/>
        <v>6</v>
      </c>
      <c r="AC50" s="28">
        <f t="shared" si="330"/>
        <v>2</v>
      </c>
      <c r="AD50" s="28">
        <f t="shared" si="330"/>
        <v>12</v>
      </c>
    </row>
    <row r="51">
      <c r="B51" s="118">
        <f t="shared" ref="B51:E51" si="331">SUM(B49:B50)</f>
        <v>-326</v>
      </c>
      <c r="C51" s="118">
        <f t="shared" si="331"/>
        <v>-330</v>
      </c>
      <c r="D51" s="118">
        <f t="shared" si="331"/>
        <v>282</v>
      </c>
      <c r="E51" s="118">
        <f t="shared" si="331"/>
        <v>374</v>
      </c>
      <c r="G51" s="275"/>
      <c r="H51" s="275"/>
      <c r="I51" s="275"/>
      <c r="J51" s="275"/>
      <c r="L51" s="56"/>
      <c r="X51" s="56"/>
      <c r="Y51" s="25" t="s">
        <v>121</v>
      </c>
      <c r="AA51" s="28">
        <f t="shared" ref="AA51:AD51" si="332">COUNTIF(AA3:AA41, "&gt;0")</f>
        <v>18</v>
      </c>
      <c r="AB51" s="28">
        <f t="shared" si="332"/>
        <v>17</v>
      </c>
      <c r="AC51" s="28">
        <f t="shared" si="332"/>
        <v>19</v>
      </c>
      <c r="AD51" s="28">
        <f t="shared" si="332"/>
        <v>22</v>
      </c>
    </row>
    <row r="52">
      <c r="G52" s="275"/>
      <c r="H52" s="275"/>
      <c r="I52" s="275"/>
      <c r="J52" s="275"/>
      <c r="L52" s="56"/>
      <c r="X52" s="56"/>
      <c r="Y52" s="25" t="s">
        <v>123</v>
      </c>
      <c r="AA52" s="28">
        <f t="shared" ref="AA52:AD52" si="333">COUNTIF(AA3:AA41, "&lt;0")</f>
        <v>20</v>
      </c>
      <c r="AB52" s="28">
        <f t="shared" si="333"/>
        <v>21</v>
      </c>
      <c r="AC52" s="28">
        <f t="shared" si="333"/>
        <v>19</v>
      </c>
      <c r="AD52" s="28">
        <f t="shared" si="333"/>
        <v>16</v>
      </c>
    </row>
    <row r="53">
      <c r="G53" s="275"/>
      <c r="H53" s="275"/>
      <c r="I53" s="275"/>
      <c r="J53" s="275"/>
      <c r="L53" s="56"/>
      <c r="X53" s="56"/>
      <c r="Y53" s="25"/>
    </row>
    <row r="54">
      <c r="G54" s="275"/>
      <c r="H54" s="275"/>
      <c r="I54" s="275"/>
      <c r="J54" s="275"/>
      <c r="L54" s="56"/>
      <c r="X54" s="56"/>
      <c r="Y54" s="25" t="s">
        <v>328</v>
      </c>
      <c r="AA54" s="28">
        <f t="shared" ref="AA54:AD54" si="334">COUNTIFS($T$3:$T$41, AA2,AA3:AA41, "&gt;0")</f>
        <v>8</v>
      </c>
      <c r="AB54" s="28">
        <f t="shared" si="334"/>
        <v>5</v>
      </c>
      <c r="AC54" s="28">
        <f t="shared" si="334"/>
        <v>1</v>
      </c>
      <c r="AD54" s="28">
        <f t="shared" si="334"/>
        <v>7</v>
      </c>
    </row>
    <row r="55">
      <c r="G55" s="275"/>
      <c r="H55" s="275"/>
      <c r="I55" s="275"/>
      <c r="J55" s="275"/>
      <c r="L55" s="56"/>
      <c r="X55" s="56"/>
      <c r="Y55" s="25"/>
      <c r="Z55" s="59" t="s">
        <v>122</v>
      </c>
      <c r="AA55" s="128">
        <f t="shared" ref="AA55:AD55" si="335">sum(AA54/AA50)</f>
        <v>0.4210526316</v>
      </c>
      <c r="AB55" s="128">
        <f t="shared" si="335"/>
        <v>0.8333333333</v>
      </c>
      <c r="AC55" s="128">
        <f t="shared" si="335"/>
        <v>0.5</v>
      </c>
      <c r="AD55" s="128">
        <f t="shared" si="335"/>
        <v>0.5833333333</v>
      </c>
    </row>
    <row r="56">
      <c r="G56" s="275"/>
      <c r="H56" s="275"/>
      <c r="I56" s="275"/>
      <c r="J56" s="275"/>
      <c r="L56" s="56"/>
      <c r="X56" s="56"/>
      <c r="Y56" s="25" t="s">
        <v>329</v>
      </c>
      <c r="AA56" s="28">
        <f t="shared" ref="AA56:AD56" si="336">COUNTIFS($T$3:$T$41, AA2,AA3:AA41, "&lt;0")</f>
        <v>11</v>
      </c>
      <c r="AB56" s="28">
        <f t="shared" si="336"/>
        <v>1</v>
      </c>
      <c r="AC56" s="28">
        <f t="shared" si="336"/>
        <v>1</v>
      </c>
      <c r="AD56" s="28">
        <f t="shared" si="336"/>
        <v>4</v>
      </c>
    </row>
    <row r="57">
      <c r="A57" s="80"/>
      <c r="B57" s="80"/>
      <c r="C57" s="80"/>
      <c r="D57" s="80"/>
      <c r="E57" s="80"/>
      <c r="F57" s="80"/>
      <c r="G57" s="277"/>
      <c r="H57" s="277"/>
      <c r="I57" s="277"/>
      <c r="J57" s="277"/>
      <c r="K57" s="80"/>
      <c r="L57" s="56"/>
      <c r="M57" s="80"/>
      <c r="N57" s="80"/>
      <c r="O57" s="80"/>
      <c r="P57" s="80"/>
      <c r="Q57" s="80"/>
      <c r="X57" s="56"/>
      <c r="Y57" s="25"/>
      <c r="Z57" s="59" t="s">
        <v>122</v>
      </c>
      <c r="AA57" s="128">
        <f t="shared" ref="AA57:AD57" si="337">sum(AA56/AA50)</f>
        <v>0.5789473684</v>
      </c>
      <c r="AB57" s="128">
        <f t="shared" si="337"/>
        <v>0.1666666667</v>
      </c>
      <c r="AC57" s="128">
        <f t="shared" si="337"/>
        <v>0.5</v>
      </c>
      <c r="AD57" s="128">
        <f t="shared" si="337"/>
        <v>0.3333333333</v>
      </c>
    </row>
    <row r="58">
      <c r="G58" s="275"/>
      <c r="H58" s="275"/>
      <c r="I58" s="275"/>
      <c r="J58" s="275"/>
      <c r="L58" s="56"/>
      <c r="X58" s="56"/>
      <c r="Y58" s="25"/>
    </row>
    <row r="59">
      <c r="G59" s="275"/>
      <c r="H59" s="275"/>
      <c r="I59" s="275"/>
      <c r="J59" s="275"/>
      <c r="L59" s="56"/>
      <c r="X59" s="56"/>
      <c r="Y59" s="25" t="s">
        <v>330</v>
      </c>
      <c r="AA59" s="28">
        <f t="shared" ref="AA59:AD59" si="338">MAXIFS(AA3:AA41, $T$3:$T$41, AA2)</f>
        <v>80</v>
      </c>
      <c r="AB59" s="28">
        <f t="shared" si="338"/>
        <v>48</v>
      </c>
      <c r="AC59" s="28">
        <f t="shared" si="338"/>
        <v>48</v>
      </c>
      <c r="AD59" s="28">
        <f t="shared" si="338"/>
        <v>16</v>
      </c>
    </row>
    <row r="60">
      <c r="G60" s="275"/>
      <c r="H60" s="275"/>
      <c r="I60" s="275"/>
      <c r="J60" s="275"/>
      <c r="L60" s="56"/>
      <c r="X60" s="56"/>
      <c r="Y60" s="25" t="s">
        <v>331</v>
      </c>
      <c r="AA60" s="28">
        <f t="shared" ref="AA60:AD60" si="339">MINIFS(AA3:AA41, $T$3:$T$41, AA2)</f>
        <v>-224</v>
      </c>
      <c r="AB60" s="28">
        <f t="shared" si="339"/>
        <v>-24</v>
      </c>
      <c r="AC60" s="28">
        <f t="shared" si="339"/>
        <v>-24</v>
      </c>
      <c r="AD60" s="28">
        <f t="shared" si="339"/>
        <v>-36</v>
      </c>
    </row>
    <row r="61">
      <c r="G61" s="275"/>
      <c r="H61" s="275"/>
      <c r="I61" s="275"/>
      <c r="J61" s="275"/>
      <c r="L61" s="56"/>
      <c r="X61" s="56"/>
      <c r="Y61" s="25"/>
    </row>
    <row r="62">
      <c r="G62" s="275"/>
      <c r="H62" s="275"/>
      <c r="I62" s="275"/>
      <c r="J62" s="275"/>
      <c r="L62" s="56"/>
      <c r="X62" s="56"/>
      <c r="Y62" s="25"/>
    </row>
    <row r="63">
      <c r="G63" s="275"/>
      <c r="H63" s="275"/>
      <c r="I63" s="275"/>
      <c r="J63" s="275"/>
      <c r="L63" s="56"/>
      <c r="X63" s="56"/>
      <c r="Y63" s="25"/>
    </row>
  </sheetData>
  <conditionalFormatting sqref="AA3:AD41">
    <cfRule type="cellIs" dxfId="0" priority="1" operator="greaterThan">
      <formula>0</formula>
    </cfRule>
  </conditionalFormatting>
  <conditionalFormatting sqref="AA3:AD41">
    <cfRule type="cellIs" dxfId="13" priority="2" operator="lessThan">
      <formula>0</formula>
    </cfRule>
  </conditionalFormatting>
  <conditionalFormatting sqref="AA3:AD41">
    <cfRule type="cellIs" dxfId="14" priority="3" operator="equal">
      <formula>0</formula>
    </cfRule>
  </conditionalFormatting>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13"/>
    <col customWidth="1" min="2" max="5" width="7.88"/>
    <col customWidth="1" min="6" max="6" width="6.63"/>
    <col customWidth="1" min="11" max="11" width="3.88"/>
    <col customWidth="1" min="12" max="24" width="8.0"/>
  </cols>
  <sheetData>
    <row r="1">
      <c r="A1" s="280">
        <f>'00_Regnskab_01'!A26</f>
        <v>23</v>
      </c>
      <c r="B1" s="193">
        <f>'00_Regnskab_01'!C26</f>
        <v>45470</v>
      </c>
      <c r="C1" s="42"/>
      <c r="D1" s="42" t="str">
        <f>'00_Regnskab_01'!L26</f>
        <v>Kayak Bar</v>
      </c>
      <c r="E1" s="42"/>
      <c r="F1" s="42"/>
      <c r="G1" s="42"/>
      <c r="H1" s="42"/>
      <c r="I1" s="42"/>
      <c r="J1" s="42"/>
      <c r="K1" s="44"/>
      <c r="L1" s="42"/>
      <c r="M1" s="42"/>
      <c r="N1" s="42"/>
      <c r="O1" s="42"/>
      <c r="P1" s="42"/>
      <c r="Q1" s="45" t="s">
        <v>64</v>
      </c>
      <c r="R1" s="42"/>
      <c r="S1" s="42"/>
      <c r="T1" s="32"/>
      <c r="U1" s="32"/>
      <c r="V1" s="32"/>
      <c r="W1" s="32"/>
    </row>
    <row r="2">
      <c r="A2" s="46" t="s">
        <v>78</v>
      </c>
      <c r="B2" s="46" t="s">
        <v>7</v>
      </c>
      <c r="C2" s="46" t="s">
        <v>8</v>
      </c>
      <c r="D2" s="46" t="s">
        <v>9</v>
      </c>
      <c r="E2" s="46" t="s">
        <v>10</v>
      </c>
      <c r="F2" s="46" t="s">
        <v>288</v>
      </c>
      <c r="G2" s="46" t="s">
        <v>64</v>
      </c>
      <c r="H2" s="46" t="s">
        <v>82</v>
      </c>
      <c r="I2" s="46" t="s">
        <v>83</v>
      </c>
      <c r="J2" s="46" t="s">
        <v>81</v>
      </c>
      <c r="K2" s="46"/>
      <c r="L2" s="56" t="str">
        <f t="shared" ref="L2:O2" si="1">B2</f>
        <v>Thomas</v>
      </c>
      <c r="M2" s="56" t="str">
        <f t="shared" si="1"/>
        <v>Peter</v>
      </c>
      <c r="N2" s="56" t="str">
        <f t="shared" si="1"/>
        <v>Janus</v>
      </c>
      <c r="O2" s="56" t="str">
        <f t="shared" si="1"/>
        <v>Christian</v>
      </c>
      <c r="P2" s="56"/>
      <c r="Q2" s="46" t="s">
        <v>84</v>
      </c>
      <c r="R2" s="46" t="s">
        <v>85</v>
      </c>
      <c r="S2" s="46" t="s">
        <v>86</v>
      </c>
      <c r="T2" s="46" t="s">
        <v>87</v>
      </c>
      <c r="U2" s="46" t="s">
        <v>88</v>
      </c>
      <c r="V2" s="46" t="s">
        <v>89</v>
      </c>
      <c r="W2" s="46"/>
      <c r="X2" s="56"/>
    </row>
    <row r="3">
      <c r="A3" s="46">
        <v>1.0</v>
      </c>
      <c r="B3" s="25">
        <v>6.0</v>
      </c>
      <c r="C3" s="25">
        <v>-6.0</v>
      </c>
      <c r="D3" s="25">
        <v>6.0</v>
      </c>
      <c r="E3" s="25">
        <v>-6.0</v>
      </c>
      <c r="F3" s="28">
        <f t="shared" ref="F3:F21" si="3">SUM(B3:E3)</f>
        <v>0</v>
      </c>
      <c r="G3" s="25" t="s">
        <v>342</v>
      </c>
      <c r="H3" s="25" t="s">
        <v>10</v>
      </c>
      <c r="I3" s="25" t="s">
        <v>7</v>
      </c>
      <c r="J3" s="25" t="s">
        <v>469</v>
      </c>
      <c r="K3" s="56"/>
      <c r="L3" s="139">
        <f t="shared" ref="L3:O3" si="2">B3</f>
        <v>6</v>
      </c>
      <c r="M3" s="139">
        <f t="shared" si="2"/>
        <v>-6</v>
      </c>
      <c r="N3" s="139">
        <f t="shared" si="2"/>
        <v>6</v>
      </c>
      <c r="O3" s="139">
        <f t="shared" si="2"/>
        <v>-6</v>
      </c>
      <c r="P3" s="281"/>
      <c r="Q3" s="129"/>
      <c r="R3" s="129"/>
      <c r="S3" s="129"/>
      <c r="T3" s="129"/>
      <c r="U3" s="129"/>
      <c r="V3" s="129"/>
      <c r="W3" s="281"/>
    </row>
    <row r="4">
      <c r="A4" s="46">
        <f t="shared" ref="A4:A21" si="5">A3+1</f>
        <v>2</v>
      </c>
      <c r="B4" s="25">
        <v>-14.0</v>
      </c>
      <c r="C4" s="25">
        <v>-26.0</v>
      </c>
      <c r="D4" s="25">
        <v>26.0</v>
      </c>
      <c r="E4" s="25">
        <v>14.0</v>
      </c>
      <c r="F4" s="28">
        <f t="shared" si="3"/>
        <v>0</v>
      </c>
      <c r="G4" s="25" t="s">
        <v>299</v>
      </c>
      <c r="H4" s="25" t="s">
        <v>7</v>
      </c>
      <c r="I4" s="25" t="s">
        <v>9</v>
      </c>
      <c r="J4" s="25" t="s">
        <v>470</v>
      </c>
      <c r="K4" s="56"/>
      <c r="L4" s="28">
        <f t="shared" ref="L4:O4" si="4">B4-B3</f>
        <v>-20</v>
      </c>
      <c r="M4" s="28">
        <f t="shared" si="4"/>
        <v>-20</v>
      </c>
      <c r="N4" s="28">
        <f t="shared" si="4"/>
        <v>20</v>
      </c>
      <c r="O4" s="28">
        <f t="shared" si="4"/>
        <v>20</v>
      </c>
    </row>
    <row r="5">
      <c r="A5" s="46">
        <f t="shared" si="5"/>
        <v>3</v>
      </c>
      <c r="B5" s="25">
        <v>50.0</v>
      </c>
      <c r="C5" s="25">
        <v>-90.0</v>
      </c>
      <c r="D5" s="25">
        <v>90.0</v>
      </c>
      <c r="E5" s="25">
        <v>-50.0</v>
      </c>
      <c r="F5" s="28">
        <f t="shared" si="3"/>
        <v>0</v>
      </c>
      <c r="G5" s="25" t="s">
        <v>471</v>
      </c>
      <c r="H5" s="25" t="s">
        <v>8</v>
      </c>
      <c r="I5" s="25" t="s">
        <v>7</v>
      </c>
      <c r="J5" s="25" t="s">
        <v>9</v>
      </c>
      <c r="K5" s="46"/>
      <c r="L5" s="28">
        <f t="shared" ref="L5:O5" si="6">B5-B4</f>
        <v>64</v>
      </c>
      <c r="M5" s="28">
        <f t="shared" si="6"/>
        <v>-64</v>
      </c>
      <c r="N5" s="28">
        <f t="shared" si="6"/>
        <v>64</v>
      </c>
      <c r="O5" s="28">
        <f t="shared" si="6"/>
        <v>-64</v>
      </c>
    </row>
    <row r="6">
      <c r="A6" s="46">
        <f t="shared" si="5"/>
        <v>4</v>
      </c>
      <c r="B6" s="25">
        <v>18.0</v>
      </c>
      <c r="C6" s="25">
        <v>-122.0</v>
      </c>
      <c r="D6" s="25">
        <v>122.0</v>
      </c>
      <c r="E6" s="25">
        <v>-18.0</v>
      </c>
      <c r="F6" s="28">
        <f t="shared" si="3"/>
        <v>0</v>
      </c>
      <c r="G6" s="25" t="s">
        <v>472</v>
      </c>
      <c r="H6" s="25" t="s">
        <v>9</v>
      </c>
      <c r="I6" s="25" t="s">
        <v>7</v>
      </c>
      <c r="J6" s="25" t="s">
        <v>8</v>
      </c>
      <c r="K6" s="46"/>
      <c r="L6" s="28">
        <f t="shared" ref="L6:O6" si="7">B6-B5</f>
        <v>-32</v>
      </c>
      <c r="M6" s="28">
        <f t="shared" si="7"/>
        <v>-32</v>
      </c>
      <c r="N6" s="28">
        <f t="shared" si="7"/>
        <v>32</v>
      </c>
      <c r="O6" s="28">
        <f t="shared" si="7"/>
        <v>32</v>
      </c>
    </row>
    <row r="7">
      <c r="A7" s="46">
        <f t="shared" si="5"/>
        <v>5</v>
      </c>
      <c r="B7" s="25">
        <v>30.0</v>
      </c>
      <c r="C7" s="25">
        <v>-134.0</v>
      </c>
      <c r="D7" s="25">
        <v>134.0</v>
      </c>
      <c r="E7" s="25">
        <v>-30.0</v>
      </c>
      <c r="F7" s="28">
        <f t="shared" si="3"/>
        <v>0</v>
      </c>
      <c r="G7" s="25" t="s">
        <v>473</v>
      </c>
      <c r="H7" s="25" t="s">
        <v>10</v>
      </c>
      <c r="I7" s="25" t="s">
        <v>7</v>
      </c>
      <c r="J7" s="25" t="s">
        <v>9</v>
      </c>
      <c r="K7" s="46"/>
      <c r="L7" s="28">
        <f t="shared" ref="L7:O7" si="8">B7-B6</f>
        <v>12</v>
      </c>
      <c r="M7" s="28">
        <f t="shared" si="8"/>
        <v>-12</v>
      </c>
      <c r="N7" s="28">
        <f t="shared" si="8"/>
        <v>12</v>
      </c>
      <c r="O7" s="28">
        <f t="shared" si="8"/>
        <v>-12</v>
      </c>
    </row>
    <row r="8">
      <c r="A8" s="46">
        <f t="shared" si="5"/>
        <v>6</v>
      </c>
      <c r="B8" s="25">
        <v>34.0</v>
      </c>
      <c r="C8" s="25">
        <v>-146.0</v>
      </c>
      <c r="D8" s="25">
        <v>138.0</v>
      </c>
      <c r="E8" s="25">
        <v>-26.0</v>
      </c>
      <c r="F8" s="28">
        <f t="shared" si="3"/>
        <v>0</v>
      </c>
      <c r="G8" s="25" t="s">
        <v>99</v>
      </c>
      <c r="H8" s="25" t="s">
        <v>7</v>
      </c>
      <c r="I8" s="25" t="s">
        <v>8</v>
      </c>
      <c r="J8" s="25" t="s">
        <v>8</v>
      </c>
      <c r="K8" s="46"/>
      <c r="L8" s="28">
        <f t="shared" ref="L8:O8" si="9">B8-B7</f>
        <v>4</v>
      </c>
      <c r="M8" s="28">
        <f t="shared" si="9"/>
        <v>-12</v>
      </c>
      <c r="N8" s="28">
        <f t="shared" si="9"/>
        <v>4</v>
      </c>
      <c r="O8" s="28">
        <f t="shared" si="9"/>
        <v>4</v>
      </c>
    </row>
    <row r="9">
      <c r="A9" s="46">
        <f t="shared" si="5"/>
        <v>7</v>
      </c>
      <c r="B9" s="25">
        <v>-6.0</v>
      </c>
      <c r="C9" s="25">
        <v>-186.0</v>
      </c>
      <c r="D9" s="25">
        <v>178.0</v>
      </c>
      <c r="E9" s="25">
        <v>14.0</v>
      </c>
      <c r="F9" s="28">
        <f t="shared" si="3"/>
        <v>0</v>
      </c>
      <c r="G9" s="25" t="s">
        <v>302</v>
      </c>
      <c r="H9" s="25" t="s">
        <v>8</v>
      </c>
      <c r="I9" s="25" t="s">
        <v>7</v>
      </c>
      <c r="J9" s="25" t="s">
        <v>8</v>
      </c>
      <c r="K9" s="46"/>
      <c r="L9" s="28">
        <f t="shared" ref="L9:O9" si="10">B9-B8</f>
        <v>-40</v>
      </c>
      <c r="M9" s="28">
        <f t="shared" si="10"/>
        <v>-40</v>
      </c>
      <c r="N9" s="28">
        <f t="shared" si="10"/>
        <v>40</v>
      </c>
      <c r="O9" s="28">
        <f t="shared" si="10"/>
        <v>40</v>
      </c>
    </row>
    <row r="10">
      <c r="A10" s="46">
        <f t="shared" si="5"/>
        <v>8</v>
      </c>
      <c r="B10" s="25">
        <v>-14.0</v>
      </c>
      <c r="C10" s="25">
        <v>-162.0</v>
      </c>
      <c r="D10" s="25">
        <v>170.0</v>
      </c>
      <c r="E10" s="25">
        <v>6.0</v>
      </c>
      <c r="F10" s="28">
        <f t="shared" si="3"/>
        <v>0</v>
      </c>
      <c r="G10" s="25" t="s">
        <v>140</v>
      </c>
      <c r="H10" s="25" t="s">
        <v>9</v>
      </c>
      <c r="I10" s="25" t="s">
        <v>8</v>
      </c>
      <c r="K10" s="56"/>
      <c r="L10" s="28">
        <f t="shared" ref="L10:O10" si="11">B10-B9</f>
        <v>-8</v>
      </c>
      <c r="M10" s="28">
        <f t="shared" si="11"/>
        <v>24</v>
      </c>
      <c r="N10" s="28">
        <f t="shared" si="11"/>
        <v>-8</v>
      </c>
      <c r="O10" s="28">
        <f t="shared" si="11"/>
        <v>-8</v>
      </c>
    </row>
    <row r="11">
      <c r="A11" s="46">
        <f t="shared" si="5"/>
        <v>9</v>
      </c>
      <c r="B11" s="25">
        <v>-38.0</v>
      </c>
      <c r="C11" s="25">
        <v>-138.0</v>
      </c>
      <c r="D11" s="25">
        <v>146.0</v>
      </c>
      <c r="E11" s="25">
        <v>30.0</v>
      </c>
      <c r="F11" s="28">
        <f t="shared" si="3"/>
        <v>0</v>
      </c>
      <c r="G11" s="25" t="s">
        <v>474</v>
      </c>
      <c r="H11" s="25" t="s">
        <v>10</v>
      </c>
      <c r="I11" s="25" t="s">
        <v>435</v>
      </c>
      <c r="J11" s="25" t="s">
        <v>9</v>
      </c>
      <c r="K11" s="46"/>
      <c r="L11" s="28">
        <f t="shared" ref="L11:O11" si="12">B11-B10</f>
        <v>-24</v>
      </c>
      <c r="M11" s="28">
        <f t="shared" si="12"/>
        <v>24</v>
      </c>
      <c r="N11" s="28">
        <f t="shared" si="12"/>
        <v>-24</v>
      </c>
      <c r="O11" s="28">
        <f t="shared" si="12"/>
        <v>24</v>
      </c>
    </row>
    <row r="12">
      <c r="A12" s="46">
        <f t="shared" si="5"/>
        <v>10</v>
      </c>
      <c r="B12" s="25">
        <v>-38.0</v>
      </c>
      <c r="C12" s="25">
        <v>-126.0</v>
      </c>
      <c r="D12" s="25">
        <v>134.0</v>
      </c>
      <c r="E12" s="25">
        <v>30.0</v>
      </c>
      <c r="F12" s="28">
        <f t="shared" si="3"/>
        <v>0</v>
      </c>
      <c r="G12" s="25" t="s">
        <v>475</v>
      </c>
      <c r="H12" s="25" t="s">
        <v>7</v>
      </c>
      <c r="I12" s="25" t="s">
        <v>8</v>
      </c>
      <c r="J12" s="25" t="s">
        <v>9</v>
      </c>
      <c r="K12" s="46"/>
      <c r="L12" s="28">
        <f t="shared" ref="L12:O12" si="13">B12-B11</f>
        <v>0</v>
      </c>
      <c r="M12" s="28">
        <f t="shared" si="13"/>
        <v>12</v>
      </c>
      <c r="N12" s="28">
        <f t="shared" si="13"/>
        <v>-12</v>
      </c>
      <c r="O12" s="28">
        <f t="shared" si="13"/>
        <v>0</v>
      </c>
    </row>
    <row r="13">
      <c r="A13" s="46">
        <f t="shared" si="5"/>
        <v>11</v>
      </c>
      <c r="B13" s="25">
        <v>-22.0</v>
      </c>
      <c r="C13" s="25">
        <v>-110.0</v>
      </c>
      <c r="D13" s="25">
        <v>118.0</v>
      </c>
      <c r="E13" s="25">
        <v>14.0</v>
      </c>
      <c r="F13" s="28">
        <f t="shared" si="3"/>
        <v>0</v>
      </c>
      <c r="G13" s="25" t="s">
        <v>302</v>
      </c>
      <c r="H13" s="25" t="s">
        <v>8</v>
      </c>
      <c r="I13" s="25" t="s">
        <v>10</v>
      </c>
      <c r="J13" s="25" t="s">
        <v>9</v>
      </c>
      <c r="K13" s="56"/>
      <c r="L13" s="28">
        <f t="shared" ref="L13:O13" si="14">B13-B12</f>
        <v>16</v>
      </c>
      <c r="M13" s="28">
        <f t="shared" si="14"/>
        <v>16</v>
      </c>
      <c r="N13" s="28">
        <f t="shared" si="14"/>
        <v>-16</v>
      </c>
      <c r="O13" s="28">
        <f t="shared" si="14"/>
        <v>-16</v>
      </c>
    </row>
    <row r="14">
      <c r="A14" s="46">
        <f t="shared" si="5"/>
        <v>12</v>
      </c>
      <c r="B14" s="25">
        <v>-26.0</v>
      </c>
      <c r="C14" s="25">
        <v>-114.0</v>
      </c>
      <c r="D14" s="25">
        <v>114.0</v>
      </c>
      <c r="E14" s="25">
        <v>26.0</v>
      </c>
      <c r="F14" s="28">
        <f t="shared" si="3"/>
        <v>0</v>
      </c>
      <c r="G14" s="25" t="s">
        <v>139</v>
      </c>
      <c r="H14" s="25" t="s">
        <v>9</v>
      </c>
      <c r="I14" s="25" t="s">
        <v>10</v>
      </c>
      <c r="K14" s="46"/>
      <c r="L14" s="28">
        <f t="shared" ref="L14:O14" si="15">B14-B13</f>
        <v>-4</v>
      </c>
      <c r="M14" s="28">
        <f t="shared" si="15"/>
        <v>-4</v>
      </c>
      <c r="N14" s="28">
        <f t="shared" si="15"/>
        <v>-4</v>
      </c>
      <c r="O14" s="28">
        <f t="shared" si="15"/>
        <v>12</v>
      </c>
    </row>
    <row r="15">
      <c r="A15" s="46">
        <f t="shared" si="5"/>
        <v>13</v>
      </c>
      <c r="B15" s="25">
        <v>22.0</v>
      </c>
      <c r="C15" s="25">
        <v>-66.0</v>
      </c>
      <c r="D15" s="25">
        <v>66.0</v>
      </c>
      <c r="E15" s="25">
        <v>-22.0</v>
      </c>
      <c r="F15" s="28">
        <f t="shared" si="3"/>
        <v>0</v>
      </c>
      <c r="G15" s="25" t="s">
        <v>294</v>
      </c>
      <c r="H15" s="25" t="s">
        <v>10</v>
      </c>
      <c r="I15" s="25" t="s">
        <v>7</v>
      </c>
      <c r="J15" s="25" t="s">
        <v>8</v>
      </c>
      <c r="K15" s="46"/>
      <c r="L15" s="28">
        <f t="shared" ref="L15:O15" si="16">B15-B14</f>
        <v>48</v>
      </c>
      <c r="M15" s="28">
        <f t="shared" si="16"/>
        <v>48</v>
      </c>
      <c r="N15" s="28">
        <f t="shared" si="16"/>
        <v>-48</v>
      </c>
      <c r="O15" s="28">
        <f t="shared" si="16"/>
        <v>-48</v>
      </c>
    </row>
    <row r="16">
      <c r="A16" s="46">
        <f t="shared" si="5"/>
        <v>14</v>
      </c>
      <c r="B16" s="25">
        <v>6.0</v>
      </c>
      <c r="C16" s="25">
        <v>-50.0</v>
      </c>
      <c r="D16" s="25">
        <v>82.0</v>
      </c>
      <c r="E16" s="25">
        <v>-38.0</v>
      </c>
      <c r="F16" s="28">
        <f t="shared" si="3"/>
        <v>0</v>
      </c>
      <c r="G16" s="25" t="s">
        <v>401</v>
      </c>
      <c r="H16" s="25" t="s">
        <v>8</v>
      </c>
      <c r="I16" s="25" t="s">
        <v>7</v>
      </c>
      <c r="J16" s="25" t="s">
        <v>470</v>
      </c>
      <c r="K16" s="56"/>
      <c r="L16" s="28">
        <f t="shared" ref="L16:O16" si="17">B16-B15</f>
        <v>-16</v>
      </c>
      <c r="M16" s="28">
        <f t="shared" si="17"/>
        <v>16</v>
      </c>
      <c r="N16" s="28">
        <f t="shared" si="17"/>
        <v>16</v>
      </c>
      <c r="O16" s="28">
        <f t="shared" si="17"/>
        <v>-16</v>
      </c>
    </row>
    <row r="17">
      <c r="A17" s="46">
        <f t="shared" si="5"/>
        <v>15</v>
      </c>
      <c r="B17" s="25">
        <v>-250.0</v>
      </c>
      <c r="C17" s="25">
        <v>-306.0</v>
      </c>
      <c r="D17" s="25">
        <v>338.0</v>
      </c>
      <c r="E17" s="25">
        <v>218.0</v>
      </c>
      <c r="F17" s="28">
        <f t="shared" si="3"/>
        <v>0</v>
      </c>
      <c r="G17" s="25" t="s">
        <v>476</v>
      </c>
      <c r="H17" s="25" t="s">
        <v>9</v>
      </c>
      <c r="I17" s="25" t="s">
        <v>7</v>
      </c>
      <c r="J17" s="25" t="s">
        <v>8</v>
      </c>
      <c r="K17" s="56"/>
      <c r="L17" s="28">
        <f t="shared" ref="L17:O17" si="18">B17-B16</f>
        <v>-256</v>
      </c>
      <c r="M17" s="28">
        <f t="shared" si="18"/>
        <v>-256</v>
      </c>
      <c r="N17" s="28">
        <f t="shared" si="18"/>
        <v>256</v>
      </c>
      <c r="O17" s="28">
        <f t="shared" si="18"/>
        <v>256</v>
      </c>
    </row>
    <row r="18">
      <c r="A18" s="46">
        <f t="shared" si="5"/>
        <v>16</v>
      </c>
      <c r="B18" s="25">
        <v>-254.0</v>
      </c>
      <c r="C18" s="25">
        <v>-310.0</v>
      </c>
      <c r="D18" s="25">
        <v>334.0</v>
      </c>
      <c r="E18" s="25">
        <v>230.0</v>
      </c>
      <c r="F18" s="28">
        <f t="shared" si="3"/>
        <v>0</v>
      </c>
      <c r="G18" s="25" t="s">
        <v>99</v>
      </c>
      <c r="H18" s="25" t="s">
        <v>10</v>
      </c>
      <c r="I18" s="25" t="s">
        <v>10</v>
      </c>
      <c r="K18" s="56"/>
      <c r="L18" s="28">
        <f t="shared" ref="L18:O18" si="19">B18-B17</f>
        <v>-4</v>
      </c>
      <c r="M18" s="28">
        <f t="shared" si="19"/>
        <v>-4</v>
      </c>
      <c r="N18" s="28">
        <f t="shared" si="19"/>
        <v>-4</v>
      </c>
      <c r="O18" s="28">
        <f t="shared" si="19"/>
        <v>12</v>
      </c>
    </row>
    <row r="19">
      <c r="A19" s="46">
        <f t="shared" si="5"/>
        <v>17</v>
      </c>
      <c r="B19" s="25">
        <v>-266.0</v>
      </c>
      <c r="C19" s="25">
        <v>-322.0</v>
      </c>
      <c r="D19" s="25">
        <v>346.0</v>
      </c>
      <c r="E19" s="25">
        <v>242.0</v>
      </c>
      <c r="F19" s="28">
        <f t="shared" si="3"/>
        <v>0</v>
      </c>
      <c r="G19" s="25" t="s">
        <v>314</v>
      </c>
      <c r="H19" s="25" t="s">
        <v>7</v>
      </c>
      <c r="I19" s="25" t="s">
        <v>10</v>
      </c>
      <c r="J19" s="25" t="s">
        <v>9</v>
      </c>
      <c r="K19" s="46"/>
      <c r="L19" s="28">
        <f t="shared" ref="L19:O19" si="20">B19-B18</f>
        <v>-12</v>
      </c>
      <c r="M19" s="28">
        <f t="shared" si="20"/>
        <v>-12</v>
      </c>
      <c r="N19" s="28">
        <f t="shared" si="20"/>
        <v>12</v>
      </c>
      <c r="O19" s="28">
        <f t="shared" si="20"/>
        <v>12</v>
      </c>
    </row>
    <row r="20">
      <c r="A20" s="46">
        <f t="shared" si="5"/>
        <v>18</v>
      </c>
      <c r="B20" s="25">
        <v>-270.0</v>
      </c>
      <c r="C20" s="25">
        <v>-310.0</v>
      </c>
      <c r="D20" s="25">
        <v>342.0</v>
      </c>
      <c r="E20" s="25">
        <v>238.0</v>
      </c>
      <c r="F20" s="28">
        <f t="shared" si="3"/>
        <v>0</v>
      </c>
      <c r="G20" s="25" t="s">
        <v>99</v>
      </c>
      <c r="H20" s="25" t="s">
        <v>8</v>
      </c>
      <c r="I20" s="25" t="s">
        <v>8</v>
      </c>
      <c r="K20" s="56"/>
      <c r="L20" s="28">
        <f t="shared" ref="L20:O20" si="21">B20-B19</f>
        <v>-4</v>
      </c>
      <c r="M20" s="28">
        <f t="shared" si="21"/>
        <v>12</v>
      </c>
      <c r="N20" s="28">
        <f t="shared" si="21"/>
        <v>-4</v>
      </c>
      <c r="O20" s="28">
        <f t="shared" si="21"/>
        <v>-4</v>
      </c>
    </row>
    <row r="21">
      <c r="A21" s="46">
        <f t="shared" si="5"/>
        <v>19</v>
      </c>
      <c r="B21" s="25">
        <v>-294.0</v>
      </c>
      <c r="C21" s="25">
        <v>-286.0</v>
      </c>
      <c r="D21" s="25">
        <v>366.0</v>
      </c>
      <c r="E21" s="25">
        <v>214.0</v>
      </c>
      <c r="F21" s="28">
        <f t="shared" si="3"/>
        <v>0</v>
      </c>
      <c r="G21" s="25" t="s">
        <v>302</v>
      </c>
      <c r="H21" s="25" t="s">
        <v>9</v>
      </c>
      <c r="I21" s="25" t="s">
        <v>9</v>
      </c>
      <c r="J21" s="25" t="s">
        <v>8</v>
      </c>
      <c r="K21" s="46"/>
      <c r="L21" s="28">
        <f t="shared" ref="L21:O21" si="22">B21-B20</f>
        <v>-24</v>
      </c>
      <c r="M21" s="28">
        <f t="shared" si="22"/>
        <v>24</v>
      </c>
      <c r="N21" s="28">
        <f t="shared" si="22"/>
        <v>24</v>
      </c>
      <c r="O21" s="28">
        <f t="shared" si="22"/>
        <v>-24</v>
      </c>
    </row>
    <row r="22">
      <c r="A22" s="56"/>
      <c r="K22" s="56"/>
    </row>
    <row r="23">
      <c r="A23" s="46" t="s">
        <v>477</v>
      </c>
      <c r="B23" s="56"/>
      <c r="C23" s="56"/>
      <c r="D23" s="56"/>
      <c r="E23" s="56"/>
      <c r="F23" s="56"/>
      <c r="G23" s="56"/>
      <c r="H23" s="56"/>
      <c r="I23" s="56"/>
      <c r="J23" s="56"/>
      <c r="K23" s="56"/>
      <c r="L23" s="56"/>
      <c r="M23" s="56"/>
      <c r="N23" s="56"/>
      <c r="O23" s="56"/>
      <c r="P23" s="56"/>
      <c r="Q23" s="56"/>
      <c r="R23" s="56"/>
      <c r="S23" s="56"/>
      <c r="T23" s="56"/>
      <c r="U23" s="56"/>
      <c r="V23" s="56"/>
      <c r="W23" s="56"/>
      <c r="X23" s="56"/>
    </row>
    <row r="25">
      <c r="A25" s="46">
        <f>COUNTIF(A3:A22,"&lt;&gt;")</f>
        <v>19</v>
      </c>
      <c r="B25" s="25">
        <v>-294.0</v>
      </c>
      <c r="C25" s="25">
        <v>-286.0</v>
      </c>
      <c r="D25" s="25">
        <v>366.0</v>
      </c>
      <c r="E25" s="25">
        <v>-294.0</v>
      </c>
      <c r="F25" s="28">
        <f>SUM(B25:E25)</f>
        <v>-508</v>
      </c>
      <c r="G25" s="25" t="s">
        <v>302</v>
      </c>
      <c r="H25" s="25" t="s">
        <v>9</v>
      </c>
      <c r="I25" s="25" t="s">
        <v>9</v>
      </c>
      <c r="J25" s="25" t="s">
        <v>8</v>
      </c>
      <c r="K25" s="46"/>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13"/>
    <col customWidth="1" min="2" max="5" width="7.88"/>
    <col customWidth="1" min="6" max="6" width="6.63"/>
    <col customWidth="1" min="11" max="11" width="3.88"/>
    <col customWidth="1" min="12" max="26" width="8.0"/>
  </cols>
  <sheetData>
    <row r="1">
      <c r="A1" s="280">
        <f>'00_Regnskab_01'!A27</f>
        <v>24</v>
      </c>
      <c r="B1" s="193">
        <f>'00_Regnskab_01'!C27</f>
        <v>45510</v>
      </c>
      <c r="C1" s="42"/>
      <c r="D1" s="42" t="str">
        <f>'00_Regnskab_01'!L27</f>
        <v>Thomas, Valby</v>
      </c>
      <c r="E1" s="42"/>
      <c r="F1" s="42"/>
      <c r="G1" s="42"/>
      <c r="H1" s="42"/>
      <c r="I1" s="42"/>
      <c r="J1" s="42"/>
      <c r="K1" s="44"/>
      <c r="L1" s="42"/>
      <c r="M1" s="42"/>
      <c r="N1" s="42"/>
      <c r="O1" s="42"/>
      <c r="P1" s="42"/>
      <c r="Q1" s="42"/>
      <c r="R1" s="42"/>
      <c r="S1" s="45" t="s">
        <v>64</v>
      </c>
      <c r="T1" s="42"/>
      <c r="U1" s="42"/>
      <c r="V1" s="32"/>
      <c r="W1" s="32"/>
      <c r="X1" s="32"/>
      <c r="Y1" s="32"/>
    </row>
    <row r="2">
      <c r="A2" s="46" t="s">
        <v>78</v>
      </c>
      <c r="B2" s="46" t="s">
        <v>7</v>
      </c>
      <c r="C2" s="46" t="s">
        <v>9</v>
      </c>
      <c r="D2" s="46" t="s">
        <v>8</v>
      </c>
      <c r="E2" s="46" t="s">
        <v>10</v>
      </c>
      <c r="F2" s="25" t="s">
        <v>288</v>
      </c>
      <c r="G2" s="46" t="s">
        <v>64</v>
      </c>
      <c r="H2" s="46" t="s">
        <v>82</v>
      </c>
      <c r="I2" s="46" t="s">
        <v>83</v>
      </c>
      <c r="J2" s="46" t="s">
        <v>81</v>
      </c>
      <c r="K2" s="46"/>
      <c r="L2" s="56" t="str">
        <f>B2</f>
        <v>Thomas</v>
      </c>
      <c r="M2" s="56" t="str">
        <f>D2</f>
        <v>Peter</v>
      </c>
      <c r="N2" s="56" t="str">
        <f>C2</f>
        <v>Janus</v>
      </c>
      <c r="O2" s="56" t="str">
        <f>E2</f>
        <v>Christian</v>
      </c>
      <c r="P2" s="56"/>
      <c r="Q2" s="56"/>
      <c r="R2" s="56"/>
      <c r="S2" s="46" t="s">
        <v>84</v>
      </c>
      <c r="T2" s="46" t="s">
        <v>85</v>
      </c>
      <c r="U2" s="46" t="s">
        <v>86</v>
      </c>
      <c r="V2" s="46" t="s">
        <v>87</v>
      </c>
      <c r="W2" s="46" t="s">
        <v>88</v>
      </c>
      <c r="X2" s="46" t="s">
        <v>89</v>
      </c>
      <c r="Y2" s="46"/>
      <c r="Z2" s="56"/>
    </row>
    <row r="3">
      <c r="A3" s="46">
        <v>1.0</v>
      </c>
      <c r="B3" s="25">
        <v>-4.0</v>
      </c>
      <c r="C3" s="25">
        <v>-4.0</v>
      </c>
      <c r="D3" s="25">
        <v>-4.0</v>
      </c>
      <c r="E3" s="25">
        <v>12.0</v>
      </c>
      <c r="F3" s="28">
        <f t="shared" ref="F3:F19" si="2">sum(B3:E3)</f>
        <v>0</v>
      </c>
      <c r="G3" s="25" t="s">
        <v>99</v>
      </c>
      <c r="H3" s="25" t="s">
        <v>10</v>
      </c>
      <c r="I3" s="25" t="s">
        <v>10</v>
      </c>
      <c r="K3" s="56"/>
      <c r="L3" s="139" t="str">
        <f t="shared" ref="L3:O3" si="1">#REF!</f>
        <v>#REF!</v>
      </c>
      <c r="M3" s="139" t="str">
        <f t="shared" si="1"/>
        <v>#REF!</v>
      </c>
      <c r="N3" s="139" t="str">
        <f t="shared" si="1"/>
        <v>#REF!</v>
      </c>
      <c r="O3" s="139" t="str">
        <f t="shared" si="1"/>
        <v>#REF!</v>
      </c>
      <c r="P3" s="129"/>
      <c r="Q3" s="129"/>
      <c r="R3" s="281"/>
      <c r="S3" s="129"/>
      <c r="T3" s="129"/>
      <c r="U3" s="129"/>
      <c r="V3" s="129"/>
      <c r="W3" s="129"/>
      <c r="X3" s="129"/>
      <c r="Y3" s="281"/>
    </row>
    <row r="4">
      <c r="A4" s="46">
        <f t="shared" ref="A4:A19" si="3">A3+1</f>
        <v>2</v>
      </c>
      <c r="B4" s="25">
        <v>8.0</v>
      </c>
      <c r="C4" s="25">
        <v>-40.0</v>
      </c>
      <c r="D4" s="25">
        <v>8.0</v>
      </c>
      <c r="E4" s="25">
        <v>24.0</v>
      </c>
      <c r="F4" s="28">
        <f t="shared" si="2"/>
        <v>0</v>
      </c>
      <c r="G4" s="25" t="s">
        <v>293</v>
      </c>
      <c r="H4" s="25" t="s">
        <v>7</v>
      </c>
      <c r="I4" s="25" t="s">
        <v>9</v>
      </c>
      <c r="J4" s="25" t="s">
        <v>228</v>
      </c>
      <c r="K4" s="56"/>
    </row>
    <row r="5">
      <c r="A5" s="46">
        <f t="shared" si="3"/>
        <v>3</v>
      </c>
      <c r="B5" s="25">
        <v>0.0</v>
      </c>
      <c r="C5" s="25">
        <v>-32.0</v>
      </c>
      <c r="D5" s="25">
        <v>16.0</v>
      </c>
      <c r="E5" s="25">
        <v>16.0</v>
      </c>
      <c r="F5" s="28">
        <f t="shared" si="2"/>
        <v>0</v>
      </c>
      <c r="G5" s="25" t="s">
        <v>293</v>
      </c>
      <c r="H5" s="25" t="s">
        <v>9</v>
      </c>
      <c r="I5" s="25" t="s">
        <v>10</v>
      </c>
      <c r="J5" s="25" t="s">
        <v>7</v>
      </c>
      <c r="K5" s="46"/>
    </row>
    <row r="6">
      <c r="A6" s="46">
        <f t="shared" si="3"/>
        <v>4</v>
      </c>
      <c r="B6" s="25">
        <v>-8.0</v>
      </c>
      <c r="C6" s="25">
        <v>-40.0</v>
      </c>
      <c r="D6" s="25">
        <v>8.0</v>
      </c>
      <c r="E6" s="25">
        <v>40.0</v>
      </c>
      <c r="F6" s="28">
        <f t="shared" si="2"/>
        <v>0</v>
      </c>
      <c r="G6" s="25" t="s">
        <v>97</v>
      </c>
      <c r="H6" s="25" t="s">
        <v>8</v>
      </c>
      <c r="I6" s="25" t="s">
        <v>10</v>
      </c>
      <c r="K6" s="46"/>
    </row>
    <row r="7">
      <c r="A7" s="46">
        <f t="shared" si="3"/>
        <v>5</v>
      </c>
      <c r="B7" s="25">
        <v>4.0</v>
      </c>
      <c r="C7" s="25">
        <v>-44.0</v>
      </c>
      <c r="D7" s="25">
        <v>4.0</v>
      </c>
      <c r="E7" s="25">
        <v>36.0</v>
      </c>
      <c r="F7" s="28">
        <f t="shared" si="2"/>
        <v>0</v>
      </c>
      <c r="G7" s="25" t="s">
        <v>139</v>
      </c>
      <c r="H7" s="25" t="s">
        <v>10</v>
      </c>
      <c r="I7" s="25" t="s">
        <v>7</v>
      </c>
      <c r="K7" s="46"/>
    </row>
    <row r="8">
      <c r="A8" s="46">
        <f t="shared" si="3"/>
        <v>6</v>
      </c>
      <c r="B8" s="25">
        <v>52.0</v>
      </c>
      <c r="C8" s="25">
        <v>4.0</v>
      </c>
      <c r="D8" s="25">
        <v>-44.0</v>
      </c>
      <c r="E8" s="25">
        <v>-12.0</v>
      </c>
      <c r="F8" s="28">
        <f t="shared" si="2"/>
        <v>0</v>
      </c>
      <c r="G8" s="25" t="s">
        <v>357</v>
      </c>
      <c r="H8" s="25" t="s">
        <v>7</v>
      </c>
      <c r="I8" s="25" t="s">
        <v>7</v>
      </c>
      <c r="J8" s="25" t="s">
        <v>9</v>
      </c>
      <c r="K8" s="46"/>
    </row>
    <row r="9">
      <c r="A9" s="46">
        <f t="shared" si="3"/>
        <v>7</v>
      </c>
      <c r="B9" s="25">
        <v>56.0</v>
      </c>
      <c r="C9" s="25">
        <v>8.0</v>
      </c>
      <c r="D9" s="25">
        <v>-56.0</v>
      </c>
      <c r="E9" s="25">
        <v>-8.0</v>
      </c>
      <c r="F9" s="28">
        <f t="shared" si="2"/>
        <v>0</v>
      </c>
      <c r="G9" s="25" t="s">
        <v>139</v>
      </c>
      <c r="H9" s="25" t="s">
        <v>9</v>
      </c>
      <c r="I9" s="25" t="s">
        <v>8</v>
      </c>
      <c r="K9" s="46"/>
    </row>
    <row r="10">
      <c r="A10" s="46">
        <f t="shared" si="3"/>
        <v>8</v>
      </c>
      <c r="B10" s="25">
        <v>48.0</v>
      </c>
      <c r="C10" s="25">
        <v>16.0</v>
      </c>
      <c r="D10" s="25">
        <v>-64.0</v>
      </c>
      <c r="E10" s="25">
        <v>0.0</v>
      </c>
      <c r="F10" s="28">
        <f t="shared" si="2"/>
        <v>0</v>
      </c>
      <c r="G10" s="25" t="s">
        <v>352</v>
      </c>
      <c r="H10" s="25" t="s">
        <v>8</v>
      </c>
      <c r="I10" s="25" t="s">
        <v>7</v>
      </c>
      <c r="J10" s="25" t="s">
        <v>8</v>
      </c>
      <c r="K10" s="56"/>
    </row>
    <row r="11">
      <c r="A11" s="46">
        <f t="shared" si="3"/>
        <v>9</v>
      </c>
      <c r="B11" s="25">
        <v>40.0</v>
      </c>
      <c r="C11" s="25">
        <v>8.0</v>
      </c>
      <c r="D11" s="25">
        <v>-72.0</v>
      </c>
      <c r="E11" s="25">
        <v>24.0</v>
      </c>
      <c r="F11" s="28">
        <f t="shared" si="2"/>
        <v>0</v>
      </c>
      <c r="G11" s="25" t="s">
        <v>140</v>
      </c>
      <c r="H11" s="25" t="s">
        <v>10</v>
      </c>
      <c r="I11" s="25" t="s">
        <v>10</v>
      </c>
      <c r="K11" s="46"/>
    </row>
    <row r="12">
      <c r="A12" s="46">
        <f t="shared" si="3"/>
        <v>10</v>
      </c>
      <c r="B12" s="25">
        <v>28.0</v>
      </c>
      <c r="C12" s="25">
        <v>20.0</v>
      </c>
      <c r="D12" s="25">
        <v>-84.0</v>
      </c>
      <c r="E12" s="25">
        <v>36.0</v>
      </c>
      <c r="F12" s="28">
        <f t="shared" si="2"/>
        <v>0</v>
      </c>
      <c r="G12" s="25" t="s">
        <v>293</v>
      </c>
      <c r="H12" s="25" t="s">
        <v>7</v>
      </c>
      <c r="I12" s="25" t="s">
        <v>8</v>
      </c>
      <c r="J12" s="25" t="s">
        <v>7</v>
      </c>
      <c r="K12" s="46"/>
    </row>
    <row r="13">
      <c r="A13" s="46">
        <f t="shared" si="3"/>
        <v>11</v>
      </c>
      <c r="B13" s="25">
        <v>20.0</v>
      </c>
      <c r="C13" s="25">
        <v>12.0</v>
      </c>
      <c r="D13" s="25">
        <v>-60.0</v>
      </c>
      <c r="E13" s="25">
        <v>28.0</v>
      </c>
      <c r="F13" s="28">
        <f t="shared" si="2"/>
        <v>0</v>
      </c>
      <c r="G13" s="25" t="s">
        <v>97</v>
      </c>
      <c r="H13" s="25" t="s">
        <v>9</v>
      </c>
      <c r="I13" s="25" t="s">
        <v>8</v>
      </c>
      <c r="K13" s="56"/>
    </row>
    <row r="14">
      <c r="A14" s="46">
        <f t="shared" si="3"/>
        <v>12</v>
      </c>
      <c r="B14" s="25">
        <v>30.0</v>
      </c>
      <c r="C14" s="25">
        <v>2.0</v>
      </c>
      <c r="D14" s="25">
        <v>-70.0</v>
      </c>
      <c r="E14" s="25">
        <v>38.0</v>
      </c>
      <c r="F14" s="28">
        <f t="shared" si="2"/>
        <v>0</v>
      </c>
      <c r="G14" s="25" t="s">
        <v>342</v>
      </c>
      <c r="H14" s="25" t="s">
        <v>8</v>
      </c>
      <c r="I14" s="25" t="s">
        <v>7</v>
      </c>
      <c r="J14" s="25" t="s">
        <v>10</v>
      </c>
      <c r="K14" s="46"/>
    </row>
    <row r="15">
      <c r="A15" s="46">
        <f t="shared" si="3"/>
        <v>13</v>
      </c>
      <c r="B15" s="25">
        <v>24.0</v>
      </c>
      <c r="C15" s="25">
        <v>8.0</v>
      </c>
      <c r="D15" s="25">
        <v>-76.0</v>
      </c>
      <c r="E15" s="25">
        <v>44.0</v>
      </c>
      <c r="F15" s="28">
        <f t="shared" si="2"/>
        <v>0</v>
      </c>
      <c r="G15" s="25" t="s">
        <v>345</v>
      </c>
      <c r="H15" s="25" t="s">
        <v>10</v>
      </c>
      <c r="I15" s="25" t="s">
        <v>10</v>
      </c>
      <c r="J15" s="25" t="s">
        <v>9</v>
      </c>
      <c r="K15" s="46"/>
    </row>
    <row r="16">
      <c r="A16" s="46">
        <f t="shared" si="3"/>
        <v>14</v>
      </c>
      <c r="B16" s="25">
        <v>-8.0</v>
      </c>
      <c r="C16" s="25">
        <v>40.0</v>
      </c>
      <c r="D16" s="25">
        <v>-108.0</v>
      </c>
      <c r="E16" s="25">
        <v>76.0</v>
      </c>
      <c r="F16" s="28">
        <f t="shared" si="2"/>
        <v>0</v>
      </c>
      <c r="G16" s="25" t="s">
        <v>357</v>
      </c>
      <c r="H16" s="25" t="s">
        <v>7</v>
      </c>
      <c r="I16" s="25" t="s">
        <v>8</v>
      </c>
      <c r="J16" s="25" t="s">
        <v>7</v>
      </c>
      <c r="K16" s="56"/>
    </row>
    <row r="17">
      <c r="A17" s="46">
        <f t="shared" si="3"/>
        <v>15</v>
      </c>
      <c r="B17" s="25">
        <v>4.0</v>
      </c>
      <c r="C17" s="25">
        <v>36.0</v>
      </c>
      <c r="D17" s="25">
        <v>-112.0</v>
      </c>
      <c r="E17" s="25">
        <v>72.0</v>
      </c>
      <c r="F17" s="28">
        <f t="shared" si="2"/>
        <v>0</v>
      </c>
      <c r="G17" s="25" t="s">
        <v>99</v>
      </c>
      <c r="H17" s="25" t="s">
        <v>9</v>
      </c>
      <c r="I17" s="25" t="s">
        <v>7</v>
      </c>
      <c r="K17" s="56"/>
    </row>
    <row r="18">
      <c r="A18" s="46">
        <f t="shared" si="3"/>
        <v>16</v>
      </c>
      <c r="B18" s="25">
        <v>40.0</v>
      </c>
      <c r="C18" s="25">
        <v>0.0</v>
      </c>
      <c r="D18" s="25">
        <v>-76.0</v>
      </c>
      <c r="E18" s="25">
        <v>36.0</v>
      </c>
      <c r="F18" s="28">
        <f t="shared" si="2"/>
        <v>0</v>
      </c>
      <c r="G18" s="25" t="s">
        <v>357</v>
      </c>
      <c r="H18" s="25" t="s">
        <v>8</v>
      </c>
      <c r="I18" s="25" t="s">
        <v>7</v>
      </c>
      <c r="J18" s="25" t="s">
        <v>8</v>
      </c>
      <c r="K18" s="56"/>
    </row>
    <row r="19">
      <c r="A19" s="46">
        <f t="shared" si="3"/>
        <v>17</v>
      </c>
      <c r="B19" s="25">
        <v>32.0</v>
      </c>
      <c r="C19" s="25">
        <v>8.0</v>
      </c>
      <c r="D19" s="25">
        <v>-68.0</v>
      </c>
      <c r="E19" s="25">
        <v>28.0</v>
      </c>
      <c r="F19" s="28">
        <f t="shared" si="2"/>
        <v>0</v>
      </c>
      <c r="G19" s="25" t="s">
        <v>350</v>
      </c>
      <c r="H19" s="25" t="s">
        <v>10</v>
      </c>
      <c r="I19" s="25" t="s">
        <v>8</v>
      </c>
      <c r="J19" s="25" t="s">
        <v>9</v>
      </c>
      <c r="K19" s="46"/>
    </row>
    <row r="20">
      <c r="A20" s="56"/>
      <c r="K20" s="56"/>
    </row>
    <row r="21">
      <c r="A21" s="46" t="s">
        <v>477</v>
      </c>
      <c r="B21" s="56">
        <f t="shared" ref="B21:E21" si="4">sum(B3:B20)</f>
        <v>366</v>
      </c>
      <c r="C21" s="56">
        <f t="shared" si="4"/>
        <v>2</v>
      </c>
      <c r="D21" s="56">
        <f t="shared" si="4"/>
        <v>-858</v>
      </c>
      <c r="E21" s="56">
        <f t="shared" si="4"/>
        <v>490</v>
      </c>
      <c r="F21" s="56"/>
      <c r="G21" s="56"/>
      <c r="H21" s="56"/>
      <c r="I21" s="56"/>
      <c r="J21" s="56"/>
      <c r="K21" s="56"/>
      <c r="L21" s="56"/>
      <c r="M21" s="56"/>
      <c r="N21" s="56"/>
      <c r="O21" s="56"/>
      <c r="P21" s="56"/>
      <c r="Q21" s="56"/>
      <c r="R21" s="56"/>
      <c r="S21" s="56"/>
      <c r="T21" s="56"/>
      <c r="U21" s="56"/>
      <c r="V21" s="56"/>
      <c r="W21" s="56"/>
      <c r="X21" s="56"/>
      <c r="Y21" s="56"/>
      <c r="Z21" s="56"/>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63"/>
    <col customWidth="1" min="2" max="6" width="9.25"/>
    <col customWidth="1" min="7" max="7" width="18.5"/>
    <col customWidth="1" min="11" max="11" width="2.75"/>
    <col customWidth="1" min="12" max="15" width="6.63"/>
    <col customWidth="1" min="16" max="37" width="6.5"/>
  </cols>
  <sheetData>
    <row r="1">
      <c r="A1" s="280">
        <f>'00_Regnskab_01'!A28</f>
        <v>25</v>
      </c>
      <c r="B1" s="193">
        <f>'00_Regnskab_01'!C28</f>
        <v>45625</v>
      </c>
      <c r="C1" s="42"/>
      <c r="D1" s="42" t="str">
        <f>'00_Regnskab_01'!L28</f>
        <v>Janus, Berlin</v>
      </c>
      <c r="E1" s="42"/>
      <c r="F1" s="42"/>
      <c r="G1" s="42"/>
      <c r="H1" s="42"/>
      <c r="I1" s="42"/>
      <c r="J1" s="42"/>
      <c r="K1" s="44"/>
      <c r="L1" s="194"/>
      <c r="M1" s="194"/>
      <c r="N1" s="194"/>
      <c r="O1" s="194"/>
      <c r="P1" s="194"/>
      <c r="Q1" s="194"/>
      <c r="R1" s="42"/>
      <c r="S1" s="45" t="s">
        <v>64</v>
      </c>
      <c r="T1" s="42"/>
      <c r="U1" s="42"/>
      <c r="V1" s="32"/>
      <c r="W1" s="32"/>
      <c r="X1" s="32"/>
      <c r="Y1" s="32"/>
      <c r="Z1" s="32"/>
      <c r="AA1" s="32"/>
      <c r="AB1" s="32"/>
      <c r="AC1" s="32"/>
      <c r="AD1" s="32"/>
      <c r="AE1" s="32"/>
      <c r="AF1" s="32"/>
      <c r="AG1" s="32"/>
      <c r="AH1" s="32"/>
      <c r="AI1" s="32"/>
      <c r="AJ1" s="32"/>
      <c r="AK1" s="32"/>
    </row>
    <row r="2">
      <c r="A2" s="46" t="s">
        <v>78</v>
      </c>
      <c r="B2" s="25" t="s">
        <v>7</v>
      </c>
      <c r="C2" s="25" t="s">
        <v>8</v>
      </c>
      <c r="D2" s="25" t="s">
        <v>9</v>
      </c>
      <c r="E2" s="25" t="s">
        <v>10</v>
      </c>
      <c r="F2" s="25" t="s">
        <v>278</v>
      </c>
      <c r="G2" s="25" t="s">
        <v>64</v>
      </c>
      <c r="H2" s="25" t="s">
        <v>82</v>
      </c>
      <c r="I2" s="25" t="s">
        <v>83</v>
      </c>
      <c r="J2" s="25" t="s">
        <v>81</v>
      </c>
      <c r="K2" s="46"/>
      <c r="L2" s="28" t="str">
        <f t="shared" ref="L2:O2" si="1">B2</f>
        <v>Thomas</v>
      </c>
      <c r="M2" s="28" t="str">
        <f t="shared" si="1"/>
        <v>Peter</v>
      </c>
      <c r="N2" s="28" t="str">
        <f t="shared" si="1"/>
        <v>Janus</v>
      </c>
      <c r="O2" s="28" t="str">
        <f t="shared" si="1"/>
        <v>Christian</v>
      </c>
      <c r="R2" s="56"/>
      <c r="S2" s="25" t="s">
        <v>84</v>
      </c>
      <c r="T2" s="25" t="s">
        <v>85</v>
      </c>
      <c r="U2" s="25" t="s">
        <v>86</v>
      </c>
      <c r="V2" s="25" t="s">
        <v>87</v>
      </c>
      <c r="W2" s="25" t="s">
        <v>88</v>
      </c>
      <c r="X2" s="25" t="s">
        <v>89</v>
      </c>
      <c r="Y2" s="46"/>
      <c r="Z2" s="46"/>
      <c r="AA2" s="46" t="s">
        <v>78</v>
      </c>
      <c r="AB2" s="25" t="s">
        <v>7</v>
      </c>
      <c r="AC2" s="25" t="s">
        <v>8</v>
      </c>
      <c r="AD2" s="25" t="s">
        <v>9</v>
      </c>
      <c r="AE2" s="25" t="s">
        <v>10</v>
      </c>
      <c r="AF2" s="25" t="s">
        <v>278</v>
      </c>
      <c r="AG2" s="25" t="s">
        <v>64</v>
      </c>
      <c r="AH2" s="25" t="s">
        <v>82</v>
      </c>
      <c r="AI2" s="25" t="s">
        <v>83</v>
      </c>
      <c r="AJ2" s="25" t="s">
        <v>81</v>
      </c>
      <c r="AK2" s="46"/>
    </row>
    <row r="3">
      <c r="A3" s="46">
        <v>1.0</v>
      </c>
      <c r="B3" s="122">
        <v>8.0</v>
      </c>
      <c r="C3" s="122">
        <v>8.0</v>
      </c>
      <c r="D3" s="122">
        <v>-24.0</v>
      </c>
      <c r="E3" s="122">
        <v>8.0</v>
      </c>
      <c r="F3" s="25">
        <f t="shared" ref="F3:F22" si="3">sum(B3:E3)</f>
        <v>0</v>
      </c>
      <c r="G3" s="25" t="s">
        <v>97</v>
      </c>
      <c r="H3" s="25" t="s">
        <v>10</v>
      </c>
      <c r="I3" s="25" t="s">
        <v>286</v>
      </c>
      <c r="K3" s="56"/>
      <c r="L3" s="282">
        <f t="shared" ref="L3:O3" si="2">B3</f>
        <v>8</v>
      </c>
      <c r="M3" s="282">
        <f t="shared" si="2"/>
        <v>8</v>
      </c>
      <c r="N3" s="282">
        <f t="shared" si="2"/>
        <v>-24</v>
      </c>
      <c r="O3" s="282">
        <f t="shared" si="2"/>
        <v>8</v>
      </c>
      <c r="P3" s="129"/>
      <c r="Q3" s="129"/>
      <c r="R3" s="281"/>
      <c r="S3" s="129"/>
      <c r="T3" s="129"/>
      <c r="U3" s="129"/>
      <c r="V3" s="129"/>
      <c r="W3" s="129"/>
      <c r="X3" s="129"/>
      <c r="Y3" s="281"/>
      <c r="Z3" s="281"/>
      <c r="AA3" s="46">
        <v>1.0</v>
      </c>
      <c r="AB3" s="25">
        <v>8.0</v>
      </c>
      <c r="AC3" s="25">
        <v>8.0</v>
      </c>
      <c r="AD3" s="25">
        <v>-24.0</v>
      </c>
      <c r="AE3" s="25">
        <v>8.0</v>
      </c>
      <c r="AF3" s="25">
        <f t="shared" ref="AF3:AF22" si="5">sum(AB3:AE3)</f>
        <v>0</v>
      </c>
      <c r="AG3" s="25" t="s">
        <v>97</v>
      </c>
      <c r="AH3" s="25" t="s">
        <v>10</v>
      </c>
      <c r="AI3" s="25" t="s">
        <v>286</v>
      </c>
      <c r="AK3" s="281"/>
    </row>
    <row r="4">
      <c r="A4" s="46">
        <f t="shared" ref="A4:A22" si="6">A3+1</f>
        <v>2</v>
      </c>
      <c r="B4" s="122">
        <v>20.0</v>
      </c>
      <c r="C4" s="122">
        <v>12.0</v>
      </c>
      <c r="D4" s="122">
        <v>-44.0</v>
      </c>
      <c r="E4" s="122">
        <v>12.0</v>
      </c>
      <c r="F4" s="25">
        <f t="shared" si="3"/>
        <v>0</v>
      </c>
      <c r="G4" s="25" t="s">
        <v>478</v>
      </c>
      <c r="H4" s="25" t="s">
        <v>7</v>
      </c>
      <c r="I4" s="25" t="s">
        <v>7</v>
      </c>
      <c r="K4" s="56"/>
      <c r="L4" s="82">
        <f t="shared" ref="L4:O4" si="4">SUM(L3+B4)</f>
        <v>28</v>
      </c>
      <c r="M4" s="82">
        <f t="shared" si="4"/>
        <v>20</v>
      </c>
      <c r="N4" s="82">
        <f t="shared" si="4"/>
        <v>-68</v>
      </c>
      <c r="O4" s="82">
        <f t="shared" si="4"/>
        <v>20</v>
      </c>
      <c r="AA4" s="46">
        <f t="shared" ref="AA4:AA22" si="8">AA3+1</f>
        <v>2</v>
      </c>
      <c r="AB4" s="25">
        <v>12.0</v>
      </c>
      <c r="AC4" s="25">
        <v>4.0</v>
      </c>
      <c r="AD4" s="25">
        <v>-20.0</v>
      </c>
      <c r="AE4" s="25">
        <v>4.0</v>
      </c>
      <c r="AF4" s="25">
        <f t="shared" si="5"/>
        <v>0</v>
      </c>
      <c r="AG4" s="25" t="s">
        <v>478</v>
      </c>
      <c r="AH4" s="25" t="s">
        <v>7</v>
      </c>
      <c r="AI4" s="25" t="s">
        <v>7</v>
      </c>
    </row>
    <row r="5">
      <c r="A5" s="46">
        <f t="shared" si="6"/>
        <v>3</v>
      </c>
      <c r="B5" s="122">
        <v>16.0</v>
      </c>
      <c r="C5" s="122">
        <v>32.0</v>
      </c>
      <c r="D5" s="122">
        <v>-48.0</v>
      </c>
      <c r="E5" s="122">
        <v>0.0</v>
      </c>
      <c r="F5" s="25">
        <f t="shared" si="3"/>
        <v>0</v>
      </c>
      <c r="G5" s="25" t="s">
        <v>299</v>
      </c>
      <c r="H5" s="25" t="s">
        <v>9</v>
      </c>
      <c r="I5" s="25" t="s">
        <v>8</v>
      </c>
      <c r="J5" s="25" t="s">
        <v>9</v>
      </c>
      <c r="K5" s="46"/>
      <c r="L5" s="82">
        <f t="shared" ref="L5:O5" si="7">SUM(L4+B5)</f>
        <v>44</v>
      </c>
      <c r="M5" s="82">
        <f t="shared" si="7"/>
        <v>52</v>
      </c>
      <c r="N5" s="82">
        <f t="shared" si="7"/>
        <v>-116</v>
      </c>
      <c r="O5" s="82">
        <f t="shared" si="7"/>
        <v>20</v>
      </c>
      <c r="AA5" s="46">
        <f t="shared" si="8"/>
        <v>3</v>
      </c>
      <c r="AB5" s="25">
        <v>-4.0</v>
      </c>
      <c r="AC5" s="25">
        <v>20.0</v>
      </c>
      <c r="AD5" s="25">
        <v>-4.0</v>
      </c>
      <c r="AE5" s="25">
        <v>-12.0</v>
      </c>
      <c r="AF5" s="25">
        <f t="shared" si="5"/>
        <v>0</v>
      </c>
      <c r="AG5" s="25" t="s">
        <v>299</v>
      </c>
      <c r="AH5" s="25" t="s">
        <v>9</v>
      </c>
      <c r="AI5" s="25" t="s">
        <v>8</v>
      </c>
      <c r="AJ5" s="25" t="s">
        <v>9</v>
      </c>
    </row>
    <row r="6">
      <c r="A6" s="46">
        <f t="shared" si="6"/>
        <v>4</v>
      </c>
      <c r="B6" s="122">
        <v>44.0</v>
      </c>
      <c r="C6" s="122">
        <v>20.0</v>
      </c>
      <c r="D6" s="122">
        <v>-20.0</v>
      </c>
      <c r="E6" s="122">
        <v>-44.0</v>
      </c>
      <c r="F6" s="25">
        <f t="shared" si="3"/>
        <v>0</v>
      </c>
      <c r="G6" s="25" t="s">
        <v>308</v>
      </c>
      <c r="H6" s="25" t="s">
        <v>8</v>
      </c>
      <c r="I6" s="25" t="s">
        <v>7</v>
      </c>
      <c r="J6" s="25" t="s">
        <v>9</v>
      </c>
      <c r="K6" s="46"/>
      <c r="L6" s="82">
        <f t="shared" ref="L6:O6" si="9">SUM(L5+B6)</f>
        <v>88</v>
      </c>
      <c r="M6" s="82">
        <f t="shared" si="9"/>
        <v>72</v>
      </c>
      <c r="N6" s="82">
        <f t="shared" si="9"/>
        <v>-136</v>
      </c>
      <c r="O6" s="82">
        <f t="shared" si="9"/>
        <v>-24</v>
      </c>
      <c r="AA6" s="46">
        <f t="shared" si="8"/>
        <v>4</v>
      </c>
      <c r="AB6" s="25">
        <v>28.0</v>
      </c>
      <c r="AC6" s="25">
        <v>-12.0</v>
      </c>
      <c r="AD6" s="25">
        <v>28.0</v>
      </c>
      <c r="AE6" s="25">
        <v>-44.0</v>
      </c>
      <c r="AF6" s="25">
        <f t="shared" si="5"/>
        <v>0</v>
      </c>
      <c r="AG6" s="25" t="s">
        <v>308</v>
      </c>
      <c r="AH6" s="25" t="s">
        <v>8</v>
      </c>
      <c r="AI6" s="25" t="s">
        <v>7</v>
      </c>
      <c r="AJ6" s="25" t="s">
        <v>9</v>
      </c>
    </row>
    <row r="7">
      <c r="A7" s="46">
        <f t="shared" si="6"/>
        <v>5</v>
      </c>
      <c r="B7" s="122">
        <v>84.0</v>
      </c>
      <c r="C7" s="122">
        <v>20.0</v>
      </c>
      <c r="D7" s="122">
        <v>-4.0</v>
      </c>
      <c r="E7" s="122">
        <v>-100.0</v>
      </c>
      <c r="F7" s="25">
        <f t="shared" si="3"/>
        <v>0</v>
      </c>
      <c r="G7" s="25" t="s">
        <v>299</v>
      </c>
      <c r="H7" s="25" t="s">
        <v>10</v>
      </c>
      <c r="I7" s="25" t="s">
        <v>8</v>
      </c>
      <c r="J7" s="25" t="s">
        <v>7</v>
      </c>
      <c r="K7" s="46"/>
      <c r="L7" s="82">
        <f t="shared" ref="L7:O7" si="10">SUM(L6+B7)</f>
        <v>172</v>
      </c>
      <c r="M7" s="82">
        <f t="shared" si="10"/>
        <v>92</v>
      </c>
      <c r="N7" s="82">
        <f t="shared" si="10"/>
        <v>-140</v>
      </c>
      <c r="O7" s="82">
        <f t="shared" si="10"/>
        <v>-124</v>
      </c>
      <c r="AA7" s="46">
        <f t="shared" si="8"/>
        <v>5</v>
      </c>
      <c r="AB7" s="25">
        <v>40.0</v>
      </c>
      <c r="AC7" s="25">
        <v>0.0</v>
      </c>
      <c r="AD7" s="25">
        <v>16.0</v>
      </c>
      <c r="AE7" s="25">
        <v>-56.0</v>
      </c>
      <c r="AF7" s="25">
        <f t="shared" si="5"/>
        <v>0</v>
      </c>
      <c r="AG7" s="25" t="s">
        <v>299</v>
      </c>
      <c r="AH7" s="25" t="s">
        <v>10</v>
      </c>
      <c r="AI7" s="25" t="s">
        <v>8</v>
      </c>
      <c r="AJ7" s="25" t="s">
        <v>7</v>
      </c>
    </row>
    <row r="8">
      <c r="A8" s="46">
        <f t="shared" si="6"/>
        <v>6</v>
      </c>
      <c r="B8" s="122">
        <v>140.0</v>
      </c>
      <c r="C8" s="122">
        <v>4.0</v>
      </c>
      <c r="D8" s="122">
        <v>-4.0</v>
      </c>
      <c r="E8" s="122">
        <v>-140.0</v>
      </c>
      <c r="F8" s="25">
        <f t="shared" si="3"/>
        <v>0</v>
      </c>
      <c r="G8" s="25" t="s">
        <v>479</v>
      </c>
      <c r="H8" s="25" t="s">
        <v>7</v>
      </c>
      <c r="I8" s="25" t="s">
        <v>7</v>
      </c>
      <c r="J8" s="25" t="s">
        <v>10</v>
      </c>
      <c r="K8" s="46"/>
      <c r="L8" s="82">
        <f t="shared" ref="L8:O8" si="11">SUM(L7+B8)</f>
        <v>312</v>
      </c>
      <c r="M8" s="82">
        <f t="shared" si="11"/>
        <v>96</v>
      </c>
      <c r="N8" s="82">
        <f t="shared" si="11"/>
        <v>-144</v>
      </c>
      <c r="O8" s="82">
        <f t="shared" si="11"/>
        <v>-264</v>
      </c>
      <c r="AA8" s="46">
        <f t="shared" si="8"/>
        <v>6</v>
      </c>
      <c r="AB8" s="25">
        <v>56.0</v>
      </c>
      <c r="AC8" s="25">
        <v>-16.0</v>
      </c>
      <c r="AD8" s="25">
        <v>0.0</v>
      </c>
      <c r="AE8" s="25">
        <v>-40.0</v>
      </c>
      <c r="AF8" s="25">
        <f t="shared" si="5"/>
        <v>0</v>
      </c>
      <c r="AG8" s="25" t="s">
        <v>479</v>
      </c>
      <c r="AH8" s="25" t="s">
        <v>7</v>
      </c>
      <c r="AI8" s="25" t="s">
        <v>7</v>
      </c>
      <c r="AJ8" s="25" t="s">
        <v>10</v>
      </c>
    </row>
    <row r="9">
      <c r="A9" s="46">
        <f t="shared" si="6"/>
        <v>7</v>
      </c>
      <c r="B9" s="122">
        <v>228.0</v>
      </c>
      <c r="C9" s="122">
        <v>-44.0</v>
      </c>
      <c r="D9" s="122">
        <v>28.0</v>
      </c>
      <c r="E9" s="122">
        <v>-212.0</v>
      </c>
      <c r="F9" s="25">
        <f t="shared" si="3"/>
        <v>0</v>
      </c>
      <c r="G9" s="25" t="s">
        <v>480</v>
      </c>
      <c r="H9" s="25" t="s">
        <v>9</v>
      </c>
      <c r="I9" s="25" t="s">
        <v>7</v>
      </c>
      <c r="J9" s="25" t="s">
        <v>9</v>
      </c>
      <c r="K9" s="46"/>
      <c r="L9" s="82">
        <f t="shared" ref="L9:O9" si="12">SUM(L8+B9)</f>
        <v>540</v>
      </c>
      <c r="M9" s="82">
        <f t="shared" si="12"/>
        <v>52</v>
      </c>
      <c r="N9" s="82">
        <f t="shared" si="12"/>
        <v>-116</v>
      </c>
      <c r="O9" s="82">
        <f t="shared" si="12"/>
        <v>-476</v>
      </c>
      <c r="AA9" s="46">
        <f t="shared" si="8"/>
        <v>7</v>
      </c>
      <c r="AB9" s="25">
        <v>88.0</v>
      </c>
      <c r="AC9" s="25">
        <v>-48.0</v>
      </c>
      <c r="AD9" s="25">
        <v>32.0</v>
      </c>
      <c r="AE9" s="25">
        <v>-72.0</v>
      </c>
      <c r="AF9" s="25">
        <f t="shared" si="5"/>
        <v>0</v>
      </c>
      <c r="AG9" s="25" t="s">
        <v>480</v>
      </c>
      <c r="AH9" s="25" t="s">
        <v>9</v>
      </c>
      <c r="AI9" s="25" t="s">
        <v>7</v>
      </c>
      <c r="AJ9" s="25" t="s">
        <v>9</v>
      </c>
    </row>
    <row r="10">
      <c r="A10" s="46">
        <f t="shared" si="6"/>
        <v>8</v>
      </c>
      <c r="B10" s="122">
        <v>312.0</v>
      </c>
      <c r="C10" s="122">
        <v>-96.0</v>
      </c>
      <c r="D10" s="122">
        <v>56.0</v>
      </c>
      <c r="E10" s="122">
        <v>-272.0</v>
      </c>
      <c r="F10" s="25">
        <f t="shared" si="3"/>
        <v>0</v>
      </c>
      <c r="G10" s="25" t="s">
        <v>99</v>
      </c>
      <c r="H10" s="25" t="s">
        <v>8</v>
      </c>
      <c r="I10" s="25" t="s">
        <v>10</v>
      </c>
      <c r="K10" s="56"/>
      <c r="L10" s="82">
        <f t="shared" ref="L10:O10" si="13">SUM(L9+B10)</f>
        <v>852</v>
      </c>
      <c r="M10" s="82">
        <f t="shared" si="13"/>
        <v>-44</v>
      </c>
      <c r="N10" s="82">
        <f t="shared" si="13"/>
        <v>-60</v>
      </c>
      <c r="O10" s="82">
        <f t="shared" si="13"/>
        <v>-748</v>
      </c>
      <c r="AA10" s="46">
        <f t="shared" si="8"/>
        <v>8</v>
      </c>
      <c r="AB10" s="25">
        <v>84.0</v>
      </c>
      <c r="AC10" s="25">
        <v>-52.0</v>
      </c>
      <c r="AD10" s="25">
        <v>28.0</v>
      </c>
      <c r="AE10" s="25">
        <v>-60.0</v>
      </c>
      <c r="AF10" s="25">
        <f t="shared" si="5"/>
        <v>0</v>
      </c>
      <c r="AG10" s="25" t="s">
        <v>99</v>
      </c>
      <c r="AH10" s="25" t="s">
        <v>8</v>
      </c>
      <c r="AI10" s="25" t="s">
        <v>10</v>
      </c>
    </row>
    <row r="11">
      <c r="A11" s="46">
        <f t="shared" si="6"/>
        <v>9</v>
      </c>
      <c r="B11" s="122">
        <v>232.0</v>
      </c>
      <c r="C11" s="122">
        <v>-16.0</v>
      </c>
      <c r="D11" s="122">
        <v>136.0</v>
      </c>
      <c r="E11" s="122">
        <v>-352.0</v>
      </c>
      <c r="F11" s="25">
        <f t="shared" si="3"/>
        <v>0</v>
      </c>
      <c r="G11" s="25" t="s">
        <v>481</v>
      </c>
      <c r="I11" s="25" t="s">
        <v>8</v>
      </c>
      <c r="J11" s="25" t="s">
        <v>9</v>
      </c>
      <c r="K11" s="46"/>
      <c r="L11" s="82">
        <f t="shared" ref="L11:O11" si="14">SUM(L10+B11)</f>
        <v>1084</v>
      </c>
      <c r="M11" s="82">
        <f t="shared" si="14"/>
        <v>-60</v>
      </c>
      <c r="N11" s="82">
        <f t="shared" si="14"/>
        <v>76</v>
      </c>
      <c r="O11" s="82">
        <f t="shared" si="14"/>
        <v>-1100</v>
      </c>
      <c r="AA11" s="46">
        <f t="shared" si="8"/>
        <v>9</v>
      </c>
      <c r="AB11" s="25">
        <v>-80.0</v>
      </c>
      <c r="AC11" s="25">
        <v>80.0</v>
      </c>
      <c r="AD11" s="25">
        <v>80.0</v>
      </c>
      <c r="AE11" s="25">
        <v>-80.0</v>
      </c>
      <c r="AF11" s="25">
        <f t="shared" si="5"/>
        <v>0</v>
      </c>
      <c r="AG11" s="25" t="s">
        <v>481</v>
      </c>
      <c r="AI11" s="25" t="s">
        <v>8</v>
      </c>
      <c r="AJ11" s="25" t="s">
        <v>9</v>
      </c>
    </row>
    <row r="12">
      <c r="A12" s="46">
        <f t="shared" si="6"/>
        <v>10</v>
      </c>
      <c r="B12" s="122">
        <v>224.0</v>
      </c>
      <c r="C12" s="122">
        <v>-24.0</v>
      </c>
      <c r="D12" s="122">
        <v>144.0</v>
      </c>
      <c r="E12" s="122">
        <v>-344.0</v>
      </c>
      <c r="F12" s="25">
        <f t="shared" si="3"/>
        <v>0</v>
      </c>
      <c r="G12" s="25" t="s">
        <v>482</v>
      </c>
      <c r="I12" s="25" t="s">
        <v>10</v>
      </c>
      <c r="J12" s="25" t="s">
        <v>9</v>
      </c>
      <c r="K12" s="46"/>
      <c r="L12" s="82">
        <f t="shared" ref="L12:O12" si="15">SUM(L11+B12)</f>
        <v>1308</v>
      </c>
      <c r="M12" s="82">
        <f t="shared" si="15"/>
        <v>-84</v>
      </c>
      <c r="N12" s="82">
        <f t="shared" si="15"/>
        <v>220</v>
      </c>
      <c r="O12" s="82">
        <f t="shared" si="15"/>
        <v>-1444</v>
      </c>
      <c r="AA12" s="46">
        <f t="shared" si="8"/>
        <v>10</v>
      </c>
      <c r="AB12" s="25">
        <v>-8.0</v>
      </c>
      <c r="AC12" s="25">
        <v>-8.0</v>
      </c>
      <c r="AD12" s="25">
        <v>8.0</v>
      </c>
      <c r="AE12" s="25">
        <v>8.0</v>
      </c>
      <c r="AF12" s="25">
        <f t="shared" si="5"/>
        <v>0</v>
      </c>
      <c r="AG12" s="25" t="s">
        <v>482</v>
      </c>
      <c r="AI12" s="25" t="s">
        <v>10</v>
      </c>
      <c r="AJ12" s="25" t="s">
        <v>9</v>
      </c>
    </row>
    <row r="13">
      <c r="A13" s="46">
        <f t="shared" si="6"/>
        <v>11</v>
      </c>
      <c r="B13" s="122">
        <v>232.0</v>
      </c>
      <c r="C13" s="122">
        <v>-48.0</v>
      </c>
      <c r="D13" s="122">
        <v>152.0</v>
      </c>
      <c r="E13" s="122">
        <v>-336.0</v>
      </c>
      <c r="F13" s="25">
        <f t="shared" si="3"/>
        <v>0</v>
      </c>
      <c r="G13" s="25" t="s">
        <v>97</v>
      </c>
      <c r="I13" s="25" t="s">
        <v>8</v>
      </c>
      <c r="K13" s="56"/>
      <c r="L13" s="82">
        <f t="shared" ref="L13:O13" si="16">SUM(L12+B13)</f>
        <v>1540</v>
      </c>
      <c r="M13" s="82">
        <f t="shared" si="16"/>
        <v>-132</v>
      </c>
      <c r="N13" s="82">
        <f t="shared" si="16"/>
        <v>372</v>
      </c>
      <c r="O13" s="82">
        <f t="shared" si="16"/>
        <v>-1780</v>
      </c>
      <c r="AA13" s="46">
        <f t="shared" si="8"/>
        <v>11</v>
      </c>
      <c r="AB13" s="25">
        <v>8.0</v>
      </c>
      <c r="AC13" s="25">
        <v>-24.0</v>
      </c>
      <c r="AD13" s="25">
        <v>8.0</v>
      </c>
      <c r="AE13" s="25">
        <v>8.0</v>
      </c>
      <c r="AF13" s="25">
        <f t="shared" si="5"/>
        <v>0</v>
      </c>
      <c r="AG13" s="25" t="s">
        <v>97</v>
      </c>
      <c r="AI13" s="25" t="s">
        <v>8</v>
      </c>
    </row>
    <row r="14">
      <c r="A14" s="46">
        <f t="shared" si="6"/>
        <v>12</v>
      </c>
      <c r="B14" s="122">
        <v>244.0</v>
      </c>
      <c r="C14" s="122">
        <v>-60.0</v>
      </c>
      <c r="D14" s="122">
        <v>140.0</v>
      </c>
      <c r="E14" s="122">
        <v>-324.0</v>
      </c>
      <c r="F14" s="25">
        <f t="shared" si="3"/>
        <v>0</v>
      </c>
      <c r="G14" s="25" t="s">
        <v>314</v>
      </c>
      <c r="I14" s="25" t="s">
        <v>10</v>
      </c>
      <c r="J14" s="25" t="s">
        <v>7</v>
      </c>
      <c r="K14" s="46"/>
      <c r="L14" s="82">
        <f t="shared" ref="L14:O14" si="17">SUM(L13+B14)</f>
        <v>1784</v>
      </c>
      <c r="M14" s="82">
        <f t="shared" si="17"/>
        <v>-192</v>
      </c>
      <c r="N14" s="82">
        <f t="shared" si="17"/>
        <v>512</v>
      </c>
      <c r="O14" s="82">
        <f t="shared" si="17"/>
        <v>-2104</v>
      </c>
      <c r="AA14" s="46">
        <f t="shared" si="8"/>
        <v>12</v>
      </c>
      <c r="AB14" s="25">
        <v>12.0</v>
      </c>
      <c r="AC14" s="25">
        <v>-12.0</v>
      </c>
      <c r="AD14" s="25">
        <v>-12.0</v>
      </c>
      <c r="AE14" s="25">
        <v>12.0</v>
      </c>
      <c r="AF14" s="25">
        <f t="shared" si="5"/>
        <v>0</v>
      </c>
      <c r="AG14" s="25" t="s">
        <v>314</v>
      </c>
      <c r="AI14" s="25" t="s">
        <v>10</v>
      </c>
      <c r="AJ14" s="25" t="s">
        <v>7</v>
      </c>
    </row>
    <row r="15">
      <c r="A15" s="46">
        <f t="shared" si="6"/>
        <v>13</v>
      </c>
      <c r="B15" s="122">
        <v>228.0</v>
      </c>
      <c r="C15" s="122">
        <v>-76.0</v>
      </c>
      <c r="D15" s="122">
        <v>124.0</v>
      </c>
      <c r="E15" s="122">
        <v>-276.0</v>
      </c>
      <c r="F15" s="25">
        <f t="shared" si="3"/>
        <v>0</v>
      </c>
      <c r="G15" s="25" t="s">
        <v>483</v>
      </c>
      <c r="I15" s="25" t="s">
        <v>10</v>
      </c>
      <c r="J15" s="25" t="s">
        <v>10</v>
      </c>
      <c r="K15" s="46"/>
      <c r="L15" s="82">
        <f t="shared" ref="L15:O15" si="18">SUM(L14+B15)</f>
        <v>2012</v>
      </c>
      <c r="M15" s="82">
        <f t="shared" si="18"/>
        <v>-268</v>
      </c>
      <c r="N15" s="82">
        <f t="shared" si="18"/>
        <v>636</v>
      </c>
      <c r="O15" s="82">
        <f t="shared" si="18"/>
        <v>-2380</v>
      </c>
      <c r="AA15" s="46">
        <f t="shared" si="8"/>
        <v>13</v>
      </c>
      <c r="AB15" s="25">
        <v>-16.0</v>
      </c>
      <c r="AC15" s="25">
        <v>-16.0</v>
      </c>
      <c r="AD15" s="25">
        <v>-16.0</v>
      </c>
      <c r="AE15" s="25">
        <v>48.0</v>
      </c>
      <c r="AF15" s="25">
        <f t="shared" si="5"/>
        <v>0</v>
      </c>
      <c r="AG15" s="25" t="s">
        <v>483</v>
      </c>
      <c r="AI15" s="25" t="s">
        <v>10</v>
      </c>
      <c r="AJ15" s="25" t="s">
        <v>10</v>
      </c>
    </row>
    <row r="16">
      <c r="A16" s="46">
        <f t="shared" si="6"/>
        <v>14</v>
      </c>
      <c r="B16" s="122">
        <v>260.0</v>
      </c>
      <c r="C16" s="122">
        <v>-44.0</v>
      </c>
      <c r="D16" s="122">
        <v>92.0</v>
      </c>
      <c r="E16" s="122">
        <v>-308.0</v>
      </c>
      <c r="F16" s="25">
        <f t="shared" si="3"/>
        <v>0</v>
      </c>
      <c r="G16" s="25" t="s">
        <v>445</v>
      </c>
      <c r="K16" s="56"/>
      <c r="L16" s="82">
        <f t="shared" ref="L16:O16" si="19">SUM(L15+B16)</f>
        <v>2272</v>
      </c>
      <c r="M16" s="82">
        <f t="shared" si="19"/>
        <v>-312</v>
      </c>
      <c r="N16" s="82">
        <f t="shared" si="19"/>
        <v>728</v>
      </c>
      <c r="O16" s="82">
        <f t="shared" si="19"/>
        <v>-2688</v>
      </c>
      <c r="AA16" s="46">
        <f t="shared" si="8"/>
        <v>14</v>
      </c>
      <c r="AB16" s="25">
        <v>32.0</v>
      </c>
      <c r="AC16" s="25">
        <v>32.0</v>
      </c>
      <c r="AD16" s="25">
        <v>-32.0</v>
      </c>
      <c r="AE16" s="25">
        <v>-32.0</v>
      </c>
      <c r="AF16" s="25">
        <f t="shared" si="5"/>
        <v>0</v>
      </c>
      <c r="AG16" s="25" t="s">
        <v>445</v>
      </c>
    </row>
    <row r="17">
      <c r="A17" s="46">
        <f t="shared" si="6"/>
        <v>15</v>
      </c>
      <c r="B17" s="122">
        <v>284.0</v>
      </c>
      <c r="C17" s="122">
        <v>-52.0</v>
      </c>
      <c r="D17" s="122">
        <v>84.0</v>
      </c>
      <c r="E17" s="122">
        <v>-316.0</v>
      </c>
      <c r="F17" s="25">
        <f t="shared" si="3"/>
        <v>0</v>
      </c>
      <c r="G17" s="25" t="s">
        <v>97</v>
      </c>
      <c r="I17" s="25" t="s">
        <v>7</v>
      </c>
      <c r="K17" s="56"/>
      <c r="L17" s="82">
        <f t="shared" ref="L17:O17" si="20">SUM(L16+B17)</f>
        <v>2556</v>
      </c>
      <c r="M17" s="82">
        <f t="shared" si="20"/>
        <v>-364</v>
      </c>
      <c r="N17" s="82">
        <f t="shared" si="20"/>
        <v>812</v>
      </c>
      <c r="O17" s="82">
        <f t="shared" si="20"/>
        <v>-3004</v>
      </c>
      <c r="AA17" s="46">
        <f t="shared" si="8"/>
        <v>15</v>
      </c>
      <c r="AB17" s="25">
        <v>24.0</v>
      </c>
      <c r="AC17" s="25">
        <v>-8.0</v>
      </c>
      <c r="AD17" s="25">
        <v>-8.0</v>
      </c>
      <c r="AE17" s="25">
        <v>-8.0</v>
      </c>
      <c r="AF17" s="25">
        <f t="shared" si="5"/>
        <v>0</v>
      </c>
      <c r="AG17" s="25" t="s">
        <v>97</v>
      </c>
      <c r="AI17" s="25" t="s">
        <v>7</v>
      </c>
    </row>
    <row r="18">
      <c r="A18" s="46">
        <f t="shared" si="6"/>
        <v>16</v>
      </c>
      <c r="B18" s="122">
        <v>292.0</v>
      </c>
      <c r="C18" s="122">
        <v>-44.0</v>
      </c>
      <c r="D18" s="122">
        <v>92.0</v>
      </c>
      <c r="E18" s="122">
        <v>-340.0</v>
      </c>
      <c r="F18" s="25">
        <f t="shared" si="3"/>
        <v>0</v>
      </c>
      <c r="G18" s="25" t="s">
        <v>97</v>
      </c>
      <c r="K18" s="56"/>
      <c r="L18" s="82">
        <f t="shared" ref="L18:O18" si="21">SUM(L17+B18)</f>
        <v>2848</v>
      </c>
      <c r="M18" s="82">
        <f t="shared" si="21"/>
        <v>-408</v>
      </c>
      <c r="N18" s="82">
        <f t="shared" si="21"/>
        <v>904</v>
      </c>
      <c r="O18" s="82">
        <f t="shared" si="21"/>
        <v>-3344</v>
      </c>
      <c r="AA18" s="46">
        <f t="shared" si="8"/>
        <v>16</v>
      </c>
      <c r="AB18" s="25">
        <v>8.0</v>
      </c>
      <c r="AC18" s="25">
        <v>8.0</v>
      </c>
      <c r="AD18" s="25">
        <v>8.0</v>
      </c>
      <c r="AE18" s="25">
        <v>-24.0</v>
      </c>
      <c r="AF18" s="25">
        <f t="shared" si="5"/>
        <v>0</v>
      </c>
      <c r="AG18" s="25" t="s">
        <v>97</v>
      </c>
    </row>
    <row r="19">
      <c r="A19" s="46">
        <f t="shared" si="6"/>
        <v>17</v>
      </c>
      <c r="B19" s="122">
        <v>172.0</v>
      </c>
      <c r="C19" s="122">
        <v>-4.0</v>
      </c>
      <c r="D19" s="122">
        <v>132.0</v>
      </c>
      <c r="E19" s="122">
        <v>-300.0</v>
      </c>
      <c r="F19" s="25">
        <f t="shared" si="3"/>
        <v>0</v>
      </c>
      <c r="G19" s="25" t="s">
        <v>484</v>
      </c>
      <c r="I19" s="25" t="s">
        <v>7</v>
      </c>
      <c r="J19" s="25" t="s">
        <v>7</v>
      </c>
      <c r="K19" s="46"/>
      <c r="L19" s="82">
        <f t="shared" ref="L19:O19" si="22">SUM(L18+B19)</f>
        <v>3020</v>
      </c>
      <c r="M19" s="82">
        <f t="shared" si="22"/>
        <v>-412</v>
      </c>
      <c r="N19" s="82">
        <f t="shared" si="22"/>
        <v>1036</v>
      </c>
      <c r="O19" s="82">
        <f t="shared" si="22"/>
        <v>-3644</v>
      </c>
      <c r="AA19" s="46">
        <f t="shared" si="8"/>
        <v>17</v>
      </c>
      <c r="AB19" s="25">
        <v>-120.0</v>
      </c>
      <c r="AC19" s="25">
        <v>40.0</v>
      </c>
      <c r="AD19" s="25">
        <v>40.0</v>
      </c>
      <c r="AE19" s="25">
        <v>40.0</v>
      </c>
      <c r="AF19" s="25">
        <f t="shared" si="5"/>
        <v>0</v>
      </c>
      <c r="AG19" s="25" t="s">
        <v>484</v>
      </c>
      <c r="AI19" s="25" t="s">
        <v>7</v>
      </c>
      <c r="AJ19" s="25" t="s">
        <v>7</v>
      </c>
    </row>
    <row r="20">
      <c r="A20" s="46">
        <f t="shared" si="6"/>
        <v>18</v>
      </c>
      <c r="B20" s="122">
        <v>192.0</v>
      </c>
      <c r="C20" s="122">
        <v>-24.0</v>
      </c>
      <c r="D20" s="122">
        <v>152.0</v>
      </c>
      <c r="E20" s="122">
        <v>-320.0</v>
      </c>
      <c r="F20" s="25">
        <f t="shared" si="3"/>
        <v>0</v>
      </c>
      <c r="G20" s="25" t="s">
        <v>485</v>
      </c>
      <c r="K20" s="56"/>
      <c r="L20" s="82">
        <f t="shared" ref="L20:O20" si="23">SUM(L19+B20)</f>
        <v>3212</v>
      </c>
      <c r="M20" s="82">
        <f t="shared" si="23"/>
        <v>-436</v>
      </c>
      <c r="N20" s="82">
        <f t="shared" si="23"/>
        <v>1188</v>
      </c>
      <c r="O20" s="82">
        <f t="shared" si="23"/>
        <v>-3964</v>
      </c>
      <c r="AA20" s="46">
        <f t="shared" si="8"/>
        <v>18</v>
      </c>
      <c r="AB20" s="25">
        <v>20.0</v>
      </c>
      <c r="AC20" s="25">
        <v>-20.0</v>
      </c>
      <c r="AD20" s="25">
        <v>20.0</v>
      </c>
      <c r="AE20" s="25">
        <v>-20.0</v>
      </c>
      <c r="AF20" s="25">
        <f t="shared" si="5"/>
        <v>0</v>
      </c>
      <c r="AG20" s="25" t="s">
        <v>485</v>
      </c>
    </row>
    <row r="21">
      <c r="A21" s="46">
        <f t="shared" si="6"/>
        <v>19</v>
      </c>
      <c r="B21" s="122">
        <v>200.0</v>
      </c>
      <c r="C21" s="122">
        <v>-32.0</v>
      </c>
      <c r="D21" s="122">
        <v>144.0</v>
      </c>
      <c r="E21" s="122">
        <v>-312.0</v>
      </c>
      <c r="F21" s="25">
        <f t="shared" si="3"/>
        <v>0</v>
      </c>
      <c r="G21" s="25" t="s">
        <v>486</v>
      </c>
      <c r="I21" s="25" t="s">
        <v>7</v>
      </c>
      <c r="J21" s="25" t="s">
        <v>10</v>
      </c>
      <c r="K21" s="46"/>
      <c r="L21" s="82">
        <f t="shared" ref="L21:O21" si="24">SUM(L20+B21)</f>
        <v>3412</v>
      </c>
      <c r="M21" s="82">
        <f t="shared" si="24"/>
        <v>-468</v>
      </c>
      <c r="N21" s="82">
        <f t="shared" si="24"/>
        <v>1332</v>
      </c>
      <c r="O21" s="82">
        <f t="shared" si="24"/>
        <v>-4276</v>
      </c>
      <c r="AA21" s="46">
        <f t="shared" si="8"/>
        <v>19</v>
      </c>
      <c r="AB21" s="25">
        <v>8.0</v>
      </c>
      <c r="AC21" s="25">
        <v>-8.0</v>
      </c>
      <c r="AD21" s="25">
        <v>-8.0</v>
      </c>
      <c r="AE21" s="25">
        <v>8.0</v>
      </c>
      <c r="AF21" s="25">
        <f t="shared" si="5"/>
        <v>0</v>
      </c>
      <c r="AG21" s="25" t="s">
        <v>486</v>
      </c>
      <c r="AI21" s="25" t="s">
        <v>7</v>
      </c>
      <c r="AJ21" s="25" t="s">
        <v>10</v>
      </c>
    </row>
    <row r="22">
      <c r="A22" s="46">
        <f t="shared" si="6"/>
        <v>20</v>
      </c>
      <c r="B22" s="122">
        <v>224.0</v>
      </c>
      <c r="C22" s="122">
        <v>-56.0</v>
      </c>
      <c r="D22" s="122">
        <v>168.0</v>
      </c>
      <c r="E22" s="122">
        <v>-336.0</v>
      </c>
      <c r="F22" s="25">
        <f t="shared" si="3"/>
        <v>0</v>
      </c>
      <c r="G22" s="25" t="s">
        <v>487</v>
      </c>
      <c r="I22" s="25" t="s">
        <v>7</v>
      </c>
      <c r="J22" s="25" t="s">
        <v>10</v>
      </c>
      <c r="K22" s="46"/>
      <c r="L22" s="82">
        <f t="shared" ref="L22:O22" si="25">SUM(L21+B22)</f>
        <v>3636</v>
      </c>
      <c r="M22" s="82">
        <f t="shared" si="25"/>
        <v>-524</v>
      </c>
      <c r="N22" s="82">
        <f t="shared" si="25"/>
        <v>1500</v>
      </c>
      <c r="O22" s="82">
        <f t="shared" si="25"/>
        <v>-4612</v>
      </c>
      <c r="AA22" s="46">
        <f t="shared" si="8"/>
        <v>20</v>
      </c>
      <c r="AB22" s="25">
        <v>24.0</v>
      </c>
      <c r="AC22" s="25">
        <v>-24.0</v>
      </c>
      <c r="AD22" s="25">
        <v>24.0</v>
      </c>
      <c r="AE22" s="25">
        <v>-24.0</v>
      </c>
      <c r="AF22" s="25">
        <f t="shared" si="5"/>
        <v>0</v>
      </c>
      <c r="AG22" s="25" t="s">
        <v>487</v>
      </c>
      <c r="AI22" s="25" t="s">
        <v>7</v>
      </c>
      <c r="AJ22" s="25" t="s">
        <v>10</v>
      </c>
    </row>
    <row r="23">
      <c r="A23" s="56"/>
      <c r="K23" s="56"/>
      <c r="AA23" s="56"/>
    </row>
    <row r="24">
      <c r="A24" s="56"/>
      <c r="K24" s="56"/>
      <c r="AA24" s="56"/>
    </row>
    <row r="25">
      <c r="A25" s="56"/>
      <c r="K25" s="56"/>
      <c r="AA25" s="56"/>
    </row>
    <row r="26">
      <c r="A26" s="56"/>
      <c r="K26" s="56"/>
      <c r="AA26" s="56"/>
    </row>
    <row r="27">
      <c r="A27" s="46"/>
      <c r="K27" s="56"/>
      <c r="AA27" s="46" t="s">
        <v>477</v>
      </c>
      <c r="AB27" s="28">
        <f t="shared" ref="AB27:AE27" si="26">sum(AB3:AB26)</f>
        <v>224</v>
      </c>
      <c r="AC27" s="28">
        <f t="shared" si="26"/>
        <v>-56</v>
      </c>
      <c r="AD27" s="28">
        <f t="shared" si="26"/>
        <v>168</v>
      </c>
      <c r="AE27" s="28">
        <f t="shared" si="26"/>
        <v>-336</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13"/>
    <col customWidth="1" min="2" max="5" width="7.88"/>
    <col customWidth="1" min="6" max="6" width="6.63"/>
    <col customWidth="1" min="11" max="11" width="3.88"/>
    <col customWidth="1" min="12" max="26" width="8.0"/>
  </cols>
  <sheetData>
    <row r="1">
      <c r="A1" s="280">
        <f>'00_Regnskab_01'!A29</f>
        <v>26</v>
      </c>
      <c r="B1" s="193">
        <f>'00_Regnskab_01'!C29</f>
        <v>45626</v>
      </c>
      <c r="C1" s="42"/>
      <c r="D1" s="45" t="str">
        <f>'00_Regnskab_01'!L29</f>
        <v>Janus, Berlin</v>
      </c>
      <c r="E1" s="42"/>
      <c r="F1" s="42"/>
      <c r="G1" s="42"/>
      <c r="H1" s="42"/>
      <c r="I1" s="42"/>
      <c r="J1" s="42"/>
      <c r="K1" s="44"/>
      <c r="L1" s="42"/>
      <c r="M1" s="42"/>
      <c r="N1" s="42"/>
      <c r="O1" s="42"/>
      <c r="P1" s="42"/>
      <c r="Q1" s="42"/>
      <c r="R1" s="42"/>
      <c r="S1" s="45" t="s">
        <v>64</v>
      </c>
      <c r="T1" s="42"/>
      <c r="U1" s="42"/>
      <c r="V1" s="32"/>
      <c r="W1" s="32"/>
      <c r="X1" s="32"/>
      <c r="Y1" s="32"/>
    </row>
    <row r="2">
      <c r="A2" s="46" t="s">
        <v>78</v>
      </c>
      <c r="B2" s="46" t="s">
        <v>7</v>
      </c>
      <c r="C2" s="46" t="s">
        <v>8</v>
      </c>
      <c r="D2" s="46" t="s">
        <v>9</v>
      </c>
      <c r="E2" s="46" t="s">
        <v>10</v>
      </c>
      <c r="F2" s="46" t="s">
        <v>278</v>
      </c>
      <c r="G2" s="46" t="s">
        <v>64</v>
      </c>
      <c r="H2" s="46" t="s">
        <v>82</v>
      </c>
      <c r="I2" s="46" t="s">
        <v>83</v>
      </c>
      <c r="J2" s="46" t="s">
        <v>81</v>
      </c>
      <c r="K2" s="46"/>
      <c r="L2" s="56" t="str">
        <f t="shared" ref="L2:O2" si="1">B2</f>
        <v>Thomas</v>
      </c>
      <c r="M2" s="56" t="str">
        <f t="shared" si="1"/>
        <v>Peter</v>
      </c>
      <c r="N2" s="56" t="str">
        <f t="shared" si="1"/>
        <v>Janus</v>
      </c>
      <c r="O2" s="56" t="str">
        <f t="shared" si="1"/>
        <v>Christian</v>
      </c>
      <c r="P2" s="56"/>
      <c r="Q2" s="56"/>
      <c r="R2" s="56"/>
      <c r="S2" s="46" t="s">
        <v>84</v>
      </c>
      <c r="T2" s="46" t="s">
        <v>85</v>
      </c>
      <c r="U2" s="46" t="s">
        <v>86</v>
      </c>
      <c r="V2" s="46" t="s">
        <v>87</v>
      </c>
      <c r="W2" s="46" t="s">
        <v>88</v>
      </c>
      <c r="X2" s="46" t="s">
        <v>89</v>
      </c>
      <c r="Y2" s="46"/>
      <c r="Z2" s="56"/>
    </row>
    <row r="3">
      <c r="A3" s="46">
        <v>1.0</v>
      </c>
      <c r="B3" s="25">
        <v>-8.0</v>
      </c>
      <c r="C3" s="25">
        <v>-8.0</v>
      </c>
      <c r="D3" s="25">
        <v>8.0</v>
      </c>
      <c r="E3" s="25">
        <v>8.0</v>
      </c>
      <c r="F3" s="28">
        <f t="shared" ref="F3:F31" si="3">sum(B3:E3)</f>
        <v>0</v>
      </c>
      <c r="G3" s="25" t="s">
        <v>293</v>
      </c>
      <c r="I3" s="25" t="s">
        <v>9</v>
      </c>
      <c r="J3" s="25" t="s">
        <v>10</v>
      </c>
      <c r="K3" s="56"/>
      <c r="L3" s="139">
        <f t="shared" ref="L3:O3" si="2">B3</f>
        <v>-8</v>
      </c>
      <c r="M3" s="139">
        <f t="shared" si="2"/>
        <v>-8</v>
      </c>
      <c r="N3" s="139">
        <f t="shared" si="2"/>
        <v>8</v>
      </c>
      <c r="O3" s="139">
        <f t="shared" si="2"/>
        <v>8</v>
      </c>
      <c r="P3" s="129"/>
      <c r="Q3" s="129"/>
      <c r="R3" s="281"/>
      <c r="S3" s="129"/>
      <c r="T3" s="129"/>
      <c r="U3" s="129"/>
      <c r="V3" s="129"/>
      <c r="W3" s="129"/>
      <c r="X3" s="129"/>
      <c r="Y3" s="281"/>
    </row>
    <row r="4">
      <c r="A4" s="46">
        <f t="shared" ref="A4:A31" si="5">A3+1</f>
        <v>2</v>
      </c>
      <c r="B4" s="25">
        <v>12.0</v>
      </c>
      <c r="C4" s="25">
        <v>-4.0</v>
      </c>
      <c r="D4" s="25">
        <v>-4.0</v>
      </c>
      <c r="E4" s="25">
        <v>-4.0</v>
      </c>
      <c r="F4" s="28">
        <f t="shared" si="3"/>
        <v>0</v>
      </c>
      <c r="G4" s="25" t="s">
        <v>99</v>
      </c>
      <c r="I4" s="25" t="s">
        <v>7</v>
      </c>
      <c r="K4" s="56"/>
      <c r="L4" s="139">
        <f t="shared" ref="L4:O4" si="4">B4</f>
        <v>12</v>
      </c>
      <c r="M4" s="139">
        <f t="shared" si="4"/>
        <v>-4</v>
      </c>
      <c r="N4" s="139">
        <f t="shared" si="4"/>
        <v>-4</v>
      </c>
      <c r="O4" s="139">
        <f t="shared" si="4"/>
        <v>-4</v>
      </c>
    </row>
    <row r="5">
      <c r="A5" s="46">
        <f t="shared" si="5"/>
        <v>3</v>
      </c>
      <c r="B5" s="25">
        <v>-80.0</v>
      </c>
      <c r="C5" s="25">
        <v>80.0</v>
      </c>
      <c r="D5" s="25">
        <v>80.0</v>
      </c>
      <c r="E5" s="25">
        <v>-80.0</v>
      </c>
      <c r="F5" s="28">
        <f t="shared" si="3"/>
        <v>0</v>
      </c>
      <c r="G5" s="25" t="s">
        <v>488</v>
      </c>
      <c r="H5" s="25" t="s">
        <v>10</v>
      </c>
      <c r="I5" s="25" t="s">
        <v>8</v>
      </c>
      <c r="J5" s="25" t="s">
        <v>9</v>
      </c>
      <c r="K5" s="46"/>
      <c r="L5" s="139">
        <f t="shared" ref="L5:O5" si="6">B5</f>
        <v>-80</v>
      </c>
      <c r="M5" s="139">
        <f t="shared" si="6"/>
        <v>80</v>
      </c>
      <c r="N5" s="139">
        <f t="shared" si="6"/>
        <v>80</v>
      </c>
      <c r="O5" s="139">
        <f t="shared" si="6"/>
        <v>-80</v>
      </c>
    </row>
    <row r="6">
      <c r="A6" s="46">
        <f t="shared" si="5"/>
        <v>4</v>
      </c>
      <c r="B6" s="25">
        <v>-68.0</v>
      </c>
      <c r="C6" s="25">
        <v>76.0</v>
      </c>
      <c r="D6" s="25">
        <v>76.0</v>
      </c>
      <c r="E6" s="25">
        <v>-84.0</v>
      </c>
      <c r="F6" s="28">
        <f t="shared" si="3"/>
        <v>0</v>
      </c>
      <c r="G6" s="25" t="s">
        <v>99</v>
      </c>
      <c r="H6" s="25" t="s">
        <v>8</v>
      </c>
      <c r="I6" s="25" t="s">
        <v>7</v>
      </c>
      <c r="K6" s="46"/>
      <c r="L6" s="139">
        <f t="shared" ref="L6:O6" si="7">B6</f>
        <v>-68</v>
      </c>
      <c r="M6" s="139">
        <f t="shared" si="7"/>
        <v>76</v>
      </c>
      <c r="N6" s="139">
        <f t="shared" si="7"/>
        <v>76</v>
      </c>
      <c r="O6" s="139">
        <f t="shared" si="7"/>
        <v>-84</v>
      </c>
    </row>
    <row r="7">
      <c r="A7" s="46">
        <f t="shared" si="5"/>
        <v>5</v>
      </c>
      <c r="B7" s="25">
        <v>-60.0</v>
      </c>
      <c r="C7" s="25">
        <v>68.0</v>
      </c>
      <c r="D7" s="25">
        <v>68.0</v>
      </c>
      <c r="E7" s="25">
        <v>-76.0</v>
      </c>
      <c r="F7" s="28">
        <f t="shared" si="3"/>
        <v>0</v>
      </c>
      <c r="G7" s="25" t="s">
        <v>489</v>
      </c>
      <c r="H7" s="25" t="s">
        <v>7</v>
      </c>
      <c r="I7" s="25" t="s">
        <v>8</v>
      </c>
      <c r="J7" s="25" t="s">
        <v>9</v>
      </c>
      <c r="K7" s="46"/>
      <c r="L7" s="139">
        <f t="shared" ref="L7:O7" si="8">B7</f>
        <v>-60</v>
      </c>
      <c r="M7" s="139">
        <f t="shared" si="8"/>
        <v>68</v>
      </c>
      <c r="N7" s="139">
        <f t="shared" si="8"/>
        <v>68</v>
      </c>
      <c r="O7" s="139">
        <f t="shared" si="8"/>
        <v>-76</v>
      </c>
    </row>
    <row r="8">
      <c r="A8" s="46">
        <f t="shared" si="5"/>
        <v>6</v>
      </c>
      <c r="B8" s="25">
        <v>-64.0</v>
      </c>
      <c r="C8" s="25">
        <v>80.0</v>
      </c>
      <c r="D8" s="25">
        <v>64.0</v>
      </c>
      <c r="E8" s="25">
        <v>-80.0</v>
      </c>
      <c r="F8" s="28">
        <f t="shared" si="3"/>
        <v>0</v>
      </c>
      <c r="G8" s="25" t="s">
        <v>99</v>
      </c>
      <c r="H8" s="25" t="s">
        <v>9</v>
      </c>
      <c r="I8" s="25" t="s">
        <v>8</v>
      </c>
      <c r="K8" s="46"/>
      <c r="L8" s="139">
        <f t="shared" ref="L8:O8" si="9">B8</f>
        <v>-64</v>
      </c>
      <c r="M8" s="139">
        <f t="shared" si="9"/>
        <v>80</v>
      </c>
      <c r="N8" s="139">
        <f t="shared" si="9"/>
        <v>64</v>
      </c>
      <c r="O8" s="139">
        <f t="shared" si="9"/>
        <v>-80</v>
      </c>
    </row>
    <row r="9">
      <c r="A9" s="46">
        <f t="shared" si="5"/>
        <v>7</v>
      </c>
      <c r="B9" s="25">
        <v>-80.0</v>
      </c>
      <c r="C9" s="25">
        <v>128.0</v>
      </c>
      <c r="D9" s="25">
        <v>48.0</v>
      </c>
      <c r="E9" s="25">
        <v>-96.0</v>
      </c>
      <c r="F9" s="28">
        <f t="shared" si="3"/>
        <v>0</v>
      </c>
      <c r="G9" s="25" t="s">
        <v>101</v>
      </c>
      <c r="I9" s="25" t="s">
        <v>8</v>
      </c>
      <c r="K9" s="46"/>
      <c r="L9" s="139">
        <f t="shared" ref="L9:O9" si="10">B9</f>
        <v>-80</v>
      </c>
      <c r="M9" s="139">
        <f t="shared" si="10"/>
        <v>128</v>
      </c>
      <c r="N9" s="139">
        <f t="shared" si="10"/>
        <v>48</v>
      </c>
      <c r="O9" s="139">
        <f t="shared" si="10"/>
        <v>-96</v>
      </c>
    </row>
    <row r="10">
      <c r="A10" s="46">
        <f t="shared" si="5"/>
        <v>8</v>
      </c>
      <c r="B10" s="25">
        <v>-64.0</v>
      </c>
      <c r="C10" s="25">
        <v>112.0</v>
      </c>
      <c r="D10" s="25">
        <v>64.0</v>
      </c>
      <c r="E10" s="25">
        <v>-112.0</v>
      </c>
      <c r="F10" s="28">
        <f t="shared" si="3"/>
        <v>0</v>
      </c>
      <c r="G10" s="25" t="s">
        <v>490</v>
      </c>
      <c r="H10" s="25" t="s">
        <v>9</v>
      </c>
      <c r="J10" s="25" t="s">
        <v>7</v>
      </c>
      <c r="K10" s="56"/>
      <c r="L10" s="139">
        <f t="shared" ref="L10:O10" si="11">B10</f>
        <v>-64</v>
      </c>
      <c r="M10" s="139">
        <f t="shared" si="11"/>
        <v>112</v>
      </c>
      <c r="N10" s="139">
        <f t="shared" si="11"/>
        <v>64</v>
      </c>
      <c r="O10" s="139">
        <f t="shared" si="11"/>
        <v>-112</v>
      </c>
    </row>
    <row r="11">
      <c r="A11" s="46">
        <f t="shared" si="5"/>
        <v>9</v>
      </c>
      <c r="B11" s="25">
        <v>-60.0</v>
      </c>
      <c r="C11" s="25">
        <v>116.0</v>
      </c>
      <c r="D11" s="25">
        <v>52.0</v>
      </c>
      <c r="E11" s="25">
        <v>-108.0</v>
      </c>
      <c r="F11" s="28">
        <f t="shared" si="3"/>
        <v>0</v>
      </c>
      <c r="G11" s="25" t="s">
        <v>99</v>
      </c>
      <c r="I11" s="25" t="s">
        <v>9</v>
      </c>
      <c r="K11" s="46"/>
      <c r="L11" s="139">
        <f t="shared" ref="L11:O11" si="12">B11</f>
        <v>-60</v>
      </c>
      <c r="M11" s="139">
        <f t="shared" si="12"/>
        <v>116</v>
      </c>
      <c r="N11" s="139">
        <f t="shared" si="12"/>
        <v>52</v>
      </c>
      <c r="O11" s="139">
        <f t="shared" si="12"/>
        <v>-108</v>
      </c>
    </row>
    <row r="12">
      <c r="A12" s="46">
        <f t="shared" si="5"/>
        <v>10</v>
      </c>
      <c r="B12" s="25">
        <v>-68.0</v>
      </c>
      <c r="C12" s="25">
        <v>124.0</v>
      </c>
      <c r="D12" s="25">
        <v>44.0</v>
      </c>
      <c r="E12" s="25">
        <v>-100.0</v>
      </c>
      <c r="F12" s="28">
        <f t="shared" si="3"/>
        <v>0</v>
      </c>
      <c r="G12" s="25" t="s">
        <v>489</v>
      </c>
      <c r="I12" s="25" t="s">
        <v>10</v>
      </c>
      <c r="J12" s="25" t="s">
        <v>8</v>
      </c>
      <c r="K12" s="46"/>
      <c r="L12" s="139">
        <f t="shared" ref="L12:O12" si="13">B12</f>
        <v>-68</v>
      </c>
      <c r="M12" s="139">
        <f t="shared" si="13"/>
        <v>124</v>
      </c>
      <c r="N12" s="139">
        <f t="shared" si="13"/>
        <v>44</v>
      </c>
      <c r="O12" s="139">
        <f t="shared" si="13"/>
        <v>-100</v>
      </c>
    </row>
    <row r="13">
      <c r="A13" s="46">
        <f t="shared" si="5"/>
        <v>11</v>
      </c>
      <c r="B13" s="25">
        <v>-60.0</v>
      </c>
      <c r="C13" s="25">
        <v>100.0</v>
      </c>
      <c r="D13" s="25">
        <v>52.0</v>
      </c>
      <c r="E13" s="25">
        <v>-92.0</v>
      </c>
      <c r="F13" s="28">
        <f t="shared" si="3"/>
        <v>0</v>
      </c>
      <c r="G13" s="25" t="s">
        <v>97</v>
      </c>
      <c r="I13" s="25" t="s">
        <v>8</v>
      </c>
      <c r="K13" s="56"/>
      <c r="L13" s="139">
        <f t="shared" ref="L13:O13" si="14">B13</f>
        <v>-60</v>
      </c>
      <c r="M13" s="139">
        <f t="shared" si="14"/>
        <v>100</v>
      </c>
      <c r="N13" s="139">
        <f t="shared" si="14"/>
        <v>52</v>
      </c>
      <c r="O13" s="139">
        <f t="shared" si="14"/>
        <v>-92</v>
      </c>
    </row>
    <row r="14">
      <c r="A14" s="46">
        <f t="shared" si="5"/>
        <v>12</v>
      </c>
      <c r="B14" s="25">
        <v>-48.0</v>
      </c>
      <c r="C14" s="25">
        <v>96.0</v>
      </c>
      <c r="D14" s="25">
        <v>48.0</v>
      </c>
      <c r="E14" s="25">
        <v>-96.0</v>
      </c>
      <c r="F14" s="28">
        <f t="shared" si="3"/>
        <v>0</v>
      </c>
      <c r="G14" s="25" t="s">
        <v>99</v>
      </c>
      <c r="I14" s="25" t="s">
        <v>7</v>
      </c>
      <c r="K14" s="46"/>
      <c r="L14" s="139">
        <f t="shared" ref="L14:O14" si="15">B14</f>
        <v>-48</v>
      </c>
      <c r="M14" s="139">
        <f t="shared" si="15"/>
        <v>96</v>
      </c>
      <c r="N14" s="139">
        <f t="shared" si="15"/>
        <v>48</v>
      </c>
      <c r="O14" s="139">
        <f t="shared" si="15"/>
        <v>-96</v>
      </c>
    </row>
    <row r="15">
      <c r="A15" s="46">
        <f t="shared" si="5"/>
        <v>13</v>
      </c>
      <c r="B15" s="25">
        <v>-16.0</v>
      </c>
      <c r="C15" s="25">
        <v>64.0</v>
      </c>
      <c r="D15" s="25">
        <v>80.0</v>
      </c>
      <c r="E15" s="25">
        <v>-128.0</v>
      </c>
      <c r="F15" s="28">
        <f t="shared" si="3"/>
        <v>0</v>
      </c>
      <c r="G15" s="25" t="s">
        <v>409</v>
      </c>
      <c r="I15" s="25" t="s">
        <v>7</v>
      </c>
      <c r="J15" s="25" t="s">
        <v>9</v>
      </c>
      <c r="K15" s="46"/>
      <c r="L15" s="139">
        <f t="shared" ref="L15:O15" si="16">B15</f>
        <v>-16</v>
      </c>
      <c r="M15" s="139">
        <f t="shared" si="16"/>
        <v>64</v>
      </c>
      <c r="N15" s="139">
        <f t="shared" si="16"/>
        <v>80</v>
      </c>
      <c r="O15" s="139">
        <f t="shared" si="16"/>
        <v>-128</v>
      </c>
    </row>
    <row r="16">
      <c r="A16" s="46">
        <f t="shared" si="5"/>
        <v>14</v>
      </c>
      <c r="B16" s="25">
        <v>-64.0</v>
      </c>
      <c r="C16" s="25">
        <v>80.0</v>
      </c>
      <c r="D16" s="25">
        <v>96.0</v>
      </c>
      <c r="E16" s="25">
        <v>-112.0</v>
      </c>
      <c r="F16" s="28">
        <f t="shared" si="3"/>
        <v>0</v>
      </c>
      <c r="G16" s="25" t="s">
        <v>97</v>
      </c>
      <c r="I16" s="25" t="s">
        <v>7</v>
      </c>
      <c r="K16" s="56"/>
      <c r="L16" s="139">
        <f t="shared" ref="L16:O16" si="17">B16</f>
        <v>-64</v>
      </c>
      <c r="M16" s="139">
        <f t="shared" si="17"/>
        <v>80</v>
      </c>
      <c r="N16" s="139">
        <f t="shared" si="17"/>
        <v>96</v>
      </c>
      <c r="O16" s="139">
        <f t="shared" si="17"/>
        <v>-112</v>
      </c>
    </row>
    <row r="17">
      <c r="A17" s="46">
        <f t="shared" si="5"/>
        <v>15</v>
      </c>
      <c r="B17" s="25">
        <v>-60.0</v>
      </c>
      <c r="C17" s="25">
        <v>68.0</v>
      </c>
      <c r="D17" s="25">
        <v>100.0</v>
      </c>
      <c r="E17" s="25">
        <v>-108.0</v>
      </c>
      <c r="F17" s="28">
        <f t="shared" si="3"/>
        <v>0</v>
      </c>
      <c r="G17" s="25" t="s">
        <v>99</v>
      </c>
      <c r="I17" s="25" t="s">
        <v>8</v>
      </c>
      <c r="K17" s="56"/>
      <c r="L17" s="139">
        <f t="shared" ref="L17:O17" si="18">B17</f>
        <v>-60</v>
      </c>
      <c r="M17" s="139">
        <f t="shared" si="18"/>
        <v>68</v>
      </c>
      <c r="N17" s="139">
        <f t="shared" si="18"/>
        <v>100</v>
      </c>
      <c r="O17" s="139">
        <f t="shared" si="18"/>
        <v>-108</v>
      </c>
    </row>
    <row r="18">
      <c r="A18" s="46">
        <f t="shared" si="5"/>
        <v>16</v>
      </c>
      <c r="B18" s="25">
        <v>-56.0</v>
      </c>
      <c r="C18" s="25">
        <v>72.0</v>
      </c>
      <c r="D18" s="25">
        <v>104.0</v>
      </c>
      <c r="E18" s="25">
        <v>-120.0</v>
      </c>
      <c r="F18" s="28">
        <f t="shared" si="3"/>
        <v>0</v>
      </c>
      <c r="G18" s="25" t="s">
        <v>99</v>
      </c>
      <c r="I18" s="25" t="s">
        <v>10</v>
      </c>
      <c r="K18" s="56"/>
      <c r="L18" s="139">
        <f t="shared" ref="L18:O18" si="19">B18</f>
        <v>-56</v>
      </c>
      <c r="M18" s="139">
        <f t="shared" si="19"/>
        <v>72</v>
      </c>
      <c r="N18" s="139">
        <f t="shared" si="19"/>
        <v>104</v>
      </c>
      <c r="O18" s="139">
        <f t="shared" si="19"/>
        <v>-120</v>
      </c>
    </row>
    <row r="19">
      <c r="A19" s="46">
        <f t="shared" si="5"/>
        <v>17</v>
      </c>
      <c r="B19" s="25">
        <v>8.0</v>
      </c>
      <c r="C19" s="25">
        <v>136.0</v>
      </c>
      <c r="D19" s="25">
        <v>40.0</v>
      </c>
      <c r="E19" s="25">
        <v>-184.0</v>
      </c>
      <c r="F19" s="28">
        <f t="shared" si="3"/>
        <v>0</v>
      </c>
      <c r="G19" s="25" t="s">
        <v>357</v>
      </c>
      <c r="I19" s="25" t="s">
        <v>7</v>
      </c>
      <c r="J19" s="25" t="s">
        <v>8</v>
      </c>
      <c r="K19" s="46"/>
      <c r="L19" s="139">
        <f t="shared" ref="L19:O19" si="20">B19</f>
        <v>8</v>
      </c>
      <c r="M19" s="139">
        <f t="shared" si="20"/>
        <v>136</v>
      </c>
      <c r="N19" s="139">
        <f t="shared" si="20"/>
        <v>40</v>
      </c>
      <c r="O19" s="139">
        <f t="shared" si="20"/>
        <v>-184</v>
      </c>
    </row>
    <row r="20">
      <c r="A20" s="46">
        <f t="shared" si="5"/>
        <v>18</v>
      </c>
      <c r="B20" s="25">
        <v>4.0</v>
      </c>
      <c r="C20" s="25">
        <v>140.0</v>
      </c>
      <c r="D20" s="25">
        <v>44.0</v>
      </c>
      <c r="E20" s="25">
        <v>-188.0</v>
      </c>
      <c r="F20" s="28">
        <f t="shared" si="3"/>
        <v>0</v>
      </c>
      <c r="G20" s="25" t="s">
        <v>491</v>
      </c>
      <c r="I20" s="25" t="s">
        <v>8</v>
      </c>
      <c r="J20" s="25" t="s">
        <v>10</v>
      </c>
      <c r="K20" s="56"/>
      <c r="L20" s="139">
        <f t="shared" ref="L20:O20" si="21">B20</f>
        <v>4</v>
      </c>
      <c r="M20" s="139">
        <f t="shared" si="21"/>
        <v>140</v>
      </c>
      <c r="N20" s="139">
        <f t="shared" si="21"/>
        <v>44</v>
      </c>
      <c r="O20" s="139">
        <f t="shared" si="21"/>
        <v>-188</v>
      </c>
    </row>
    <row r="21">
      <c r="A21" s="46">
        <f t="shared" si="5"/>
        <v>19</v>
      </c>
      <c r="B21" s="25">
        <v>8.0</v>
      </c>
      <c r="C21" s="25">
        <v>144.0</v>
      </c>
      <c r="D21" s="25">
        <v>32.0</v>
      </c>
      <c r="E21" s="25">
        <v>-184.0</v>
      </c>
      <c r="F21" s="28">
        <f t="shared" si="3"/>
        <v>0</v>
      </c>
      <c r="G21" s="25" t="s">
        <v>99</v>
      </c>
      <c r="I21" s="25" t="s">
        <v>9</v>
      </c>
      <c r="K21" s="46"/>
      <c r="L21" s="139">
        <f t="shared" ref="L21:O21" si="22">B21</f>
        <v>8</v>
      </c>
      <c r="M21" s="139">
        <f t="shared" si="22"/>
        <v>144</v>
      </c>
      <c r="N21" s="139">
        <f t="shared" si="22"/>
        <v>32</v>
      </c>
      <c r="O21" s="139">
        <f t="shared" si="22"/>
        <v>-184</v>
      </c>
    </row>
    <row r="22">
      <c r="A22" s="46">
        <f t="shared" si="5"/>
        <v>20</v>
      </c>
      <c r="B22" s="25">
        <v>32.0</v>
      </c>
      <c r="C22" s="25">
        <v>120.0</v>
      </c>
      <c r="D22" s="25">
        <v>8.0</v>
      </c>
      <c r="E22" s="25">
        <v>-160.0</v>
      </c>
      <c r="F22" s="28">
        <f t="shared" si="3"/>
        <v>0</v>
      </c>
      <c r="G22" s="25" t="s">
        <v>401</v>
      </c>
      <c r="I22" s="25" t="s">
        <v>7</v>
      </c>
      <c r="K22" s="46"/>
      <c r="L22" s="139">
        <f t="shared" ref="L22:O22" si="23">B22</f>
        <v>32</v>
      </c>
      <c r="M22" s="139">
        <f t="shared" si="23"/>
        <v>120</v>
      </c>
      <c r="N22" s="139">
        <f t="shared" si="23"/>
        <v>8</v>
      </c>
      <c r="O22" s="139">
        <f t="shared" si="23"/>
        <v>-160</v>
      </c>
    </row>
    <row r="23">
      <c r="A23" s="46">
        <f t="shared" si="5"/>
        <v>21</v>
      </c>
      <c r="B23" s="25">
        <v>80.0</v>
      </c>
      <c r="C23" s="25">
        <v>72.0</v>
      </c>
      <c r="D23" s="25">
        <v>-40.0</v>
      </c>
      <c r="E23" s="25">
        <v>-112.0</v>
      </c>
      <c r="F23" s="28">
        <f t="shared" si="3"/>
        <v>0</v>
      </c>
      <c r="G23" s="25" t="s">
        <v>368</v>
      </c>
      <c r="I23" s="25" t="s">
        <v>7</v>
      </c>
      <c r="J23" s="25" t="s">
        <v>10</v>
      </c>
      <c r="K23" s="56"/>
      <c r="L23" s="139">
        <f t="shared" ref="L23:O23" si="24">B23</f>
        <v>80</v>
      </c>
      <c r="M23" s="139">
        <f t="shared" si="24"/>
        <v>72</v>
      </c>
      <c r="N23" s="139">
        <f t="shared" si="24"/>
        <v>-40</v>
      </c>
      <c r="O23" s="139">
        <f t="shared" si="24"/>
        <v>-112</v>
      </c>
    </row>
    <row r="24">
      <c r="A24" s="46">
        <f t="shared" si="5"/>
        <v>22</v>
      </c>
      <c r="B24" s="25">
        <v>104.0</v>
      </c>
      <c r="C24" s="25">
        <v>64.0</v>
      </c>
      <c r="D24" s="25">
        <v>-48.0</v>
      </c>
      <c r="E24" s="25">
        <v>-120.0</v>
      </c>
      <c r="F24" s="28">
        <f t="shared" si="3"/>
        <v>0</v>
      </c>
      <c r="G24" s="25" t="s">
        <v>97</v>
      </c>
      <c r="I24" s="25" t="s">
        <v>7</v>
      </c>
      <c r="K24" s="56"/>
      <c r="L24" s="139">
        <f t="shared" ref="L24:O24" si="25">B24</f>
        <v>104</v>
      </c>
      <c r="M24" s="139">
        <f t="shared" si="25"/>
        <v>64</v>
      </c>
      <c r="N24" s="139">
        <f t="shared" si="25"/>
        <v>-48</v>
      </c>
      <c r="O24" s="139">
        <f t="shared" si="25"/>
        <v>-120</v>
      </c>
    </row>
    <row r="25">
      <c r="A25" s="46">
        <f t="shared" si="5"/>
        <v>23</v>
      </c>
      <c r="B25" s="25">
        <v>56.0</v>
      </c>
      <c r="C25" s="25">
        <v>80.0</v>
      </c>
      <c r="D25" s="25">
        <v>-32.0</v>
      </c>
      <c r="E25" s="25">
        <v>-104.0</v>
      </c>
      <c r="F25" s="28">
        <f t="shared" si="3"/>
        <v>0</v>
      </c>
      <c r="G25" s="25" t="s">
        <v>401</v>
      </c>
      <c r="I25" s="25" t="s">
        <v>7</v>
      </c>
      <c r="J25" s="25" t="s">
        <v>492</v>
      </c>
      <c r="K25" s="56"/>
      <c r="L25" s="139">
        <f t="shared" ref="L25:O25" si="26">B25</f>
        <v>56</v>
      </c>
      <c r="M25" s="139">
        <f t="shared" si="26"/>
        <v>80</v>
      </c>
      <c r="N25" s="139">
        <f t="shared" si="26"/>
        <v>-32</v>
      </c>
      <c r="O25" s="139">
        <f t="shared" si="26"/>
        <v>-104</v>
      </c>
    </row>
    <row r="26">
      <c r="A26" s="46">
        <f t="shared" si="5"/>
        <v>24</v>
      </c>
      <c r="B26" s="25">
        <v>64.0</v>
      </c>
      <c r="C26" s="25">
        <v>72.0</v>
      </c>
      <c r="D26" s="25">
        <v>-24.0</v>
      </c>
      <c r="E26" s="25">
        <v>-112.0</v>
      </c>
      <c r="F26" s="28">
        <f t="shared" si="3"/>
        <v>0</v>
      </c>
      <c r="G26" s="25" t="s">
        <v>299</v>
      </c>
      <c r="I26" s="25" t="s">
        <v>7</v>
      </c>
      <c r="J26" s="25" t="s">
        <v>9</v>
      </c>
      <c r="K26" s="56"/>
      <c r="L26" s="139">
        <f t="shared" ref="L26:O26" si="27">B26</f>
        <v>64</v>
      </c>
      <c r="M26" s="139">
        <f t="shared" si="27"/>
        <v>72</v>
      </c>
      <c r="N26" s="139">
        <f t="shared" si="27"/>
        <v>-24</v>
      </c>
      <c r="O26" s="139">
        <f t="shared" si="27"/>
        <v>-112</v>
      </c>
    </row>
    <row r="27">
      <c r="A27" s="46">
        <f t="shared" si="5"/>
        <v>25</v>
      </c>
      <c r="B27" s="25">
        <v>96.0</v>
      </c>
      <c r="C27" s="25">
        <v>40.0</v>
      </c>
      <c r="D27" s="25">
        <v>-56.0</v>
      </c>
      <c r="E27" s="25">
        <v>-80.0</v>
      </c>
      <c r="F27" s="28">
        <f t="shared" si="3"/>
        <v>0</v>
      </c>
      <c r="G27" s="25" t="s">
        <v>401</v>
      </c>
      <c r="I27" s="25" t="s">
        <v>7</v>
      </c>
      <c r="J27" s="25" t="s">
        <v>10</v>
      </c>
      <c r="K27" s="56"/>
      <c r="L27" s="139">
        <f t="shared" ref="L27:O27" si="28">B27</f>
        <v>96</v>
      </c>
      <c r="M27" s="139">
        <f t="shared" si="28"/>
        <v>40</v>
      </c>
      <c r="N27" s="139">
        <f t="shared" si="28"/>
        <v>-56</v>
      </c>
      <c r="O27" s="139">
        <f t="shared" si="28"/>
        <v>-80</v>
      </c>
    </row>
    <row r="28">
      <c r="A28" s="46">
        <f t="shared" si="5"/>
        <v>26</v>
      </c>
      <c r="B28" s="25">
        <v>128.0</v>
      </c>
      <c r="C28" s="25">
        <v>8.0</v>
      </c>
      <c r="D28" s="25">
        <v>-24.0</v>
      </c>
      <c r="E28" s="25">
        <v>-112.0</v>
      </c>
      <c r="F28" s="28">
        <f t="shared" si="3"/>
        <v>0</v>
      </c>
      <c r="G28" s="25" t="s">
        <v>401</v>
      </c>
      <c r="I28" s="25" t="s">
        <v>7</v>
      </c>
      <c r="J28" s="25" t="s">
        <v>9</v>
      </c>
      <c r="K28" s="56"/>
      <c r="L28" s="139">
        <f t="shared" ref="L28:O28" si="29">B28</f>
        <v>128</v>
      </c>
      <c r="M28" s="139">
        <f t="shared" si="29"/>
        <v>8</v>
      </c>
      <c r="N28" s="139">
        <f t="shared" si="29"/>
        <v>-24</v>
      </c>
      <c r="O28" s="139">
        <f t="shared" si="29"/>
        <v>-112</v>
      </c>
    </row>
    <row r="29">
      <c r="A29" s="46">
        <f t="shared" si="5"/>
        <v>27</v>
      </c>
      <c r="B29" s="25">
        <v>136.0</v>
      </c>
      <c r="C29" s="25">
        <v>16.0</v>
      </c>
      <c r="D29" s="25">
        <v>-32.0</v>
      </c>
      <c r="E29" s="25">
        <v>-120.0</v>
      </c>
      <c r="F29" s="28">
        <f t="shared" si="3"/>
        <v>0</v>
      </c>
      <c r="G29" s="25" t="s">
        <v>493</v>
      </c>
      <c r="I29" s="25" t="s">
        <v>9</v>
      </c>
      <c r="J29" s="25" t="s">
        <v>10</v>
      </c>
      <c r="K29" s="56"/>
      <c r="L29" s="139">
        <f t="shared" ref="L29:O29" si="30">B29</f>
        <v>136</v>
      </c>
      <c r="M29" s="139">
        <f t="shared" si="30"/>
        <v>16</v>
      </c>
      <c r="N29" s="139">
        <f t="shared" si="30"/>
        <v>-32</v>
      </c>
      <c r="O29" s="139">
        <f t="shared" si="30"/>
        <v>-120</v>
      </c>
    </row>
    <row r="30">
      <c r="A30" s="46">
        <f t="shared" si="5"/>
        <v>28</v>
      </c>
      <c r="B30" s="25">
        <v>128.0</v>
      </c>
      <c r="C30" s="25">
        <v>24.0</v>
      </c>
      <c r="D30" s="25">
        <v>-40.0</v>
      </c>
      <c r="E30" s="25">
        <v>-112.0</v>
      </c>
      <c r="F30" s="28">
        <f t="shared" si="3"/>
        <v>0</v>
      </c>
      <c r="G30" s="25" t="s">
        <v>293</v>
      </c>
      <c r="I30" s="25" t="s">
        <v>8</v>
      </c>
      <c r="J30" s="25" t="s">
        <v>10</v>
      </c>
      <c r="K30" s="56"/>
      <c r="L30" s="139">
        <f t="shared" ref="L30:O30" si="31">B30</f>
        <v>128</v>
      </c>
      <c r="M30" s="139">
        <f t="shared" si="31"/>
        <v>24</v>
      </c>
      <c r="N30" s="139">
        <f t="shared" si="31"/>
        <v>-40</v>
      </c>
      <c r="O30" s="139">
        <f t="shared" si="31"/>
        <v>-112</v>
      </c>
    </row>
    <row r="31">
      <c r="A31" s="46">
        <f t="shared" si="5"/>
        <v>29</v>
      </c>
      <c r="B31" s="25">
        <v>184.0</v>
      </c>
      <c r="C31" s="25">
        <v>-32.0</v>
      </c>
      <c r="D31" s="25">
        <v>-96.0</v>
      </c>
      <c r="E31" s="25">
        <v>-56.0</v>
      </c>
      <c r="F31" s="28">
        <f t="shared" si="3"/>
        <v>0</v>
      </c>
      <c r="G31" s="25" t="s">
        <v>311</v>
      </c>
      <c r="I31" s="25" t="s">
        <v>8</v>
      </c>
      <c r="J31" s="25" t="s">
        <v>9</v>
      </c>
      <c r="K31" s="56"/>
      <c r="L31" s="139">
        <f t="shared" ref="L31:O31" si="32">B31</f>
        <v>184</v>
      </c>
      <c r="M31" s="139">
        <f t="shared" si="32"/>
        <v>-32</v>
      </c>
      <c r="N31" s="139">
        <f t="shared" si="32"/>
        <v>-96</v>
      </c>
      <c r="O31" s="139">
        <f t="shared" si="32"/>
        <v>-56</v>
      </c>
    </row>
    <row r="32">
      <c r="A32" s="56"/>
      <c r="K32" s="56"/>
    </row>
    <row r="33">
      <c r="A33" s="46" t="s">
        <v>477</v>
      </c>
      <c r="B33" s="56">
        <f t="shared" ref="B33:E33" si="33">sum(B3:B32)</f>
        <v>184</v>
      </c>
      <c r="C33" s="56">
        <f t="shared" si="33"/>
        <v>2136</v>
      </c>
      <c r="D33" s="56">
        <f t="shared" si="33"/>
        <v>712</v>
      </c>
      <c r="E33" s="56">
        <f t="shared" si="33"/>
        <v>-3032</v>
      </c>
      <c r="F33" s="56"/>
      <c r="G33" s="56"/>
      <c r="H33" s="56"/>
      <c r="I33" s="56"/>
      <c r="J33" s="56"/>
      <c r="K33" s="56"/>
      <c r="L33" s="56"/>
      <c r="M33" s="56"/>
      <c r="N33" s="56"/>
      <c r="O33" s="56"/>
      <c r="P33" s="56"/>
      <c r="Q33" s="56"/>
      <c r="R33" s="56"/>
      <c r="S33" s="56"/>
      <c r="T33" s="56"/>
      <c r="U33" s="56"/>
      <c r="V33" s="56"/>
      <c r="W33" s="56"/>
      <c r="X33" s="56"/>
      <c r="Y33" s="56"/>
      <c r="Z33" s="56"/>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13"/>
    <col customWidth="1" min="2" max="5" width="7.88"/>
    <col customWidth="1" min="6" max="6" width="6.63"/>
    <col customWidth="1" min="11" max="11" width="3.88"/>
    <col customWidth="1" min="12" max="34" width="8.0"/>
  </cols>
  <sheetData>
    <row r="1">
      <c r="A1" s="280">
        <f>'00_Regnskab_01'!A29</f>
        <v>26</v>
      </c>
      <c r="B1" s="193">
        <f>'00_Regnskab_01'!C29</f>
        <v>45626</v>
      </c>
      <c r="C1" s="42"/>
      <c r="D1" s="45" t="str">
        <f>'00_Regnskab_01'!L29</f>
        <v>Janus, Berlin</v>
      </c>
      <c r="E1" s="42"/>
      <c r="F1" s="42"/>
      <c r="G1" s="42"/>
      <c r="H1" s="42"/>
      <c r="I1" s="42"/>
      <c r="J1" s="42"/>
      <c r="K1" s="44"/>
      <c r="L1" s="42"/>
      <c r="M1" s="42"/>
      <c r="N1" s="42"/>
      <c r="O1" s="42"/>
      <c r="P1" s="42"/>
      <c r="Q1" s="42"/>
      <c r="R1" s="42"/>
      <c r="S1" s="283"/>
      <c r="T1" s="42"/>
      <c r="U1" s="42"/>
      <c r="V1" s="42"/>
      <c r="W1" s="284"/>
      <c r="X1" s="42"/>
      <c r="Y1" s="42"/>
      <c r="Z1" s="42"/>
      <c r="AA1" s="45" t="s">
        <v>64</v>
      </c>
      <c r="AB1" s="42"/>
      <c r="AC1" s="42"/>
      <c r="AD1" s="32"/>
      <c r="AE1" s="32"/>
      <c r="AF1" s="32"/>
      <c r="AG1" s="32"/>
    </row>
    <row r="2">
      <c r="A2" s="46" t="s">
        <v>78</v>
      </c>
      <c r="B2" s="46" t="s">
        <v>7</v>
      </c>
      <c r="C2" s="46" t="s">
        <v>8</v>
      </c>
      <c r="D2" s="46" t="s">
        <v>9</v>
      </c>
      <c r="E2" s="46" t="s">
        <v>10</v>
      </c>
      <c r="F2" s="46" t="s">
        <v>278</v>
      </c>
      <c r="G2" s="46" t="s">
        <v>64</v>
      </c>
      <c r="H2" s="46" t="s">
        <v>82</v>
      </c>
      <c r="I2" s="46" t="s">
        <v>83</v>
      </c>
      <c r="J2" s="46" t="s">
        <v>81</v>
      </c>
      <c r="K2" s="46"/>
      <c r="L2" s="56" t="str">
        <f t="shared" ref="L2:O2" si="1">B2</f>
        <v>Thomas</v>
      </c>
      <c r="M2" s="56" t="str">
        <f t="shared" si="1"/>
        <v>Peter</v>
      </c>
      <c r="N2" s="56" t="str">
        <f t="shared" si="1"/>
        <v>Janus</v>
      </c>
      <c r="O2" s="56" t="str">
        <f t="shared" si="1"/>
        <v>Christian</v>
      </c>
      <c r="P2" s="56"/>
      <c r="Q2" s="46" t="s">
        <v>494</v>
      </c>
      <c r="R2" s="46" t="s">
        <v>495</v>
      </c>
      <c r="S2" s="285" t="s">
        <v>496</v>
      </c>
      <c r="T2" s="46" t="s">
        <v>497</v>
      </c>
      <c r="U2" s="46" t="s">
        <v>498</v>
      </c>
      <c r="V2" s="46" t="s">
        <v>499</v>
      </c>
      <c r="W2" s="286" t="s">
        <v>500</v>
      </c>
      <c r="X2" s="287" t="s">
        <v>501</v>
      </c>
      <c r="Y2" s="287" t="s">
        <v>502</v>
      </c>
      <c r="Z2" s="287" t="s">
        <v>503</v>
      </c>
      <c r="AA2" s="46" t="s">
        <v>84</v>
      </c>
      <c r="AB2" s="46" t="s">
        <v>85</v>
      </c>
      <c r="AC2" s="46" t="s">
        <v>86</v>
      </c>
      <c r="AD2" s="46" t="s">
        <v>87</v>
      </c>
      <c r="AE2" s="46" t="s">
        <v>88</v>
      </c>
      <c r="AF2" s="46" t="s">
        <v>89</v>
      </c>
      <c r="AG2" s="46"/>
      <c r="AH2" s="56"/>
    </row>
    <row r="3">
      <c r="A3" s="46">
        <v>1.0</v>
      </c>
      <c r="B3" s="25">
        <v>-8.0</v>
      </c>
      <c r="C3" s="25">
        <v>-8.0</v>
      </c>
      <c r="D3" s="25">
        <v>8.0</v>
      </c>
      <c r="E3" s="25">
        <v>8.0</v>
      </c>
      <c r="F3" s="28">
        <f t="shared" ref="F3:F31" si="4">SUM(B3:E3)</f>
        <v>0</v>
      </c>
      <c r="G3" s="25" t="s">
        <v>293</v>
      </c>
      <c r="I3" s="25" t="s">
        <v>9</v>
      </c>
      <c r="J3" s="25" t="s">
        <v>10</v>
      </c>
      <c r="K3" s="56"/>
      <c r="L3" s="139">
        <f t="shared" ref="L3:O3" si="2">B3</f>
        <v>-8</v>
      </c>
      <c r="M3" s="139">
        <f t="shared" si="2"/>
        <v>-8</v>
      </c>
      <c r="N3" s="139">
        <f t="shared" si="2"/>
        <v>8</v>
      </c>
      <c r="O3" s="139">
        <f t="shared" si="2"/>
        <v>8</v>
      </c>
      <c r="P3" s="129" t="str">
        <f t="shared" ref="P3:P31" si="6">G3</f>
        <v>9 halve</v>
      </c>
      <c r="Q3" s="131">
        <v>8.0</v>
      </c>
      <c r="R3" s="288">
        <v>-8.0</v>
      </c>
      <c r="S3" s="289">
        <v>-8.0</v>
      </c>
      <c r="T3" s="288">
        <v>-8.0</v>
      </c>
      <c r="U3" s="290">
        <v>8.0</v>
      </c>
      <c r="V3" s="290">
        <v>8.0</v>
      </c>
      <c r="W3" s="291">
        <f t="shared" ref="W3:Z3" si="3">S3</f>
        <v>-8</v>
      </c>
      <c r="X3" s="290">
        <f t="shared" si="3"/>
        <v>-8</v>
      </c>
      <c r="Y3" s="290">
        <f t="shared" si="3"/>
        <v>8</v>
      </c>
      <c r="Z3" s="290">
        <f t="shared" si="3"/>
        <v>8</v>
      </c>
      <c r="AA3" s="129"/>
      <c r="AB3" s="129"/>
      <c r="AC3" s="129"/>
      <c r="AD3" s="129"/>
      <c r="AE3" s="129"/>
      <c r="AF3" s="129"/>
      <c r="AG3" s="281"/>
    </row>
    <row r="4">
      <c r="A4" s="46">
        <f t="shared" ref="A4:A31" si="8">A3+1</f>
        <v>2</v>
      </c>
      <c r="B4" s="25">
        <v>12.0</v>
      </c>
      <c r="C4" s="25">
        <v>-4.0</v>
      </c>
      <c r="D4" s="25">
        <v>-4.0</v>
      </c>
      <c r="E4" s="25">
        <v>-4.0</v>
      </c>
      <c r="F4" s="28">
        <f t="shared" si="4"/>
        <v>0</v>
      </c>
      <c r="G4" s="25" t="s">
        <v>99</v>
      </c>
      <c r="I4" s="25" t="s">
        <v>7</v>
      </c>
      <c r="K4" s="56"/>
      <c r="L4" s="139">
        <f t="shared" ref="L4:O4" si="5">SUM(B3-B4)</f>
        <v>-20</v>
      </c>
      <c r="M4" s="139">
        <f t="shared" si="5"/>
        <v>-4</v>
      </c>
      <c r="N4" s="139">
        <f t="shared" si="5"/>
        <v>12</v>
      </c>
      <c r="O4" s="139">
        <f t="shared" si="5"/>
        <v>12</v>
      </c>
      <c r="P4" s="129" t="str">
        <f t="shared" si="6"/>
        <v>Sol</v>
      </c>
      <c r="Q4" s="25">
        <v>12.0</v>
      </c>
      <c r="R4" s="25">
        <v>-4.0</v>
      </c>
      <c r="S4" s="117">
        <v>12.0</v>
      </c>
      <c r="T4" s="25">
        <v>-4.0</v>
      </c>
      <c r="U4" s="25">
        <v>-4.0</v>
      </c>
      <c r="V4" s="25">
        <v>-4.0</v>
      </c>
      <c r="W4" s="54">
        <f t="shared" ref="W4:Z4" si="7">W3+S4</f>
        <v>4</v>
      </c>
      <c r="X4" s="25">
        <f t="shared" si="7"/>
        <v>-12</v>
      </c>
      <c r="Y4" s="25">
        <f t="shared" si="7"/>
        <v>4</v>
      </c>
      <c r="Z4" s="25">
        <f t="shared" si="7"/>
        <v>4</v>
      </c>
    </row>
    <row r="5">
      <c r="A5" s="46">
        <f t="shared" si="8"/>
        <v>3</v>
      </c>
      <c r="B5" s="25">
        <v>-80.0</v>
      </c>
      <c r="C5" s="25">
        <v>80.0</v>
      </c>
      <c r="D5" s="25">
        <v>80.0</v>
      </c>
      <c r="E5" s="25">
        <v>-80.0</v>
      </c>
      <c r="F5" s="28">
        <f t="shared" si="4"/>
        <v>0</v>
      </c>
      <c r="G5" s="25" t="s">
        <v>488</v>
      </c>
      <c r="H5" s="25" t="s">
        <v>10</v>
      </c>
      <c r="I5" s="25" t="s">
        <v>8</v>
      </c>
      <c r="J5" s="25" t="s">
        <v>9</v>
      </c>
      <c r="K5" s="46"/>
      <c r="L5" s="139">
        <f t="shared" ref="L5:O5" si="9">SUM(B4-B5)</f>
        <v>92</v>
      </c>
      <c r="M5" s="139">
        <f t="shared" si="9"/>
        <v>-84</v>
      </c>
      <c r="N5" s="139">
        <f t="shared" si="9"/>
        <v>-84</v>
      </c>
      <c r="O5" s="139">
        <f t="shared" si="9"/>
        <v>76</v>
      </c>
      <c r="P5" s="129" t="str">
        <f t="shared" si="6"/>
        <v>Sang</v>
      </c>
      <c r="Q5" s="25">
        <v>80.0</v>
      </c>
      <c r="R5" s="25">
        <v>-80.0</v>
      </c>
      <c r="S5" s="292">
        <v>-80.0</v>
      </c>
      <c r="T5" s="117">
        <v>80.0</v>
      </c>
      <c r="U5" s="117">
        <v>80.0</v>
      </c>
      <c r="V5" s="25">
        <v>-80.0</v>
      </c>
      <c r="W5" s="54">
        <f t="shared" ref="W5:Z5" si="10">W4+S5</f>
        <v>-76</v>
      </c>
      <c r="X5" s="25">
        <f t="shared" si="10"/>
        <v>68</v>
      </c>
      <c r="Y5" s="25">
        <f t="shared" si="10"/>
        <v>84</v>
      </c>
      <c r="Z5" s="25">
        <f t="shared" si="10"/>
        <v>-76</v>
      </c>
    </row>
    <row r="6">
      <c r="A6" s="46">
        <f t="shared" si="8"/>
        <v>4</v>
      </c>
      <c r="B6" s="25">
        <v>-68.0</v>
      </c>
      <c r="C6" s="25">
        <v>76.0</v>
      </c>
      <c r="D6" s="25">
        <v>76.0</v>
      </c>
      <c r="E6" s="25">
        <v>-84.0</v>
      </c>
      <c r="F6" s="28">
        <f t="shared" si="4"/>
        <v>0</v>
      </c>
      <c r="G6" s="25" t="s">
        <v>99</v>
      </c>
      <c r="H6" s="25" t="s">
        <v>8</v>
      </c>
      <c r="I6" s="25" t="s">
        <v>7</v>
      </c>
      <c r="K6" s="46"/>
      <c r="L6" s="139">
        <f t="shared" ref="L6:O6" si="11">SUM(B5-B6)</f>
        <v>-12</v>
      </c>
      <c r="M6" s="139">
        <f t="shared" si="11"/>
        <v>4</v>
      </c>
      <c r="N6" s="139">
        <f t="shared" si="11"/>
        <v>4</v>
      </c>
      <c r="O6" s="139">
        <f t="shared" si="11"/>
        <v>4</v>
      </c>
      <c r="P6" s="129" t="str">
        <f t="shared" si="6"/>
        <v>Sol</v>
      </c>
      <c r="Q6" s="25">
        <v>12.0</v>
      </c>
      <c r="R6" s="25">
        <v>4.0</v>
      </c>
      <c r="S6" s="292">
        <v>-12.0</v>
      </c>
      <c r="T6" s="117">
        <v>4.0</v>
      </c>
      <c r="U6" s="117">
        <v>4.0</v>
      </c>
      <c r="V6" s="117">
        <v>4.0</v>
      </c>
      <c r="W6" s="54">
        <f t="shared" ref="W6:Z6" si="12">W5+S6</f>
        <v>-88</v>
      </c>
      <c r="X6" s="25">
        <f t="shared" si="12"/>
        <v>72</v>
      </c>
      <c r="Y6" s="25">
        <f t="shared" si="12"/>
        <v>88</v>
      </c>
      <c r="Z6" s="25">
        <f t="shared" si="12"/>
        <v>-72</v>
      </c>
    </row>
    <row r="7">
      <c r="A7" s="46">
        <f t="shared" si="8"/>
        <v>5</v>
      </c>
      <c r="B7" s="25">
        <v>-60.0</v>
      </c>
      <c r="C7" s="25">
        <v>68.0</v>
      </c>
      <c r="D7" s="25">
        <v>68.0</v>
      </c>
      <c r="E7" s="25">
        <v>-76.0</v>
      </c>
      <c r="F7" s="28">
        <f t="shared" si="4"/>
        <v>0</v>
      </c>
      <c r="G7" s="25" t="s">
        <v>489</v>
      </c>
      <c r="H7" s="25" t="s">
        <v>7</v>
      </c>
      <c r="I7" s="25" t="s">
        <v>8</v>
      </c>
      <c r="J7" s="25" t="s">
        <v>9</v>
      </c>
      <c r="K7" s="46"/>
      <c r="L7" s="139">
        <f t="shared" ref="L7:O7" si="13">SUM(B6-B7)</f>
        <v>-8</v>
      </c>
      <c r="M7" s="139">
        <f t="shared" si="13"/>
        <v>8</v>
      </c>
      <c r="N7" s="139">
        <f t="shared" si="13"/>
        <v>8</v>
      </c>
      <c r="O7" s="139">
        <f t="shared" si="13"/>
        <v>-8</v>
      </c>
      <c r="P7" s="129" t="str">
        <f t="shared" si="6"/>
        <v>10 Alm</v>
      </c>
      <c r="Q7" s="25">
        <v>8.0</v>
      </c>
      <c r="R7" s="25">
        <v>-8.0</v>
      </c>
      <c r="S7" s="292">
        <v>-8.0</v>
      </c>
      <c r="T7" s="117">
        <v>8.0</v>
      </c>
      <c r="U7" s="117">
        <v>8.0</v>
      </c>
      <c r="V7" s="25">
        <v>-8.0</v>
      </c>
      <c r="W7" s="54">
        <f t="shared" ref="W7:Z7" si="14">W6+S7</f>
        <v>-96</v>
      </c>
      <c r="X7" s="25">
        <f t="shared" si="14"/>
        <v>80</v>
      </c>
      <c r="Y7" s="25">
        <f t="shared" si="14"/>
        <v>96</v>
      </c>
      <c r="Z7" s="25">
        <f t="shared" si="14"/>
        <v>-80</v>
      </c>
    </row>
    <row r="8">
      <c r="A8" s="46">
        <f t="shared" si="8"/>
        <v>6</v>
      </c>
      <c r="B8" s="25">
        <v>-64.0</v>
      </c>
      <c r="C8" s="25">
        <v>80.0</v>
      </c>
      <c r="D8" s="25">
        <v>64.0</v>
      </c>
      <c r="E8" s="25">
        <v>-80.0</v>
      </c>
      <c r="F8" s="28">
        <f t="shared" si="4"/>
        <v>0</v>
      </c>
      <c r="G8" s="25" t="s">
        <v>99</v>
      </c>
      <c r="H8" s="25" t="s">
        <v>9</v>
      </c>
      <c r="I8" s="25" t="s">
        <v>8</v>
      </c>
      <c r="K8" s="46"/>
      <c r="L8" s="139">
        <f t="shared" ref="L8:O8" si="15">SUM(B7-B8)</f>
        <v>4</v>
      </c>
      <c r="M8" s="139">
        <f t="shared" si="15"/>
        <v>-12</v>
      </c>
      <c r="N8" s="139">
        <f t="shared" si="15"/>
        <v>4</v>
      </c>
      <c r="O8" s="139">
        <f t="shared" si="15"/>
        <v>4</v>
      </c>
      <c r="P8" s="129" t="str">
        <f t="shared" si="6"/>
        <v>Sol</v>
      </c>
      <c r="Q8" s="25">
        <v>12.0</v>
      </c>
      <c r="R8" s="25">
        <v>-4.0</v>
      </c>
      <c r="S8" s="293">
        <v>4.0</v>
      </c>
      <c r="T8" s="25">
        <v>-12.0</v>
      </c>
      <c r="U8" s="293">
        <v>4.0</v>
      </c>
      <c r="V8" s="293">
        <v>4.0</v>
      </c>
      <c r="W8" s="54">
        <f t="shared" ref="W8:Z8" si="16">W7+S8</f>
        <v>-92</v>
      </c>
      <c r="X8" s="25">
        <f t="shared" si="16"/>
        <v>68</v>
      </c>
      <c r="Y8" s="25">
        <f t="shared" si="16"/>
        <v>100</v>
      </c>
      <c r="Z8" s="25">
        <f t="shared" si="16"/>
        <v>-76</v>
      </c>
    </row>
    <row r="9">
      <c r="A9" s="46">
        <f t="shared" si="8"/>
        <v>7</v>
      </c>
      <c r="B9" s="25">
        <v>-80.0</v>
      </c>
      <c r="C9" s="25">
        <v>128.0</v>
      </c>
      <c r="D9" s="25">
        <v>48.0</v>
      </c>
      <c r="E9" s="25">
        <v>-96.0</v>
      </c>
      <c r="F9" s="28">
        <f t="shared" si="4"/>
        <v>0</v>
      </c>
      <c r="G9" s="25" t="s">
        <v>504</v>
      </c>
      <c r="I9" s="25" t="s">
        <v>8</v>
      </c>
      <c r="K9" s="46"/>
      <c r="L9" s="139">
        <f t="shared" ref="L9:O9" si="17">SUM(B8-B9)</f>
        <v>16</v>
      </c>
      <c r="M9" s="139">
        <f t="shared" si="17"/>
        <v>-48</v>
      </c>
      <c r="N9" s="139">
        <f t="shared" si="17"/>
        <v>16</v>
      </c>
      <c r="O9" s="139">
        <f t="shared" si="17"/>
        <v>16</v>
      </c>
      <c r="P9" s="129" t="str">
        <f t="shared" si="6"/>
        <v>Halv bordlæggrer</v>
      </c>
      <c r="Q9" s="25">
        <v>16.0</v>
      </c>
      <c r="R9" s="25">
        <v>-48.0</v>
      </c>
      <c r="S9" s="293">
        <v>16.0</v>
      </c>
      <c r="T9" s="25">
        <v>-48.0</v>
      </c>
      <c r="U9" s="117">
        <v>16.0</v>
      </c>
      <c r="V9" s="117">
        <v>16.0</v>
      </c>
      <c r="W9" s="54">
        <f t="shared" ref="W9:Z9" si="18">W8+S9</f>
        <v>-76</v>
      </c>
      <c r="X9" s="25">
        <f t="shared" si="18"/>
        <v>20</v>
      </c>
      <c r="Y9" s="25">
        <f t="shared" si="18"/>
        <v>116</v>
      </c>
      <c r="Z9" s="25">
        <f t="shared" si="18"/>
        <v>-60</v>
      </c>
    </row>
    <row r="10">
      <c r="A10" s="46">
        <f t="shared" si="8"/>
        <v>8</v>
      </c>
      <c r="B10" s="25">
        <v>-64.0</v>
      </c>
      <c r="C10" s="25">
        <v>112.0</v>
      </c>
      <c r="D10" s="25">
        <v>64.0</v>
      </c>
      <c r="E10" s="25">
        <v>-112.0</v>
      </c>
      <c r="F10" s="28">
        <f t="shared" si="4"/>
        <v>0</v>
      </c>
      <c r="G10" s="25" t="s">
        <v>490</v>
      </c>
      <c r="H10" s="25" t="s">
        <v>9</v>
      </c>
      <c r="J10" s="25" t="s">
        <v>7</v>
      </c>
      <c r="K10" s="56"/>
      <c r="L10" s="139">
        <f t="shared" ref="L10:O10" si="19">SUM(B9-B10)</f>
        <v>-16</v>
      </c>
      <c r="M10" s="139">
        <f t="shared" si="19"/>
        <v>16</v>
      </c>
      <c r="N10" s="139">
        <f t="shared" si="19"/>
        <v>-16</v>
      </c>
      <c r="O10" s="139">
        <f t="shared" si="19"/>
        <v>16</v>
      </c>
      <c r="P10" s="129" t="str">
        <f t="shared" si="6"/>
        <v>9 vip 1. Ruder til hjerter</v>
      </c>
      <c r="Q10" s="25">
        <v>16.0</v>
      </c>
      <c r="R10" s="25">
        <v>-16.0</v>
      </c>
      <c r="S10" s="292">
        <v>-16.0</v>
      </c>
      <c r="T10" s="117">
        <v>16.0</v>
      </c>
      <c r="U10" s="25">
        <v>-16.0</v>
      </c>
      <c r="V10" s="117">
        <v>16.0</v>
      </c>
      <c r="W10" s="54">
        <f t="shared" ref="W10:Z10" si="20">W9+S10</f>
        <v>-92</v>
      </c>
      <c r="X10" s="25">
        <f t="shared" si="20"/>
        <v>36</v>
      </c>
      <c r="Y10" s="25">
        <f t="shared" si="20"/>
        <v>100</v>
      </c>
      <c r="Z10" s="25">
        <f t="shared" si="20"/>
        <v>-44</v>
      </c>
    </row>
    <row r="11">
      <c r="A11" s="46">
        <f t="shared" si="8"/>
        <v>9</v>
      </c>
      <c r="B11" s="25">
        <v>-60.0</v>
      </c>
      <c r="C11" s="25">
        <v>116.0</v>
      </c>
      <c r="D11" s="25">
        <v>52.0</v>
      </c>
      <c r="E11" s="25">
        <v>-108.0</v>
      </c>
      <c r="F11" s="28">
        <f t="shared" si="4"/>
        <v>0</v>
      </c>
      <c r="G11" s="25" t="s">
        <v>99</v>
      </c>
      <c r="I11" s="25" t="s">
        <v>9</v>
      </c>
      <c r="K11" s="46"/>
      <c r="L11" s="139">
        <f t="shared" ref="L11:O11" si="21">SUM(B10-B11)</f>
        <v>-4</v>
      </c>
      <c r="M11" s="139">
        <f t="shared" si="21"/>
        <v>-4</v>
      </c>
      <c r="N11" s="139">
        <f t="shared" si="21"/>
        <v>12</v>
      </c>
      <c r="O11" s="139">
        <f t="shared" si="21"/>
        <v>-4</v>
      </c>
      <c r="P11" s="129" t="str">
        <f t="shared" si="6"/>
        <v>Sol</v>
      </c>
      <c r="Q11" s="25">
        <v>12.0</v>
      </c>
      <c r="R11" s="25">
        <v>-4.0</v>
      </c>
      <c r="S11" s="292">
        <v>-4.0</v>
      </c>
      <c r="T11" s="292">
        <v>-4.0</v>
      </c>
      <c r="U11" s="117">
        <v>12.0</v>
      </c>
      <c r="V11" s="292">
        <v>-4.0</v>
      </c>
      <c r="W11" s="54">
        <f t="shared" ref="W11:Z11" si="22">W10+S11</f>
        <v>-96</v>
      </c>
      <c r="X11" s="25">
        <f t="shared" si="22"/>
        <v>32</v>
      </c>
      <c r="Y11" s="25">
        <f t="shared" si="22"/>
        <v>112</v>
      </c>
      <c r="Z11" s="25">
        <f t="shared" si="22"/>
        <v>-48</v>
      </c>
    </row>
    <row r="12">
      <c r="A12" s="46">
        <f t="shared" si="8"/>
        <v>10</v>
      </c>
      <c r="B12" s="25">
        <v>-68.0</v>
      </c>
      <c r="C12" s="25">
        <v>124.0</v>
      </c>
      <c r="D12" s="25">
        <v>44.0</v>
      </c>
      <c r="E12" s="25">
        <v>-100.0</v>
      </c>
      <c r="F12" s="28">
        <f t="shared" si="4"/>
        <v>0</v>
      </c>
      <c r="G12" s="25" t="s">
        <v>489</v>
      </c>
      <c r="I12" s="25" t="s">
        <v>10</v>
      </c>
      <c r="J12" s="25" t="s">
        <v>8</v>
      </c>
      <c r="K12" s="46"/>
      <c r="L12" s="139">
        <f t="shared" ref="L12:O12" si="23">SUM(B11-B12)</f>
        <v>8</v>
      </c>
      <c r="M12" s="139">
        <f t="shared" si="23"/>
        <v>-8</v>
      </c>
      <c r="N12" s="139">
        <f t="shared" si="23"/>
        <v>8</v>
      </c>
      <c r="O12" s="139">
        <f t="shared" si="23"/>
        <v>-8</v>
      </c>
      <c r="P12" s="129" t="str">
        <f t="shared" si="6"/>
        <v>10 Alm</v>
      </c>
      <c r="Q12" s="25">
        <v>8.0</v>
      </c>
      <c r="R12" s="25">
        <v>-8.0</v>
      </c>
      <c r="S12" s="292">
        <v>8.0</v>
      </c>
      <c r="T12" s="25">
        <v>-8.0</v>
      </c>
      <c r="U12" s="25">
        <v>8.0</v>
      </c>
      <c r="V12" s="25">
        <v>-8.0</v>
      </c>
      <c r="W12" s="54">
        <f t="shared" ref="W12:Z12" si="24">W11+S12</f>
        <v>-88</v>
      </c>
      <c r="X12" s="25">
        <f t="shared" si="24"/>
        <v>24</v>
      </c>
      <c r="Y12" s="25">
        <f t="shared" si="24"/>
        <v>120</v>
      </c>
      <c r="Z12" s="25">
        <f t="shared" si="24"/>
        <v>-56</v>
      </c>
    </row>
    <row r="13">
      <c r="A13" s="46">
        <f t="shared" si="8"/>
        <v>11</v>
      </c>
      <c r="B13" s="25">
        <v>-60.0</v>
      </c>
      <c r="C13" s="25">
        <v>100.0</v>
      </c>
      <c r="D13" s="25">
        <v>52.0</v>
      </c>
      <c r="E13" s="25">
        <v>-92.0</v>
      </c>
      <c r="F13" s="28">
        <f t="shared" si="4"/>
        <v>0</v>
      </c>
      <c r="G13" s="25" t="s">
        <v>97</v>
      </c>
      <c r="I13" s="25" t="s">
        <v>8</v>
      </c>
      <c r="K13" s="56"/>
      <c r="L13" s="139">
        <f t="shared" ref="L13:O13" si="25">SUM(B12-B13)</f>
        <v>-8</v>
      </c>
      <c r="M13" s="139">
        <f t="shared" si="25"/>
        <v>24</v>
      </c>
      <c r="N13" s="139">
        <f t="shared" si="25"/>
        <v>-8</v>
      </c>
      <c r="O13" s="139">
        <f t="shared" si="25"/>
        <v>-8</v>
      </c>
      <c r="P13" s="129" t="str">
        <f t="shared" si="6"/>
        <v>Ren sol</v>
      </c>
      <c r="Q13" s="25">
        <v>24.0</v>
      </c>
      <c r="R13" s="25">
        <v>-8.0</v>
      </c>
      <c r="S13" s="25">
        <v>-8.0</v>
      </c>
      <c r="T13" s="25">
        <v>24.0</v>
      </c>
      <c r="U13" s="25">
        <v>-8.0</v>
      </c>
      <c r="V13" s="25">
        <v>-8.0</v>
      </c>
      <c r="W13" s="54">
        <f t="shared" ref="W13:Z13" si="26">W12+S13</f>
        <v>-96</v>
      </c>
      <c r="X13" s="25">
        <f t="shared" si="26"/>
        <v>48</v>
      </c>
      <c r="Y13" s="25">
        <f t="shared" si="26"/>
        <v>112</v>
      </c>
      <c r="Z13" s="25">
        <f t="shared" si="26"/>
        <v>-64</v>
      </c>
    </row>
    <row r="14">
      <c r="A14" s="46">
        <f t="shared" si="8"/>
        <v>12</v>
      </c>
      <c r="B14" s="25">
        <v>-48.0</v>
      </c>
      <c r="C14" s="25">
        <v>96.0</v>
      </c>
      <c r="D14" s="25">
        <v>48.0</v>
      </c>
      <c r="E14" s="25">
        <v>-96.0</v>
      </c>
      <c r="F14" s="28">
        <f t="shared" si="4"/>
        <v>0</v>
      </c>
      <c r="G14" s="25" t="s">
        <v>99</v>
      </c>
      <c r="I14" s="25" t="s">
        <v>7</v>
      </c>
      <c r="K14" s="46"/>
      <c r="L14" s="139">
        <f t="shared" ref="L14:O14" si="27">SUM(B13-B14)</f>
        <v>-12</v>
      </c>
      <c r="M14" s="139">
        <f t="shared" si="27"/>
        <v>4</v>
      </c>
      <c r="N14" s="139">
        <f t="shared" si="27"/>
        <v>4</v>
      </c>
      <c r="O14" s="139">
        <f t="shared" si="27"/>
        <v>4</v>
      </c>
      <c r="P14" s="129" t="str">
        <f t="shared" si="6"/>
        <v>Sol</v>
      </c>
      <c r="Q14" s="25">
        <v>12.0</v>
      </c>
      <c r="R14" s="25">
        <v>-4.0</v>
      </c>
      <c r="S14" s="292">
        <v>-12.0</v>
      </c>
      <c r="T14" s="25">
        <v>4.0</v>
      </c>
      <c r="U14" s="25">
        <v>4.0</v>
      </c>
      <c r="V14" s="25">
        <v>4.0</v>
      </c>
      <c r="W14" s="54">
        <f t="shared" ref="W14:Z14" si="28">W13+S14</f>
        <v>-108</v>
      </c>
      <c r="X14" s="25">
        <f t="shared" si="28"/>
        <v>52</v>
      </c>
      <c r="Y14" s="25">
        <f t="shared" si="28"/>
        <v>116</v>
      </c>
      <c r="Z14" s="25">
        <f t="shared" si="28"/>
        <v>-60</v>
      </c>
    </row>
    <row r="15">
      <c r="A15" s="46">
        <f t="shared" si="8"/>
        <v>13</v>
      </c>
      <c r="B15" s="25">
        <v>-16.0</v>
      </c>
      <c r="C15" s="25">
        <v>64.0</v>
      </c>
      <c r="D15" s="25">
        <v>80.0</v>
      </c>
      <c r="E15" s="25">
        <v>-128.0</v>
      </c>
      <c r="F15" s="28">
        <f t="shared" si="4"/>
        <v>0</v>
      </c>
      <c r="G15" s="25" t="s">
        <v>409</v>
      </c>
      <c r="I15" s="25" t="s">
        <v>7</v>
      </c>
      <c r="J15" s="25" t="s">
        <v>9</v>
      </c>
      <c r="K15" s="46"/>
      <c r="L15" s="139">
        <f t="shared" ref="L15:O15" si="29">SUM(B14-B15)</f>
        <v>-32</v>
      </c>
      <c r="M15" s="139">
        <f t="shared" si="29"/>
        <v>32</v>
      </c>
      <c r="N15" s="139">
        <f t="shared" si="29"/>
        <v>-32</v>
      </c>
      <c r="O15" s="139">
        <f t="shared" si="29"/>
        <v>32</v>
      </c>
      <c r="P15" s="129" t="str">
        <f t="shared" si="6"/>
        <v>9 vip 2</v>
      </c>
      <c r="Q15" s="25">
        <v>32.0</v>
      </c>
      <c r="R15" s="25">
        <v>-32.0</v>
      </c>
      <c r="S15" s="292">
        <v>-32.0</v>
      </c>
      <c r="T15" s="25">
        <v>32.0</v>
      </c>
      <c r="U15" s="25">
        <v>-32.0</v>
      </c>
      <c r="V15" s="25">
        <v>32.0</v>
      </c>
      <c r="W15" s="54">
        <f t="shared" ref="W15:Z15" si="30">W14+S15</f>
        <v>-140</v>
      </c>
      <c r="X15" s="25">
        <f t="shared" si="30"/>
        <v>84</v>
      </c>
      <c r="Y15" s="25">
        <f t="shared" si="30"/>
        <v>84</v>
      </c>
      <c r="Z15" s="25">
        <f t="shared" si="30"/>
        <v>-28</v>
      </c>
    </row>
    <row r="16">
      <c r="A16" s="46">
        <f t="shared" si="8"/>
        <v>14</v>
      </c>
      <c r="B16" s="25">
        <v>-64.0</v>
      </c>
      <c r="C16" s="25">
        <v>80.0</v>
      </c>
      <c r="D16" s="25">
        <v>96.0</v>
      </c>
      <c r="E16" s="25">
        <v>-112.0</v>
      </c>
      <c r="F16" s="28">
        <f t="shared" si="4"/>
        <v>0</v>
      </c>
      <c r="G16" s="25" t="s">
        <v>97</v>
      </c>
      <c r="I16" s="25" t="s">
        <v>7</v>
      </c>
      <c r="K16" s="56"/>
      <c r="L16" s="139">
        <f t="shared" ref="L16:O16" si="31">SUM(B15-B16)</f>
        <v>48</v>
      </c>
      <c r="M16" s="139">
        <f t="shared" si="31"/>
        <v>-16</v>
      </c>
      <c r="N16" s="139">
        <f t="shared" si="31"/>
        <v>-16</v>
      </c>
      <c r="O16" s="139">
        <f t="shared" si="31"/>
        <v>-16</v>
      </c>
      <c r="P16" s="129" t="str">
        <f t="shared" si="6"/>
        <v>Ren sol</v>
      </c>
      <c r="Q16" s="25">
        <v>48.0</v>
      </c>
      <c r="R16" s="25">
        <v>16.0</v>
      </c>
      <c r="S16" s="292">
        <v>48.0</v>
      </c>
      <c r="T16" s="25">
        <v>-16.0</v>
      </c>
      <c r="U16" s="25">
        <v>-16.0</v>
      </c>
      <c r="V16" s="25">
        <v>-16.0</v>
      </c>
      <c r="W16" s="54">
        <f t="shared" ref="W16:Z16" si="32">W15+S16</f>
        <v>-92</v>
      </c>
      <c r="X16" s="25">
        <f t="shared" si="32"/>
        <v>68</v>
      </c>
      <c r="Y16" s="25">
        <f t="shared" si="32"/>
        <v>68</v>
      </c>
      <c r="Z16" s="25">
        <f t="shared" si="32"/>
        <v>-44</v>
      </c>
    </row>
    <row r="17">
      <c r="A17" s="46">
        <f t="shared" si="8"/>
        <v>15</v>
      </c>
      <c r="B17" s="25">
        <v>-60.0</v>
      </c>
      <c r="C17" s="25">
        <v>68.0</v>
      </c>
      <c r="D17" s="25">
        <v>100.0</v>
      </c>
      <c r="E17" s="25">
        <v>-108.0</v>
      </c>
      <c r="F17" s="28">
        <f t="shared" si="4"/>
        <v>0</v>
      </c>
      <c r="G17" s="25" t="s">
        <v>99</v>
      </c>
      <c r="I17" s="25" t="s">
        <v>8</v>
      </c>
      <c r="K17" s="56"/>
      <c r="L17" s="139">
        <f t="shared" ref="L17:O17" si="33">SUM(B16-B17)</f>
        <v>-4</v>
      </c>
      <c r="M17" s="139">
        <f t="shared" si="33"/>
        <v>12</v>
      </c>
      <c r="N17" s="139">
        <f t="shared" si="33"/>
        <v>-4</v>
      </c>
      <c r="O17" s="139">
        <f t="shared" si="33"/>
        <v>-4</v>
      </c>
      <c r="P17" s="129" t="str">
        <f t="shared" si="6"/>
        <v>Sol</v>
      </c>
      <c r="Q17" s="25">
        <v>12.0</v>
      </c>
      <c r="R17" s="25">
        <v>-4.0</v>
      </c>
      <c r="S17" s="292">
        <v>-4.0</v>
      </c>
      <c r="T17" s="25">
        <v>12.0</v>
      </c>
      <c r="U17" s="292">
        <v>-4.0</v>
      </c>
      <c r="V17" s="292">
        <v>-4.0</v>
      </c>
      <c r="W17" s="54">
        <f t="shared" ref="W17:Z17" si="34">W16+S17</f>
        <v>-96</v>
      </c>
      <c r="X17" s="25">
        <f t="shared" si="34"/>
        <v>80</v>
      </c>
      <c r="Y17" s="25">
        <f t="shared" si="34"/>
        <v>64</v>
      </c>
      <c r="Z17" s="25">
        <f t="shared" si="34"/>
        <v>-48</v>
      </c>
    </row>
    <row r="18">
      <c r="A18" s="46">
        <f t="shared" si="8"/>
        <v>16</v>
      </c>
      <c r="B18" s="25">
        <v>-56.0</v>
      </c>
      <c r="C18" s="25">
        <v>72.0</v>
      </c>
      <c r="D18" s="25">
        <v>104.0</v>
      </c>
      <c r="E18" s="25">
        <v>-120.0</v>
      </c>
      <c r="F18" s="28">
        <f t="shared" si="4"/>
        <v>0</v>
      </c>
      <c r="G18" s="25" t="s">
        <v>99</v>
      </c>
      <c r="I18" s="25" t="s">
        <v>10</v>
      </c>
      <c r="K18" s="56"/>
      <c r="L18" s="139">
        <f t="shared" ref="L18:O18" si="35">SUM(B17-B18)</f>
        <v>-4</v>
      </c>
      <c r="M18" s="139">
        <f t="shared" si="35"/>
        <v>-4</v>
      </c>
      <c r="N18" s="139">
        <f t="shared" si="35"/>
        <v>-4</v>
      </c>
      <c r="O18" s="139">
        <f t="shared" si="35"/>
        <v>12</v>
      </c>
      <c r="P18" s="129" t="str">
        <f t="shared" si="6"/>
        <v>Sol</v>
      </c>
      <c r="Q18" s="25">
        <v>12.0</v>
      </c>
      <c r="R18" s="25">
        <v>-4.0</v>
      </c>
      <c r="S18" s="292">
        <v>-4.0</v>
      </c>
      <c r="T18" s="292">
        <v>-4.0</v>
      </c>
      <c r="U18" s="292">
        <v>-4.0</v>
      </c>
      <c r="V18" s="25">
        <v>12.0</v>
      </c>
      <c r="W18" s="54">
        <f t="shared" ref="W18:Z18" si="36">W17+S18</f>
        <v>-100</v>
      </c>
      <c r="X18" s="25">
        <f t="shared" si="36"/>
        <v>76</v>
      </c>
      <c r="Y18" s="25">
        <f t="shared" si="36"/>
        <v>60</v>
      </c>
      <c r="Z18" s="25">
        <f t="shared" si="36"/>
        <v>-36</v>
      </c>
    </row>
    <row r="19">
      <c r="A19" s="46">
        <f t="shared" si="8"/>
        <v>17</v>
      </c>
      <c r="B19" s="25">
        <v>8.0</v>
      </c>
      <c r="C19" s="25">
        <v>136.0</v>
      </c>
      <c r="D19" s="25">
        <v>40.0</v>
      </c>
      <c r="E19" s="25">
        <v>-184.0</v>
      </c>
      <c r="F19" s="28">
        <f t="shared" si="4"/>
        <v>0</v>
      </c>
      <c r="G19" s="25" t="s">
        <v>357</v>
      </c>
      <c r="I19" s="25" t="s">
        <v>7</v>
      </c>
      <c r="J19" s="25" t="s">
        <v>8</v>
      </c>
      <c r="K19" s="46"/>
      <c r="L19" s="139">
        <f t="shared" ref="L19:O19" si="37">SUM(B18-B19)</f>
        <v>-64</v>
      </c>
      <c r="M19" s="139">
        <f t="shared" si="37"/>
        <v>-64</v>
      </c>
      <c r="N19" s="139">
        <f t="shared" si="37"/>
        <v>64</v>
      </c>
      <c r="O19" s="139">
        <f t="shared" si="37"/>
        <v>64</v>
      </c>
      <c r="P19" s="129" t="str">
        <f t="shared" si="6"/>
        <v>9 vip i 3</v>
      </c>
      <c r="Q19" s="25">
        <v>64.0</v>
      </c>
      <c r="R19" s="25">
        <v>-64.0</v>
      </c>
      <c r="S19" s="292">
        <v>-64.0</v>
      </c>
      <c r="T19" s="292">
        <v>-64.0</v>
      </c>
      <c r="U19" s="25">
        <v>64.0</v>
      </c>
      <c r="V19" s="25">
        <v>64.0</v>
      </c>
      <c r="W19" s="54">
        <f t="shared" ref="W19:Z19" si="38">W18+S19</f>
        <v>-164</v>
      </c>
      <c r="X19" s="25">
        <f t="shared" si="38"/>
        <v>12</v>
      </c>
      <c r="Y19" s="25">
        <f t="shared" si="38"/>
        <v>124</v>
      </c>
      <c r="Z19" s="25">
        <f t="shared" si="38"/>
        <v>28</v>
      </c>
    </row>
    <row r="20">
      <c r="A20" s="46">
        <f t="shared" si="8"/>
        <v>18</v>
      </c>
      <c r="B20" s="25">
        <v>4.0</v>
      </c>
      <c r="C20" s="25">
        <v>140.0</v>
      </c>
      <c r="D20" s="25">
        <v>44.0</v>
      </c>
      <c r="E20" s="25">
        <v>-188.0</v>
      </c>
      <c r="F20" s="28">
        <f t="shared" si="4"/>
        <v>0</v>
      </c>
      <c r="G20" s="25" t="s">
        <v>491</v>
      </c>
      <c r="I20" s="25" t="s">
        <v>8</v>
      </c>
      <c r="J20" s="25" t="s">
        <v>10</v>
      </c>
      <c r="K20" s="56"/>
      <c r="L20" s="139">
        <f t="shared" ref="L20:O20" si="39">SUM(B19-B20)</f>
        <v>4</v>
      </c>
      <c r="M20" s="139">
        <f t="shared" si="39"/>
        <v>-4</v>
      </c>
      <c r="N20" s="139">
        <f t="shared" si="39"/>
        <v>-4</v>
      </c>
      <c r="O20" s="139">
        <f t="shared" si="39"/>
        <v>4</v>
      </c>
      <c r="P20" s="129" t="str">
        <f t="shared" si="6"/>
        <v>9 Alm</v>
      </c>
      <c r="Q20" s="25">
        <v>4.0</v>
      </c>
      <c r="R20" s="25">
        <v>4.0</v>
      </c>
      <c r="S20" s="292">
        <v>4.0</v>
      </c>
      <c r="T20" s="25">
        <v>-4.0</v>
      </c>
      <c r="U20" s="25">
        <v>-4.0</v>
      </c>
      <c r="V20" s="25">
        <v>4.0</v>
      </c>
      <c r="W20" s="54">
        <f t="shared" ref="W20:Z20" si="40">W19+S20</f>
        <v>-160</v>
      </c>
      <c r="X20" s="25">
        <f t="shared" si="40"/>
        <v>8</v>
      </c>
      <c r="Y20" s="25">
        <f t="shared" si="40"/>
        <v>120</v>
      </c>
      <c r="Z20" s="25">
        <f t="shared" si="40"/>
        <v>32</v>
      </c>
    </row>
    <row r="21">
      <c r="A21" s="46">
        <f t="shared" si="8"/>
        <v>19</v>
      </c>
      <c r="B21" s="25">
        <v>8.0</v>
      </c>
      <c r="C21" s="25">
        <v>144.0</v>
      </c>
      <c r="D21" s="25">
        <v>32.0</v>
      </c>
      <c r="E21" s="25">
        <v>-184.0</v>
      </c>
      <c r="F21" s="28">
        <f t="shared" si="4"/>
        <v>0</v>
      </c>
      <c r="G21" s="25" t="s">
        <v>99</v>
      </c>
      <c r="I21" s="25" t="s">
        <v>9</v>
      </c>
      <c r="K21" s="46"/>
      <c r="L21" s="139">
        <f t="shared" ref="L21:O21" si="41">SUM(B20-B21)</f>
        <v>-4</v>
      </c>
      <c r="M21" s="139">
        <f t="shared" si="41"/>
        <v>-4</v>
      </c>
      <c r="N21" s="139">
        <f t="shared" si="41"/>
        <v>12</v>
      </c>
      <c r="O21" s="139">
        <f t="shared" si="41"/>
        <v>-4</v>
      </c>
      <c r="P21" s="129" t="str">
        <f t="shared" si="6"/>
        <v>Sol</v>
      </c>
      <c r="Q21" s="25">
        <v>12.0</v>
      </c>
      <c r="R21" s="25">
        <v>-4.0</v>
      </c>
      <c r="S21" s="25">
        <v>-4.0</v>
      </c>
      <c r="T21" s="25">
        <v>-4.0</v>
      </c>
      <c r="U21" s="25">
        <v>12.0</v>
      </c>
      <c r="V21" s="25">
        <v>-4.0</v>
      </c>
      <c r="W21" s="54">
        <f t="shared" ref="W21:Z21" si="42">W20+S21</f>
        <v>-164</v>
      </c>
      <c r="X21" s="25">
        <f t="shared" si="42"/>
        <v>4</v>
      </c>
      <c r="Y21" s="25">
        <f t="shared" si="42"/>
        <v>132</v>
      </c>
      <c r="Z21" s="25">
        <f t="shared" si="42"/>
        <v>28</v>
      </c>
    </row>
    <row r="22">
      <c r="A22" s="46">
        <f t="shared" si="8"/>
        <v>20</v>
      </c>
      <c r="B22" s="25">
        <v>32.0</v>
      </c>
      <c r="C22" s="25">
        <v>120.0</v>
      </c>
      <c r="D22" s="25">
        <v>8.0</v>
      </c>
      <c r="E22" s="25">
        <v>-160.0</v>
      </c>
      <c r="F22" s="28">
        <f t="shared" si="4"/>
        <v>0</v>
      </c>
      <c r="G22" s="25" t="s">
        <v>401</v>
      </c>
      <c r="I22" s="25" t="s">
        <v>7</v>
      </c>
      <c r="K22" s="46"/>
      <c r="L22" s="139">
        <f t="shared" ref="L22:O22" si="43">SUM(B21-B22)</f>
        <v>-24</v>
      </c>
      <c r="M22" s="139">
        <f t="shared" si="43"/>
        <v>24</v>
      </c>
      <c r="N22" s="139">
        <f t="shared" si="43"/>
        <v>24</v>
      </c>
      <c r="O22" s="139">
        <f t="shared" si="43"/>
        <v>-24</v>
      </c>
      <c r="P22" s="129" t="str">
        <f t="shared" si="6"/>
        <v>9 vip i 2</v>
      </c>
      <c r="Q22" s="25">
        <v>24.0</v>
      </c>
      <c r="R22" s="25">
        <v>-24.0</v>
      </c>
      <c r="S22" s="292">
        <v>-24.0</v>
      </c>
      <c r="T22" s="25">
        <v>24.0</v>
      </c>
      <c r="U22" s="25">
        <v>24.0</v>
      </c>
      <c r="V22" s="25">
        <v>-24.0</v>
      </c>
      <c r="W22" s="54">
        <f t="shared" ref="W22:Z22" si="44">W21+S22</f>
        <v>-188</v>
      </c>
      <c r="X22" s="25">
        <f t="shared" si="44"/>
        <v>28</v>
      </c>
      <c r="Y22" s="25">
        <f t="shared" si="44"/>
        <v>156</v>
      </c>
      <c r="Z22" s="25">
        <f t="shared" si="44"/>
        <v>4</v>
      </c>
    </row>
    <row r="23">
      <c r="A23" s="46">
        <f t="shared" si="8"/>
        <v>21</v>
      </c>
      <c r="B23" s="25">
        <v>80.0</v>
      </c>
      <c r="C23" s="25">
        <v>72.0</v>
      </c>
      <c r="D23" s="25">
        <v>-40.0</v>
      </c>
      <c r="E23" s="25">
        <v>-112.0</v>
      </c>
      <c r="F23" s="28">
        <f t="shared" si="4"/>
        <v>0</v>
      </c>
      <c r="G23" s="25" t="s">
        <v>368</v>
      </c>
      <c r="I23" s="25" t="s">
        <v>7</v>
      </c>
      <c r="J23" s="25" t="s">
        <v>10</v>
      </c>
      <c r="K23" s="56"/>
      <c r="L23" s="139">
        <f t="shared" ref="L23:O23" si="45">SUM(B22-B23)</f>
        <v>-48</v>
      </c>
      <c r="M23" s="139">
        <f t="shared" si="45"/>
        <v>48</v>
      </c>
      <c r="N23" s="139">
        <f t="shared" si="45"/>
        <v>48</v>
      </c>
      <c r="O23" s="139">
        <f t="shared" si="45"/>
        <v>-48</v>
      </c>
      <c r="P23" s="129" t="str">
        <f t="shared" si="6"/>
        <v>9 vip i 1</v>
      </c>
      <c r="Q23" s="25">
        <v>48.0</v>
      </c>
      <c r="R23" s="25">
        <v>-48.0</v>
      </c>
      <c r="S23" s="292">
        <v>-48.0</v>
      </c>
      <c r="T23" s="25">
        <v>48.0</v>
      </c>
      <c r="U23" s="25">
        <v>48.0</v>
      </c>
      <c r="V23" s="292">
        <v>-48.0</v>
      </c>
      <c r="W23" s="54">
        <f t="shared" ref="W23:Z23" si="46">W22+S23</f>
        <v>-236</v>
      </c>
      <c r="X23" s="25">
        <f t="shared" si="46"/>
        <v>76</v>
      </c>
      <c r="Y23" s="25">
        <f t="shared" si="46"/>
        <v>204</v>
      </c>
      <c r="Z23" s="25">
        <f t="shared" si="46"/>
        <v>-44</v>
      </c>
    </row>
    <row r="24">
      <c r="A24" s="46">
        <f t="shared" si="8"/>
        <v>22</v>
      </c>
      <c r="B24" s="25">
        <v>104.0</v>
      </c>
      <c r="C24" s="25">
        <v>64.0</v>
      </c>
      <c r="D24" s="25">
        <v>-48.0</v>
      </c>
      <c r="E24" s="25">
        <v>-120.0</v>
      </c>
      <c r="F24" s="28">
        <f t="shared" si="4"/>
        <v>0</v>
      </c>
      <c r="G24" s="25" t="s">
        <v>97</v>
      </c>
      <c r="I24" s="25" t="s">
        <v>7</v>
      </c>
      <c r="K24" s="56"/>
      <c r="L24" s="139">
        <f t="shared" ref="L24:O24" si="47">SUM(B23-B24)</f>
        <v>-24</v>
      </c>
      <c r="M24" s="139">
        <f t="shared" si="47"/>
        <v>8</v>
      </c>
      <c r="N24" s="139">
        <f t="shared" si="47"/>
        <v>8</v>
      </c>
      <c r="O24" s="139">
        <f t="shared" si="47"/>
        <v>8</v>
      </c>
      <c r="P24" s="129" t="str">
        <f t="shared" si="6"/>
        <v>Ren sol</v>
      </c>
      <c r="Q24" s="25">
        <v>8.0</v>
      </c>
      <c r="R24" s="25">
        <v>24.0</v>
      </c>
      <c r="S24" s="292">
        <v>-24.0</v>
      </c>
      <c r="T24" s="25">
        <v>8.0</v>
      </c>
      <c r="U24" s="25">
        <v>8.0</v>
      </c>
      <c r="V24" s="25">
        <v>8.0</v>
      </c>
      <c r="W24" s="54">
        <f t="shared" ref="W24:Z24" si="48">W23+S24</f>
        <v>-260</v>
      </c>
      <c r="X24" s="25">
        <f t="shared" si="48"/>
        <v>84</v>
      </c>
      <c r="Y24" s="25">
        <f t="shared" si="48"/>
        <v>212</v>
      </c>
      <c r="Z24" s="25">
        <f t="shared" si="48"/>
        <v>-36</v>
      </c>
    </row>
    <row r="25">
      <c r="A25" s="46">
        <f t="shared" si="8"/>
        <v>23</v>
      </c>
      <c r="B25" s="25">
        <v>56.0</v>
      </c>
      <c r="C25" s="25">
        <v>80.0</v>
      </c>
      <c r="D25" s="25">
        <v>-32.0</v>
      </c>
      <c r="E25" s="25">
        <v>-104.0</v>
      </c>
      <c r="F25" s="28">
        <f t="shared" si="4"/>
        <v>0</v>
      </c>
      <c r="G25" s="25" t="s">
        <v>401</v>
      </c>
      <c r="I25" s="25" t="s">
        <v>7</v>
      </c>
      <c r="J25" s="25" t="s">
        <v>492</v>
      </c>
      <c r="K25" s="56"/>
      <c r="L25" s="139">
        <f t="shared" ref="L25:O25" si="49">SUM(B24-B25)</f>
        <v>48</v>
      </c>
      <c r="M25" s="139">
        <f t="shared" si="49"/>
        <v>-16</v>
      </c>
      <c r="N25" s="139">
        <f t="shared" si="49"/>
        <v>-16</v>
      </c>
      <c r="O25" s="139">
        <f t="shared" si="49"/>
        <v>-16</v>
      </c>
      <c r="P25" s="129" t="str">
        <f t="shared" si="6"/>
        <v>9 vip i 2</v>
      </c>
      <c r="Q25" s="25">
        <v>48.0</v>
      </c>
      <c r="R25" s="25">
        <v>16.0</v>
      </c>
      <c r="S25" s="292">
        <v>48.0</v>
      </c>
      <c r="T25" s="25">
        <v>-16.0</v>
      </c>
      <c r="U25" s="25">
        <v>-16.0</v>
      </c>
      <c r="V25" s="25">
        <v>-16.0</v>
      </c>
      <c r="W25" s="54">
        <f t="shared" ref="W25:Z25" si="50">W24+S25</f>
        <v>-212</v>
      </c>
      <c r="X25" s="25">
        <f t="shared" si="50"/>
        <v>68</v>
      </c>
      <c r="Y25" s="25">
        <f t="shared" si="50"/>
        <v>196</v>
      </c>
      <c r="Z25" s="25">
        <f t="shared" si="50"/>
        <v>-52</v>
      </c>
    </row>
    <row r="26">
      <c r="A26" s="46">
        <f t="shared" si="8"/>
        <v>24</v>
      </c>
      <c r="B26" s="25">
        <v>64.0</v>
      </c>
      <c r="C26" s="25">
        <v>72.0</v>
      </c>
      <c r="D26" s="25">
        <v>-24.0</v>
      </c>
      <c r="E26" s="25">
        <v>-112.0</v>
      </c>
      <c r="F26" s="28">
        <f t="shared" si="4"/>
        <v>0</v>
      </c>
      <c r="G26" s="25" t="s">
        <v>299</v>
      </c>
      <c r="I26" s="25" t="s">
        <v>7</v>
      </c>
      <c r="J26" s="25" t="s">
        <v>9</v>
      </c>
      <c r="K26" s="56"/>
      <c r="L26" s="139">
        <f t="shared" ref="L26:O26" si="51">SUM(B25-B26)</f>
        <v>-8</v>
      </c>
      <c r="M26" s="139">
        <f t="shared" si="51"/>
        <v>8</v>
      </c>
      <c r="N26" s="139">
        <f t="shared" si="51"/>
        <v>-8</v>
      </c>
      <c r="O26" s="139">
        <f t="shared" si="51"/>
        <v>8</v>
      </c>
      <c r="P26" s="129" t="str">
        <f t="shared" si="6"/>
        <v>9 gode</v>
      </c>
      <c r="Q26" s="25">
        <v>8.0</v>
      </c>
      <c r="R26" s="25">
        <v>-8.0</v>
      </c>
      <c r="S26" s="292">
        <v>-8.0</v>
      </c>
      <c r="T26" s="25">
        <v>8.0</v>
      </c>
      <c r="U26" s="25">
        <v>-8.0</v>
      </c>
      <c r="V26" s="25">
        <v>-8.0</v>
      </c>
      <c r="W26" s="54">
        <f t="shared" ref="W26:Z26" si="52">W25+S26</f>
        <v>-220</v>
      </c>
      <c r="X26" s="25">
        <f t="shared" si="52"/>
        <v>76</v>
      </c>
      <c r="Y26" s="25">
        <f t="shared" si="52"/>
        <v>188</v>
      </c>
      <c r="Z26" s="25">
        <f t="shared" si="52"/>
        <v>-60</v>
      </c>
    </row>
    <row r="27">
      <c r="A27" s="46">
        <f t="shared" si="8"/>
        <v>25</v>
      </c>
      <c r="B27" s="25">
        <v>96.0</v>
      </c>
      <c r="C27" s="25">
        <v>40.0</v>
      </c>
      <c r="D27" s="25">
        <v>-56.0</v>
      </c>
      <c r="E27" s="25">
        <v>-80.0</v>
      </c>
      <c r="F27" s="28">
        <f t="shared" si="4"/>
        <v>0</v>
      </c>
      <c r="G27" s="25" t="s">
        <v>401</v>
      </c>
      <c r="I27" s="25" t="s">
        <v>7</v>
      </c>
      <c r="J27" s="25" t="s">
        <v>10</v>
      </c>
      <c r="K27" s="56"/>
      <c r="L27" s="139">
        <f t="shared" ref="L27:O27" si="53">SUM(B26-B27)</f>
        <v>-32</v>
      </c>
      <c r="M27" s="139">
        <f t="shared" si="53"/>
        <v>32</v>
      </c>
      <c r="N27" s="139">
        <f t="shared" si="53"/>
        <v>32</v>
      </c>
      <c r="O27" s="139">
        <f t="shared" si="53"/>
        <v>-32</v>
      </c>
      <c r="P27" s="129" t="str">
        <f t="shared" si="6"/>
        <v>9 vip i 2</v>
      </c>
      <c r="Q27" s="25">
        <v>32.0</v>
      </c>
      <c r="R27" s="25">
        <v>-32.0</v>
      </c>
      <c r="S27" s="292">
        <v>-32.0</v>
      </c>
      <c r="T27" s="25">
        <v>32.0</v>
      </c>
      <c r="U27" s="25">
        <v>32.0</v>
      </c>
      <c r="V27" s="25">
        <v>-32.0</v>
      </c>
      <c r="W27" s="54">
        <f t="shared" ref="W27:Z27" si="54">W26+S27</f>
        <v>-252</v>
      </c>
      <c r="X27" s="25">
        <f t="shared" si="54"/>
        <v>108</v>
      </c>
      <c r="Y27" s="25">
        <f t="shared" si="54"/>
        <v>220</v>
      </c>
      <c r="Z27" s="25">
        <f t="shared" si="54"/>
        <v>-92</v>
      </c>
    </row>
    <row r="28">
      <c r="A28" s="46">
        <f t="shared" si="8"/>
        <v>26</v>
      </c>
      <c r="B28" s="25">
        <v>128.0</v>
      </c>
      <c r="C28" s="25">
        <v>8.0</v>
      </c>
      <c r="D28" s="25">
        <v>-24.0</v>
      </c>
      <c r="E28" s="25">
        <v>-112.0</v>
      </c>
      <c r="F28" s="28">
        <f t="shared" si="4"/>
        <v>0</v>
      </c>
      <c r="G28" s="25" t="s">
        <v>401</v>
      </c>
      <c r="I28" s="25" t="s">
        <v>7</v>
      </c>
      <c r="J28" s="25" t="s">
        <v>9</v>
      </c>
      <c r="K28" s="56"/>
      <c r="L28" s="139">
        <f t="shared" ref="L28:O28" si="55">SUM(B27-B28)</f>
        <v>-32</v>
      </c>
      <c r="M28" s="139">
        <f t="shared" si="55"/>
        <v>32</v>
      </c>
      <c r="N28" s="139">
        <f t="shared" si="55"/>
        <v>-32</v>
      </c>
      <c r="O28" s="139">
        <f t="shared" si="55"/>
        <v>32</v>
      </c>
      <c r="P28" s="129" t="str">
        <f t="shared" si="6"/>
        <v>9 vip i 2</v>
      </c>
      <c r="Q28" s="25">
        <v>32.0</v>
      </c>
      <c r="R28" s="25">
        <v>-32.0</v>
      </c>
      <c r="S28" s="292">
        <v>-32.0</v>
      </c>
      <c r="T28" s="25">
        <v>32.0</v>
      </c>
      <c r="U28" s="25">
        <v>-32.0</v>
      </c>
      <c r="V28" s="25">
        <v>32.0</v>
      </c>
      <c r="W28" s="54">
        <f t="shared" ref="W28:Z28" si="56">W27+S28</f>
        <v>-284</v>
      </c>
      <c r="X28" s="25">
        <f t="shared" si="56"/>
        <v>140</v>
      </c>
      <c r="Y28" s="25">
        <f t="shared" si="56"/>
        <v>188</v>
      </c>
      <c r="Z28" s="25">
        <f t="shared" si="56"/>
        <v>-60</v>
      </c>
    </row>
    <row r="29">
      <c r="A29" s="46">
        <f t="shared" si="8"/>
        <v>27</v>
      </c>
      <c r="B29" s="25">
        <v>136.0</v>
      </c>
      <c r="C29" s="25">
        <v>16.0</v>
      </c>
      <c r="D29" s="25">
        <v>-32.0</v>
      </c>
      <c r="E29" s="25">
        <v>-120.0</v>
      </c>
      <c r="F29" s="28">
        <f t="shared" si="4"/>
        <v>0</v>
      </c>
      <c r="G29" s="25" t="s">
        <v>493</v>
      </c>
      <c r="I29" s="25" t="s">
        <v>9</v>
      </c>
      <c r="J29" s="25" t="s">
        <v>10</v>
      </c>
      <c r="K29" s="56"/>
      <c r="L29" s="139">
        <f t="shared" ref="L29:O29" si="57">SUM(B28-B29)</f>
        <v>-8</v>
      </c>
      <c r="M29" s="139">
        <f t="shared" si="57"/>
        <v>-8</v>
      </c>
      <c r="N29" s="139">
        <f t="shared" si="57"/>
        <v>8</v>
      </c>
      <c r="O29" s="139">
        <f t="shared" si="57"/>
        <v>8</v>
      </c>
      <c r="P29" s="129" t="str">
        <f t="shared" si="6"/>
        <v>10. Halve</v>
      </c>
      <c r="S29" s="292">
        <v>-8.0</v>
      </c>
      <c r="T29" s="25">
        <v>-8.0</v>
      </c>
      <c r="U29" s="25">
        <v>8.0</v>
      </c>
      <c r="V29" s="25">
        <v>8.0</v>
      </c>
      <c r="W29" s="54">
        <f t="shared" ref="W29:Z29" si="58">W28+S29</f>
        <v>-292</v>
      </c>
      <c r="X29" s="25">
        <f t="shared" si="58"/>
        <v>132</v>
      </c>
      <c r="Y29" s="25">
        <f t="shared" si="58"/>
        <v>196</v>
      </c>
      <c r="Z29" s="25">
        <f t="shared" si="58"/>
        <v>-52</v>
      </c>
    </row>
    <row r="30">
      <c r="A30" s="46">
        <f t="shared" si="8"/>
        <v>28</v>
      </c>
      <c r="B30" s="25">
        <v>128.0</v>
      </c>
      <c r="C30" s="25">
        <v>24.0</v>
      </c>
      <c r="D30" s="25">
        <v>-40.0</v>
      </c>
      <c r="E30" s="25">
        <v>-112.0</v>
      </c>
      <c r="F30" s="28">
        <f t="shared" si="4"/>
        <v>0</v>
      </c>
      <c r="G30" s="25" t="s">
        <v>293</v>
      </c>
      <c r="I30" s="25" t="s">
        <v>8</v>
      </c>
      <c r="J30" s="25" t="s">
        <v>10</v>
      </c>
      <c r="K30" s="56"/>
      <c r="L30" s="139">
        <f t="shared" ref="L30:O30" si="59">SUM(B29-B30)</f>
        <v>8</v>
      </c>
      <c r="M30" s="139">
        <f t="shared" si="59"/>
        <v>-8</v>
      </c>
      <c r="N30" s="139">
        <f t="shared" si="59"/>
        <v>8</v>
      </c>
      <c r="O30" s="139">
        <f t="shared" si="59"/>
        <v>-8</v>
      </c>
      <c r="P30" s="129" t="str">
        <f t="shared" si="6"/>
        <v>9 halve</v>
      </c>
      <c r="S30" s="292">
        <v>8.0</v>
      </c>
      <c r="T30" s="25">
        <v>-8.0</v>
      </c>
      <c r="U30" s="25">
        <v>8.0</v>
      </c>
      <c r="V30" s="25">
        <v>-8.0</v>
      </c>
      <c r="W30" s="54">
        <f t="shared" ref="W30:Z30" si="60">W29+S30</f>
        <v>-284</v>
      </c>
      <c r="X30" s="25">
        <f t="shared" si="60"/>
        <v>124</v>
      </c>
      <c r="Y30" s="25">
        <f t="shared" si="60"/>
        <v>204</v>
      </c>
      <c r="Z30" s="25">
        <f t="shared" si="60"/>
        <v>-60</v>
      </c>
    </row>
    <row r="31">
      <c r="A31" s="46">
        <f t="shared" si="8"/>
        <v>29</v>
      </c>
      <c r="B31" s="25">
        <v>184.0</v>
      </c>
      <c r="C31" s="25">
        <v>-32.0</v>
      </c>
      <c r="D31" s="25">
        <v>-96.0</v>
      </c>
      <c r="E31" s="25">
        <v>-56.0</v>
      </c>
      <c r="F31" s="28">
        <f t="shared" si="4"/>
        <v>0</v>
      </c>
      <c r="G31" s="25" t="s">
        <v>311</v>
      </c>
      <c r="I31" s="25" t="s">
        <v>8</v>
      </c>
      <c r="J31" s="25" t="s">
        <v>9</v>
      </c>
      <c r="K31" s="56"/>
      <c r="L31" s="139">
        <f t="shared" ref="L31:O31" si="61">SUM(B30-B31)</f>
        <v>-56</v>
      </c>
      <c r="M31" s="139">
        <f t="shared" si="61"/>
        <v>56</v>
      </c>
      <c r="N31" s="139">
        <f t="shared" si="61"/>
        <v>56</v>
      </c>
      <c r="O31" s="139">
        <f t="shared" si="61"/>
        <v>-56</v>
      </c>
      <c r="P31" s="129" t="str">
        <f t="shared" si="6"/>
        <v>10 sans</v>
      </c>
      <c r="S31" s="292">
        <v>-56.0</v>
      </c>
      <c r="T31" s="25">
        <v>56.0</v>
      </c>
      <c r="U31" s="25">
        <v>56.0</v>
      </c>
      <c r="V31" s="25">
        <v>-56.0</v>
      </c>
      <c r="W31" s="54">
        <f t="shared" ref="W31:Z31" si="62">W30+S31</f>
        <v>-340</v>
      </c>
      <c r="X31" s="25">
        <f t="shared" si="62"/>
        <v>180</v>
      </c>
      <c r="Y31" s="25">
        <f t="shared" si="62"/>
        <v>260</v>
      </c>
      <c r="Z31" s="25">
        <f t="shared" si="62"/>
        <v>-116</v>
      </c>
    </row>
    <row r="32">
      <c r="A32" s="56"/>
      <c r="K32" s="56"/>
      <c r="S32" s="294"/>
      <c r="W32" s="75"/>
    </row>
    <row r="33">
      <c r="A33" s="46" t="s">
        <v>477</v>
      </c>
      <c r="B33" s="56">
        <f t="shared" ref="B33:E33" si="63">SUM(B3:B31)</f>
        <v>184</v>
      </c>
      <c r="C33" s="56">
        <f t="shared" si="63"/>
        <v>2136</v>
      </c>
      <c r="D33" s="56">
        <f t="shared" si="63"/>
        <v>712</v>
      </c>
      <c r="E33" s="56">
        <f t="shared" si="63"/>
        <v>-3032</v>
      </c>
      <c r="F33" s="56"/>
      <c r="G33" s="56"/>
      <c r="H33" s="56"/>
      <c r="I33" s="56"/>
      <c r="J33" s="56"/>
      <c r="K33" s="56"/>
      <c r="L33" s="56"/>
      <c r="M33" s="56"/>
      <c r="N33" s="56"/>
      <c r="O33" s="56"/>
      <c r="P33" s="56"/>
      <c r="Q33" s="56"/>
      <c r="R33" s="56"/>
      <c r="S33" s="295">
        <f t="shared" ref="S33:V33" si="64">SUM(S4:S31)</f>
        <v>-332</v>
      </c>
      <c r="T33" s="295">
        <f t="shared" si="64"/>
        <v>188</v>
      </c>
      <c r="U33" s="295">
        <f t="shared" si="64"/>
        <v>252</v>
      </c>
      <c r="V33" s="295">
        <f t="shared" si="64"/>
        <v>-124</v>
      </c>
      <c r="W33" s="296"/>
      <c r="X33" s="56"/>
      <c r="Y33" s="56"/>
      <c r="Z33" s="56"/>
      <c r="AA33" s="56"/>
      <c r="AB33" s="56"/>
      <c r="AC33" s="56"/>
      <c r="AD33" s="56"/>
      <c r="AE33" s="56"/>
      <c r="AF33" s="56"/>
      <c r="AG33" s="56"/>
      <c r="AH33" s="56"/>
    </row>
    <row r="34">
      <c r="S34" s="294"/>
      <c r="W34" s="75"/>
    </row>
  </sheetData>
  <conditionalFormatting sqref="S3:Z31">
    <cfRule type="cellIs" dxfId="0" priority="1" operator="greaterThanOrEqual">
      <formula>0</formula>
    </cfRule>
  </conditionalFormatting>
  <conditionalFormatting sqref="S3:Z31">
    <cfRule type="cellIs" dxfId="1" priority="2" operator="lessThan">
      <formula>0</formula>
    </cfRule>
  </conditionalFormatting>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13"/>
    <col customWidth="1" min="2" max="5" width="7.88"/>
    <col customWidth="1" min="6" max="6" width="6.63"/>
    <col customWidth="1" min="11" max="11" width="3.88"/>
    <col customWidth="1" min="12" max="26" width="8.0"/>
  </cols>
  <sheetData>
    <row r="1">
      <c r="A1" s="280">
        <f>'00_Regnskab_01'!A26</f>
        <v>23</v>
      </c>
      <c r="B1" s="193">
        <f>'00_Regnskab_01'!C26</f>
        <v>45470</v>
      </c>
      <c r="C1" s="42"/>
      <c r="D1" s="42" t="str">
        <f>'00_Regnskab_01'!L26</f>
        <v>Kayak Bar</v>
      </c>
      <c r="E1" s="42"/>
      <c r="F1" s="42"/>
      <c r="G1" s="42"/>
      <c r="H1" s="42"/>
      <c r="I1" s="42"/>
      <c r="J1" s="42"/>
      <c r="K1" s="44"/>
      <c r="L1" s="42"/>
      <c r="M1" s="42"/>
      <c r="N1" s="42"/>
      <c r="O1" s="42"/>
      <c r="P1" s="42"/>
      <c r="Q1" s="42"/>
      <c r="R1" s="42"/>
      <c r="S1" s="45" t="s">
        <v>64</v>
      </c>
      <c r="T1" s="42"/>
      <c r="U1" s="42"/>
      <c r="V1" s="32"/>
      <c r="W1" s="32"/>
      <c r="X1" s="32"/>
      <c r="Y1" s="32"/>
    </row>
    <row r="2">
      <c r="A2" s="46" t="s">
        <v>78</v>
      </c>
      <c r="B2" s="46" t="s">
        <v>7</v>
      </c>
      <c r="C2" s="46" t="s">
        <v>8</v>
      </c>
      <c r="D2" s="46" t="s">
        <v>9</v>
      </c>
      <c r="E2" s="46" t="s">
        <v>10</v>
      </c>
      <c r="F2" s="46" t="s">
        <v>278</v>
      </c>
      <c r="G2" s="46" t="s">
        <v>64</v>
      </c>
      <c r="H2" s="46" t="s">
        <v>82</v>
      </c>
      <c r="I2" s="46" t="s">
        <v>83</v>
      </c>
      <c r="J2" s="46" t="s">
        <v>81</v>
      </c>
      <c r="K2" s="46"/>
      <c r="L2" s="56" t="str">
        <f t="shared" ref="L2:O2" si="1">B2</f>
        <v>Thomas</v>
      </c>
      <c r="M2" s="56" t="str">
        <f t="shared" si="1"/>
        <v>Peter</v>
      </c>
      <c r="N2" s="56" t="str">
        <f t="shared" si="1"/>
        <v>Janus</v>
      </c>
      <c r="O2" s="56" t="str">
        <f t="shared" si="1"/>
        <v>Christian</v>
      </c>
      <c r="P2" s="56"/>
      <c r="Q2" s="56"/>
      <c r="R2" s="56"/>
      <c r="S2" s="46" t="s">
        <v>84</v>
      </c>
      <c r="T2" s="46" t="s">
        <v>85</v>
      </c>
      <c r="U2" s="46" t="s">
        <v>86</v>
      </c>
      <c r="V2" s="46" t="s">
        <v>87</v>
      </c>
      <c r="W2" s="46" t="s">
        <v>88</v>
      </c>
      <c r="X2" s="46" t="s">
        <v>89</v>
      </c>
      <c r="Y2" s="46"/>
      <c r="Z2" s="56"/>
    </row>
    <row r="3">
      <c r="A3" s="46">
        <v>1.0</v>
      </c>
      <c r="K3" s="56"/>
      <c r="L3" s="139" t="str">
        <f t="shared" ref="L3:O3" si="2">B3</f>
        <v/>
      </c>
      <c r="M3" s="139" t="str">
        <f t="shared" si="2"/>
        <v/>
      </c>
      <c r="N3" s="139" t="str">
        <f t="shared" si="2"/>
        <v/>
      </c>
      <c r="O3" s="139" t="str">
        <f t="shared" si="2"/>
        <v/>
      </c>
      <c r="P3" s="129"/>
      <c r="Q3" s="129"/>
      <c r="R3" s="281"/>
      <c r="S3" s="129"/>
      <c r="T3" s="129"/>
      <c r="U3" s="129"/>
      <c r="V3" s="129"/>
      <c r="W3" s="129"/>
      <c r="X3" s="129"/>
      <c r="Y3" s="281"/>
    </row>
    <row r="4">
      <c r="A4" s="46">
        <f t="shared" ref="A4:A22" si="3">A3+1</f>
        <v>2</v>
      </c>
      <c r="K4" s="56"/>
    </row>
    <row r="5">
      <c r="A5" s="46">
        <f t="shared" si="3"/>
        <v>3</v>
      </c>
      <c r="K5" s="46"/>
    </row>
    <row r="6">
      <c r="A6" s="46">
        <f t="shared" si="3"/>
        <v>4</v>
      </c>
      <c r="K6" s="46"/>
    </row>
    <row r="7">
      <c r="A7" s="46">
        <f t="shared" si="3"/>
        <v>5</v>
      </c>
      <c r="K7" s="46"/>
    </row>
    <row r="8">
      <c r="A8" s="46">
        <f t="shared" si="3"/>
        <v>6</v>
      </c>
      <c r="K8" s="46"/>
    </row>
    <row r="9">
      <c r="A9" s="46">
        <f t="shared" si="3"/>
        <v>7</v>
      </c>
      <c r="K9" s="46"/>
    </row>
    <row r="10">
      <c r="A10" s="46">
        <f t="shared" si="3"/>
        <v>8</v>
      </c>
      <c r="K10" s="56"/>
    </row>
    <row r="11">
      <c r="A11" s="46">
        <f t="shared" si="3"/>
        <v>9</v>
      </c>
      <c r="K11" s="46"/>
    </row>
    <row r="12">
      <c r="A12" s="46">
        <f t="shared" si="3"/>
        <v>10</v>
      </c>
      <c r="K12" s="46"/>
    </row>
    <row r="13">
      <c r="A13" s="46">
        <f t="shared" si="3"/>
        <v>11</v>
      </c>
      <c r="K13" s="56"/>
    </row>
    <row r="14">
      <c r="A14" s="46">
        <f t="shared" si="3"/>
        <v>12</v>
      </c>
      <c r="K14" s="46"/>
    </row>
    <row r="15">
      <c r="A15" s="46">
        <f t="shared" si="3"/>
        <v>13</v>
      </c>
      <c r="K15" s="46"/>
    </row>
    <row r="16">
      <c r="A16" s="46">
        <f t="shared" si="3"/>
        <v>14</v>
      </c>
      <c r="K16" s="56"/>
    </row>
    <row r="17">
      <c r="A17" s="46">
        <f t="shared" si="3"/>
        <v>15</v>
      </c>
      <c r="K17" s="56"/>
    </row>
    <row r="18">
      <c r="A18" s="46">
        <f t="shared" si="3"/>
        <v>16</v>
      </c>
      <c r="K18" s="56"/>
    </row>
    <row r="19">
      <c r="A19" s="46">
        <f t="shared" si="3"/>
        <v>17</v>
      </c>
      <c r="K19" s="46"/>
    </row>
    <row r="20">
      <c r="A20" s="46">
        <f t="shared" si="3"/>
        <v>18</v>
      </c>
      <c r="K20" s="56"/>
    </row>
    <row r="21">
      <c r="A21" s="46">
        <f t="shared" si="3"/>
        <v>19</v>
      </c>
      <c r="K21" s="46"/>
    </row>
    <row r="22">
      <c r="A22" s="46">
        <f t="shared" si="3"/>
        <v>20</v>
      </c>
      <c r="K22" s="46"/>
    </row>
    <row r="23">
      <c r="A23" s="56"/>
      <c r="K23" s="56"/>
    </row>
    <row r="24">
      <c r="A24" s="56"/>
      <c r="K24" s="56"/>
    </row>
    <row r="25">
      <c r="A25" s="56"/>
      <c r="K25" s="56"/>
    </row>
    <row r="26">
      <c r="A26" s="56"/>
      <c r="K26" s="56"/>
    </row>
    <row r="27">
      <c r="A27" s="46" t="s">
        <v>477</v>
      </c>
      <c r="B27" s="56">
        <f t="shared" ref="B27:E27" si="4">sum(B3:B26)</f>
        <v>0</v>
      </c>
      <c r="C27" s="56">
        <f t="shared" si="4"/>
        <v>0</v>
      </c>
      <c r="D27" s="56">
        <f t="shared" si="4"/>
        <v>0</v>
      </c>
      <c r="E27" s="56">
        <f t="shared" si="4"/>
        <v>0</v>
      </c>
      <c r="F27" s="56"/>
      <c r="G27" s="56"/>
      <c r="H27" s="56"/>
      <c r="I27" s="56"/>
      <c r="J27" s="56"/>
      <c r="K27" s="56"/>
      <c r="L27" s="56"/>
      <c r="M27" s="56"/>
      <c r="N27" s="56"/>
      <c r="O27" s="56"/>
      <c r="P27" s="56"/>
      <c r="Q27" s="56"/>
      <c r="R27" s="56"/>
      <c r="S27" s="56"/>
      <c r="T27" s="56"/>
      <c r="U27" s="56"/>
      <c r="V27" s="56"/>
      <c r="W27" s="56"/>
      <c r="X27" s="56"/>
      <c r="Y27" s="56"/>
      <c r="Z27" s="56"/>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5" t="s">
        <v>9</v>
      </c>
      <c r="B1" s="25" t="s">
        <v>10</v>
      </c>
      <c r="C1" s="25" t="s">
        <v>8</v>
      </c>
      <c r="D1" s="25" t="s">
        <v>7</v>
      </c>
      <c r="E1" s="25" t="s">
        <v>288</v>
      </c>
      <c r="F1" s="25" t="s">
        <v>64</v>
      </c>
      <c r="G1" s="25" t="s">
        <v>505</v>
      </c>
      <c r="H1" s="25" t="s">
        <v>81</v>
      </c>
      <c r="I1" s="25" t="s">
        <v>393</v>
      </c>
    </row>
    <row r="2">
      <c r="A2" s="25">
        <v>8.0</v>
      </c>
      <c r="B2" s="25">
        <v>8.0</v>
      </c>
      <c r="C2" s="25">
        <v>-8.0</v>
      </c>
      <c r="D2" s="25">
        <v>-8.0</v>
      </c>
      <c r="E2" s="25">
        <v>0.0</v>
      </c>
      <c r="F2" s="25" t="s">
        <v>293</v>
      </c>
      <c r="G2" s="25" t="s">
        <v>9</v>
      </c>
      <c r="H2" s="25" t="s">
        <v>10</v>
      </c>
    </row>
    <row r="3">
      <c r="A3" s="25">
        <v>-4.0</v>
      </c>
      <c r="B3" s="25">
        <v>-4.0</v>
      </c>
      <c r="C3" s="25">
        <v>-4.0</v>
      </c>
      <c r="D3" s="25">
        <v>12.0</v>
      </c>
      <c r="E3" s="25">
        <v>0.0</v>
      </c>
      <c r="F3" s="25" t="s">
        <v>99</v>
      </c>
      <c r="G3" s="25" t="s">
        <v>7</v>
      </c>
    </row>
    <row r="4">
      <c r="A4" s="25">
        <v>80.0</v>
      </c>
      <c r="B4" s="25">
        <v>-80.0</v>
      </c>
      <c r="C4" s="25">
        <v>80.0</v>
      </c>
      <c r="D4" s="25">
        <v>-80.0</v>
      </c>
      <c r="E4" s="25">
        <v>0.0</v>
      </c>
      <c r="F4" s="25" t="s">
        <v>488</v>
      </c>
      <c r="G4" s="25" t="s">
        <v>8</v>
      </c>
      <c r="H4" s="25" t="s">
        <v>9</v>
      </c>
      <c r="I4" s="25" t="s">
        <v>10</v>
      </c>
    </row>
    <row r="5">
      <c r="A5" s="25">
        <v>76.0</v>
      </c>
      <c r="B5" s="25">
        <v>-84.0</v>
      </c>
      <c r="C5" s="25">
        <v>76.0</v>
      </c>
      <c r="D5" s="25">
        <v>-68.0</v>
      </c>
      <c r="E5" s="25">
        <v>0.0</v>
      </c>
      <c r="F5" s="25" t="s">
        <v>99</v>
      </c>
      <c r="G5" s="25" t="s">
        <v>7</v>
      </c>
      <c r="I5" s="25" t="s">
        <v>8</v>
      </c>
    </row>
    <row r="6">
      <c r="A6" s="25">
        <v>68.0</v>
      </c>
      <c r="B6" s="25">
        <v>-76.0</v>
      </c>
      <c r="C6" s="25">
        <v>68.0</v>
      </c>
      <c r="D6" s="25">
        <v>-60.0</v>
      </c>
      <c r="E6" s="25">
        <v>0.0</v>
      </c>
      <c r="F6" s="25" t="s">
        <v>489</v>
      </c>
      <c r="G6" s="25" t="s">
        <v>8</v>
      </c>
      <c r="H6" s="25" t="s">
        <v>9</v>
      </c>
      <c r="I6" s="25" t="s">
        <v>7</v>
      </c>
    </row>
    <row r="7">
      <c r="A7" s="25">
        <v>64.0</v>
      </c>
      <c r="B7" s="25">
        <v>-80.0</v>
      </c>
      <c r="C7" s="25">
        <v>80.0</v>
      </c>
      <c r="D7" s="25">
        <v>-64.0</v>
      </c>
      <c r="E7" s="25">
        <v>0.0</v>
      </c>
      <c r="F7" s="25" t="s">
        <v>99</v>
      </c>
      <c r="G7" s="25" t="s">
        <v>8</v>
      </c>
      <c r="I7" s="25" t="s">
        <v>9</v>
      </c>
    </row>
    <row r="8">
      <c r="A8" s="25">
        <v>48.0</v>
      </c>
      <c r="B8" s="25">
        <v>-96.0</v>
      </c>
      <c r="C8" s="25">
        <v>128.0</v>
      </c>
      <c r="D8" s="25">
        <v>-80.0</v>
      </c>
      <c r="E8" s="25">
        <v>0.0</v>
      </c>
      <c r="F8" s="25" t="s">
        <v>504</v>
      </c>
      <c r="G8" s="25" t="s">
        <v>8</v>
      </c>
    </row>
    <row r="9">
      <c r="A9" s="25">
        <v>64.0</v>
      </c>
      <c r="B9" s="25">
        <v>-112.0</v>
      </c>
      <c r="C9" s="25">
        <v>112.0</v>
      </c>
      <c r="D9" s="25">
        <v>-64.0</v>
      </c>
      <c r="E9" s="25">
        <v>0.0</v>
      </c>
      <c r="F9" s="25" t="s">
        <v>490</v>
      </c>
      <c r="H9" s="25" t="s">
        <v>7</v>
      </c>
      <c r="I9" s="25" t="s">
        <v>9</v>
      </c>
    </row>
    <row r="10">
      <c r="A10" s="25">
        <v>52.0</v>
      </c>
      <c r="B10" s="25">
        <v>-108.0</v>
      </c>
      <c r="C10" s="25">
        <v>116.0</v>
      </c>
      <c r="D10" s="25">
        <v>-60.0</v>
      </c>
      <c r="E10" s="25">
        <v>0.0</v>
      </c>
      <c r="F10" s="25" t="s">
        <v>99</v>
      </c>
      <c r="G10" s="25" t="s">
        <v>9</v>
      </c>
    </row>
    <row r="11">
      <c r="A11" s="25">
        <v>44.0</v>
      </c>
      <c r="B11" s="25">
        <v>-100.0</v>
      </c>
      <c r="C11" s="25">
        <v>124.0</v>
      </c>
      <c r="D11" s="25">
        <v>-68.0</v>
      </c>
      <c r="E11" s="25">
        <v>0.0</v>
      </c>
      <c r="F11" s="25" t="s">
        <v>489</v>
      </c>
      <c r="G11" s="25" t="s">
        <v>10</v>
      </c>
      <c r="H11" s="25" t="s">
        <v>8</v>
      </c>
    </row>
    <row r="12">
      <c r="A12" s="25">
        <v>52.0</v>
      </c>
      <c r="B12" s="25">
        <v>-92.0</v>
      </c>
      <c r="C12" s="25">
        <v>100.0</v>
      </c>
      <c r="D12" s="25">
        <v>-60.0</v>
      </c>
      <c r="E12" s="25">
        <v>0.0</v>
      </c>
      <c r="F12" s="25" t="s">
        <v>97</v>
      </c>
      <c r="G12" s="25" t="s">
        <v>8</v>
      </c>
    </row>
    <row r="13">
      <c r="A13" s="25">
        <v>48.0</v>
      </c>
      <c r="B13" s="25">
        <v>-96.0</v>
      </c>
      <c r="C13" s="25">
        <v>96.0</v>
      </c>
      <c r="D13" s="25">
        <v>-48.0</v>
      </c>
      <c r="E13" s="25">
        <v>0.0</v>
      </c>
      <c r="F13" s="25" t="s">
        <v>99</v>
      </c>
      <c r="G13" s="25" t="s">
        <v>7</v>
      </c>
    </row>
    <row r="14">
      <c r="A14" s="25">
        <v>80.0</v>
      </c>
      <c r="B14" s="25">
        <v>-128.0</v>
      </c>
      <c r="C14" s="25">
        <v>64.0</v>
      </c>
      <c r="D14" s="25">
        <v>-16.0</v>
      </c>
      <c r="E14" s="25">
        <v>0.0</v>
      </c>
      <c r="F14" s="25" t="s">
        <v>409</v>
      </c>
      <c r="G14" s="25" t="s">
        <v>7</v>
      </c>
      <c r="H14" s="25" t="s">
        <v>9</v>
      </c>
    </row>
    <row r="15">
      <c r="A15" s="25">
        <v>96.0</v>
      </c>
      <c r="B15" s="25">
        <v>-112.0</v>
      </c>
      <c r="C15" s="25">
        <v>80.0</v>
      </c>
      <c r="D15" s="25">
        <v>-64.0</v>
      </c>
      <c r="E15" s="25">
        <v>0.0</v>
      </c>
      <c r="F15" s="25" t="s">
        <v>97</v>
      </c>
      <c r="G15" s="25" t="s">
        <v>7</v>
      </c>
    </row>
    <row r="16">
      <c r="A16" s="25">
        <v>100.0</v>
      </c>
      <c r="B16" s="25">
        <v>-108.0</v>
      </c>
      <c r="C16" s="25">
        <v>68.0</v>
      </c>
      <c r="D16" s="25">
        <v>-60.0</v>
      </c>
      <c r="E16" s="25">
        <v>0.0</v>
      </c>
      <c r="F16" s="25" t="s">
        <v>99</v>
      </c>
      <c r="G16" s="25" t="s">
        <v>8</v>
      </c>
    </row>
    <row r="17">
      <c r="A17" s="25">
        <v>104.0</v>
      </c>
      <c r="B17" s="25">
        <v>-120.0</v>
      </c>
      <c r="C17" s="25">
        <v>72.0</v>
      </c>
      <c r="D17" s="25">
        <v>-56.0</v>
      </c>
      <c r="E17" s="25">
        <v>0.0</v>
      </c>
      <c r="F17" s="25" t="s">
        <v>99</v>
      </c>
      <c r="G17" s="25" t="s">
        <v>10</v>
      </c>
    </row>
    <row r="18">
      <c r="A18" s="25">
        <v>40.0</v>
      </c>
      <c r="B18" s="25">
        <v>-184.0</v>
      </c>
      <c r="C18" s="25">
        <v>136.0</v>
      </c>
      <c r="D18" s="25">
        <v>8.0</v>
      </c>
      <c r="E18" s="25">
        <v>0.0</v>
      </c>
      <c r="F18" s="25" t="s">
        <v>357</v>
      </c>
      <c r="G18" s="25" t="s">
        <v>7</v>
      </c>
      <c r="H18" s="25" t="s">
        <v>8</v>
      </c>
    </row>
    <row r="19">
      <c r="A19" s="25">
        <v>44.0</v>
      </c>
      <c r="B19" s="25">
        <v>-188.0</v>
      </c>
      <c r="C19" s="25">
        <v>140.0</v>
      </c>
      <c r="D19" s="25">
        <v>4.0</v>
      </c>
      <c r="E19" s="25">
        <v>0.0</v>
      </c>
      <c r="F19" s="25" t="s">
        <v>491</v>
      </c>
      <c r="G19" s="25" t="s">
        <v>8</v>
      </c>
      <c r="H19" s="25" t="s">
        <v>10</v>
      </c>
    </row>
    <row r="20">
      <c r="A20" s="25">
        <v>32.0</v>
      </c>
      <c r="B20" s="25">
        <v>-184.0</v>
      </c>
      <c r="C20" s="25">
        <v>144.0</v>
      </c>
      <c r="D20" s="25">
        <v>8.0</v>
      </c>
      <c r="E20" s="25">
        <v>0.0</v>
      </c>
      <c r="F20" s="25" t="s">
        <v>99</v>
      </c>
      <c r="G20" s="25" t="s">
        <v>9</v>
      </c>
    </row>
    <row r="21">
      <c r="A21" s="25">
        <v>8.0</v>
      </c>
      <c r="B21" s="25">
        <v>-160.0</v>
      </c>
      <c r="C21" s="25">
        <v>120.0</v>
      </c>
      <c r="D21" s="25">
        <v>32.0</v>
      </c>
      <c r="E21" s="25">
        <v>0.0</v>
      </c>
      <c r="F21" s="25" t="s">
        <v>401</v>
      </c>
      <c r="G21" s="25" t="s">
        <v>7</v>
      </c>
    </row>
    <row r="22">
      <c r="A22" s="25">
        <v>-40.0</v>
      </c>
      <c r="B22" s="25">
        <v>-112.0</v>
      </c>
      <c r="C22" s="25">
        <v>72.0</v>
      </c>
      <c r="D22" s="25">
        <v>80.0</v>
      </c>
      <c r="E22" s="25">
        <v>0.0</v>
      </c>
      <c r="F22" s="25" t="s">
        <v>368</v>
      </c>
      <c r="G22" s="25" t="s">
        <v>7</v>
      </c>
      <c r="H22" s="25" t="s">
        <v>10</v>
      </c>
    </row>
    <row r="23">
      <c r="A23" s="25">
        <v>-48.0</v>
      </c>
      <c r="B23" s="25">
        <v>-120.0</v>
      </c>
      <c r="C23" s="25">
        <v>64.0</v>
      </c>
      <c r="D23" s="25">
        <v>104.0</v>
      </c>
      <c r="E23" s="25">
        <v>0.0</v>
      </c>
      <c r="F23" s="25" t="s">
        <v>97</v>
      </c>
      <c r="G23" s="25" t="s">
        <v>7</v>
      </c>
    </row>
    <row r="24">
      <c r="A24" s="25">
        <v>-32.0</v>
      </c>
      <c r="B24" s="25">
        <v>-104.0</v>
      </c>
      <c r="C24" s="25">
        <v>80.0</v>
      </c>
      <c r="D24" s="25">
        <v>56.0</v>
      </c>
      <c r="E24" s="25">
        <v>0.0</v>
      </c>
      <c r="F24" s="25" t="s">
        <v>401</v>
      </c>
      <c r="G24" s="25" t="s">
        <v>7</v>
      </c>
      <c r="H24" s="25" t="s">
        <v>492</v>
      </c>
    </row>
    <row r="25">
      <c r="A25" s="25">
        <v>-24.0</v>
      </c>
      <c r="B25" s="25">
        <v>-112.0</v>
      </c>
      <c r="C25" s="25">
        <v>72.0</v>
      </c>
      <c r="D25" s="25">
        <v>64.0</v>
      </c>
      <c r="E25" s="25">
        <v>0.0</v>
      </c>
      <c r="F25" s="25" t="s">
        <v>299</v>
      </c>
      <c r="G25" s="25" t="s">
        <v>7</v>
      </c>
      <c r="H25" s="25" t="s">
        <v>9</v>
      </c>
    </row>
    <row r="26">
      <c r="A26" s="25">
        <v>-56.0</v>
      </c>
      <c r="B26" s="25">
        <v>-80.0</v>
      </c>
      <c r="C26" s="25">
        <v>40.0</v>
      </c>
      <c r="D26" s="25">
        <v>96.0</v>
      </c>
      <c r="E26" s="25">
        <v>0.0</v>
      </c>
      <c r="F26" s="25" t="s">
        <v>401</v>
      </c>
      <c r="G26" s="25" t="s">
        <v>7</v>
      </c>
      <c r="H26" s="25" t="s">
        <v>10</v>
      </c>
    </row>
    <row r="27">
      <c r="A27" s="25">
        <v>-24.0</v>
      </c>
      <c r="B27" s="25">
        <v>-112.0</v>
      </c>
      <c r="C27" s="25">
        <v>8.0</v>
      </c>
      <c r="D27" s="25">
        <v>128.0</v>
      </c>
      <c r="E27" s="25">
        <v>0.0</v>
      </c>
      <c r="F27" s="25" t="s">
        <v>401</v>
      </c>
      <c r="G27" s="25" t="s">
        <v>7</v>
      </c>
      <c r="H27" s="25" t="s">
        <v>9</v>
      </c>
    </row>
    <row r="28">
      <c r="A28" s="25">
        <v>-32.0</v>
      </c>
      <c r="B28" s="25">
        <v>-120.0</v>
      </c>
      <c r="C28" s="25">
        <v>16.0</v>
      </c>
      <c r="D28" s="25">
        <v>136.0</v>
      </c>
      <c r="E28" s="25">
        <v>0.0</v>
      </c>
      <c r="F28" s="25" t="s">
        <v>493</v>
      </c>
      <c r="G28" s="25" t="s">
        <v>9</v>
      </c>
      <c r="H28" s="25" t="s">
        <v>10</v>
      </c>
    </row>
    <row r="29">
      <c r="A29" s="25">
        <v>-40.0</v>
      </c>
      <c r="B29" s="25">
        <v>-112.0</v>
      </c>
      <c r="C29" s="25">
        <v>24.0</v>
      </c>
      <c r="D29" s="25">
        <v>128.0</v>
      </c>
      <c r="E29" s="25">
        <v>0.0</v>
      </c>
      <c r="F29" s="25" t="s">
        <v>293</v>
      </c>
      <c r="G29" s="25" t="s">
        <v>8</v>
      </c>
      <c r="H29" s="25" t="s">
        <v>10</v>
      </c>
    </row>
    <row r="30">
      <c r="A30" s="25">
        <v>-96.0</v>
      </c>
      <c r="B30" s="25">
        <v>-56.0</v>
      </c>
      <c r="C30" s="25">
        <v>-32.0</v>
      </c>
      <c r="D30" s="25">
        <v>184.0</v>
      </c>
      <c r="E30" s="25">
        <v>0.0</v>
      </c>
      <c r="F30" s="25" t="s">
        <v>311</v>
      </c>
      <c r="G30" s="25" t="s">
        <v>8</v>
      </c>
      <c r="H30" s="25" t="s">
        <v>9</v>
      </c>
    </row>
  </sheetData>
  <drawing r:id="rId1"/>
</worksheet>
</file>